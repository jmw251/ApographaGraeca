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Ex1.xml" ContentType="application/vnd.ms-office.chartex+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drawings/drawing2.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omments10.xml" ContentType="application/vnd.openxmlformats-officedocument.spreadsheetml.comments+xml"/>
  <Override PartName="/xl/threadedComments/threadedComment10.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186593bc330ab858/Cambridge PhD/Thesis/10 The Final Final Version/New and Updated Files for Upload/MS Variant Spreadsheets/"/>
    </mc:Choice>
  </mc:AlternateContent>
  <xr:revisionPtr revIDLastSave="2266" documentId="8_{FD7D93F2-C26F-41CB-BFCB-8B1B0D51866D}" xr6:coauthVersionLast="47" xr6:coauthVersionMax="47" xr10:uidLastSave="{F24D522E-19A5-4AB8-9115-A74B0BAC70F6}"/>
  <bookViews>
    <workbookView xWindow="-19530" yWindow="-21720" windowWidth="38640" windowHeight="21120" xr2:uid="{5BB4D106-A247-41F8-A104-83D51E35EC09}"/>
  </bookViews>
  <sheets>
    <sheet name="Unfiltered Data" sheetId="1" r:id="rId1"/>
    <sheet name="Gen-filters" sheetId="7" r:id="rId2"/>
    <sheet name="AddOmits" sheetId="8" r:id="rId3"/>
    <sheet name="WF_AO_LM" sheetId="11" r:id="rId4"/>
    <sheet name="WF_AO_HM" sheetId="10" r:id="rId5"/>
    <sheet name="WF_SUB" sheetId="12" r:id="rId6"/>
    <sheet name="Harmonization" sheetId="13" r:id="rId7"/>
    <sheet name="Gen-Error-Rates" sheetId="14" r:id="rId8"/>
    <sheet name="Corrections" sheetId="17" r:id="rId9"/>
    <sheet name="Singularity" sheetId="15" r:id="rId10"/>
    <sheet name="Data Regularization" sheetId="2" r:id="rId11"/>
  </sheets>
  <definedNames>
    <definedName name="_xlnm._FilterDatabase" localSheetId="2" hidden="1">AddOmits!$A$1:$XFB$30</definedName>
    <definedName name="_xlnm._FilterDatabase" localSheetId="1" hidden="1">'Gen-filters'!$A$1:$AE$1</definedName>
    <definedName name="_xlnm._FilterDatabase" localSheetId="9" hidden="1">Singularity!$A$1:$AE$1</definedName>
    <definedName name="_xlnm._FilterDatabase" localSheetId="0" hidden="1">'Unfiltered Data'!$A$1:$AG$1</definedName>
    <definedName name="_xlchart.v1.0" hidden="1">AddOmits!$Q$1</definedName>
    <definedName name="_xlchart.v1.1" hidden="1">AddOmits!$Q$2:$Q$30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2" i="1" l="1"/>
  <c r="F67" i="7"/>
  <c r="B12" i="17"/>
  <c r="B11" i="17"/>
  <c r="B10" i="17"/>
  <c r="B4" i="17"/>
  <c r="B3" i="17"/>
  <c r="V18" i="12"/>
  <c r="U18" i="12"/>
  <c r="V17" i="12"/>
  <c r="U17" i="12"/>
  <c r="V16" i="12"/>
  <c r="W16" i="12" s="1"/>
  <c r="U16" i="12"/>
  <c r="V15" i="12"/>
  <c r="W15" i="12" s="1"/>
  <c r="U15" i="12"/>
  <c r="V14" i="12"/>
  <c r="U14" i="12"/>
  <c r="V13" i="12"/>
  <c r="U13" i="12"/>
  <c r="V12" i="12"/>
  <c r="U12" i="12"/>
  <c r="V11" i="12"/>
  <c r="W11" i="12" s="1"/>
  <c r="U11" i="12"/>
  <c r="V10" i="12"/>
  <c r="U10" i="12"/>
  <c r="V9" i="12"/>
  <c r="W9" i="12" s="1"/>
  <c r="U9" i="12"/>
  <c r="V8" i="12"/>
  <c r="W8" i="12" s="1"/>
  <c r="U8" i="12"/>
  <c r="V7" i="12"/>
  <c r="U7" i="12"/>
  <c r="V6" i="12"/>
  <c r="W6" i="12" s="1"/>
  <c r="U6" i="12"/>
  <c r="V5" i="12"/>
  <c r="W5" i="12" s="1"/>
  <c r="U5" i="12"/>
  <c r="V4" i="12"/>
  <c r="W4" i="12" s="1"/>
  <c r="U4" i="12"/>
  <c r="V3" i="12"/>
  <c r="U3" i="12"/>
  <c r="V2" i="12"/>
  <c r="W2" i="12" s="1"/>
  <c r="U2" i="12"/>
  <c r="Q30" i="8"/>
  <c r="Q29" i="8"/>
  <c r="Q28" i="8"/>
  <c r="Q27" i="8"/>
  <c r="Q26" i="8"/>
  <c r="Q25" i="8"/>
  <c r="Q24" i="8"/>
  <c r="Q23" i="8"/>
  <c r="Q22" i="8"/>
  <c r="Q21" i="8"/>
  <c r="Q20" i="8"/>
  <c r="Q19" i="8"/>
  <c r="Q18" i="8"/>
  <c r="Q17" i="8"/>
  <c r="Q16" i="8"/>
  <c r="Q15" i="8"/>
  <c r="Q14" i="8"/>
  <c r="Q13" i="8"/>
  <c r="Q12" i="8"/>
  <c r="Q11" i="8"/>
  <c r="Q10" i="8"/>
  <c r="Q9" i="8"/>
  <c r="Q8" i="8"/>
  <c r="Q7" i="8"/>
  <c r="Q6" i="8"/>
  <c r="Q5" i="8"/>
  <c r="Q4" i="8"/>
  <c r="Q3" i="8"/>
  <c r="Q2" i="8"/>
  <c r="U196" i="1"/>
  <c r="V196" i="1"/>
  <c r="U195" i="1"/>
  <c r="V195" i="1"/>
  <c r="W7" i="12" l="1"/>
  <c r="W10" i="12"/>
  <c r="W17" i="12"/>
  <c r="W12" i="12"/>
  <c r="W14" i="12"/>
  <c r="W3" i="12"/>
  <c r="W13" i="12"/>
  <c r="W18" i="12"/>
  <c r="D10" i="17"/>
  <c r="D11" i="17"/>
  <c r="D12" i="17"/>
  <c r="B5" i="17"/>
  <c r="F184" i="15"/>
  <c r="F183" i="15"/>
  <c r="F176" i="15"/>
  <c r="F177" i="15"/>
  <c r="F175" i="15"/>
  <c r="R170" i="15"/>
  <c r="R163" i="15"/>
  <c r="R160" i="15"/>
  <c r="R105" i="15"/>
  <c r="R93" i="15"/>
  <c r="R86" i="15"/>
  <c r="R74" i="15"/>
  <c r="R56" i="15"/>
  <c r="R47" i="15"/>
  <c r="R33" i="15"/>
  <c r="R32" i="15"/>
  <c r="R28" i="15"/>
  <c r="R26" i="15"/>
  <c r="R9" i="15"/>
  <c r="B3" i="14"/>
  <c r="B6" i="14" s="1"/>
  <c r="B2" i="14"/>
  <c r="B5" i="14" s="1"/>
  <c r="C12" i="17" l="1"/>
  <c r="C11" i="17"/>
  <c r="C10" i="17"/>
  <c r="F185" i="15"/>
  <c r="G176" i="15"/>
  <c r="G175" i="15"/>
  <c r="G177" i="15"/>
  <c r="F179" i="15"/>
  <c r="F180" i="15"/>
  <c r="E6" i="13"/>
  <c r="E5" i="13"/>
  <c r="E7" i="13" l="1"/>
  <c r="E37" i="12"/>
  <c r="E36" i="12"/>
  <c r="E33" i="12" l="1"/>
  <c r="E32" i="12"/>
  <c r="E29" i="12"/>
  <c r="E28" i="12"/>
  <c r="E25" i="12"/>
  <c r="E24" i="12"/>
  <c r="E26" i="12" s="1"/>
  <c r="E39" i="11"/>
  <c r="E38" i="11"/>
  <c r="E37" i="11"/>
  <c r="E26" i="11"/>
  <c r="E33" i="11" s="1"/>
  <c r="E12" i="10"/>
  <c r="E19" i="10" s="1"/>
  <c r="T132" i="1"/>
  <c r="V463" i="1"/>
  <c r="U463" i="1"/>
  <c r="V462" i="1"/>
  <c r="U462" i="1"/>
  <c r="V461" i="1"/>
  <c r="U461" i="1"/>
  <c r="V460" i="1"/>
  <c r="U460" i="1"/>
  <c r="V459" i="1"/>
  <c r="U459" i="1"/>
  <c r="V458" i="1"/>
  <c r="U458" i="1"/>
  <c r="V457" i="1"/>
  <c r="U457" i="1"/>
  <c r="V456" i="1"/>
  <c r="U456" i="1"/>
  <c r="V455" i="1"/>
  <c r="U455" i="1"/>
  <c r="V454" i="1"/>
  <c r="U454" i="1"/>
  <c r="V453" i="1"/>
  <c r="U453" i="1"/>
  <c r="V452" i="1"/>
  <c r="U452" i="1"/>
  <c r="V451" i="1"/>
  <c r="U451" i="1"/>
  <c r="V450" i="1"/>
  <c r="U450" i="1"/>
  <c r="V449" i="1"/>
  <c r="U449" i="1"/>
  <c r="V448" i="1"/>
  <c r="U448" i="1"/>
  <c r="V447" i="1"/>
  <c r="U447" i="1"/>
  <c r="V446" i="1"/>
  <c r="U446" i="1"/>
  <c r="V445" i="1"/>
  <c r="U445" i="1"/>
  <c r="V444" i="1"/>
  <c r="U444" i="1"/>
  <c r="V442" i="1"/>
  <c r="U442" i="1"/>
  <c r="V441" i="1"/>
  <c r="U441" i="1"/>
  <c r="V440" i="1"/>
  <c r="U440" i="1"/>
  <c r="V439" i="1"/>
  <c r="U439" i="1"/>
  <c r="V438" i="1"/>
  <c r="U438" i="1"/>
  <c r="V437" i="1"/>
  <c r="U437" i="1"/>
  <c r="V436" i="1"/>
  <c r="U436" i="1"/>
  <c r="V435" i="1"/>
  <c r="U435" i="1"/>
  <c r="V434" i="1"/>
  <c r="U434" i="1"/>
  <c r="V433" i="1"/>
  <c r="U433" i="1"/>
  <c r="V432" i="1"/>
  <c r="U432" i="1"/>
  <c r="V430" i="1"/>
  <c r="U430" i="1"/>
  <c r="V429" i="1"/>
  <c r="U429" i="1"/>
  <c r="V428" i="1"/>
  <c r="U428" i="1"/>
  <c r="V427" i="1"/>
  <c r="U427" i="1"/>
  <c r="V426" i="1"/>
  <c r="U426" i="1"/>
  <c r="V425" i="1"/>
  <c r="U425" i="1"/>
  <c r="V424" i="1"/>
  <c r="U424" i="1"/>
  <c r="V423" i="1"/>
  <c r="U423" i="1"/>
  <c r="V422" i="1"/>
  <c r="U422" i="1"/>
  <c r="V421" i="1"/>
  <c r="U421" i="1"/>
  <c r="V420" i="1"/>
  <c r="U420" i="1"/>
  <c r="V419" i="1"/>
  <c r="U419" i="1"/>
  <c r="V418" i="1"/>
  <c r="U418" i="1"/>
  <c r="V417" i="1"/>
  <c r="U417" i="1"/>
  <c r="V416" i="1"/>
  <c r="U416" i="1"/>
  <c r="V415" i="1"/>
  <c r="U415" i="1"/>
  <c r="V414" i="1"/>
  <c r="U414" i="1"/>
  <c r="V413" i="1"/>
  <c r="U413" i="1"/>
  <c r="V412" i="1"/>
  <c r="U412" i="1"/>
  <c r="V411" i="1"/>
  <c r="U411" i="1"/>
  <c r="V410" i="1"/>
  <c r="U410" i="1"/>
  <c r="V408" i="1"/>
  <c r="U408" i="1"/>
  <c r="V407" i="1"/>
  <c r="U407" i="1"/>
  <c r="V406" i="1"/>
  <c r="U406" i="1"/>
  <c r="V405" i="1"/>
  <c r="U405" i="1"/>
  <c r="V404" i="1"/>
  <c r="U404" i="1"/>
  <c r="V403" i="1"/>
  <c r="U403" i="1"/>
  <c r="V402" i="1"/>
  <c r="U402" i="1"/>
  <c r="V401" i="1"/>
  <c r="U401" i="1"/>
  <c r="V400" i="1"/>
  <c r="U400" i="1"/>
  <c r="V399" i="1"/>
  <c r="U399" i="1"/>
  <c r="V398" i="1"/>
  <c r="U398" i="1"/>
  <c r="V397" i="1"/>
  <c r="U397" i="1"/>
  <c r="V396" i="1"/>
  <c r="U396" i="1"/>
  <c r="V395" i="1"/>
  <c r="U395" i="1"/>
  <c r="V394" i="1"/>
  <c r="U394" i="1"/>
  <c r="V393" i="1"/>
  <c r="U393" i="1"/>
  <c r="V392" i="1"/>
  <c r="U392" i="1"/>
  <c r="V391" i="1"/>
  <c r="U391" i="1"/>
  <c r="V390" i="1"/>
  <c r="U390" i="1"/>
  <c r="V389" i="1"/>
  <c r="U389" i="1"/>
  <c r="V388" i="1"/>
  <c r="U388" i="1"/>
  <c r="V387" i="1"/>
  <c r="U387" i="1"/>
  <c r="V386" i="1"/>
  <c r="U386" i="1"/>
  <c r="V385" i="1"/>
  <c r="U385" i="1"/>
  <c r="V384" i="1"/>
  <c r="U384" i="1"/>
  <c r="V383" i="1"/>
  <c r="U383" i="1"/>
  <c r="V382" i="1"/>
  <c r="U382" i="1"/>
  <c r="V381" i="1"/>
  <c r="U381" i="1"/>
  <c r="V380" i="1"/>
  <c r="U380" i="1"/>
  <c r="V379" i="1"/>
  <c r="U379" i="1"/>
  <c r="V378" i="1"/>
  <c r="U378" i="1"/>
  <c r="V377" i="1"/>
  <c r="U377" i="1"/>
  <c r="V376" i="1"/>
  <c r="U376" i="1"/>
  <c r="V375" i="1"/>
  <c r="U375" i="1"/>
  <c r="V374" i="1"/>
  <c r="U374" i="1"/>
  <c r="V373" i="1"/>
  <c r="U373" i="1"/>
  <c r="V372" i="1"/>
  <c r="U372" i="1"/>
  <c r="V371" i="1"/>
  <c r="U371" i="1"/>
  <c r="V370" i="1"/>
  <c r="U370" i="1"/>
  <c r="V369" i="1"/>
  <c r="U369" i="1"/>
  <c r="V368" i="1"/>
  <c r="U368" i="1"/>
  <c r="V367" i="1"/>
  <c r="U367" i="1"/>
  <c r="V366" i="1"/>
  <c r="U366" i="1"/>
  <c r="V365" i="1"/>
  <c r="U365" i="1"/>
  <c r="V364" i="1"/>
  <c r="U364" i="1"/>
  <c r="V363" i="1"/>
  <c r="U363" i="1"/>
  <c r="V362" i="1"/>
  <c r="U362" i="1"/>
  <c r="V361" i="1"/>
  <c r="U361" i="1"/>
  <c r="V360" i="1"/>
  <c r="U360" i="1"/>
  <c r="V359" i="1"/>
  <c r="U359" i="1"/>
  <c r="V358" i="1"/>
  <c r="U358" i="1"/>
  <c r="V357" i="1"/>
  <c r="U357" i="1"/>
  <c r="V356" i="1"/>
  <c r="U356" i="1"/>
  <c r="V355" i="1"/>
  <c r="U355" i="1"/>
  <c r="V354" i="1"/>
  <c r="U354" i="1"/>
  <c r="V353" i="1"/>
  <c r="U353" i="1"/>
  <c r="V352" i="1"/>
  <c r="U352" i="1"/>
  <c r="V351" i="1"/>
  <c r="U351" i="1"/>
  <c r="V350" i="1"/>
  <c r="U350" i="1"/>
  <c r="V349" i="1"/>
  <c r="U349" i="1"/>
  <c r="V348" i="1"/>
  <c r="U348" i="1"/>
  <c r="V347" i="1"/>
  <c r="U347" i="1"/>
  <c r="V345" i="1"/>
  <c r="U345" i="1"/>
  <c r="V343" i="1"/>
  <c r="U343" i="1"/>
  <c r="V342" i="1"/>
  <c r="U342" i="1"/>
  <c r="V341" i="1"/>
  <c r="U341" i="1"/>
  <c r="V340" i="1"/>
  <c r="U340" i="1"/>
  <c r="V339" i="1"/>
  <c r="U339" i="1"/>
  <c r="V338" i="1"/>
  <c r="U338" i="1"/>
  <c r="V337" i="1"/>
  <c r="U337" i="1"/>
  <c r="V335" i="1"/>
  <c r="U335" i="1"/>
  <c r="V334" i="1"/>
  <c r="U334" i="1"/>
  <c r="V332" i="1"/>
  <c r="U332" i="1"/>
  <c r="V331" i="1"/>
  <c r="U331" i="1"/>
  <c r="V330" i="1"/>
  <c r="U330" i="1"/>
  <c r="V329" i="1"/>
  <c r="U329" i="1"/>
  <c r="V328" i="1"/>
  <c r="U328" i="1"/>
  <c r="V327" i="1"/>
  <c r="U327" i="1"/>
  <c r="V326" i="1"/>
  <c r="U326" i="1"/>
  <c r="V325" i="1"/>
  <c r="U325" i="1"/>
  <c r="V324" i="1"/>
  <c r="U324" i="1"/>
  <c r="V323" i="1"/>
  <c r="U323" i="1"/>
  <c r="V322" i="1"/>
  <c r="U322" i="1"/>
  <c r="V321" i="1"/>
  <c r="U321" i="1"/>
  <c r="V320" i="1"/>
  <c r="U320" i="1"/>
  <c r="V319" i="1"/>
  <c r="U319" i="1"/>
  <c r="V318" i="1"/>
  <c r="U318" i="1"/>
  <c r="V317" i="1"/>
  <c r="U317" i="1"/>
  <c r="V316" i="1"/>
  <c r="U316" i="1"/>
  <c r="V315" i="1"/>
  <c r="U315" i="1"/>
  <c r="V314" i="1"/>
  <c r="U314" i="1"/>
  <c r="V312" i="1"/>
  <c r="U312" i="1"/>
  <c r="V311" i="1"/>
  <c r="U311" i="1"/>
  <c r="V310" i="1"/>
  <c r="U310" i="1"/>
  <c r="V309" i="1"/>
  <c r="U309" i="1"/>
  <c r="V308" i="1"/>
  <c r="U308" i="1"/>
  <c r="V307" i="1"/>
  <c r="U307" i="1"/>
  <c r="V306" i="1"/>
  <c r="U306" i="1"/>
  <c r="V305" i="1"/>
  <c r="U305" i="1"/>
  <c r="V304" i="1"/>
  <c r="U304" i="1"/>
  <c r="V303" i="1"/>
  <c r="U303" i="1"/>
  <c r="V302" i="1"/>
  <c r="U302" i="1"/>
  <c r="V301" i="1"/>
  <c r="U301" i="1"/>
  <c r="V300" i="1"/>
  <c r="U300" i="1"/>
  <c r="V299" i="1"/>
  <c r="U299" i="1"/>
  <c r="V298" i="1"/>
  <c r="U298" i="1"/>
  <c r="V297" i="1"/>
  <c r="U297" i="1"/>
  <c r="V296" i="1"/>
  <c r="U296" i="1"/>
  <c r="V295" i="1"/>
  <c r="U295" i="1"/>
  <c r="V294" i="1"/>
  <c r="U294" i="1"/>
  <c r="V293" i="1"/>
  <c r="U293" i="1"/>
  <c r="V292" i="1"/>
  <c r="U292" i="1"/>
  <c r="V291" i="1"/>
  <c r="U291" i="1"/>
  <c r="V289" i="1"/>
  <c r="U289" i="1"/>
  <c r="V288" i="1"/>
  <c r="U288" i="1"/>
  <c r="V287" i="1"/>
  <c r="U287" i="1"/>
  <c r="V286" i="1"/>
  <c r="U286" i="1"/>
  <c r="V285" i="1"/>
  <c r="U285" i="1"/>
  <c r="V284" i="1"/>
  <c r="U284" i="1"/>
  <c r="V283" i="1"/>
  <c r="U283" i="1"/>
  <c r="V282" i="1"/>
  <c r="U282" i="1"/>
  <c r="V281" i="1"/>
  <c r="U281" i="1"/>
  <c r="V280" i="1"/>
  <c r="U280" i="1"/>
  <c r="V279" i="1"/>
  <c r="U279" i="1"/>
  <c r="V278" i="1"/>
  <c r="U278" i="1"/>
  <c r="V277" i="1"/>
  <c r="U277" i="1"/>
  <c r="V276" i="1"/>
  <c r="U276" i="1"/>
  <c r="V275" i="1"/>
  <c r="U275" i="1"/>
  <c r="V273" i="1"/>
  <c r="U273" i="1"/>
  <c r="V272" i="1"/>
  <c r="U272" i="1"/>
  <c r="V271" i="1"/>
  <c r="U271" i="1"/>
  <c r="V270" i="1"/>
  <c r="U270" i="1"/>
  <c r="V269" i="1"/>
  <c r="U269" i="1"/>
  <c r="V268" i="1"/>
  <c r="U268" i="1"/>
  <c r="V267" i="1"/>
  <c r="U267" i="1"/>
  <c r="V266" i="1"/>
  <c r="U266" i="1"/>
  <c r="V265" i="1"/>
  <c r="U265" i="1"/>
  <c r="V264" i="1"/>
  <c r="U264" i="1"/>
  <c r="V263" i="1"/>
  <c r="U263" i="1"/>
  <c r="V262" i="1"/>
  <c r="U262" i="1"/>
  <c r="V261" i="1"/>
  <c r="U261" i="1"/>
  <c r="V260" i="1"/>
  <c r="U260" i="1"/>
  <c r="V259" i="1"/>
  <c r="U259" i="1"/>
  <c r="V258" i="1"/>
  <c r="U258" i="1"/>
  <c r="V257" i="1"/>
  <c r="U257" i="1"/>
  <c r="V256" i="1"/>
  <c r="U256" i="1"/>
  <c r="V255" i="1"/>
  <c r="U255" i="1"/>
  <c r="V253" i="1"/>
  <c r="U253" i="1"/>
  <c r="V252" i="1"/>
  <c r="U252" i="1"/>
  <c r="V251" i="1"/>
  <c r="U251" i="1"/>
  <c r="V250" i="1"/>
  <c r="U250" i="1"/>
  <c r="V249" i="1"/>
  <c r="U249" i="1"/>
  <c r="V248" i="1"/>
  <c r="U248" i="1"/>
  <c r="V247" i="1"/>
  <c r="U247" i="1"/>
  <c r="V246" i="1"/>
  <c r="U246" i="1"/>
  <c r="V245" i="1"/>
  <c r="U245" i="1"/>
  <c r="V244" i="1"/>
  <c r="U244" i="1"/>
  <c r="V243" i="1"/>
  <c r="U243" i="1"/>
  <c r="V242" i="1"/>
  <c r="U242" i="1"/>
  <c r="V241" i="1"/>
  <c r="U241" i="1"/>
  <c r="V240" i="1"/>
  <c r="U240" i="1"/>
  <c r="V239" i="1"/>
  <c r="U239" i="1"/>
  <c r="V238" i="1"/>
  <c r="U238" i="1"/>
  <c r="V237" i="1"/>
  <c r="U237" i="1"/>
  <c r="V236" i="1"/>
  <c r="U236" i="1"/>
  <c r="V235" i="1"/>
  <c r="U235" i="1"/>
  <c r="V234" i="1"/>
  <c r="U234" i="1"/>
  <c r="V233" i="1"/>
  <c r="U233" i="1"/>
  <c r="V232" i="1"/>
  <c r="U232" i="1"/>
  <c r="V231" i="1"/>
  <c r="U231" i="1"/>
  <c r="V230" i="1"/>
  <c r="U230" i="1"/>
  <c r="V229" i="1"/>
  <c r="U229" i="1"/>
  <c r="V228" i="1"/>
  <c r="U228" i="1"/>
  <c r="V227" i="1"/>
  <c r="U227" i="1"/>
  <c r="V226" i="1"/>
  <c r="U226" i="1"/>
  <c r="V225" i="1"/>
  <c r="U225" i="1"/>
  <c r="V224" i="1"/>
  <c r="U224" i="1"/>
  <c r="V223" i="1"/>
  <c r="U223" i="1"/>
  <c r="V222" i="1"/>
  <c r="U222" i="1"/>
  <c r="V221" i="1"/>
  <c r="U221" i="1"/>
  <c r="V220" i="1"/>
  <c r="U220" i="1"/>
  <c r="V218" i="1"/>
  <c r="U218" i="1"/>
  <c r="V217" i="1"/>
  <c r="U217" i="1"/>
  <c r="V216" i="1"/>
  <c r="U216" i="1"/>
  <c r="V215" i="1"/>
  <c r="U215" i="1"/>
  <c r="V214" i="1"/>
  <c r="U214" i="1"/>
  <c r="V213" i="1"/>
  <c r="U213" i="1"/>
  <c r="V212" i="1"/>
  <c r="U212" i="1"/>
  <c r="V211" i="1"/>
  <c r="U211" i="1"/>
  <c r="V210" i="1"/>
  <c r="U210" i="1"/>
  <c r="V209" i="1"/>
  <c r="U209" i="1"/>
  <c r="V208" i="1"/>
  <c r="U208" i="1"/>
  <c r="V207" i="1"/>
  <c r="U207" i="1"/>
  <c r="V206" i="1"/>
  <c r="U206" i="1"/>
  <c r="V205" i="1"/>
  <c r="U205" i="1"/>
  <c r="V204" i="1"/>
  <c r="U204" i="1"/>
  <c r="V203" i="1"/>
  <c r="U203" i="1"/>
  <c r="V202" i="1"/>
  <c r="U202" i="1"/>
  <c r="V201" i="1"/>
  <c r="U201" i="1"/>
  <c r="V200" i="1"/>
  <c r="U200" i="1"/>
  <c r="V199" i="1"/>
  <c r="U199" i="1"/>
  <c r="V198" i="1"/>
  <c r="U198" i="1"/>
  <c r="V197" i="1"/>
  <c r="U197" i="1"/>
  <c r="V194" i="1"/>
  <c r="U194" i="1"/>
  <c r="V193" i="1"/>
  <c r="U193" i="1"/>
  <c r="V192" i="1"/>
  <c r="U192" i="1"/>
  <c r="V191" i="1"/>
  <c r="U191" i="1"/>
  <c r="V190" i="1"/>
  <c r="U190" i="1"/>
  <c r="V189" i="1"/>
  <c r="U189" i="1"/>
  <c r="V188" i="1"/>
  <c r="U188" i="1"/>
  <c r="V187" i="1"/>
  <c r="U187" i="1"/>
  <c r="V185" i="1"/>
  <c r="U185" i="1"/>
  <c r="V184" i="1"/>
  <c r="U184" i="1"/>
  <c r="V183" i="1"/>
  <c r="U183" i="1"/>
  <c r="V182" i="1"/>
  <c r="U182" i="1"/>
  <c r="V181" i="1"/>
  <c r="U181" i="1"/>
  <c r="V180" i="1"/>
  <c r="U180" i="1"/>
  <c r="V179" i="1"/>
  <c r="U179" i="1"/>
  <c r="V178" i="1"/>
  <c r="U178" i="1"/>
  <c r="V177" i="1"/>
  <c r="U177" i="1"/>
  <c r="V176" i="1"/>
  <c r="U176" i="1"/>
  <c r="V175" i="1"/>
  <c r="U175" i="1"/>
  <c r="V174" i="1"/>
  <c r="U174" i="1"/>
  <c r="V173" i="1"/>
  <c r="U173" i="1"/>
  <c r="V172" i="1"/>
  <c r="U172" i="1"/>
  <c r="V171" i="1"/>
  <c r="U171" i="1"/>
  <c r="V170" i="1"/>
  <c r="U170" i="1"/>
  <c r="V169" i="1"/>
  <c r="U169" i="1"/>
  <c r="V168" i="1"/>
  <c r="U168" i="1"/>
  <c r="V167" i="1"/>
  <c r="U167" i="1"/>
  <c r="V166" i="1"/>
  <c r="U166" i="1"/>
  <c r="V165" i="1"/>
  <c r="U165" i="1"/>
  <c r="V164" i="1"/>
  <c r="U164" i="1"/>
  <c r="V163" i="1"/>
  <c r="U163" i="1"/>
  <c r="V162" i="1"/>
  <c r="U162" i="1"/>
  <c r="V161" i="1"/>
  <c r="U161" i="1"/>
  <c r="V160" i="1"/>
  <c r="U160" i="1"/>
  <c r="V159" i="1"/>
  <c r="U159" i="1"/>
  <c r="V158" i="1"/>
  <c r="U158" i="1"/>
  <c r="V157" i="1"/>
  <c r="U157" i="1"/>
  <c r="V156" i="1"/>
  <c r="U156" i="1"/>
  <c r="V155" i="1"/>
  <c r="U155" i="1"/>
  <c r="V154" i="1"/>
  <c r="U154" i="1"/>
  <c r="V153" i="1"/>
  <c r="U153" i="1"/>
  <c r="V152" i="1"/>
  <c r="U152" i="1"/>
  <c r="V151" i="1"/>
  <c r="U151" i="1"/>
  <c r="V150" i="1"/>
  <c r="U150" i="1"/>
  <c r="V148" i="1"/>
  <c r="U148" i="1"/>
  <c r="V147" i="1"/>
  <c r="U147" i="1"/>
  <c r="V146" i="1"/>
  <c r="U146" i="1"/>
  <c r="V145" i="1"/>
  <c r="U145" i="1"/>
  <c r="V144" i="1"/>
  <c r="U144" i="1"/>
  <c r="V143" i="1"/>
  <c r="U143" i="1"/>
  <c r="V142" i="1"/>
  <c r="U142" i="1"/>
  <c r="V141" i="1"/>
  <c r="U141" i="1"/>
  <c r="V140" i="1"/>
  <c r="U140" i="1"/>
  <c r="V139" i="1"/>
  <c r="U139" i="1"/>
  <c r="V138" i="1"/>
  <c r="U138" i="1"/>
  <c r="V137" i="1"/>
  <c r="U137" i="1"/>
  <c r="V136" i="1"/>
  <c r="U136" i="1"/>
  <c r="V135" i="1"/>
  <c r="U135" i="1"/>
  <c r="V134" i="1"/>
  <c r="U134" i="1"/>
  <c r="V133" i="1"/>
  <c r="U133" i="1"/>
  <c r="V131" i="1"/>
  <c r="U131" i="1"/>
  <c r="V130" i="1"/>
  <c r="U130" i="1"/>
  <c r="V129" i="1"/>
  <c r="U129" i="1"/>
  <c r="V128" i="1"/>
  <c r="U128" i="1"/>
  <c r="V127" i="1"/>
  <c r="U127" i="1"/>
  <c r="V126" i="1"/>
  <c r="U126" i="1"/>
  <c r="V125" i="1"/>
  <c r="U125" i="1"/>
  <c r="V124" i="1"/>
  <c r="U124" i="1"/>
  <c r="V123" i="1"/>
  <c r="U123" i="1"/>
  <c r="V122" i="1"/>
  <c r="U122" i="1"/>
  <c r="V121" i="1"/>
  <c r="U121" i="1"/>
  <c r="V120" i="1"/>
  <c r="U120" i="1"/>
  <c r="V119" i="1"/>
  <c r="U119" i="1"/>
  <c r="V118" i="1"/>
  <c r="U118" i="1"/>
  <c r="V117" i="1"/>
  <c r="U117" i="1"/>
  <c r="V116" i="1"/>
  <c r="U116" i="1"/>
  <c r="V115" i="1"/>
  <c r="U115" i="1"/>
  <c r="V114" i="1"/>
  <c r="U114" i="1"/>
  <c r="V113" i="1"/>
  <c r="U113" i="1"/>
  <c r="V112" i="1"/>
  <c r="U112" i="1"/>
  <c r="V111" i="1"/>
  <c r="U111" i="1"/>
  <c r="V110" i="1"/>
  <c r="U110" i="1"/>
  <c r="V109" i="1"/>
  <c r="U109" i="1"/>
  <c r="V108" i="1"/>
  <c r="U108" i="1"/>
  <c r="V107" i="1"/>
  <c r="U107" i="1"/>
  <c r="V106" i="1"/>
  <c r="U106" i="1"/>
  <c r="V105" i="1"/>
  <c r="U105" i="1"/>
  <c r="V104" i="1"/>
  <c r="U104" i="1"/>
  <c r="V103" i="1"/>
  <c r="U103" i="1"/>
  <c r="V102" i="1"/>
  <c r="U102" i="1"/>
  <c r="V101" i="1"/>
  <c r="U101" i="1"/>
  <c r="V100" i="1"/>
  <c r="U100" i="1"/>
  <c r="V99" i="1"/>
  <c r="U99" i="1"/>
  <c r="V98" i="1"/>
  <c r="U98" i="1"/>
  <c r="V97" i="1"/>
  <c r="U97" i="1"/>
  <c r="V96" i="1"/>
  <c r="U96" i="1"/>
  <c r="V95" i="1"/>
  <c r="U95" i="1"/>
  <c r="V94" i="1"/>
  <c r="U94" i="1"/>
  <c r="V93" i="1"/>
  <c r="U93" i="1"/>
  <c r="V92" i="1"/>
  <c r="U92" i="1"/>
  <c r="V91" i="1"/>
  <c r="U91" i="1"/>
  <c r="V90" i="1"/>
  <c r="U90" i="1"/>
  <c r="V89" i="1"/>
  <c r="U89" i="1"/>
  <c r="V88" i="1"/>
  <c r="U88" i="1"/>
  <c r="V87" i="1"/>
  <c r="U87" i="1"/>
  <c r="V86" i="1"/>
  <c r="U86" i="1"/>
  <c r="V85" i="1"/>
  <c r="U85" i="1"/>
  <c r="V84" i="1"/>
  <c r="U84" i="1"/>
  <c r="V83" i="1"/>
  <c r="U83" i="1"/>
  <c r="V82" i="1"/>
  <c r="U82" i="1"/>
  <c r="V80" i="1"/>
  <c r="U80" i="1"/>
  <c r="V79" i="1"/>
  <c r="U79" i="1"/>
  <c r="V78" i="1"/>
  <c r="U78" i="1"/>
  <c r="V77" i="1"/>
  <c r="U77" i="1"/>
  <c r="V76" i="1"/>
  <c r="U76" i="1"/>
  <c r="V75" i="1"/>
  <c r="U75" i="1"/>
  <c r="V74" i="1"/>
  <c r="U74" i="1"/>
  <c r="V73" i="1"/>
  <c r="U73" i="1"/>
  <c r="V72" i="1"/>
  <c r="U72" i="1"/>
  <c r="V71" i="1"/>
  <c r="U71" i="1"/>
  <c r="V70" i="1"/>
  <c r="U70" i="1"/>
  <c r="V69" i="1"/>
  <c r="U69" i="1"/>
  <c r="V68" i="1"/>
  <c r="U68" i="1"/>
  <c r="V67" i="1"/>
  <c r="U67" i="1"/>
  <c r="V66" i="1"/>
  <c r="U66" i="1"/>
  <c r="V65" i="1"/>
  <c r="U65" i="1"/>
  <c r="V64" i="1"/>
  <c r="U64" i="1"/>
  <c r="V63" i="1"/>
  <c r="U63" i="1"/>
  <c r="V61" i="1"/>
  <c r="U61" i="1"/>
  <c r="V60" i="1"/>
  <c r="U60" i="1"/>
  <c r="V59" i="1"/>
  <c r="U59" i="1"/>
  <c r="V58" i="1"/>
  <c r="U58" i="1"/>
  <c r="V57" i="1"/>
  <c r="U57" i="1"/>
  <c r="V56" i="1"/>
  <c r="U56" i="1"/>
  <c r="V55" i="1"/>
  <c r="U55" i="1"/>
  <c r="V54" i="1"/>
  <c r="U54" i="1"/>
  <c r="V53" i="1"/>
  <c r="U53" i="1"/>
  <c r="V52" i="1"/>
  <c r="U52" i="1"/>
  <c r="V51" i="1"/>
  <c r="U51" i="1"/>
  <c r="V49" i="1"/>
  <c r="U49" i="1"/>
  <c r="V48" i="1"/>
  <c r="U48" i="1"/>
  <c r="V47" i="1"/>
  <c r="U47" i="1"/>
  <c r="V46" i="1"/>
  <c r="U46" i="1"/>
  <c r="V45" i="1"/>
  <c r="U45" i="1"/>
  <c r="V44" i="1"/>
  <c r="U44" i="1"/>
  <c r="V43" i="1"/>
  <c r="U43" i="1"/>
  <c r="V42" i="1"/>
  <c r="U42" i="1"/>
  <c r="V41" i="1"/>
  <c r="U41" i="1"/>
  <c r="V39" i="1"/>
  <c r="U39" i="1"/>
  <c r="V38" i="1"/>
  <c r="U38" i="1"/>
  <c r="V37" i="1"/>
  <c r="U37" i="1"/>
  <c r="V36" i="1"/>
  <c r="U36" i="1"/>
  <c r="V35" i="1"/>
  <c r="U35" i="1"/>
  <c r="V34" i="1"/>
  <c r="U34" i="1"/>
  <c r="V32" i="1"/>
  <c r="U32" i="1"/>
  <c r="V31" i="1"/>
  <c r="U31" i="1"/>
  <c r="V29" i="1"/>
  <c r="U29" i="1"/>
  <c r="V28" i="1"/>
  <c r="U28" i="1"/>
  <c r="V27" i="1"/>
  <c r="U27" i="1"/>
  <c r="V26" i="1"/>
  <c r="U26" i="1"/>
  <c r="V25" i="1"/>
  <c r="U25" i="1"/>
  <c r="V24" i="1"/>
  <c r="U24" i="1"/>
  <c r="V23" i="1"/>
  <c r="U23" i="1"/>
  <c r="V22" i="1"/>
  <c r="U22" i="1"/>
  <c r="V21" i="1"/>
  <c r="U21" i="1"/>
  <c r="V20" i="1"/>
  <c r="U20" i="1"/>
  <c r="V19" i="1"/>
  <c r="U19" i="1"/>
  <c r="V18" i="1"/>
  <c r="U18" i="1"/>
  <c r="V17" i="1"/>
  <c r="U17" i="1"/>
  <c r="V15" i="1"/>
  <c r="U15" i="1"/>
  <c r="V14" i="1"/>
  <c r="U14" i="1"/>
  <c r="V13" i="1"/>
  <c r="U13" i="1"/>
  <c r="V12" i="1"/>
  <c r="U12" i="1"/>
  <c r="V11" i="1"/>
  <c r="U11" i="1"/>
  <c r="V10" i="1"/>
  <c r="U10" i="1"/>
  <c r="V9" i="1"/>
  <c r="U9" i="1"/>
  <c r="V8" i="1"/>
  <c r="U8" i="1"/>
  <c r="V7" i="1"/>
  <c r="U7" i="1"/>
  <c r="V6" i="1"/>
  <c r="U6" i="1"/>
  <c r="V5" i="1"/>
  <c r="U5" i="1"/>
  <c r="V4" i="1"/>
  <c r="U4" i="1"/>
  <c r="V3" i="1"/>
  <c r="U3" i="1"/>
  <c r="V2" i="1"/>
  <c r="U2" i="1"/>
  <c r="D79" i="8"/>
  <c r="E79" i="8"/>
  <c r="E78" i="8"/>
  <c r="D78" i="8"/>
  <c r="E77" i="8"/>
  <c r="D77" i="8"/>
  <c r="E76" i="8"/>
  <c r="D76" i="8"/>
  <c r="E75" i="8"/>
  <c r="D75" i="8"/>
  <c r="U33" i="1"/>
  <c r="V33" i="1"/>
  <c r="V132" i="1"/>
  <c r="U132" i="1"/>
  <c r="E15" i="10" l="1"/>
  <c r="E17" i="10" s="1"/>
  <c r="E16" i="10"/>
  <c r="E18" i="10"/>
  <c r="E20" i="10" s="1"/>
  <c r="E29" i="11"/>
  <c r="E30" i="11"/>
  <c r="E32" i="11"/>
  <c r="E34" i="11" s="1"/>
  <c r="F78" i="8"/>
  <c r="F76" i="8"/>
  <c r="F75" i="8"/>
  <c r="F77" i="8"/>
  <c r="F79" i="8"/>
  <c r="E21" i="10" l="1"/>
  <c r="E31" i="11"/>
  <c r="E71" i="8"/>
  <c r="D71" i="8"/>
  <c r="E70" i="8"/>
  <c r="D70" i="8"/>
  <c r="E69" i="8"/>
  <c r="D69" i="8"/>
  <c r="F71" i="8" l="1"/>
  <c r="F69" i="8"/>
  <c r="F70" i="8"/>
  <c r="E64" i="8"/>
  <c r="D64" i="8"/>
  <c r="E63" i="8"/>
  <c r="D63" i="8"/>
  <c r="F63" i="8" l="1"/>
  <c r="F64" i="8"/>
  <c r="E58" i="8"/>
  <c r="D58" i="8"/>
  <c r="E57" i="8"/>
  <c r="D57" i="8"/>
  <c r="E52" i="8"/>
  <c r="D52" i="8"/>
  <c r="E51" i="8"/>
  <c r="D51" i="8"/>
  <c r="F65" i="8" l="1"/>
  <c r="F57" i="8"/>
  <c r="E53" i="8"/>
  <c r="D53" i="8"/>
  <c r="F52" i="8"/>
  <c r="F58" i="8"/>
  <c r="F51" i="8"/>
  <c r="F53" i="8" l="1"/>
  <c r="F59" i="8"/>
  <c r="F44" i="8"/>
  <c r="F43" i="8"/>
  <c r="F39" i="8"/>
  <c r="F38" i="8"/>
  <c r="F40" i="8" l="1"/>
  <c r="F45" i="8"/>
  <c r="F34" i="8"/>
  <c r="F33" i="8"/>
  <c r="F46" i="8" l="1"/>
  <c r="F35" i="8"/>
  <c r="E469" i="1" l="1"/>
  <c r="E468" i="1"/>
  <c r="T443" i="1"/>
  <c r="T431" i="1"/>
  <c r="T409" i="1"/>
  <c r="T346" i="1"/>
  <c r="T344" i="1"/>
  <c r="T336" i="1"/>
  <c r="T333" i="1"/>
  <c r="T313" i="1"/>
  <c r="T290" i="1"/>
  <c r="T274" i="1"/>
  <c r="T254" i="1"/>
  <c r="T219" i="1"/>
  <c r="T149" i="1"/>
  <c r="T81" i="1"/>
  <c r="T62" i="1"/>
  <c r="T50" i="1"/>
  <c r="T40" i="1"/>
  <c r="T30" i="1"/>
  <c r="T16" i="1"/>
  <c r="V254" i="1"/>
  <c r="U344" i="1"/>
  <c r="U346" i="1"/>
  <c r="V336" i="1"/>
  <c r="V50" i="1"/>
  <c r="U149" i="1"/>
  <c r="U50" i="1"/>
  <c r="V274" i="1"/>
  <c r="V409" i="1"/>
  <c r="U62" i="1"/>
  <c r="U16" i="1"/>
  <c r="V16" i="1"/>
  <c r="V149" i="1"/>
  <c r="U274" i="1"/>
  <c r="U290" i="1"/>
  <c r="V30" i="1"/>
  <c r="U254" i="1"/>
  <c r="V443" i="1"/>
  <c r="V344" i="1"/>
  <c r="U81" i="1"/>
  <c r="V431" i="1"/>
  <c r="V333" i="1"/>
  <c r="U313" i="1"/>
  <c r="V219" i="1"/>
  <c r="U219" i="1"/>
  <c r="U431" i="1"/>
  <c r="V346" i="1"/>
  <c r="V62" i="1"/>
  <c r="V290" i="1"/>
  <c r="U333" i="1"/>
  <c r="U30" i="1"/>
  <c r="U443" i="1"/>
  <c r="V40" i="1"/>
  <c r="U409" i="1"/>
  <c r="V81" i="1"/>
  <c r="U336" i="1"/>
  <c r="U40" i="1"/>
  <c r="V3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Wilken</author>
    <author>tc={56FFDC4B-C87C-4949-B54C-8847D7ACB646}</author>
    <author>tc={B02DCDCF-8905-4455-82BF-30B7DEA8D502}</author>
    <author>tc={1DFD5FBC-8BAB-4AF9-A662-D88C74248C10}</author>
  </authors>
  <commentList>
    <comment ref="B1" authorId="0" shapeId="0" xr:uid="{1E7E4B33-F2A0-4660-BD3A-537A12BC15AF}">
      <text>
        <r>
          <rPr>
            <b/>
            <sz val="9"/>
            <color indexed="81"/>
            <rFont val="Tahoma"/>
            <family val="2"/>
          </rPr>
          <t>Jonathan Wilken:</t>
        </r>
        <r>
          <rPr>
            <sz val="9"/>
            <color indexed="81"/>
            <rFont val="Tahoma"/>
            <family val="2"/>
          </rPr>
          <t xml:space="preserve">
Page.Column.line range of autograph reading</t>
        </r>
      </text>
    </comment>
    <comment ref="C1" authorId="0" shapeId="0" xr:uid="{28BC235E-96A0-4DA0-9452-01562C1D5417}">
      <text>
        <r>
          <rPr>
            <b/>
            <sz val="9"/>
            <color indexed="81"/>
            <rFont val="Tahoma"/>
            <family val="2"/>
          </rPr>
          <t>Jonathan Wilken:</t>
        </r>
        <r>
          <rPr>
            <sz val="9"/>
            <color indexed="81"/>
            <rFont val="Tahoma"/>
            <family val="2"/>
          </rPr>
          <t xml:space="preserve">
Page.Column.line range of apograph reading</t>
        </r>
      </text>
    </comment>
    <comment ref="D1" authorId="0" shapeId="0" xr:uid="{2E1AD5D9-A0ED-41F7-93E0-E4708484EEA4}">
      <text>
        <r>
          <rPr>
            <b/>
            <sz val="9"/>
            <color indexed="81"/>
            <rFont val="Tahoma"/>
            <family val="2"/>
          </rPr>
          <t>Jonathan Wilken:</t>
        </r>
        <r>
          <rPr>
            <sz val="9"/>
            <color indexed="81"/>
            <rFont val="Tahoma"/>
            <family val="2"/>
          </rPr>
          <t xml:space="preserve">
Reading from autograph (i.e., the older MS that was copied)</t>
        </r>
      </text>
    </comment>
    <comment ref="E1" authorId="0" shapeId="0" xr:uid="{648158B8-61F2-47BA-855D-BAF0F3D3487D}">
      <text>
        <r>
          <rPr>
            <b/>
            <sz val="9"/>
            <color indexed="81"/>
            <rFont val="Tahoma"/>
            <family val="2"/>
          </rPr>
          <t>Jonathan Wilken:</t>
        </r>
        <r>
          <rPr>
            <sz val="9"/>
            <color indexed="81"/>
            <rFont val="Tahoma"/>
            <family val="2"/>
          </rPr>
          <t xml:space="preserve">
Reading from apograph (i.e., younger copy)</t>
        </r>
      </text>
    </comment>
    <comment ref="F1" authorId="0" shapeId="0" xr:uid="{AB3FE12F-71B7-4F28-8590-588155906019}">
      <text>
        <r>
          <rPr>
            <b/>
            <sz val="9"/>
            <color indexed="81"/>
            <rFont val="Tahoma"/>
            <family val="2"/>
          </rPr>
          <t>Jonathan Wilken:</t>
        </r>
        <r>
          <rPr>
            <sz val="9"/>
            <color indexed="81"/>
            <rFont val="Tahoma"/>
            <family val="2"/>
          </rPr>
          <t xml:space="preserve">
Potential reasons why this reading should not be included in data analysis</t>
        </r>
      </text>
    </comment>
    <comment ref="G1" authorId="0" shapeId="0" xr:uid="{001A60AE-5726-4EAA-A716-4DF500BBAF7B}">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H1" authorId="0" shapeId="0" xr:uid="{CCD34D30-B5AE-4BB6-9461-D83BDEBDDD3B}">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J1" authorId="0" shapeId="0" xr:uid="{8DB87F20-400F-4659-B237-A7C1BBB5F218}">
      <text>
        <r>
          <rPr>
            <b/>
            <sz val="9"/>
            <color indexed="81"/>
            <rFont val="Tahoma"/>
            <family val="2"/>
          </rPr>
          <t>Jonathan Wilken:</t>
        </r>
        <r>
          <rPr>
            <sz val="9"/>
            <color indexed="81"/>
            <rFont val="Tahoma"/>
            <family val="2"/>
          </rPr>
          <t xml:space="preserve">
Add, omit, transposition, substitution, combo</t>
        </r>
      </text>
    </comment>
    <comment ref="K1" authorId="0" shapeId="0" xr:uid="{FE80C2C4-9F91-40FF-B669-96004A136BC4}">
      <text>
        <r>
          <rPr>
            <b/>
            <sz val="9"/>
            <color indexed="81"/>
            <rFont val="Tahoma"/>
            <family val="2"/>
          </rPr>
          <t>Jonathan Wilken:</t>
        </r>
        <r>
          <rPr>
            <sz val="9"/>
            <color indexed="81"/>
            <rFont val="Tahoma"/>
            <family val="2"/>
          </rPr>
          <t xml:space="preserve">
For add/omits. Should only be used if complete phrases &gt;= 1. Set to 0 for &lt; 1.
</t>
        </r>
      </text>
    </comment>
    <comment ref="L1" authorId="0" shapeId="0" xr:uid="{6C9AAF6B-9994-4010-A983-5765CB4F6E0B}">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M1" authorId="0" shapeId="0" xr:uid="{4200B4BA-CEC1-4AAD-96B5-97260C91CD47}">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N1" authorId="0" shapeId="0" xr:uid="{AC4B7B2E-3796-41E5-94E3-321BE1A4106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O1" authorId="0" shapeId="0" xr:uid="{D0334E97-0E65-4416-BD59-0DF13A4177AD}">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P1" authorId="0" shapeId="0" xr:uid="{3B801E7A-27B8-4B75-BF46-C0E3C52A147D}">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Q1" authorId="0" shapeId="0" xr:uid="{33A87D24-A089-4C18-B4E5-56D294CD9EC9}">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R1" authorId="0" shapeId="0" xr:uid="{476E78BD-FB2E-434C-A591-0488C68979E2}">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S1" authorId="0" shapeId="0" xr:uid="{A93F61E1-8507-4775-BB41-D769AC4CBE3D}">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T1" authorId="0" shapeId="0" xr:uid="{4DEEBED8-7D80-44F5-9DC7-E1D96ED49A09}">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1" shapeId="0" xr:uid="{56FFDC4B-C87C-4949-B54C-8847D7ACB646}">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V1" authorId="2" shapeId="0" xr:uid="{B02DCDCF-8905-4455-82BF-30B7DEA8D502}">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Y1" authorId="0" shapeId="0" xr:uid="{000C9F6C-5BD0-4E22-9D4E-B1FE748C1956}">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Z1" authorId="0" shapeId="0" xr:uid="{32881F93-00C8-4070-85B5-1A37E6047B8E}">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A1" authorId="3" shapeId="0" xr:uid="{1DFD5FBC-8BAB-4AF9-A662-D88C74248C10}">
      <text>
        <t>[Threaded comment]
Your version of Excel allows you to read this threaded comment; however, any edits to it will get removed if the file is opened in a newer version of Excel. Learn more: https://go.microsoft.com/fwlink/?linkid=870924
Comment:
    If the apograph reading is singular or dual, what kind of variant would it appear to be compared to the relevant critical text?</t>
      </text>
    </comment>
    <comment ref="AB1" authorId="0" shapeId="0" xr:uid="{F2F87259-0AC5-459D-9293-A773EA176FB2}">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C1" authorId="0" shapeId="0" xr:uid="{B49E6085-7F90-4233-9F24-F2363B9B83C4}">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E1" authorId="0" shapeId="0" xr:uid="{8062D7C1-4299-418A-8D5B-9E7F776F0F18}">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F1" authorId="0" shapeId="0" xr:uid="{A7D865AD-C3BD-4ABC-A063-B4B3AAD8894F}">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G1" authorId="0" shapeId="0" xr:uid="{40686040-444F-4396-AE3E-32FE328EA903}">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Jonathan Wilken</author>
    <author>tc={58F9DAAB-852C-4AF7-9960-A5E635E0871D}</author>
    <author>tc={0DFFE358-4B8B-4587-A3F2-47A1339CEDA9}</author>
    <author>tc={69341BFD-7DF0-41EA-927A-FB1A700274AF}</author>
  </authors>
  <commentList>
    <comment ref="B1" authorId="0" shapeId="0" xr:uid="{2730B2FD-2673-45CB-B60D-B30896F054ED}">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369E4D91-753A-4E91-93DC-7A396B76A9C8}">
      <text>
        <r>
          <rPr>
            <b/>
            <sz val="9"/>
            <color indexed="81"/>
            <rFont val="Tahoma"/>
            <family val="2"/>
          </rPr>
          <t>Jonathan Wilken:</t>
        </r>
        <r>
          <rPr>
            <sz val="9"/>
            <color indexed="81"/>
            <rFont val="Tahoma"/>
            <family val="2"/>
          </rPr>
          <t xml:space="preserve">
Reading from apograph (i.e., younger copy)</t>
        </r>
      </text>
    </comment>
    <comment ref="D1" authorId="0" shapeId="0" xr:uid="{91CF2192-B47C-44A5-A4D6-10597F8B9695}">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CBBFCA24-9144-4AEA-B712-19FC5A113758}">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A70B8C33-673E-4769-B63C-15CB5A223A9B}">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AD815E8F-4C15-42FE-A7F0-955FD53DDEA8}">
      <text>
        <r>
          <rPr>
            <b/>
            <sz val="9"/>
            <color indexed="81"/>
            <rFont val="Tahoma"/>
            <family val="2"/>
          </rPr>
          <t>Jonathan Wilken:</t>
        </r>
        <r>
          <rPr>
            <sz val="9"/>
            <color indexed="81"/>
            <rFont val="Tahoma"/>
            <family val="2"/>
          </rPr>
          <t xml:space="preserve">
Add, omit, transposition, substitution, combo</t>
        </r>
      </text>
    </comment>
    <comment ref="H1" authorId="0" shapeId="0" xr:uid="{DE278ECA-AC27-4D86-9358-8951404134D8}">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DB265204-4EAA-43C1-9A97-B9B2D82D025D}">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7E75B307-5E9A-4F68-81CA-740FA1077709}">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D79B861C-F666-49AE-9079-D5DB56A796E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59B342C6-E910-45D5-AC5F-A21A73DAE824}">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B0609E30-F908-4B52-A1FB-14D887D9F574}">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F6A58EA0-2691-4491-A77E-E8C5A68CB5DA}">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BD50C50F-5F8D-4531-9C53-9AE99C8748D8}">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BCD87DF1-97BC-47DB-8FE9-4B3865426C1C}">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0" shapeId="0" xr:uid="{B65D1820-1F6F-462B-BD15-24DEF57ECF58}">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R1" authorId="1" shapeId="0" xr:uid="{58F9DAAB-852C-4AF7-9960-A5E635E0871D}">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S1" authorId="2" shapeId="0" xr:uid="{0DFFE358-4B8B-4587-A3F2-47A1339CEDA9}">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V1" authorId="0" shapeId="0" xr:uid="{F1E8ADFC-B8D7-4990-B5FF-46AD1C29EE93}">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D279D49A-DC87-4598-AAC5-8C8B03522497}">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3" shapeId="0" xr:uid="{69341BFD-7DF0-41EA-927A-FB1A700274AF}">
      <text>
        <t>[Threaded comment]
Your version of Excel allows you to read this threaded comment; however, any edits to it will get removed if the file is opened in a newer version of Excel. Learn more: https://go.microsoft.com/fwlink/?linkid=870924
Comment:
    If the apograph reading is singular or dual, what kind of variant would it appear to be compared to the relevant critical text?</t>
      </text>
    </comment>
    <comment ref="Y1" authorId="0" shapeId="0" xr:uid="{51A25870-EBE5-435E-8AB5-2365114779C2}">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9191D656-6407-4400-94BF-998D233CE5E4}">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8E6BD699-8E63-4B91-85F6-9282DF7A1B6A}">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EA1EB1E7-CEAB-4677-ADF6-D422D5895ECE}">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AF6573EE-3875-45CB-8B6C-14CA36AE5604}">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Jonathan Wilken</author>
    <author>tc={61E95B9F-285F-4D6C-B03B-1195CE88F47E}</author>
    <author>tc={F971B4D7-3AA6-4E58-978B-CB6A0FB6D534}</author>
    <author>tc={175C19A6-2DAE-46F6-9D6C-03B1A367E744}</author>
    <author>tc={6E6BCA85-EE43-48C7-B064-FA747BA22519}</author>
    <author>tc={3C730A11-FA46-427A-878A-3A847469907D}</author>
    <author>tc={001F1443-6F80-443D-99A4-149163D31A7D}</author>
    <author>tc={C1465904-A38E-4690-9E18-BB7175F35AB3}</author>
    <author>tc={9CCF1A1D-50D1-48FE-9445-2C7FB9EBB413}</author>
    <author>tc={CEE5C2C5-E76A-49BC-ADEA-51E751A79821}</author>
    <author>tc={824F4A66-7795-4AE3-B0F8-AB10AB763E8D}</author>
    <author>tc={2227FF53-EA7A-49C1-93E1-072071F8BEF6}</author>
    <author>tc={E930FD91-136F-47F1-9F74-416C77174123}</author>
    <author>tc={0954078F-9F94-4500-8ED9-DEC9AE28DDD6}</author>
    <author>tc={4F75A462-904C-4A8F-8596-36FBA8757E79}</author>
    <author>tc={5805AA5E-A486-4835-8014-866D8710563E}</author>
    <author>tc={611CDE40-B2A1-45C4-8B39-511967520951}</author>
    <author>tc={1AA30F21-7439-473B-95D7-19636CEEB3EC}</author>
    <author>tc={446F542B-561E-44AF-86C2-DDF30B2B1669}</author>
    <author>tc={BF1B5239-57FC-4AB7-9AEF-2D7782C12F56}</author>
    <author>tc={AE742617-3FAF-444A-873F-DF45D681061E}</author>
    <author>tc={F1DC230E-2C24-4324-93FD-6311114DA479}</author>
    <author>tc={D506818D-2791-4453-AE82-561BBC3A2AA2}</author>
    <author>tc={1BDDDABD-8133-4A39-9C86-A5E1B913DD02}</author>
    <author>tc={7E163D4C-35E7-4698-8F72-A349331560CD}</author>
    <author>tc={82F9D814-049E-423E-A8B1-9AEBE7ADC647}</author>
    <author>tc={D0E9475A-9C22-4F29-AC99-39FDC5757339}</author>
    <author>tc={59C214A9-A99A-4760-BEFD-5DCB1BD9D2D4}</author>
    <author>tc={CEBC1E4A-116A-4E0C-B38D-2F59944A7D10}</author>
    <author>tc={7F0A8355-78D5-4351-8AAA-D6940A6B9159}</author>
    <author>tc={94DC7C6F-D4C5-449A-8002-81BDFABBC117}</author>
    <author>tc={126797DB-400B-47C4-975D-806E181E87BD}</author>
    <author>tc={B3AB3741-C718-4333-85BD-C5CC8505E00B}</author>
    <author>tc={C7C6731F-82C5-43EB-9416-47FAA0421A84}</author>
    <author>tc={887B6E83-9F6B-435B-8811-2CF7D4227753}</author>
    <author>tc={173F5814-A45A-4A96-A1FB-0AD75BA422B9}</author>
    <author>tc={9DDABB06-C0FC-4901-B604-8096ECDBA55A}</author>
    <author>tc={D860F5CE-E981-4B02-A6A9-72EAA7AEE32D}</author>
    <author>tc={391F0D5B-6530-4672-A856-D77545D3CCB0}</author>
    <author>tc={C3FC1E1F-5333-4EF1-B3F8-B925F595CA75}</author>
    <author>tc={36FA58C2-8015-4A42-9B1D-BFC3963BD5B4}</author>
    <author>tc={26605B44-511A-495B-AF2C-5BE19306E528}</author>
    <author>tc={E8AB9EEC-9FF2-4AA4-8685-DB007E5BC327}</author>
    <author>tc={B500ECA4-3034-4736-80AE-732547CB6150}</author>
    <author>tc={7FC04E06-D5C7-4A11-BAE4-2860B9D0D5F1}</author>
  </authors>
  <commentList>
    <comment ref="B1" authorId="0" shapeId="0" xr:uid="{2B440768-1B08-4171-B726-8923FF542C34}">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84495B84-7EF4-4A1A-9094-CC280C12DDA6}">
      <text>
        <r>
          <rPr>
            <b/>
            <sz val="9"/>
            <color indexed="81"/>
            <rFont val="Tahoma"/>
            <family val="2"/>
          </rPr>
          <t>Jonathan Wilken:</t>
        </r>
        <r>
          <rPr>
            <sz val="9"/>
            <color indexed="81"/>
            <rFont val="Tahoma"/>
            <family val="2"/>
          </rPr>
          <t xml:space="preserve">
Reading from apograph (i.e., younger copy)</t>
        </r>
      </text>
    </comment>
    <comment ref="D1" authorId="0" shapeId="0" xr:uid="{2030D0F5-215B-4AC2-89C3-F392BCE3C865}">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27C43410-D7A4-4C93-90E4-A5E8F11A5A06}">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B7A3D955-1865-440D-8F40-6DF34C513263}">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8F4354E2-4EAB-41DF-82FA-47D54861E651}">
      <text>
        <r>
          <rPr>
            <b/>
            <sz val="9"/>
            <color indexed="81"/>
            <rFont val="Tahoma"/>
            <family val="2"/>
          </rPr>
          <t>Jonathan Wilken:</t>
        </r>
        <r>
          <rPr>
            <sz val="9"/>
            <color indexed="81"/>
            <rFont val="Tahoma"/>
            <family val="2"/>
          </rPr>
          <t xml:space="preserve">
Add, omit, transposition, substitution, combo</t>
        </r>
      </text>
    </comment>
    <comment ref="H1" authorId="0" shapeId="0" xr:uid="{FEB33706-0BC9-4F38-A63A-17D283ADADDE}">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F78C9B19-1CBA-494A-8CB1-2FC26B18A6AE}">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FB0B7A29-153F-4F7D-8256-8746364DB948}">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8AA5B41F-37D6-4EA3-A850-CC864FEBFA34}">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16FEF751-FB3F-4228-84DD-7B8193DD2123}">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699E1BF7-97EB-4673-8FDF-98AD6DC19799}">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A8A8B25D-23E3-4FDD-BC1E-543EF7150409}">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B11F8590-3C95-4227-AB14-05B67D8FD6B5}">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849148C3-47AB-459B-A09E-63E5B135BEF5}">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61E95B9F-285F-4D6C-B03B-1195CE88F47E}">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89F01C28-05C0-4E95-B055-94E437375AA2}">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0" shapeId="0" xr:uid="{6B9B8B52-A239-41C9-A61E-9EE5D2935533}">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V1" authorId="0" shapeId="0" xr:uid="{1857FE22-338A-4AC1-9E83-F2B219E17E65}">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W1" authorId="2" shapeId="0" xr:uid="{F971B4D7-3AA6-4E58-978B-CB6A0FB6D534}">
      <text>
        <t>[Threaded comment]
Your version of Excel allows you to read this threaded comment; however, any edits to it will get removed if the file is opened in a newer version of Excel. Learn more: https://go.microsoft.com/fwlink/?linkid=870924
Comment:
    If the apograph reading is singular or dual, what kind of variant would it appear to be compared to the relevant critical text?</t>
      </text>
    </comment>
    <comment ref="X1" authorId="0" shapeId="0" xr:uid="{C805568D-3863-4FAA-A7DD-33F8EAA03BD6}">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9ADA723B-591B-4173-A537-315B47F00D2B}">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918BAD6E-C7D5-4BB3-825C-3486F04057CA}">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5159B287-BDC6-4FD9-AA8E-DE3002EF4F7B}">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E5F206F4-54B0-4AB3-90B8-B737CDC9587C}">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F33" authorId="3" shapeId="0" xr:uid="{175C19A6-2DAE-46F6-9D6C-03B1A367E744}">
      <text>
        <t>[Threaded comment]
Your version of Excel allows you to read this threaded comment; however, any edits to it will get removed if the file is opened in a newer version of Excel. Learn more: https://go.microsoft.com/fwlink/?linkid=870924
Comment:
    Raw number of additions</t>
      </text>
    </comment>
    <comment ref="B34" authorId="4" shapeId="0" xr:uid="{6E6BCA85-EE43-48C7-B064-FA747BA22519}">
      <text>
        <t>[Threaded comment]
Your version of Excel allows you to read this threaded comment; however, any edits to it will get removed if the file is opened in a newer version of Excel. Learn more: https://go.microsoft.com/fwlink/?linkid=870924
Comment:
    "Low Meaning" words</t>
      </text>
    </comment>
    <comment ref="C34" authorId="5" shapeId="0" xr:uid="{3C730A11-FA46-427A-878A-3A847469907D}">
      <text>
        <t>[Threaded comment]
Your version of Excel allows you to read this threaded comment; however, any edits to it will get removed if the file is opened in a newer version of Excel. Learn more: https://go.microsoft.com/fwlink/?linkid=870924
Comment:
    "High Meaning" words</t>
      </text>
    </comment>
    <comment ref="F34" authorId="6" shapeId="0" xr:uid="{001F1443-6F80-443D-99A4-149163D31A7D}">
      <text>
        <t>[Threaded comment]
Your version of Excel allows you to read this threaded comment; however, any edits to it will get removed if the file is opened in a newer version of Excel. Learn more: https://go.microsoft.com/fwlink/?linkid=870924
Comment:
    Raw number of omissions</t>
      </text>
    </comment>
    <comment ref="F35" authorId="7" shapeId="0" xr:uid="{C1465904-A38E-4690-9E18-BB7175F35AB3}">
      <text>
        <t>[Threaded comment]
Your version of Excel allows you to read this threaded comment; however, any edits to it will get removed if the file is opened in a newer version of Excel. Learn more: https://go.microsoft.com/fwlink/?linkid=870924
Comment:
    % of add-omits that are additions</t>
      </text>
    </comment>
    <comment ref="F38" authorId="8" shapeId="0" xr:uid="{9CCF1A1D-50D1-48FE-9445-2C7FB9EBB413}">
      <text>
        <t>[Threaded comment]
Your version of Excel allows you to read this threaded comment; however, any edits to it will get removed if the file is opened in a newer version of Excel. Learn more: https://go.microsoft.com/fwlink/?linkid=870924
Comment:
    Raw number of additions of "low meaning" words. See LM column for included word types (and adjust equation as necessary)</t>
      </text>
    </comment>
    <comment ref="F39" authorId="9" shapeId="0" xr:uid="{CEE5C2C5-E76A-49BC-ADEA-51E751A79821}">
      <text>
        <t>[Threaded comment]
Your version of Excel allows you to read this threaded comment; however, any edits to it will get removed if the file is opened in a newer version of Excel. Learn more: https://go.microsoft.com/fwlink/?linkid=870924
Comment:
    Raw number of omissions of "low meaning" words. See LM column for included word types (and adjust equation as necessary)</t>
      </text>
    </comment>
    <comment ref="F40" authorId="10" shapeId="0" xr:uid="{824F4A66-7795-4AE3-B0F8-AB10AB763E8D}">
      <text>
        <t>[Threaded comment]
Your version of Excel allows you to read this threaded comment; however, any edits to it will get removed if the file is opened in a newer version of Excel. Learn more: https://go.microsoft.com/fwlink/?linkid=870924
Comment:
    Addition rate for "low meaning" words. See LM column for included word types (and adjust equation as necessary)</t>
      </text>
    </comment>
    <comment ref="F43" authorId="11" shapeId="0" xr:uid="{2227FF53-EA7A-49C1-93E1-072071F8BEF6}">
      <text>
        <t>[Threaded comment]
Your version of Excel allows you to read this threaded comment; however, any edits to it will get removed if the file is opened in a newer version of Excel. Learn more: https://go.microsoft.com/fwlink/?linkid=870924
Comment:
    Raw number of additions of "high meaning" words. See HM column for included word types (and adjust equation as necessary)</t>
      </text>
    </comment>
    <comment ref="F44" authorId="12" shapeId="0" xr:uid="{E930FD91-136F-47F1-9F74-416C77174123}">
      <text>
        <t>[Threaded comment]
Your version of Excel allows you to read this threaded comment; however, any edits to it will get removed if the file is opened in a newer version of Excel. Learn more: https://go.microsoft.com/fwlink/?linkid=870924
Comment:
    Raw number of omissions of "high meaning" words. See HM column for included word types (and adjust equation as necessary)</t>
      </text>
    </comment>
    <comment ref="F45" authorId="13" shapeId="0" xr:uid="{0954078F-9F94-4500-8ED9-DEC9AE28DDD6}">
      <text>
        <t>[Threaded comment]
Your version of Excel allows you to read this threaded comment; however, any edits to it will get removed if the file is opened in a newer version of Excel. Learn more: https://go.microsoft.com/fwlink/?linkid=870924
Comment:
    Addition rate for "high meaning" words. See HM column for included word types (and adjust equation as necessary)</t>
      </text>
    </comment>
    <comment ref="D51" authorId="14" shapeId="0" xr:uid="{4F75A462-904C-4A8F-8596-36FBA8757E79}">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51" authorId="15" shapeId="0" xr:uid="{5805AA5E-A486-4835-8014-866D8710563E}">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F51" authorId="16" shapeId="0" xr:uid="{611CDE40-B2A1-45C4-8B39-511967520951}">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additions. I.e., a percent frequency indicating how often an addition generates visual cues</t>
      </text>
    </comment>
    <comment ref="D52" authorId="17" shapeId="0" xr:uid="{1AA30F21-7439-473B-95D7-19636CEEB3EC}">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E52" authorId="18" shapeId="0" xr:uid="{446F542B-561E-44AF-86C2-DDF30B2B1669}">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F52" authorId="19" shapeId="0" xr:uid="{BF1B5239-57FC-4AB7-9AEF-2D7782C12F56}">
      <text>
        <t>[Threaded comment]
Your version of Excel allows you to read this threaded comment; however, any edits to it will get removed if the file is opened in a newer version of Excel. Learn more: https://go.microsoft.com/fwlink/?linkid=870924
Comment:
    The percentage of add-omits where visual cues are present that are, in fact, omissions. I.e., the percentage of omissions that could plausibly be due to visual cues</t>
      </text>
    </comment>
    <comment ref="D53" authorId="20" shapeId="0" xr:uid="{AE742617-3FAF-444A-873F-DF45D681061E}">
      <text>
        <t>[Threaded comment]
Your version of Excel allows you to read this threaded comment; however, any edits to it will get removed if the file is opened in a newer version of Excel. Learn more: https://go.microsoft.com/fwlink/?linkid=870924
Comment:
    The total number of add-omits that involve visual cues</t>
      </text>
    </comment>
    <comment ref="E53" authorId="21" shapeId="0" xr:uid="{F1DC230E-2C24-4324-93FD-6311114DA479}">
      <text>
        <t>[Threaded comment]
Your version of Excel allows you to read this threaded comment; however, any edits to it will get removed if the file is opened in a newer version of Excel. Learn more: https://go.microsoft.com/fwlink/?linkid=870924
Comment:
    The total number of add-omits that involve NO visual cues (given the definition of this project, i.e., 3-character minimum similarity in critical regions)</t>
      </text>
    </comment>
    <comment ref="F53" authorId="22" shapeId="0" xr:uid="{D506818D-2791-4453-AE82-561BBC3A2AA2}">
      <text>
        <t>[Threaded comment]
Your version of Excel allows you to read this threaded comment; however, any edits to it will get removed if the file is opened in a newer version of Excel. Learn more: https://go.microsoft.com/fwlink/?linkid=870924
Comment:
    The percentage of all add-omits that involve visual cues</t>
      </text>
    </comment>
    <comment ref="D57" authorId="23" shapeId="0" xr:uid="{1BDDDABD-8133-4A39-9C86-A5E1B913DD02}">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additions. I.e., the number of additions that generate no visual cues</t>
      </text>
    </comment>
    <comment ref="E57" authorId="24" shapeId="0" xr:uid="{7E163D4C-35E7-4698-8F72-A349331560CD}">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NOT present that are, in fact, omissions. I.e., the number of times that omissions occurred in the absence of visual cues</t>
      </text>
    </comment>
    <comment ref="D58" authorId="25" shapeId="0" xr:uid="{82F9D814-049E-423E-A8B1-9AEBE7ADC647}">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additions. I.e., the number of additions that result in the presence of visual cues</t>
      </text>
    </comment>
    <comment ref="E58" authorId="26" shapeId="0" xr:uid="{D0E9475A-9C22-4F29-AC99-39FDC5757339}">
      <text>
        <t>[Threaded comment]
Your version of Excel allows you to read this threaded comment; however, any edits to it will get removed if the file is opened in a newer version of Excel. Learn more: https://go.microsoft.com/fwlink/?linkid=870924
Comment:
    The number of add-omits where visual cues are present that are, in fact, omissions. I.e., the number of times that omissions occurred in the presence of visual cues</t>
      </text>
    </comment>
    <comment ref="D63" authorId="27" shapeId="0" xr:uid="{59C214A9-A99A-4760-BEFD-5DCB1BD9D2D4}">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additions. I.e., the number of additions that do not result in dittography</t>
      </text>
    </comment>
    <comment ref="E63" authorId="28" shapeId="0" xr:uid="{CEBC1E4A-116A-4E0C-B38D-2F59944A7D10}">
      <text>
        <t>[Threaded comment]
Your version of Excel allows you to read this threaded comment; however, any edits to it will get removed if the file is opened in a newer version of Excel. Learn more: https://go.microsoft.com/fwlink/?linkid=870924
Comment:
    The number of non-dittographic add-omits that are, in fact, omissions. I.e., the number of omissions that did not undo a dittographic reading</t>
      </text>
    </comment>
    <comment ref="D64" authorId="29" shapeId="0" xr:uid="{7F0A8355-78D5-4351-8AAA-D6940A6B9159}">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additions. I.e., the number of additions that result in dittography</t>
      </text>
    </comment>
    <comment ref="E64" authorId="30" shapeId="0" xr:uid="{94DC7C6F-D4C5-449A-8002-81BDFABBC117}">
      <text>
        <t>[Threaded comment]
Your version of Excel allows you to read this threaded comment; however, any edits to it will get removed if the file is opened in a newer version of Excel. Learn more: https://go.microsoft.com/fwlink/?linkid=870924
Comment:
    The number of dittographic add-omits that are, in fact, omissions. I.e., the number omissions where the omitted word(s) is/are dittographies</t>
      </text>
    </comment>
    <comment ref="D69" authorId="31" shapeId="0" xr:uid="{126797DB-400B-47C4-975D-806E181E87BD}">
      <text>
        <t>[Threaded comment]
Your version of Excel allows you to read this threaded comment; however, any edits to it will get removed if the file is opened in a newer version of Excel. Learn more: https://go.microsoft.com/fwlink/?linkid=870924
Comment:
    Additions of one word</t>
      </text>
    </comment>
    <comment ref="E69" authorId="32" shapeId="0" xr:uid="{B3AB3741-C718-4333-85BD-C5CC8505E00B}">
      <text>
        <t>[Threaded comment]
Your version of Excel allows you to read this threaded comment; however, any edits to it will get removed if the file is opened in a newer version of Excel. Learn more: https://go.microsoft.com/fwlink/?linkid=870924
Comment:
    Omissions of one word</t>
      </text>
    </comment>
    <comment ref="F69" authorId="33" shapeId="0" xr:uid="{C7C6731F-82C5-43EB-9416-47FAA0421A84}">
      <text>
        <t>[Threaded comment]
Your version of Excel allows you to read this threaded comment; however, any edits to it will get removed if the file is opened in a newer version of Excel. Learn more: https://go.microsoft.com/fwlink/?linkid=870924
Comment:
    Add ratio for single-word variants</t>
      </text>
    </comment>
    <comment ref="D70" authorId="34" shapeId="0" xr:uid="{887B6E83-9F6B-435B-8811-2CF7D4227753}">
      <text>
        <t>[Threaded comment]
Your version of Excel allows you to read this threaded comment; however, any edits to it will get removed if the file is opened in a newer version of Excel. Learn more: https://go.microsoft.com/fwlink/?linkid=870924
Comment:
    Additions of 2-3 words</t>
      </text>
    </comment>
    <comment ref="E70" authorId="35" shapeId="0" xr:uid="{173F5814-A45A-4A96-A1FB-0AD75BA422B9}">
      <text>
        <t>[Threaded comment]
Your version of Excel allows you to read this threaded comment; however, any edits to it will get removed if the file is opened in a newer version of Excel. Learn more: https://go.microsoft.com/fwlink/?linkid=870924
Comment:
    Omissions of 2-3 words</t>
      </text>
    </comment>
    <comment ref="F70" authorId="36" shapeId="0" xr:uid="{9DDABB06-C0FC-4901-B604-8096ECDBA55A}">
      <text>
        <t>[Threaded comment]
Your version of Excel allows you to read this threaded comment; however, any edits to it will get removed if the file is opened in a newer version of Excel. Learn more: https://go.microsoft.com/fwlink/?linkid=870924
Comment:
    Add ratio for variants of 2-3 words</t>
      </text>
    </comment>
    <comment ref="D71" authorId="37" shapeId="0" xr:uid="{D860F5CE-E981-4B02-A6A9-72EAA7AEE32D}">
      <text>
        <t>[Threaded comment]
Your version of Excel allows you to read this threaded comment; however, any edits to it will get removed if the file is opened in a newer version of Excel. Learn more: https://go.microsoft.com/fwlink/?linkid=870924
Comment:
    Additions of 4 or more words</t>
      </text>
    </comment>
    <comment ref="E71" authorId="38" shapeId="0" xr:uid="{391F0D5B-6530-4672-A856-D77545D3CCB0}">
      <text>
        <t>[Threaded comment]
Your version of Excel allows you to read this threaded comment; however, any edits to it will get removed if the file is opened in a newer version of Excel. Learn more: https://go.microsoft.com/fwlink/?linkid=870924
Comment:
    Omissions of 4 or more words</t>
      </text>
    </comment>
    <comment ref="F71" authorId="39" shapeId="0" xr:uid="{C3FC1E1F-5333-4EF1-B3F8-B925F595CA75}">
      <text>
        <t>[Threaded comment]
Your version of Excel allows you to read this threaded comment; however, any edits to it will get removed if the file is opened in a newer version of Excel. Learn more: https://go.microsoft.com/fwlink/?linkid=870924
Comment:
    Add ratio for variants of 4 or more words</t>
      </text>
    </comment>
    <comment ref="C74" authorId="40" shapeId="0" xr:uid="{36FA58C2-8015-4A42-9B1D-BFC3963BD5B4}">
      <text>
        <t>[Threaded comment]
Your version of Excel allows you to read this threaded comment; however, any edits to it will get removed if the file is opened in a newer version of Excel. Learn more: https://go.microsoft.com/fwlink/?linkid=870924
Comment:
    Number of words added or omitted</t>
      </text>
    </comment>
    <comment ref="D74" authorId="41" shapeId="0" xr:uid="{26605B44-511A-495B-AF2C-5BE19306E528}">
      <text>
        <t>[Threaded comment]
Your version of Excel allows you to read this threaded comment; however, any edits to it will get removed if the file is opened in a newer version of Excel. Learn more: https://go.microsoft.com/fwlink/?linkid=870924
Comment:
    Number of additions involving the number of words specified in the "Length" column</t>
      </text>
    </comment>
    <comment ref="E74" authorId="42" shapeId="0" xr:uid="{E8AB9EEC-9FF2-4AA4-8685-DB007E5BC327}">
      <text>
        <t>[Threaded comment]
Your version of Excel allows you to read this threaded comment; however, any edits to it will get removed if the file is opened in a newer version of Excel. Learn more: https://go.microsoft.com/fwlink/?linkid=870924
Comment:
    Number of omissions involving the number of words specified in the "Length" column</t>
      </text>
    </comment>
    <comment ref="F74" authorId="43" shapeId="0" xr:uid="{B500ECA4-3034-4736-80AE-732547CB6150}">
      <text>
        <t>[Threaded comment]
Your version of Excel allows you to read this threaded comment; however, any edits to it will get removed if the file is opened in a newer version of Excel. Learn more: https://go.microsoft.com/fwlink/?linkid=870924
Comment:
    The addition rate for add-omits involving the number of words indicated in the "Length" column</t>
      </text>
    </comment>
    <comment ref="E82" authorId="44" shapeId="0" xr:uid="{7FC04E06-D5C7-4A11-BAE4-2860B9D0D5F1}">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Jonathan Wilken</author>
    <author>tc={B57CBBE2-4DE3-4E14-871D-99DA12546CAA}</author>
    <author>tc={E896215B-A56E-4DBC-9768-1DFF1507630E}</author>
    <author>tc={281371D7-E0F8-41FC-BB7E-F9A1CA79C4B0}</author>
    <author>tc={DCC0C593-53DF-439F-BA9A-9E2AC23A0449}</author>
    <author>tc={E1673BB4-2692-490A-B731-69FA53B1E174}</author>
    <author>tc={2C95E34A-154E-4FFE-BBA0-7744950F06CE}</author>
    <author>tc={23FE8A8F-B104-48B8-8CF2-7EB2AE7290DB}</author>
    <author>tc={3C409505-6611-45E5-B089-098F4475092E}</author>
    <author>tc={35E100C1-AEEC-4E27-84D0-B1B44A1C2AF0}</author>
    <author>tc={7E2AF338-95E2-43C8-B20E-1ACD009EAB28}</author>
    <author>tc={2FECF803-9E12-4302-9559-AD4418150104}</author>
    <author>tc={3C4047E5-481E-467C-96BD-A9664F95F97B}</author>
    <author>tc={247CA279-C45B-4B66-A8B4-5AC647D41AE1}</author>
  </authors>
  <commentList>
    <comment ref="B1" authorId="0" shapeId="0" xr:uid="{1408091C-0442-4309-A61A-90F48F33ED4B}">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F2593DEF-AD1A-46BD-97D9-BB78D3918680}">
      <text>
        <r>
          <rPr>
            <b/>
            <sz val="9"/>
            <color indexed="81"/>
            <rFont val="Tahoma"/>
            <family val="2"/>
          </rPr>
          <t>Jonathan Wilken:</t>
        </r>
        <r>
          <rPr>
            <sz val="9"/>
            <color indexed="81"/>
            <rFont val="Tahoma"/>
            <family val="2"/>
          </rPr>
          <t xml:space="preserve">
Reading from apograph (i.e., younger copy)</t>
        </r>
      </text>
    </comment>
    <comment ref="D1" authorId="0" shapeId="0" xr:uid="{78C79092-84DB-4056-ABD2-472C8C01DC96}">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B2EF6957-EA19-4A29-85DD-FB6FDD25CB1A}">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B8E4BCF4-FE3A-4EA0-AD52-27A0579A41F3}">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G1" authorId="0" shapeId="0" xr:uid="{39DFDE5E-26B7-4D9B-A9DC-D5BD5D02F771}">
      <text>
        <r>
          <rPr>
            <b/>
            <sz val="9"/>
            <color indexed="81"/>
            <rFont val="Tahoma"/>
            <family val="2"/>
          </rPr>
          <t>Jonathan Wilken:</t>
        </r>
        <r>
          <rPr>
            <sz val="9"/>
            <color indexed="81"/>
            <rFont val="Tahoma"/>
            <family val="2"/>
          </rPr>
          <t xml:space="preserve">
Add, omit, transposition, substitution, combo</t>
        </r>
      </text>
    </comment>
    <comment ref="H1" authorId="0" shapeId="0" xr:uid="{3372E21E-8EF0-4D31-919A-B8FABA740EF5}">
      <text>
        <r>
          <rPr>
            <b/>
            <sz val="9"/>
            <color indexed="81"/>
            <rFont val="Tahoma"/>
            <family val="2"/>
          </rPr>
          <t>Jonathan Wilken:</t>
        </r>
        <r>
          <rPr>
            <sz val="9"/>
            <color indexed="81"/>
            <rFont val="Tahoma"/>
            <family val="2"/>
          </rPr>
          <t xml:space="preserve">
For add/omits. Should only be used if complete phrases &gt;= 1. Set to 0 for &lt; 1.
</t>
        </r>
      </text>
    </comment>
    <comment ref="I1" authorId="0" shapeId="0" xr:uid="{4B12772D-9246-4A6A-A45C-55F06EEB9E91}">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J1" authorId="0" shapeId="0" xr:uid="{FAEF0D54-E297-4A8A-8FAE-73F82F9B41A7}">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K1" authorId="0" shapeId="0" xr:uid="{FD2B2846-4F34-4D8D-A721-35ED2832B70A}">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L1" authorId="0" shapeId="0" xr:uid="{B4E0A065-7CB3-42F0-AC33-C063BB080067}">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M1" authorId="0" shapeId="0" xr:uid="{9B9591F7-B6A9-4434-B59E-954116985CFA}">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N1" authorId="0" shapeId="0" xr:uid="{E3942238-75F2-4541-A02A-D6D1F2674DFD}">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O1" authorId="0" shapeId="0" xr:uid="{33590E28-EEE9-4453-AC16-A46188856421}">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P1" authorId="0" shapeId="0" xr:uid="{9F158CFD-0E62-41D4-9D61-1AFA7F151308}">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Q1" authorId="1" shapeId="0" xr:uid="{B57CBBE2-4DE3-4E14-871D-99DA12546CAA}">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R1" authorId="0" shapeId="0" xr:uid="{C9D98ED7-BACE-4387-9AE3-DE932E5C4B86}">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U1" authorId="0" shapeId="0" xr:uid="{631C79D3-D6B3-422D-BE35-0D6965FC4EC8}">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V1" authorId="0" shapeId="0" xr:uid="{4D66405D-E5D9-4EA0-B0FD-44B53644F5E3}">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W1" authorId="2" shapeId="0" xr:uid="{E896215B-A56E-4DBC-9768-1DFF1507630E}">
      <text>
        <t>[Threaded comment]
Your version of Excel allows you to read this threaded comment; however, any edits to it will get removed if the file is opened in a newer version of Excel. Learn more: https://go.microsoft.com/fwlink/?linkid=870924
Comment:
    If the apograph reading is singular or dual, what kind of variant would it appear to be compared to the relevant critical text?</t>
      </text>
    </comment>
    <comment ref="X1" authorId="0" shapeId="0" xr:uid="{B143657C-A37F-4173-856C-DEC8F4C8D0EA}">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Y1" authorId="0" shapeId="0" xr:uid="{75580669-3E8C-4F3D-B8C5-995242B7BA7C}">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A1" authorId="0" shapeId="0" xr:uid="{1CBFE85F-5968-4632-8760-85CB86B71DDD}">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B1" authorId="0" shapeId="0" xr:uid="{1C94F20F-B912-431D-A0BA-C44DEE4A8B5B}">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C1" authorId="0" shapeId="0" xr:uid="{5497FF08-4218-4398-BB30-290B87F514E0}">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25" authorId="3" shapeId="0" xr:uid="{281371D7-E0F8-41FC-BB7E-F9A1CA79C4B0}">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26" authorId="4" shapeId="0" xr:uid="{DCC0C593-53DF-439F-BA9A-9E2AC23A0449}">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29" authorId="5" shapeId="0" xr:uid="{E1673BB4-2692-490A-B731-69FA53B1E174}">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30" authorId="6" shapeId="0" xr:uid="{2C95E34A-154E-4FFE-BBA0-7744950F06CE}">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31" authorId="7" shapeId="0" xr:uid="{23FE8A8F-B104-48B8-8CF2-7EB2AE7290DB}">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32" authorId="8" shapeId="0" xr:uid="{3C409505-6611-45E5-B089-098F4475092E}">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33" authorId="9" shapeId="0" xr:uid="{35E100C1-AEEC-4E27-84D0-B1B44A1C2AF0}">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34" authorId="10" shapeId="0" xr:uid="{7E2AF338-95E2-43C8-B20E-1ACD009EAB28}">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37" authorId="11" shapeId="0" xr:uid="{2FECF803-9E12-4302-9559-AD4418150104}">
      <text>
        <t>[Threaded comment]
Your version of Excel allows you to read this threaded comment; however, any edits to it will get removed if the file is opened in a newer version of Excel. Learn more: https://go.microsoft.com/fwlink/?linkid=870924
Comment:
    Articular additions: the number of additions of an article</t>
      </text>
    </comment>
    <comment ref="D38" authorId="12" shapeId="0" xr:uid="{3C4047E5-481E-467C-96BD-A9664F95F97B}">
      <text>
        <t>[Threaded comment]
Your version of Excel allows you to read this threaded comment; however, any edits to it will get removed if the file is opened in a newer version of Excel. Learn more: https://go.microsoft.com/fwlink/?linkid=870924
Comment:
    Articular omissions: the number of omissions of an article</t>
      </text>
    </comment>
    <comment ref="D39" authorId="13" shapeId="0" xr:uid="{247CA279-C45B-4B66-A8B4-5AC647D41AE1}">
      <text>
        <t>[Threaded comment]
Your version of Excel allows you to read this threaded comment; however, any edits to it will get removed if the file is opened in a newer version of Excel. Learn more: https://go.microsoft.com/fwlink/?linkid=870924
Comment:
    Articular add ratio: the add ratio for the definite article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Jonathan Wilken</author>
    <author>tc={78453880-E6D0-41BC-B947-E51D7235D3F8}</author>
    <author>tc={8D9FDB0D-573A-405A-B942-21246CEADCE7}</author>
    <author>tc={AE5FBC4C-06E3-4151-BDD9-57D60A6A4C7B}</author>
    <author>tc={01E80CA7-D7BF-4DC9-B493-428D0EF418FF}</author>
    <author>tc={EAD08AB8-6937-4882-BE93-D9C4B0784021}</author>
    <author>tc={79E8BDED-2E6F-49D9-B139-5E6A6DCA500F}</author>
    <author>tc={0C1D08EE-F4C5-4695-A7CF-6242F6C74A14}</author>
    <author>tc={9D807AFE-A4C0-4CA5-AC97-8A0A7D573B61}</author>
    <author>tc={AF63BEE6-A752-43D5-A895-FB89174B4847}</author>
    <author>tc={F4988D4B-FBEA-4E25-932B-97368855FBDE}</author>
    <author>tc={C5B853EA-2933-4601-B0EC-0EF121B18007}</author>
  </authors>
  <commentList>
    <comment ref="B1" authorId="0" shapeId="0" xr:uid="{CD0E59AF-A437-465C-A9F6-506A213E6ABF}">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26D7AB7D-FD80-44A3-A6D4-43499D866300}">
      <text>
        <r>
          <rPr>
            <b/>
            <sz val="9"/>
            <color indexed="81"/>
            <rFont val="Tahoma"/>
            <family val="2"/>
          </rPr>
          <t>Jonathan Wilken:</t>
        </r>
        <r>
          <rPr>
            <sz val="9"/>
            <color indexed="81"/>
            <rFont val="Tahoma"/>
            <family val="2"/>
          </rPr>
          <t xml:space="preserve">
Reading from apograph (i.e., younger copy)</t>
        </r>
      </text>
    </comment>
    <comment ref="D1" authorId="0" shapeId="0" xr:uid="{46A679CC-2601-4FB9-8862-74088B2D6F88}">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5DBCAF0F-C373-4B7A-AA75-02BD91EB3893}">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E66EC5F4-AC9F-4B22-B2B6-21C87966ED4B}">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E048A1CE-DA92-44DE-B0AD-8BBF556F7347}">
      <text>
        <r>
          <rPr>
            <b/>
            <sz val="9"/>
            <color indexed="81"/>
            <rFont val="Tahoma"/>
            <family val="2"/>
          </rPr>
          <t>Jonathan Wilken:</t>
        </r>
        <r>
          <rPr>
            <sz val="9"/>
            <color indexed="81"/>
            <rFont val="Tahoma"/>
            <family val="2"/>
          </rPr>
          <t xml:space="preserve">
Add, omit, transposition, substitution, combo</t>
        </r>
      </text>
    </comment>
    <comment ref="I1" authorId="0" shapeId="0" xr:uid="{D5518D62-C73E-4DA7-B7D1-6125D10B3732}">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67E69537-C568-43A1-9A40-464712D86DDD}">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C9AF6F0E-793B-4166-AB79-C2E3AF8366D1}">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EB4D5082-8445-4ED6-A734-8AE39E97A553}">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FC8F652D-4C24-4EF4-A3B5-18B2DD853EA0}">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A257DA3D-6C03-4BCA-B217-CFEFEA98DD1F}">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251813C9-1041-4BAB-B00B-94ACDEA5B5D4}">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046982A8-0EF0-4DBA-82CB-9D4C4EDC15E9}">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6D8256E2-40AB-474C-9375-E922D2924475}">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1" shapeId="0" xr:uid="{78453880-E6D0-41BC-B947-E51D7235D3F8}">
      <text>
        <t>[Threaded comment]
Your version of Excel allows you to read this threaded comment; however, any edits to it will get removed if the file is opened in a newer version of Excel. Learn more: https://go.microsoft.com/fwlink/?linkid=870924
Comment:
    Derived variable indicating the number of times per 1000 words the added or omitted word occurs. Thus, Freq-per-10,000 = (AO Word Frequency / Words in Corpus) * 10,000</t>
      </text>
    </comment>
    <comment ref="S1" authorId="0" shapeId="0" xr:uid="{F39FECAB-9FB0-428D-85E8-18FD8844D475}">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V1" authorId="0" shapeId="0" xr:uid="{292A98FB-4100-44F7-9BD5-BCEC0473EFE7}">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W1" authorId="0" shapeId="0" xr:uid="{BC57B681-40A7-4A08-A8C7-3F39296BAF15}">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X1" authorId="2" shapeId="0" xr:uid="{8D9FDB0D-573A-405A-B942-21246CEADCE7}">
      <text>
        <t>[Threaded comment]
Your version of Excel allows you to read this threaded comment; however, any edits to it will get removed if the file is opened in a newer version of Excel. Learn more: https://go.microsoft.com/fwlink/?linkid=870924
Comment:
    If the apograph reading is singular or dual, what kind of variant would it appear to be compared to the relevant critical text?</t>
      </text>
    </comment>
    <comment ref="Y1" authorId="0" shapeId="0" xr:uid="{8A272BFE-9E72-4239-8D24-E76A14B520AA}">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Z1" authorId="0" shapeId="0" xr:uid="{13706FE7-BF70-42D6-BE37-0C01F3B107A5}">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B1" authorId="0" shapeId="0" xr:uid="{143B9EE0-70A0-4151-B265-C3DD0F7430C7}">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C1" authorId="0" shapeId="0" xr:uid="{0992F432-42D8-415D-B9A0-4B1950709C3F}">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D1" authorId="0" shapeId="0" xr:uid="{268C50BC-DD14-4B2F-BB91-F40CA9C90509}">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11" authorId="3" shapeId="0" xr:uid="{AE5FBC4C-06E3-4151-BDD9-57D60A6A4C7B}">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12" authorId="4" shapeId="0" xr:uid="{01E80CA7-D7BF-4DC9-B493-428D0EF418FF}">
      <text>
        <t>[Threaded comment]
Your version of Excel allows you to read this threaded comment; however, any edits to it will get removed if the file is opened in a newer version of Excel. Learn more: https://go.microsoft.com/fwlink/?linkid=870924
Comment:
    Median word frequency</t>
      </text>
    </comment>
    <comment ref="D15" authorId="5" shapeId="0" xr:uid="{EAD08AB8-6937-4882-BE93-D9C4B0784021}">
      <text>
        <t>[Threaded comment]
Your version of Excel allows you to read this threaded comment; however, any edits to it will get removed if the file is opened in a newer version of Excel. Learn more: https://go.microsoft.com/fwlink/?linkid=870924
Comment:
    Higher-frequency additions: the number of additions among variants whose word frequency was equal to or above the median</t>
      </text>
    </comment>
    <comment ref="D16" authorId="6" shapeId="0" xr:uid="{79E8BDED-2E6F-49D9-B139-5E6A6DCA500F}">
      <text>
        <t xml:space="preserve">[Threaded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equal to or above the median
</t>
      </text>
    </comment>
    <comment ref="D17" authorId="7" shapeId="0" xr:uid="{0C1D08EE-F4C5-4695-A7CF-6242F6C74A14}">
      <text>
        <t>[Threaded comment]
Your version of Excel allows you to read this threaded comment; however, any edits to it will get removed if the file is opened in a newer version of Excel. Learn more: https://go.microsoft.com/fwlink/?linkid=870924
Comment:
    Higher-frequency add ratio: the add ratio among variants whose word frequency was equal to or above the median</t>
      </text>
    </comment>
    <comment ref="D18" authorId="8" shapeId="0" xr:uid="{9D807AFE-A4C0-4CA5-AC97-8A0A7D573B61}">
      <text>
        <t xml:space="preserve">[Threaded comment]
Your version of Excel allows you to read this threaded comment; however, any edits to it will get removed if the file is opened in a newer version of Excel. Learn more: https://go.microsoft.com/fwlink/?linkid=870924
Comment:
    Lower-frequency additions: the number of additions among variants whose word frequency was below the median
</t>
      </text>
    </comment>
    <comment ref="D19" authorId="9" shapeId="0" xr:uid="{AF63BEE6-A752-43D5-A895-FB89174B4847}">
      <text>
        <t>[Threaded comment]
Your version of Excel allows you to read this threaded comment; however, any edits to it will get removed if the file is opened in a newer version of Excel. Learn more: https://go.microsoft.com/fwlink/?linkid=870924
Comment:
    Higher-frequency omissions: the number of omissions among variants whose word frequency was below  the median</t>
      </text>
    </comment>
    <comment ref="D20" authorId="10" shapeId="0" xr:uid="{F4988D4B-FBEA-4E25-932B-97368855FBDE}">
      <text>
        <t xml:space="preserve">[Threaded comment]
Your version of Excel allows you to read this threaded comment; however, any edits to it will get removed if the file is opened in a newer version of Excel. Learn more: https://go.microsoft.com/fwlink/?linkid=870924
Comment:
    Lower-frequency add ratio: the add ratio among variants whose word frequency was below the median
</t>
      </text>
    </comment>
    <comment ref="D21" authorId="11" shapeId="0" xr:uid="{C5B853EA-2933-4601-B0EC-0EF121B18007}">
      <text>
        <t>[Threaded comment]
Your version of Excel allows you to read this threaded comment; however, any edits to it will get removed if the file is opened in a newer version of Excel. Learn more: https://go.microsoft.com/fwlink/?linkid=870924
Comment:
    The difference in add ratio based on word frequency category. If scribes exhibit preference for the familiar, the HF add ratio should usually be higher than the LF add ratio (thus, the Add Ratio Difference should be positive)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Jonathan Wilken</author>
    <author>tc={CE33CF8E-963F-4EAE-A369-603BA448262B}</author>
    <author>tc={5F19EE34-74C1-4DDC-AF61-C3A7E499FE36}</author>
    <author>tc={5EA499E2-D39D-4D78-8108-5EE9AE39DBAF}</author>
    <author>tc={A3010AC9-DFA3-4AD1-94A5-FD106C311771}</author>
    <author>tc={83CBC86C-6C10-4C95-91C8-49257A4EF886}</author>
    <author>tc={0B1080CB-99AD-4EFC-A03B-3AFE33EB2A6F}</author>
    <author>tc={64BEF9E3-C167-434E-9FAE-428743B8D2E4}</author>
    <author>tc={9DCB4FB3-F23B-49BC-AE82-86DC5646FBA6}</author>
    <author>tc={D7DFA8FA-E6F1-493C-9330-39DDDB18ACCB}</author>
    <author>tc={AF301BB3-C50C-416B-87AD-6D8E91523B8A}</author>
    <author>tc={89E2F295-DEB6-42A8-9E19-1B27FDFD8EAF}</author>
    <author>tc={FA3C82BD-F2B3-46C8-BA4E-059B405BD02F}</author>
    <author>tc={F75E9140-8261-4379-87C4-63775426FE46}</author>
    <author>tc={69AD53CE-12F6-4E64-A3A0-34BAC4FA6E67}</author>
    <author>tc={22654AB5-56B8-40FA-A132-A2852E2B76D6}</author>
    <author>tc={C20FFCAA-481F-4C41-AAF0-353C98095E7A}</author>
  </authors>
  <commentList>
    <comment ref="B1" authorId="0" shapeId="0" xr:uid="{26099E26-0C44-4A23-A458-159923565284}">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6FD725C7-4721-42B3-A020-883E6C998D9F}">
      <text>
        <r>
          <rPr>
            <b/>
            <sz val="9"/>
            <color indexed="81"/>
            <rFont val="Tahoma"/>
            <family val="2"/>
          </rPr>
          <t>Jonathan Wilken:</t>
        </r>
        <r>
          <rPr>
            <sz val="9"/>
            <color indexed="81"/>
            <rFont val="Tahoma"/>
            <family val="2"/>
          </rPr>
          <t xml:space="preserve">
Reading from apograph (i.e., younger copy)</t>
        </r>
      </text>
    </comment>
    <comment ref="D1" authorId="0" shapeId="0" xr:uid="{C74728FC-5770-4A53-A3A1-655F73544822}">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97AA7D24-FB23-4A87-95C5-D0523F531F20}">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1E6AE15C-F5A6-493E-9C17-109EC90D3D92}">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19E3414E-8F45-4891-9775-2975D4CB03CE}">
      <text>
        <r>
          <rPr>
            <b/>
            <sz val="9"/>
            <color indexed="81"/>
            <rFont val="Tahoma"/>
            <family val="2"/>
          </rPr>
          <t>Jonathan Wilken:</t>
        </r>
        <r>
          <rPr>
            <sz val="9"/>
            <color indexed="81"/>
            <rFont val="Tahoma"/>
            <family val="2"/>
          </rPr>
          <t xml:space="preserve">
Add, omit, transposition, substitution, combo</t>
        </r>
      </text>
    </comment>
    <comment ref="I1" authorId="0" shapeId="0" xr:uid="{4A88EF3D-F8A0-44EA-ACDC-79A2AE7B2B3A}">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D806B82E-0881-4AFD-B055-9D4931822667}">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19393D21-FAC5-43C1-A631-CDBE28F5C7E1}">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B4E48681-4683-4095-8535-4016C9425FC0}">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5F793FC9-A9AE-427B-8F80-E6A3D6C48245}">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E3805F1D-9440-429A-A53F-5A755CC667F1}">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ECF04AD0-A60F-4EC1-98F7-46613FD8D9D3}">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04FB7707-6F93-4D3A-8888-ABEC30CA1066}">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55C06317-FB53-420D-B73F-35716B82C6B7}">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BE2CB6B7-3B7A-4228-9834-93A349BB46E2}">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CE33CF8E-963F-4EAE-A369-603BA448262B}">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5F19EE34-74C1-4DDC-AF61-C3A7E499FE36}">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U1" authorId="3" shapeId="0" xr:uid="{5EA499E2-D39D-4D78-8108-5EE9AE39DBAF}">
      <text>
        <t>[Threaded comment]
Your version of Excel allows you to read this threaded comment; however, any edits to it will get removed if the file is opened in a newer version of Excel. Learn more: https://go.microsoft.com/fwlink/?linkid=870924
Comment:
    Frequency occurrence of autograph reading per 10,000 words of text</t>
      </text>
    </comment>
    <comment ref="V1" authorId="4" shapeId="0" xr:uid="{A3010AC9-DFA3-4AD1-94A5-FD106C311771}">
      <text>
        <t>[Threaded comment]
Your version of Excel allows you to read this threaded comment; however, any edits to it will get removed if the file is opened in a newer version of Excel. Learn more: https://go.microsoft.com/fwlink/?linkid=870924
Comment:
    Frequency occurrence of apograph reading per 10,000 words of text</t>
      </text>
    </comment>
    <comment ref="W1" authorId="5" shapeId="0" xr:uid="{83CBC86C-6C10-4C95-91C8-49257A4EF886}">
      <text>
        <t>[Threaded comment]
Your version of Excel allows you to read this threaded comment; however, any edits to it will get removed if the file is opened in a newer version of Excel. Learn more: https://go.microsoft.com/fwlink/?linkid=870924
Comment:
    Difference in the P10K frequency of the autograph and apograph readings. Difference = apograph - autograph. Thus, positive values indicate the apograph reading was a more common/frequent word; negative values indicate the apograph reading was a less common/frequent word</t>
      </text>
    </comment>
    <comment ref="Z1" authorId="0" shapeId="0" xr:uid="{3D9EA9AE-5D6E-46FB-8BE9-845F22843546}">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AA1" authorId="0" shapeId="0" xr:uid="{D90693DE-A3C6-4416-9C25-BC82EBEADC6F}">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AB1" authorId="6" shapeId="0" xr:uid="{0B1080CB-99AD-4EFC-A03B-3AFE33EB2A6F}">
      <text>
        <t>[Threaded comment]
Your version of Excel allows you to read this threaded comment; however, any edits to it will get removed if the file is opened in a newer version of Excel. Learn more: https://go.microsoft.com/fwlink/?linkid=870924
Comment:
    If the apograph reading is singular or dual, what kind of variant would it appear to be compared to the relevant critical text?</t>
      </text>
    </comment>
    <comment ref="AC1" authorId="0" shapeId="0" xr:uid="{A9E5AA51-120C-455A-A3AC-77E937D3C579}">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D1" authorId="0" shapeId="0" xr:uid="{116E8E01-FE13-4800-BD93-C2F284B245CC}">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F1" authorId="0" shapeId="0" xr:uid="{1C9B8F22-CB41-4608-B623-230CA1C933BE}">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G1" authorId="0" shapeId="0" xr:uid="{4703FC2C-DE30-4B18-8C89-1AEAAC681F5C}">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H1" authorId="0" shapeId="0" xr:uid="{09668B5A-4AF9-46E0-B720-31598DC67C29}">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21" authorId="7" shapeId="0" xr:uid="{64BEF9E3-C167-434E-9FAE-428743B8D2E4}">
      <text>
        <t>[Threaded comment]
Your version of Excel allows you to read this threaded comment; however, any edits to it will get removed if the file is opened in a newer version of Excel. Learn more: https://go.microsoft.com/fwlink/?linkid=870924
Comment:
    Total word count for corpus. Figure taken from Accordance "Word Count Totals" analysis. Search for word "*" specifying [RANGE &lt;CONTENT&gt;]. E.g., for 1 Samuel - 2 Kings in Alexandrinus, search for "* [RANGE 1 Sam - 2 Kings]" in LXX Rahlfs.</t>
      </text>
    </comment>
    <comment ref="D24" authorId="8" shapeId="0" xr:uid="{9DCB4FB3-F23B-49BC-AE82-86DC5646FBA6}">
      <text>
        <t>[Threaded comment]
Your version of Excel allows you to read this threaded comment; however, any edits to it will get removed if the file is opened in a newer version of Excel. Learn more: https://go.microsoft.com/fwlink/?linkid=870924
Comment:
    Number of variants where the scribe used a more common/frequent word in place of a less common/frequent word</t>
      </text>
    </comment>
    <comment ref="D25" authorId="9" shapeId="0" xr:uid="{D7DFA8FA-E6F1-493C-9330-39DDDB18ACCB}">
      <text>
        <t>[Threaded comment]
Your version of Excel allows you to read this threaded comment; however, any edits to it will get removed if the file is opened in a newer version of Excel. Learn more: https://go.microsoft.com/fwlink/?linkid=870924
Comment:
    Number of variants where the scribe used a less common/frequent word in place of a more  common/frequent word</t>
      </text>
    </comment>
    <comment ref="D26" authorId="10" shapeId="0" xr:uid="{AF301BB3-C50C-416B-87AD-6D8E91523B8A}">
      <text>
        <t>[Threaded comment]
Your version of Excel allows you to read this threaded comment; however, any edits to it will get removed if the file is opened in a newer version of Excel. Learn more: https://go.microsoft.com/fwlink/?linkid=870924
Comment:
    Probability based on 2-tailed sign test: probability of obtaining a result as extreme as or more extreme than that shown above</t>
      </text>
    </comment>
    <comment ref="D28" authorId="11" shapeId="0" xr:uid="{89E2F295-DEB6-42A8-9E19-1B27FDFD8EAF}">
      <text>
        <t>[Threaded comment]
Your version of Excel allows you to read this threaded comment; however, any edits to it will get removed if the file is opened in a newer version of Excel. Learn more: https://go.microsoft.com/fwlink/?linkid=870924
Comment:
    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
      </text>
    </comment>
    <comment ref="D29" authorId="12" shapeId="0" xr:uid="{FA3C82BD-F2B3-46C8-BA4E-059B405BD02F}">
      <text>
        <t>[Threaded comment]
Your version of Excel allows you to read this threaded comment; however, any edits to it will get removed if the file is opened in a newer version of Excel. Learn more: https://go.microsoft.com/fwlink/?linkid=870924
Comment:
    Standard deviation of the word frequency difference for substitutions</t>
      </text>
    </comment>
    <comment ref="D32" authorId="13" shapeId="0" xr:uid="{F75E9140-8261-4379-87C4-63775426FE46}">
      <text>
        <t>[Threaded comment]
Your version of Excel allows you to read this threaded comment; however, any edits to it will get removed if the file is opened in a newer version of Excel. Learn more: https://go.microsoft.com/fwlink/?linkid=870924
Comment:
    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
      </text>
    </comment>
    <comment ref="D33" authorId="14" shapeId="0" xr:uid="{69AD53CE-12F6-4E64-A3A0-34BAC4FA6E67}">
      <text>
        <t>[Threaded comment]
Your version of Excel allows you to read this threaded comment; however, any edits to it will get removed if the file is opened in a newer version of Excel. Learn more: https://go.microsoft.com/fwlink/?linkid=870924
Comment:
    Standard deviation of the change in word frequency, using the frequency measure of "occurrences per 10,000 words"</t>
      </text>
    </comment>
    <comment ref="D36" authorId="15" shapeId="0" xr:uid="{22654AB5-56B8-40FA-A132-A2852E2B76D6}">
      <text>
        <t>[Threaded comment]
Your version of Excel allows you to read this threaded comment; however, any edits to it will get removed if the file is opened in a newer version of Excel. Learn more: https://go.microsoft.com/fwlink/?linkid=870924
Comment:
    Total number of substitutions for which a word frequency difference could be calculated</t>
      </text>
    </comment>
    <comment ref="D37" authorId="16" shapeId="0" xr:uid="{C20FFCAA-481F-4C41-AAF0-353C98095E7A}">
      <text>
        <t>[Threaded comment]
Your version of Excel allows you to read this threaded comment; however, any edits to it will get removed if the file is opened in a newer version of Excel. Learn more: https://go.microsoft.com/fwlink/?linkid=870924
Comment:
    The standard deviation of word frequency difference scores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Jonathan Wilken</author>
    <author>tc={53BD3313-A8F2-4F03-9457-B3897E1D294A}</author>
    <author>tc={8B7D4486-A8BE-4D7C-ACA7-DE42A20C8C92}</author>
    <author>tc={6131EF28-FCFB-4794-8159-16353E3C5089}</author>
    <author>tc={C3C02A19-0118-40E4-9F3C-0B8DF2093CE1}</author>
    <author>tc={EB7AAE6B-E5AC-4587-992E-037F5D7F5038}</author>
    <author>tc={6DD8ABD5-AF6C-4392-8A7D-F38964BDE01F}</author>
  </authors>
  <commentList>
    <comment ref="B1" authorId="0" shapeId="0" xr:uid="{1CF6AF79-B1C6-4556-A4CD-6A4D4F4F1A1E}">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B9FD12F6-0302-4C44-ADA1-7A435D9BF52E}">
      <text>
        <r>
          <rPr>
            <b/>
            <sz val="9"/>
            <color indexed="81"/>
            <rFont val="Tahoma"/>
            <family val="2"/>
          </rPr>
          <t>Jonathan Wilken:</t>
        </r>
        <r>
          <rPr>
            <sz val="9"/>
            <color indexed="81"/>
            <rFont val="Tahoma"/>
            <family val="2"/>
          </rPr>
          <t xml:space="preserve">
Reading from apograph (i.e., younger copy)</t>
        </r>
      </text>
    </comment>
    <comment ref="D1" authorId="0" shapeId="0" xr:uid="{117063CC-CBFD-48C5-89D4-DB9D4F845C63}">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C2C5B8DA-3B93-4804-938A-AF793AF5DADE}">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3B4DEFBD-E904-40B4-BA86-4749D81EAE5E}">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963C9E70-AC9C-4301-9F73-8E36AE53DCF2}">
      <text>
        <r>
          <rPr>
            <b/>
            <sz val="9"/>
            <color indexed="81"/>
            <rFont val="Tahoma"/>
            <family val="2"/>
          </rPr>
          <t>Jonathan Wilken:</t>
        </r>
        <r>
          <rPr>
            <sz val="9"/>
            <color indexed="81"/>
            <rFont val="Tahoma"/>
            <family val="2"/>
          </rPr>
          <t xml:space="preserve">
Add, omit, transposition, substitution, combo</t>
        </r>
      </text>
    </comment>
    <comment ref="I1" authorId="0" shapeId="0" xr:uid="{A81894E8-1041-4EA8-9B2E-959F848827D3}">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11374CF4-5C51-497D-96CF-607A4E9B463F}">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68F97C2B-8E60-4651-A263-96BFB4C2FE8F}">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D03C3C17-0762-4396-BBAD-E4A25C6A801F}">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B990ABE6-3B20-48E8-884E-E5BED98B933E}">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36732E46-6DC0-4982-885F-20E7263F2A3A}">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9E3DCE34-8CAB-433D-9A17-45706ABF156D}">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CAC6F4AE-9AA5-4F6D-870F-89C212D672C4}">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EA1FDEC2-B644-46CE-AE62-2F0D8B665D00}">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096596F8-1EBA-4940-92E8-EE01213C2E61}">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53BD3313-A8F2-4F03-9457-B3897E1D294A}">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8B7D4486-A8BE-4D7C-ACA7-DE42A20C8C92}">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X1" authorId="0" shapeId="0" xr:uid="{8CD94F5B-5098-427B-8725-C30C000E01E1}">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Y1" authorId="0" shapeId="0" xr:uid="{ECC42958-503F-473D-8FDE-0C18B1EA2423}">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Z1" authorId="3" shapeId="0" xr:uid="{6131EF28-FCFB-4794-8159-16353E3C5089}">
      <text>
        <t>[Threaded comment]
Your version of Excel allows you to read this threaded comment; however, any edits to it will get removed if the file is opened in a newer version of Excel. Learn more: https://go.microsoft.com/fwlink/?linkid=870924
Comment:
    If the apograph reading is singular or dual, what kind of variant would it appear to be compared to the relevant critical text?</t>
      </text>
    </comment>
    <comment ref="AA1" authorId="0" shapeId="0" xr:uid="{690D96AA-8DEA-4A0F-BC8E-BB4A5B3A120B}">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B1" authorId="0" shapeId="0" xr:uid="{BBB56F37-F769-429F-98DE-066FA3FAFC7A}">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D1" authorId="0" shapeId="0" xr:uid="{34104023-A4F9-4729-98AB-95A01A8619D4}">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E1" authorId="0" shapeId="0" xr:uid="{8CA9D673-9CF8-43D7-BC7A-D09B925CE2DE}">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F1" authorId="0" shapeId="0" xr:uid="{9F02F1DE-51B7-4894-B769-5FB635B52FC4}">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D5" authorId="4" shapeId="0" xr:uid="{C3C02A19-0118-40E4-9F3C-0B8DF2093CE1}">
      <text>
        <t>[Threaded comment]
Your version of Excel allows you to read this threaded comment; however, any edits to it will get removed if the file is opened in a newer version of Excel. Learn more: https://go.microsoft.com/fwlink/?linkid=870924
Comment:
    The number of variants that harmonized to parallel phrases in the near context</t>
      </text>
    </comment>
    <comment ref="D6" authorId="5" shapeId="0" xr:uid="{EB7AAE6B-E5AC-4587-992E-037F5D7F5038}">
      <text>
        <t>[Threaded comment]
Your version of Excel allows you to read this threaded comment; however, any edits to it will get removed if the file is opened in a newer version of Excel. Learn more: https://go.microsoft.com/fwlink/?linkid=870924
Comment:
    The number of variants that disharmonized from  parallel phrases in the near context</t>
      </text>
    </comment>
    <comment ref="D7" authorId="6" shapeId="0" xr:uid="{6DD8ABD5-AF6C-4392-8A7D-F38964BDE01F}">
      <text>
        <t>[Threaded comment]
Your version of Excel allows you to read this threaded comment; however, any edits to it will get removed if the file is opened in a newer version of Excel. Learn more: https://go.microsoft.com/fwlink/?linkid=870924
Comment:
    The ratio of harmonizations to disharmonizations; = harmonizations / (harmonizations + disharmonizations)</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tc={A242166D-D1C1-4865-8EB1-BF437D373418}</author>
    <author>tc={C49A78DD-DEC0-45A2-84D2-5D105EF72487}</author>
    <author>tc={819BC495-8CBC-423E-BF02-F350AF434E36}</author>
    <author>tc={BB5EBC09-67F2-45B4-B26B-266DBD6BBAC0}</author>
    <author>tc={9EE7F0EB-425A-4FAA-B70F-F284F1BA55C6}</author>
  </authors>
  <commentList>
    <comment ref="A1" authorId="0" shapeId="0" xr:uid="{A242166D-D1C1-4865-8EB1-BF437D373418}">
      <text>
        <t>[Threaded comment]
Your version of Excel allows you to read this threaded comment; however, any edits to it will get removed if the file is opened in a newer version of Excel. Learn more: https://go.microsoft.com/fwlink/?linkid=870924
Comment:
    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
      </text>
    </comment>
    <comment ref="A2" authorId="1" shapeId="0" xr:uid="{C49A78DD-DEC0-45A2-84D2-5D105EF72487}">
      <text>
        <t>[Threaded comment]
Your version of Excel allows you to read this threaded comment; however, any edits to it will get removed if the file is opened in a newer version of Excel. Learn more: https://go.microsoft.com/fwlink/?linkid=870924
Comment:
    The number of total deviations from the exemplar. Includes itacisms, orthographic changes, nonsense readings etc.</t>
      </text>
    </comment>
    <comment ref="A3" authorId="2" shapeId="0" xr:uid="{819BC495-8CBC-423E-BF02-F350AF434E36}">
      <text>
        <t>[Threaded comment]
Your version of Excel allows you to read this threaded comment; however, any edits to it will get removed if the file is opened in a newer version of Excel. Learn more: https://go.microsoft.com/fwlink/?linkid=870924
Comment:
    The number of "meaningful" variants produced by the scribe. Should be based on the "general filters" page, with those readings excluded that have not been deemed fit for analysis (e.g., nonsense readings and corrections thereof, itacisms etc.)</t>
      </text>
    </comment>
    <comment ref="A5" authorId="3" shapeId="0" xr:uid="{BB5EBC09-67F2-45B4-B26B-266DBD6BBAC0}">
      <text>
        <t>[Threaded comment]
Your version of Excel allows you to read this threaded comment; however, any edits to it will get removed if the file is opened in a newer version of Excel. Learn more: https://go.microsoft.com/fwlink/?linkid=870924
Comment:
    The rate of error generation per 1000 words in the apograph. Figure includes itacisms, orthographic changes, nonsense readings etc.</t>
      </text>
    </comment>
    <comment ref="A6" authorId="4" shapeId="0" xr:uid="{9EE7F0EB-425A-4FAA-B70F-F284F1BA55C6}">
      <text>
        <t>[Threaded comment]
Your version of Excel allows you to read this threaded comment; however, any edits to it will get removed if the file is opened in a newer version of Excel. Learn more: https://go.microsoft.com/fwlink/?linkid=870924
Comment:
    Frequency of "meaningful" errors per 1000 words in the apograph. "Meaningful" errors are defined by the general filters applied to the raw data. (Here, this means the exclusion of such readings as itacisms, orthographic changes, variants involving nonsense readings etc.)</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Jonathan Wilken</author>
    <author>tc={76C1B2D9-C2EF-4F3A-A33F-DF2888700555}</author>
    <author>tc={87F7C83C-870D-47C3-801E-299CFFBB0258}</author>
    <author>tc={D48A7AFC-2AC5-4E17-9AA4-B843A00FA980}</author>
    <author>tc={967E6753-8BC9-4817-9CAA-41E15A346997}</author>
    <author>tc={705D1235-C6EA-43DD-9416-63D7D5DB8B35}</author>
    <author>tc={A8585220-3725-494E-8AA0-8565BC9D9482}</author>
    <author>tc={1BEF079A-A5F8-4BBC-8D46-FFB0462C467C}</author>
    <author>tc={3A705D0C-1DC3-4176-9630-F13AF3C284FD}</author>
    <author>tc={7CE73209-E87F-4F87-B533-D2B135A5F771}</author>
  </authors>
  <commentList>
    <comment ref="B1" authorId="0" shapeId="0" xr:uid="{2D7ECDDD-68E8-4FA5-8403-A277462F822A}">
      <text>
        <r>
          <rPr>
            <b/>
            <sz val="9"/>
            <color indexed="81"/>
            <rFont val="Tahoma"/>
            <family val="2"/>
          </rPr>
          <t>Jonathan Wilken:</t>
        </r>
        <r>
          <rPr>
            <sz val="9"/>
            <color indexed="81"/>
            <rFont val="Tahoma"/>
            <family val="2"/>
          </rPr>
          <t xml:space="preserve">
Reading from autograph (i.e., the older MS that was copied)</t>
        </r>
      </text>
    </comment>
    <comment ref="C1" authorId="0" shapeId="0" xr:uid="{5E573926-EC55-4AC8-A6EE-8C2480AC60F6}">
      <text>
        <r>
          <rPr>
            <b/>
            <sz val="9"/>
            <color indexed="81"/>
            <rFont val="Tahoma"/>
            <family val="2"/>
          </rPr>
          <t>Jonathan Wilken:</t>
        </r>
        <r>
          <rPr>
            <sz val="9"/>
            <color indexed="81"/>
            <rFont val="Tahoma"/>
            <family val="2"/>
          </rPr>
          <t xml:space="preserve">
Reading from apograph (i.e., younger copy)</t>
        </r>
      </text>
    </comment>
    <comment ref="D1" authorId="0" shapeId="0" xr:uid="{FC2B68DD-DBA4-40B2-9DEC-6FF4690ACB59}">
      <text>
        <r>
          <rPr>
            <b/>
            <sz val="9"/>
            <color indexed="81"/>
            <rFont val="Tahoma"/>
            <family val="2"/>
          </rPr>
          <t>Jonathan Wilken:</t>
        </r>
        <r>
          <rPr>
            <sz val="9"/>
            <color indexed="81"/>
            <rFont val="Tahoma"/>
            <family val="2"/>
          </rPr>
          <t xml:space="preserve">
Potential reasons why this reading should not be included in data analysis</t>
        </r>
      </text>
    </comment>
    <comment ref="E1" authorId="0" shapeId="0" xr:uid="{8B77DB5A-1870-450E-AE4E-B28E7F746A1C}">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F1" authorId="0" shapeId="0" xr:uid="{0DDA5C93-BC28-451F-A1EB-412B1AE08F03}">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H1" authorId="0" shapeId="0" xr:uid="{9833C845-04BC-4466-8E65-02DB590A0826}">
      <text>
        <r>
          <rPr>
            <b/>
            <sz val="9"/>
            <color indexed="81"/>
            <rFont val="Tahoma"/>
            <family val="2"/>
          </rPr>
          <t>Jonathan Wilken:</t>
        </r>
        <r>
          <rPr>
            <sz val="9"/>
            <color indexed="81"/>
            <rFont val="Tahoma"/>
            <family val="2"/>
          </rPr>
          <t xml:space="preserve">
Add, omit, transposition, substitution, combo</t>
        </r>
      </text>
    </comment>
    <comment ref="I1" authorId="0" shapeId="0" xr:uid="{025CC082-BFC7-480E-9814-8646164114CC}">
      <text>
        <r>
          <rPr>
            <b/>
            <sz val="9"/>
            <color indexed="81"/>
            <rFont val="Tahoma"/>
            <family val="2"/>
          </rPr>
          <t>Jonathan Wilken:</t>
        </r>
        <r>
          <rPr>
            <sz val="9"/>
            <color indexed="81"/>
            <rFont val="Tahoma"/>
            <family val="2"/>
          </rPr>
          <t xml:space="preserve">
For add/omits. Should only be used if complete phrases &gt;= 1. Set to 0 for &lt; 1.
</t>
        </r>
      </text>
    </comment>
    <comment ref="J1" authorId="0" shapeId="0" xr:uid="{A7E92074-665D-4795-BC98-5B3A27487D84}">
      <text>
        <r>
          <rPr>
            <b/>
            <sz val="9"/>
            <color indexed="81"/>
            <rFont val="Tahoma"/>
            <family val="2"/>
          </rPr>
          <t>Jonathan Wilken:</t>
        </r>
        <r>
          <rPr>
            <sz val="9"/>
            <color indexed="81"/>
            <rFont val="Tahoma"/>
            <family val="2"/>
          </rPr>
          <t xml:space="preserve">
Jonathan Wilken:
For add/omits. Default and lower limit = 1. When only letters are omitted, this should be classified under "Substitions" or other relevant options (e.g., Nonsense reading)</t>
        </r>
      </text>
    </comment>
    <comment ref="K1" authorId="0" shapeId="0" xr:uid="{358A5F14-A589-435A-A5FA-E93E8B9D2ED1}">
      <text>
        <r>
          <rPr>
            <b/>
            <sz val="9"/>
            <color indexed="81"/>
            <rFont val="Tahoma"/>
            <family val="2"/>
          </rPr>
          <t>Jonathan Wilken:</t>
        </r>
        <r>
          <rPr>
            <sz val="9"/>
            <color indexed="81"/>
            <rFont val="Tahoma"/>
            <family val="2"/>
          </rPr>
          <t xml:space="preserve">
For add/omits. When an entire word is not added/omitted, a different field for letter length should be used.</t>
        </r>
      </text>
    </comment>
    <comment ref="L1" authorId="0" shapeId="0" xr:uid="{AF8B1153-5C11-4F91-A847-B0293BE72A3B}">
      <text>
        <r>
          <rPr>
            <b/>
            <sz val="9"/>
            <color indexed="81"/>
            <rFont val="Tahoma"/>
            <family val="2"/>
          </rPr>
          <t>Jonathan Wilken:</t>
        </r>
        <r>
          <rPr>
            <sz val="9"/>
            <color indexed="81"/>
            <rFont val="Tahoma"/>
            <family val="2"/>
          </rPr>
          <t xml:space="preserve">
To be used with add/omits. Should this field be limited to add/omits of 1 word? If not, need to decide how to account for all elements in multi-word add/omits</t>
        </r>
      </text>
    </comment>
    <comment ref="M1" authorId="0" shapeId="0" xr:uid="{49277AB5-03AE-4B6C-B782-14C0202286C3}">
      <text>
        <r>
          <rPr>
            <b/>
            <sz val="9"/>
            <color indexed="81"/>
            <rFont val="Tahoma"/>
            <family val="2"/>
          </rPr>
          <t>Jonathan Wilken:</t>
        </r>
        <r>
          <rPr>
            <sz val="9"/>
            <color indexed="81"/>
            <rFont val="Tahoma"/>
            <family val="2"/>
          </rPr>
          <t xml:space="preserve">
For add/omits. Should be "Present" or "Absent". The presence or absense of visual cues should be based on a minimum 3-letter similarity between at least one pair of critical regions. The identity of those critical regions and the magnitude of similarity should be documented in other fields</t>
        </r>
      </text>
    </comment>
    <comment ref="N1" authorId="0" shapeId="0" xr:uid="{26B20342-7915-4656-BEC2-0D22D33C87EE}">
      <text>
        <r>
          <rPr>
            <b/>
            <sz val="9"/>
            <color indexed="81"/>
            <rFont val="Tahoma"/>
            <family val="2"/>
          </rPr>
          <t>Jonathan Wilken:</t>
        </r>
        <r>
          <rPr>
            <sz val="9"/>
            <color indexed="81"/>
            <rFont val="Tahoma"/>
            <family val="2"/>
          </rPr>
          <t xml:space="preserve">
Indicate with letter pairs which pairs of regions contain identical letter patterns. (E.g., AC or BD) When multiple similarities exist, separate region pairs with a semicolon. (E.g., AC:BD)</t>
        </r>
      </text>
    </comment>
    <comment ref="O1" authorId="0" shapeId="0" xr:uid="{78B8C484-A9D1-42F2-BADA-65EAE9EEFEA3}">
      <text>
        <r>
          <rPr>
            <b/>
            <sz val="9"/>
            <color indexed="81"/>
            <rFont val="Tahoma"/>
            <family val="2"/>
          </rPr>
          <t>Jonathan Wilken:</t>
        </r>
        <r>
          <rPr>
            <sz val="9"/>
            <color indexed="81"/>
            <rFont val="Tahoma"/>
            <family val="2"/>
          </rPr>
          <t xml:space="preserve">
Record the number of letters shared by critical regions. Where multiple region pairs were indicated in the "Cue Region" field, list each magnitude separated by a semicolon in the order corresponding to that used in the "Cue Region" field. E.g., if Cue Region = AC:BD, Cue Length might = 5:4</t>
        </r>
      </text>
    </comment>
    <comment ref="P1" authorId="0" shapeId="0" xr:uid="{A500C571-ED9D-4836-9147-DC304632E7AF}">
      <text>
        <r>
          <rPr>
            <b/>
            <sz val="9"/>
            <color indexed="81"/>
            <rFont val="Tahoma"/>
            <family val="2"/>
          </rPr>
          <t>Jonathan Wilken:</t>
        </r>
        <r>
          <rPr>
            <sz val="9"/>
            <color indexed="81"/>
            <rFont val="Tahoma"/>
            <family val="2"/>
          </rPr>
          <t xml:space="preserve">
For use with add/omits. When the longer reading constitutes a duplication of tangential material (= Dittography) or material in the immediate context (i.e., on the same page; = repetition)
</t>
        </r>
      </text>
    </comment>
    <comment ref="Q1" authorId="0" shapeId="0" xr:uid="{73187C92-7EC0-417F-BF97-79885FF066AE}">
      <text>
        <r>
          <rPr>
            <b/>
            <sz val="9"/>
            <color indexed="81"/>
            <rFont val="Tahoma"/>
            <family val="2"/>
          </rPr>
          <t>Jonathan Wilken:</t>
        </r>
        <r>
          <rPr>
            <sz val="9"/>
            <color indexed="81"/>
            <rFont val="Tahoma"/>
            <family val="2"/>
          </rPr>
          <t xml:space="preserve">
For add/omits. The frequency of the word added or omitted within its corpus (or all corpora assessed?). For multi-word add/omits, the lowest frequency word should be used to represent the reading as a whole</t>
        </r>
      </text>
    </comment>
    <comment ref="R1" authorId="0" shapeId="0" xr:uid="{7EFFA58B-ED2F-451A-9E00-5F506D51281B}">
      <text>
        <r>
          <rPr>
            <b/>
            <sz val="9"/>
            <color indexed="81"/>
            <rFont val="Tahoma"/>
            <family val="2"/>
          </rPr>
          <t>Jonathan Wilken:</t>
        </r>
        <r>
          <rPr>
            <sz val="9"/>
            <color indexed="81"/>
            <rFont val="Tahoma"/>
            <family val="2"/>
          </rPr>
          <t xml:space="preserve">
For substitutions. The difference in frequency between the word written in the autograph and the word that replaced it in the apograph. If a common word is replaced with a less common word, this number will be positive. If the opposite, it will be negative</t>
        </r>
      </text>
    </comment>
    <comment ref="S1" authorId="1" shapeId="0" xr:uid="{76C1B2D9-C2EF-4F3A-A33F-DF2888700555}">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apograph reading</t>
      </text>
    </comment>
    <comment ref="T1" authorId="2" shapeId="0" xr:uid="{87F7C83C-870D-47C3-801E-299CFFBB0258}">
      <text>
        <t>[Threaded comment]
Your version of Excel allows you to read this threaded comment; however, any edits to it will get removed if the file is opened in a newer version of Excel. Learn more: https://go.microsoft.com/fwlink/?linkid=870924
Comment:
    For substitutions, the word frequency of the autograph reading</t>
      </text>
    </comment>
    <comment ref="W1" authorId="0" shapeId="0" xr:uid="{08838089-EEC9-42AC-9C67-07A727DA97A7}">
      <text>
        <r>
          <rPr>
            <b/>
            <sz val="9"/>
            <color indexed="81"/>
            <rFont val="Tahoma"/>
            <family val="2"/>
          </rPr>
          <t>Jonathan Wilken:</t>
        </r>
        <r>
          <rPr>
            <sz val="9"/>
            <color indexed="81"/>
            <rFont val="Tahoma"/>
            <family val="2"/>
          </rPr>
          <t xml:space="preserve">
Parallel passages will consist of passages that record the same or similar events in similar language, or quotations of other books. "Context" will refer to material present within one page of a given reading. "Harmonizing" means the apograph has supplied a reading more similar to the material in question; "disharmonizing" means the apograph has provided a less similar reading</t>
        </r>
      </text>
    </comment>
    <comment ref="X1" authorId="0" shapeId="0" xr:uid="{1EC5D98E-EE42-446F-AA73-D77BD8E2CA14}">
      <text>
        <r>
          <rPr>
            <b/>
            <sz val="9"/>
            <color indexed="81"/>
            <rFont val="Tahoma"/>
            <family val="2"/>
          </rPr>
          <t>Jonathan Wilken:</t>
        </r>
        <r>
          <rPr>
            <sz val="9"/>
            <color indexed="81"/>
            <rFont val="Tahoma"/>
            <family val="2"/>
          </rPr>
          <t xml:space="preserve">
Is the apograph reading "singular" or "dual"? "Dual" here will refer to readings that would appear singular without recourse to the autograph. Since this can only occur where the MS pair agrees, these readings will need to be identified at a later stage</t>
        </r>
      </text>
    </comment>
    <comment ref="Y1" authorId="3" shapeId="0" xr:uid="{D48A7AFC-2AC5-4E17-9AA4-B843A00FA980}">
      <text>
        <t>[Threaded comment]
Your version of Excel allows you to read this threaded comment; however, any edits to it will get removed if the file is opened in a newer version of Excel. Learn more: https://go.microsoft.com/fwlink/?linkid=870924
Comment:
    If the apograph reading is singular or dual, what kind of variant would it appear to be compared to the relevant critical text?</t>
      </text>
    </comment>
    <comment ref="Z1" authorId="0" shapeId="0" xr:uid="{35AE1585-1272-4016-9CFD-3E42E7FAD20D}">
      <text>
        <r>
          <rPr>
            <b/>
            <sz val="9"/>
            <color indexed="81"/>
            <rFont val="Tahoma"/>
            <family val="2"/>
          </rPr>
          <t>Jonathan Wilken:</t>
        </r>
        <r>
          <rPr>
            <sz val="9"/>
            <color indexed="81"/>
            <rFont val="Tahoma"/>
            <family val="2"/>
          </rPr>
          <t xml:space="preserve">
Is the apograph reading "secondary"? That is, does it deviate from its autograph? (Only dual readings could be coded as non-secondary. This field may therefore be redundant.)</t>
        </r>
      </text>
    </comment>
    <comment ref="AA1" authorId="0" shapeId="0" xr:uid="{FC0238C4-2DAB-4600-88A6-8C20F8D98FB6}">
      <text>
        <r>
          <rPr>
            <b/>
            <sz val="9"/>
            <color indexed="81"/>
            <rFont val="Tahoma"/>
            <family val="2"/>
          </rPr>
          <t>Jonathan Wilken:</t>
        </r>
        <r>
          <rPr>
            <sz val="9"/>
            <color indexed="81"/>
            <rFont val="Tahoma"/>
            <family val="2"/>
          </rPr>
          <t xml:space="preserve">
Royse, Colwell and others leave certain variants out of consideration. These include itacisms, moveable nu, breathings, accents, punctuation, iota adscript or subscript, and and abbreviation issues. (Scribal Habits, pp. 79-81) I have already exlucded abbreviations from my dataset. It may do to therefore also exclude the items listed above. If they are to remain in the dataset (for future study), it will be best to tag them and filter them out later</t>
        </r>
      </text>
    </comment>
    <comment ref="AC1" authorId="0" shapeId="0" xr:uid="{86653C3F-82C7-43F8-A2A2-48C831A5DF4A}">
      <text>
        <r>
          <rPr>
            <b/>
            <sz val="9"/>
            <color indexed="81"/>
            <rFont val="Tahoma"/>
            <family val="2"/>
          </rPr>
          <t>Jonathan Wilken:</t>
        </r>
        <r>
          <rPr>
            <sz val="9"/>
            <color indexed="81"/>
            <rFont val="Tahoma"/>
            <family val="2"/>
          </rPr>
          <t xml:space="preserve">
This category seems vague to me, and I feel inclined not to use it. Royse says thse include "readings that can be reasonably seen as alternative spellings of the usual readings, or that involve well-established phonetic substitutions, for which I have relied chiefly on the work of Gignac." (Scribal Habits, p. 82) He grants many of these may be difficult to distinguish from nonsense readings.
It might be best for now to explicitly list here what suspected orthographic change is occuring (e.g., "νγ -&gt; γγ". Patterns can be identified as a second step, and line items filtered as necessary.</t>
        </r>
      </text>
    </comment>
    <comment ref="AD1" authorId="0" shapeId="0" xr:uid="{01EA8E39-6EB5-49A3-8655-CB233F682C23}">
      <text>
        <r>
          <rPr>
            <b/>
            <sz val="9"/>
            <color indexed="81"/>
            <rFont val="Tahoma"/>
            <family val="2"/>
          </rPr>
          <t>Jonathan Wilken:</t>
        </r>
        <r>
          <rPr>
            <sz val="9"/>
            <color indexed="81"/>
            <rFont val="Tahoma"/>
            <family val="2"/>
          </rPr>
          <t xml:space="preserve">
Royse appeals to Colwell's definition: "words unknown to grammar or lexicon, words that cannot be construed syntactically, or words that do not make sense in the context." (Royse, Scribal Habits, p. 90 quoting Colwell, Scribal Habits p. 111) Royse prefers to distinguish between "strictly nonsense" readings and "nonsense in context" readings.</t>
        </r>
      </text>
    </comment>
    <comment ref="AE1" authorId="0" shapeId="0" xr:uid="{5B6440F8-FF60-49A7-9179-AD5494B7A7DA}">
      <text>
        <r>
          <rPr>
            <b/>
            <sz val="9"/>
            <color indexed="81"/>
            <rFont val="Tahoma"/>
            <family val="2"/>
          </rPr>
          <t>Jonathan Wilken:</t>
        </r>
        <r>
          <rPr>
            <sz val="9"/>
            <color indexed="81"/>
            <rFont val="Tahoma"/>
            <family val="2"/>
          </rPr>
          <t xml:space="preserve">
If unique characteristics leave it unclear whether a variant should be included or excluded from analysis, mark them here for later review.</t>
        </r>
      </text>
    </comment>
    <comment ref="X2" authorId="4" shapeId="0" xr:uid="{967E6753-8BC9-4817-9CAA-41E15A346997}">
      <text>
        <t>[Threaded comment]
Your version of Excel allows you to read this threaded comment; however, any edits to it will get removed if the file is opened in a newer version of Excel. Learn more: https://go.microsoft.com/fwlink/?linkid=870924
Comment:
    For O.4.24, singularity will be determined by comparison to the readings presented in M. de Jonge's 1978 critical edition</t>
      </text>
    </comment>
    <comment ref="E175" authorId="5" shapeId="0" xr:uid="{705D1235-C6EA-43DD-9416-63D7D5DB8B35}">
      <text>
        <t>[Threaded comment]
Your version of Excel allows you to read this threaded comment; however, any edits to it will get removed if the file is opened in a newer version of Excel. Learn more: https://go.microsoft.com/fwlink/?linkid=870924
Comment:
    Variants in the apograph that were not singular readings. I.e., other MSS contained the same reading. The singular readings method would not detect these variants in a manuscript</t>
      </text>
    </comment>
    <comment ref="E176" authorId="6" shapeId="0" xr:uid="{A8585220-3725-494E-8AA0-8565BC9D9482}">
      <text>
        <t>[Threaded comment]
Your version of Excel allows you to read this threaded comment; however, any edits to it will get removed if the file is opened in a newer version of Excel. Learn more: https://go.microsoft.com/fwlink/?linkid=870924
Comment:
    True singular readings. The apograph has deviated from its exemplar and the result was a singular reading. The singular readings method would detect these, and they would be the true creations of the manuscript's scribe</t>
      </text>
    </comment>
    <comment ref="E177" authorId="7" shapeId="0" xr:uid="{1BEF079A-A5F8-4BBC-8D46-FFB0462C467C}">
      <text>
        <t>[Threaded comment]
Your version of Excel allows you to read this threaded comment; however, any edits to it will get removed if the file is opened in a newer version of Excel. Learn more: https://go.microsoft.com/fwlink/?linkid=870924
Comment:
    Basically dual readings with the autograph. These are places where the apograph has faithfully transmitted a reading from its exemplar, but no other MS has that reading. The singular readings method would identify these as variants in the apograph manuscript, even though they are not truly variants. These readings contaminate the data pool offered by the singular readings method</t>
      </text>
    </comment>
    <comment ref="E179" authorId="8" shapeId="0" xr:uid="{3A705D0C-1DC3-4176-9630-F13AF3C284FD}">
      <text>
        <t>[Threaded comment]
Your version of Excel allows you to read this threaded comment; however, any edits to it will get removed if the file is opened in a newer version of Excel. Learn more: https://go.microsoft.com/fwlink/?linkid=870924
Comment:
    The percentage of total variants that are also singular readings. This is the proportion of true variants in a manuscript that would be detected by the singular readings method.</t>
      </text>
    </comment>
    <comment ref="E180" authorId="9" shapeId="0" xr:uid="{7CE73209-E87F-4F87-B533-D2B135A5F771}">
      <text>
        <t>[Threaded comment]
Your version of Excel allows you to read this threaded comment; however, any edits to it will get removed if the file is opened in a newer version of Excel. Learn more: https://go.microsoft.com/fwlink/?linkid=870924
Comment:
    The percentage of all apparently singular readings in the apograph that are not variants, but accurate representations of the autograph manuscript. The contamination rate is therefore the proportion of readings identified by the singular readings method that are not the creations of the scribe in question.</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Jonathan Wilken</author>
    <author>tc={FA453649-0517-4978-A6FE-3C5DBE6653AE}</author>
    <author>tc={107C528D-91A6-4BDA-AC19-A4661795CC40}</author>
    <author>tc={88DD870A-2552-4C1B-A5D2-27C956847775}</author>
    <author>tc={CDCB78CB-4DE3-415D-BB14-0D465C7AC5F4}</author>
    <author>tc={B55FD924-71B7-4470-8A67-02F48E645951}</author>
    <author>tc={F74F3533-D6BA-4417-AE90-501F1C639388}</author>
    <author>tc={381DE320-B1F5-4A05-BDC0-894EE16CC99A}</author>
    <author>tc={2C0637CB-6223-4600-BC41-A8F482563AEF}</author>
    <author>tc={8BE5C7E4-10A8-4B5A-8587-1939623AD98A}</author>
  </authors>
  <commentList>
    <comment ref="A1" authorId="0" shapeId="0" xr:uid="{1294377C-BB8F-4145-B1B0-FAFCDDF0F294}">
      <text>
        <r>
          <rPr>
            <b/>
            <sz val="9"/>
            <color indexed="81"/>
            <rFont val="Tahoma"/>
            <family val="2"/>
          </rPr>
          <t>Jonathan Wilken:</t>
        </r>
        <r>
          <rPr>
            <sz val="9"/>
            <color indexed="81"/>
            <rFont val="Tahoma"/>
            <family val="2"/>
          </rPr>
          <t xml:space="preserve">
Potential reasons why this reading should not be included in data analysis</t>
        </r>
      </text>
    </comment>
    <comment ref="B1" authorId="0" shapeId="0" xr:uid="{B945815E-DD27-484E-86E7-29202A41CF1F}">
      <text>
        <r>
          <rPr>
            <b/>
            <sz val="9"/>
            <color indexed="81"/>
            <rFont val="Tahoma"/>
            <family val="2"/>
          </rPr>
          <t>Jonathan Wilken:</t>
        </r>
        <r>
          <rPr>
            <sz val="9"/>
            <color indexed="81"/>
            <rFont val="Tahoma"/>
            <family val="2"/>
          </rPr>
          <t xml:space="preserve">
If a correction occurs in the autograph, does the apograph follow the correction ("yes") or the initial reading ("no")</t>
        </r>
      </text>
    </comment>
    <comment ref="C1" authorId="0" shapeId="0" xr:uid="{ED986212-D850-4DF9-A9AD-8458C4D64865}">
      <text>
        <r>
          <rPr>
            <b/>
            <sz val="9"/>
            <color indexed="81"/>
            <rFont val="Tahoma"/>
            <family val="2"/>
          </rPr>
          <t>Jonathan Wilken:</t>
        </r>
        <r>
          <rPr>
            <sz val="9"/>
            <color indexed="81"/>
            <rFont val="Tahoma"/>
            <family val="2"/>
          </rPr>
          <t xml:space="preserve">
Was the variant here documented corrected, whether by the firsthand or a later scribe</t>
        </r>
      </text>
    </comment>
    <comment ref="D1" authorId="0" shapeId="0" xr:uid="{13FCE321-8E6E-4A1F-8488-F2CE89A9B9B4}">
      <text>
        <r>
          <rPr>
            <b/>
            <sz val="9"/>
            <color indexed="81"/>
            <rFont val="Tahoma"/>
            <family val="2"/>
          </rPr>
          <t>Jonathan Wilken:</t>
        </r>
        <r>
          <rPr>
            <sz val="9"/>
            <color indexed="81"/>
            <rFont val="Tahoma"/>
            <family val="2"/>
          </rPr>
          <t xml:space="preserve">
Add, omit, transposition, substitution, combo</t>
        </r>
      </text>
    </comment>
    <comment ref="L3" authorId="1" shapeId="0" xr:uid="{FA453649-0517-4978-A6FE-3C5DBE6653AE}">
      <text>
        <t>[Threaded comment]
Your version of Excel allows you to read this threaded comment; however, any edits to it will get removed if the file is opened in a newer version of Excel. Learn more: https://go.microsoft.com/fwlink/?linkid=870924
Comment:
    The apograph reading is singular and the autograph reading is not. The singular readings method would detect this variant</t>
      </text>
    </comment>
    <comment ref="M3" authorId="2" shapeId="0" xr:uid="{107C528D-91A6-4BDA-AC19-A4661795CC40}">
      <text>
        <t>[Threaded comment]
Your version of Excel allows you to read this threaded comment; however, any edits to it will get removed if the file is opened in a newer version of Excel. Learn more: https://go.microsoft.com/fwlink/?linkid=870924
Comment:
    Places where the apograph has altered the text, but the apograph reading corresponds to the modern critical edition of the text</t>
      </text>
    </comment>
    <comment ref="L4" authorId="3" shapeId="0" xr:uid="{88DD870A-2552-4C1B-A5D2-27C956847775}">
      <text>
        <t>[Threaded comment]
Your version of Excel allows you to read this threaded comment; however, any edits to it will get removed if the file is opened in a newer version of Excel. Learn more: https://go.microsoft.com/fwlink/?linkid=870924
Comment:
    That is, the autograph contains a singular reading and the apograph followed it</t>
      </text>
    </comment>
    <comment ref="M4" authorId="4" shapeId="0" xr:uid="{CDCB78CB-4DE3-415D-BB14-0D465C7AC5F4}">
      <text>
        <t>[Threaded comment]
Your version of Excel allows you to read this threaded comment; however, any edits to it will get removed if the file is opened in a newer version of Excel. Learn more: https://go.microsoft.com/fwlink/?linkid=870924
Comment:
    Places where the apograph has altered the text, and the apograph reading deviates from the modern critical edition of the text</t>
      </text>
    </comment>
    <comment ref="L5" authorId="5" shapeId="0" xr:uid="{B55FD924-71B7-4470-8A67-02F48E645951}">
      <text>
        <t>[Threaded comment]
Your version of Excel allows you to read this threaded comment; however, any edits to it will get removed if the file is opened in a newer version of Excel. Learn more: https://go.microsoft.com/fwlink/?linkid=870924
Comment:
    The apograph reading is not singular: other witnesses contain the same reading. These are real variants produced by the apograph scribe, but the singular readings method would not detect them</t>
      </text>
    </comment>
    <comment ref="M5" authorId="6" shapeId="0" xr:uid="{F74F3533-D6BA-4417-AE90-501F1C639388}">
      <text>
        <t>[Threaded comment]
Your version of Excel allows you to read this threaded comment; however, any edits to it will get removed if the file is opened in a newer version of Excel. Learn more: https://go.microsoft.com/fwlink/?linkid=870924
Comment:
    Places where the apograph has altered the text, and the apograph reading deviates from the modern critical edition of the text, but the apparent type of variation relative to the critical text differs from the true variant type (e.g., relative to the critical text the variant appears to be a substitution, but relative to the exemplar it is an addition)</t>
      </text>
    </comment>
    <comment ref="L6" authorId="7" shapeId="0" xr:uid="{381DE320-B1F5-4A05-BDC0-894EE16CC99A}">
      <text>
        <t>[Threaded comment]
Your version of Excel allows you to read this threaded comment; however, any edits to it will get removed if the file is opened in a newer version of Excel. Learn more: https://go.microsoft.com/fwlink/?linkid=870924
Comment:
    Particularly for use when a given edition does not supply sufficient data to determine singularity</t>
      </text>
    </comment>
    <comment ref="M6" authorId="8" shapeId="0" xr:uid="{2C0637CB-6223-4600-BC41-A8F482563AEF}">
      <text>
        <t>[Threaded comment]
Your version of Excel allows you to read this threaded comment; however, any edits to it will get removed if the file is opened in a newer version of Excel. Learn more: https://go.microsoft.com/fwlink/?linkid=870924
Comment:
    Places where the apograph text differs from the modern critical text, but the apograph has not altered the autograph text (i.e., the apograph scribe has not actually altered his text)</t>
      </text>
    </comment>
    <comment ref="O13" authorId="9" shapeId="0" xr:uid="{8BE5C7E4-10A8-4B5A-8587-1939623AD98A}">
      <text>
        <t>[Threaded comment]
Your version of Excel allows you to read this threaded comment; however, any edits to it will get removed if the file is opened in a newer version of Excel. Learn more: https://go.microsoft.com/fwlink/?linkid=870924
Comment:
    For words which have multiple common forms not impacting their inflection (e.g., ουκ-ουχ-ου, επι-επ-εφ)</t>
      </text>
    </comment>
  </commentList>
</comments>
</file>

<file path=xl/sharedStrings.xml><?xml version="1.0" encoding="utf-8"?>
<sst xmlns="http://schemas.openxmlformats.org/spreadsheetml/2006/main" count="6286" uniqueCount="1762">
  <si>
    <t>Verse Ref</t>
  </si>
  <si>
    <t>Phys Loc 1</t>
  </si>
  <si>
    <t>Phys Loc 2</t>
  </si>
  <si>
    <t>Basic Type</t>
  </si>
  <si>
    <t>Harmonizing</t>
  </si>
  <si>
    <t>Autograph</t>
  </si>
  <si>
    <t>Apograph</t>
  </si>
  <si>
    <t>Detail</t>
  </si>
  <si>
    <t>Exclusion grounds</t>
  </si>
  <si>
    <t>Corrector followed</t>
  </si>
  <si>
    <t>Apograph corrected</t>
  </si>
  <si>
    <t>Autograph unclear</t>
  </si>
  <si>
    <t>Autograph unclear (but clear enough)</t>
  </si>
  <si>
    <t>Autograph unclear (Apograph reading likely)</t>
  </si>
  <si>
    <t>Damage to autograph</t>
  </si>
  <si>
    <t>Not a variant: autograph transcript error</t>
  </si>
  <si>
    <t>Not a variant: apograph transcript error</t>
  </si>
  <si>
    <t>Apograph unclear</t>
  </si>
  <si>
    <t>Marked Regularization?</t>
  </si>
  <si>
    <t>Yes</t>
  </si>
  <si>
    <t>No</t>
  </si>
  <si>
    <t>Yes, but still an error</t>
  </si>
  <si>
    <t>Yes, partially</t>
  </si>
  <si>
    <t>Yes, to another error</t>
  </si>
  <si>
    <t>Addition</t>
  </si>
  <si>
    <t>Omission</t>
  </si>
  <si>
    <t>Transposition</t>
  </si>
  <si>
    <t>Multiple</t>
  </si>
  <si>
    <t>Apograph unclear (but clear enough)</t>
  </si>
  <si>
    <t>Apograph unclear (Autograph reading likely)</t>
  </si>
  <si>
    <t>Unclear due to correction</t>
  </si>
  <si>
    <t>Autograph transcript error, but still a variant</t>
  </si>
  <si>
    <t>Apograph transcript error, but still a variant</t>
  </si>
  <si>
    <t>Both transcripts in error, but still a variant</t>
  </si>
  <si>
    <t>Not a variant: error in both transcripts</t>
  </si>
  <si>
    <t>Not a variant, but correction is</t>
  </si>
  <si>
    <t>Other</t>
  </si>
  <si>
    <t>TReub.1.4</t>
  </si>
  <si>
    <t>TReub.1.7</t>
  </si>
  <si>
    <t>TReub.1.10</t>
  </si>
  <si>
    <t>TReub.2.8</t>
  </si>
  <si>
    <t>φιληδονιας</t>
  </si>
  <si>
    <t>φιληδηνιας</t>
  </si>
  <si>
    <t>TReub.3.1</t>
  </si>
  <si>
    <t>TReub.3.5</t>
  </si>
  <si>
    <t>TReub.3.6</t>
  </si>
  <si>
    <t>δολολειψιας</t>
  </si>
  <si>
    <t>TReub.3.7</t>
  </si>
  <si>
    <t>TReub.3.11</t>
  </si>
  <si>
    <t>σκεπινω</t>
  </si>
  <si>
    <t>TReub.4.1</t>
  </si>
  <si>
    <t>μοχθωντες</t>
  </si>
  <si>
    <t>TReub.4.3</t>
  </si>
  <si>
    <t>TReub.4.4</t>
  </si>
  <si>
    <t>παρελθη</t>
  </si>
  <si>
    <t>παρεθη</t>
  </si>
  <si>
    <t>TReub.4.6</t>
  </si>
  <si>
    <t>TReub.4.8</t>
  </si>
  <si>
    <t>εννοιας</t>
  </si>
  <si>
    <t>ενναιας</t>
  </si>
  <si>
    <t>εκαθαιρισεν</t>
  </si>
  <si>
    <t>εκαθαρισεν</t>
  </si>
  <si>
    <t>TReub.4.10</t>
  </si>
  <si>
    <t>TReub.4.11</t>
  </si>
  <si>
    <t>TReub.5.3</t>
  </si>
  <si>
    <t>TReub.5.6</t>
  </si>
  <si>
    <t>TReub.5.7</t>
  </si>
  <si>
    <t>TReub.6.2</t>
  </si>
  <si>
    <t>συνδυαζειν</t>
  </si>
  <si>
    <t>TReub.6.3</t>
  </si>
  <si>
    <t>πραχθη</t>
  </si>
  <si>
    <t>πρασχθη</t>
  </si>
  <si>
    <t>TReub.6.5</t>
  </si>
  <si>
    <t>δυνησεσθε</t>
  </si>
  <si>
    <t>δυνησασθε</t>
  </si>
  <si>
    <t>TReub.6.6</t>
  </si>
  <si>
    <t>πονρω</t>
  </si>
  <si>
    <t>TReub.6.7</t>
  </si>
  <si>
    <t>καμοι</t>
  </si>
  <si>
    <t>καεμοι</t>
  </si>
  <si>
    <t>TReub.6.8</t>
  </si>
  <si>
    <t>διαστελλει</t>
  </si>
  <si>
    <t>τελειωσεως</t>
  </si>
  <si>
    <t>τελεωσεως</t>
  </si>
  <si>
    <t>TReub.6.9</t>
  </si>
  <si>
    <t>TSim.1.1</t>
  </si>
  <si>
    <t>TSim.2.2</t>
  </si>
  <si>
    <t>TSim.2.6</t>
  </si>
  <si>
    <t>TSim.2.7</t>
  </si>
  <si>
    <t>εστηρισα</t>
  </si>
  <si>
    <t>TSim.2.13</t>
  </si>
  <si>
    <t>αποσχομαι</t>
  </si>
  <si>
    <t>TSim.3.4</t>
  </si>
  <si>
    <t>TSim.3.5</t>
  </si>
  <si>
    <t>καταφυγη</t>
  </si>
  <si>
    <t>TSim.4.2</t>
  </si>
  <si>
    <t>TSim.4.4</t>
  </si>
  <si>
    <t>TSim.4.8</t>
  </si>
  <si>
    <t>TSim.4.9</t>
  </si>
  <si>
    <t>TSim.6.2</t>
  </si>
  <si>
    <t>πληθυνθησεται</t>
  </si>
  <si>
    <t>TSim.6.3</t>
  </si>
  <si>
    <t>TSim.6.7</t>
  </si>
  <si>
    <t>TSim.7.2</t>
  </si>
  <si>
    <t>αρχιερεα</t>
  </si>
  <si>
    <t>αρχεερεα</t>
  </si>
  <si>
    <t>TSim.7.3</t>
  </si>
  <si>
    <t>TSim.8.4</t>
  </si>
  <si>
    <t>TSim.9.1</t>
  </si>
  <si>
    <t>ποιησουσι</t>
  </si>
  <si>
    <t>αβελμαουλ</t>
  </si>
  <si>
    <t>TLev.2.5</t>
  </si>
  <si>
    <t>αβελβαουλ</t>
  </si>
  <si>
    <t>TLev.2.8</t>
  </si>
  <si>
    <t>φωτεινοτερον</t>
  </si>
  <si>
    <t>φοτεινοτερον</t>
  </si>
  <si>
    <t>TLev.2.12</t>
  </si>
  <si>
    <t>TLev.3.1</t>
  </si>
  <si>
    <t>TLev.3.8</t>
  </si>
  <si>
    <t>TLev.3.9</t>
  </si>
  <si>
    <t>TLev.4.1</t>
  </si>
  <si>
    <t>καταπτησσοντος</t>
  </si>
  <si>
    <t>καταπτησοντος</t>
  </si>
  <si>
    <t>σκυλευομενου</t>
  </si>
  <si>
    <t>σκυλλυομενου</t>
  </si>
  <si>
    <t>TLev.4.2</t>
  </si>
  <si>
    <t>TLev.4.4</t>
  </si>
  <si>
    <t>TLev.5.1</t>
  </si>
  <si>
    <t>TLev.5.2</t>
  </si>
  <si>
    <t>TLev.5.5</t>
  </si>
  <si>
    <t>TLev.6.1</t>
  </si>
  <si>
    <t>αβιλα</t>
  </si>
  <si>
    <t>TLev.6.7</t>
  </si>
  <si>
    <t>TLev.6.9</t>
  </si>
  <si>
    <t>ογκομενα</t>
  </si>
  <si>
    <t>ογκυμενα</t>
  </si>
  <si>
    <t>TLev.7.2</t>
  </si>
  <si>
    <t>TLev.7.4</t>
  </si>
  <si>
    <t>TLev.8.7</t>
  </si>
  <si>
    <t>πορφυρα</t>
  </si>
  <si>
    <t>TLev.8.8</t>
  </si>
  <si>
    <t>ποιοτητος</t>
  </si>
  <si>
    <t>TLev.8.9</t>
  </si>
  <si>
    <t>κεφανη</t>
  </si>
  <si>
    <t>κεφαλη</t>
  </si>
  <si>
    <t>TLev.8.10</t>
  </si>
  <si>
    <t>επληρωσαν</t>
  </si>
  <si>
    <t>TLev.8.12</t>
  </si>
  <si>
    <t>TLev.8.16</t>
  </si>
  <si>
    <t>διανεμησεται</t>
  </si>
  <si>
    <t>διανημησεται</t>
  </si>
  <si>
    <t>TLev.8.18</t>
  </si>
  <si>
    <t>TLev.8.19</t>
  </si>
  <si>
    <t>TLev.9.1</t>
  </si>
  <si>
    <t>TLev.9.6</t>
  </si>
  <si>
    <t>TLev.9.9</t>
  </si>
  <si>
    <t>TLev.9.14</t>
  </si>
  <si>
    <t>TLev.10.1</t>
  </si>
  <si>
    <t>φυλαξασθε</t>
  </si>
  <si>
    <t>TLev.10.3</t>
  </si>
  <si>
    <t>βασταξαι</t>
  </si>
  <si>
    <t>TLev.11.7</t>
  </si>
  <si>
    <t>εδυστοκισεν</t>
  </si>
  <si>
    <t>εδυστοκησεν</t>
  </si>
  <si>
    <t>TLev.13.1</t>
  </si>
  <si>
    <t>TLev.13.2</t>
  </si>
  <si>
    <t>TLev.13.5</t>
  </si>
  <si>
    <t>TLev.13.6</t>
  </si>
  <si>
    <t>θερισητε</t>
  </si>
  <si>
    <t>θερισετε</t>
  </si>
  <si>
    <t>TLev.13.7</t>
  </si>
  <si>
    <t>ασεβειας</t>
  </si>
  <si>
    <t>ασεβειος</t>
  </si>
  <si>
    <t>πηρωσις</t>
  </si>
  <si>
    <t>TLev.13.8</t>
  </si>
  <si>
    <t>TLev.13.9</t>
  </si>
  <si>
    <t>TLev.14.4</t>
  </si>
  <si>
    <t>TLev.14.5</t>
  </si>
  <si>
    <t>ληστευσητε</t>
  </si>
  <si>
    <t>TLev.14.6</t>
  </si>
  <si>
    <t>διδαξητε</t>
  </si>
  <si>
    <t>βεβηλωσητε</t>
  </si>
  <si>
    <t>μοιχαλισι</t>
  </si>
  <si>
    <t>μοιχαλοσι</t>
  </si>
  <si>
    <t>TLev.14.8</t>
  </si>
  <si>
    <t>TLev.16.2</t>
  </si>
  <si>
    <t>εξουθενωσητε</t>
  </si>
  <si>
    <t>βδελυξησθε</t>
  </si>
  <si>
    <t>TLev.16.3</t>
  </si>
  <si>
    <t>νομιζετε</t>
  </si>
  <si>
    <t>TLev.17.2</t>
  </si>
  <si>
    <t>TLev.17.3</t>
  </si>
  <si>
    <t>TLev.17.5</t>
  </si>
  <si>
    <t>TLev.18.5</t>
  </si>
  <si>
    <t>ευφρανθησονται</t>
  </si>
  <si>
    <t>ενφρανθησονται</t>
  </si>
  <si>
    <t>TLev.18.6</t>
  </si>
  <si>
    <t>TLev.18.7</t>
  </si>
  <si>
    <t>TLev.18.10</t>
  </si>
  <si>
    <t>απειλουσαν</t>
  </si>
  <si>
    <t>αστειλουσαν</t>
  </si>
  <si>
    <t>TLev.18.14</t>
  </si>
  <si>
    <t>χαρισομαι</t>
  </si>
  <si>
    <t>TLev.19.1</t>
  </si>
  <si>
    <t>TLev.19.3</t>
  </si>
  <si>
    <t>ειπωμεν</t>
  </si>
  <si>
    <t>TLev.19.5</t>
  </si>
  <si>
    <t>TJud.1.3</t>
  </si>
  <si>
    <t>TJud.1.5</t>
  </si>
  <si>
    <t>TJud.1.6</t>
  </si>
  <si>
    <t>TJud.2.3</t>
  </si>
  <si>
    <t>TJud.2.4</t>
  </si>
  <si>
    <t>TJud.2.5</t>
  </si>
  <si>
    <t>TJud.2.7</t>
  </si>
  <si>
    <t>σκοτισας</t>
  </si>
  <si>
    <t>TJud.3.1</t>
  </si>
  <si>
    <t>TJud.3.3</t>
  </si>
  <si>
    <t>TJud.3.5</t>
  </si>
  <si>
    <t>TJud.3.6</t>
  </si>
  <si>
    <t>ενειλισας</t>
  </si>
  <si>
    <t>TJud.3.10</t>
  </si>
  <si>
    <t>TJud.4.1</t>
  </si>
  <si>
    <t>τεσσαρες</t>
  </si>
  <si>
    <t>TJud.5.1</t>
  </si>
  <si>
    <t>απηλθομεν</t>
  </si>
  <si>
    <t>απελθομεν</t>
  </si>
  <si>
    <t>TJud.5.4</t>
  </si>
  <si>
    <t>TJud.5.5</t>
  </si>
  <si>
    <t>εμπρισαντες</t>
  </si>
  <si>
    <t>εμπρησαντες</t>
  </si>
  <si>
    <t>TJud.5.6</t>
  </si>
  <si>
    <t>TJud.5.7</t>
  </si>
  <si>
    <t>TJud.6.1</t>
  </si>
  <si>
    <t>χουζηβα</t>
  </si>
  <si>
    <t>TJud.6.2</t>
  </si>
  <si>
    <t>TJud.6.3</t>
  </si>
  <si>
    <t>προσαξαντες</t>
  </si>
  <si>
    <t>προξαξαντες</t>
  </si>
  <si>
    <t>TJud.6.5</t>
  </si>
  <si>
    <t>επιλαβομεθα</t>
  </si>
  <si>
    <t>TJud.7.1</t>
  </si>
  <si>
    <t>ερχονται</t>
  </si>
  <si>
    <t>TJud.7.3</t>
  </si>
  <si>
    <t>TJud.7.4</t>
  </si>
  <si>
    <t>TJud.7.7</t>
  </si>
  <si>
    <t>εποιησεν</t>
  </si>
  <si>
    <t>εποιησαν</t>
  </si>
  <si>
    <t>TJud.7.9</t>
  </si>
  <si>
    <t>TJud.8.1</t>
  </si>
  <si>
    <t>οδολαμητην</t>
  </si>
  <si>
    <t>οδολομητην</t>
  </si>
  <si>
    <t>TJud.9.2</t>
  </si>
  <si>
    <t>TJud.9.4</t>
  </si>
  <si>
    <t>TJud.9.5</t>
  </si>
  <si>
    <t>TJud.9.8</t>
  </si>
  <si>
    <t>TJud.10.1</t>
  </si>
  <si>
    <t>TJud.10.4</t>
  </si>
  <si>
    <t>TJud.10.6</t>
  </si>
  <si>
    <t>TJud.11.3</t>
  </si>
  <si>
    <t>TJud.11.4</t>
  </si>
  <si>
    <t>TJud.12.2</t>
  </si>
  <si>
    <t>TJud.12.3</t>
  </si>
  <si>
    <t>υδασι</t>
  </si>
  <si>
    <t>υδατι</t>
  </si>
  <si>
    <t>TJud.12.9</t>
  </si>
  <si>
    <t>TJud.12.12</t>
  </si>
  <si>
    <t>TJud.13.1</t>
  </si>
  <si>
    <t>TJud.13.3</t>
  </si>
  <si>
    <t>βησουε</t>
  </si>
  <si>
    <t>TJud.13.6</t>
  </si>
  <si>
    <t>TJud.14.7</t>
  </si>
  <si>
    <t>TJud.14.8</t>
  </si>
  <si>
    <t>TJud.15.5</t>
  </si>
  <si>
    <t>κατακυριευουσι</t>
  </si>
  <si>
    <t>TJud.15.6</t>
  </si>
  <si>
    <t>TJud.16.1</t>
  </si>
  <si>
    <t>TJud.16.3</t>
  </si>
  <si>
    <t>πιετε</t>
  </si>
  <si>
    <t>απολεσθαι</t>
  </si>
  <si>
    <t>TJud.16.4</t>
  </si>
  <si>
    <t>TJud.17.1</t>
  </si>
  <si>
    <t>TJud.18.5</t>
  </si>
  <si>
    <t>προσωχθιζει</t>
  </si>
  <si>
    <t>TJud.18.6</t>
  </si>
  <si>
    <t>ετυφλωσαν</t>
  </si>
  <si>
    <t>TJud.19.2</t>
  </si>
  <si>
    <t>TJud.21.4</t>
  </si>
  <si>
    <t>TJud.21.5</t>
  </si>
  <si>
    <t>TJud.21.6</t>
  </si>
  <si>
    <t>κινδυνευουσιν</t>
  </si>
  <si>
    <t>TJud.21.7</t>
  </si>
  <si>
    <t>καταδουλουσιν</t>
  </si>
  <si>
    <t>TJud.21.9</t>
  </si>
  <si>
    <t>διωξονται</t>
  </si>
  <si>
    <t>TJud.22.1</t>
  </si>
  <si>
    <t>TJud.22.3</t>
  </si>
  <si>
    <t>TJud.23.1</t>
  </si>
  <si>
    <t>ασελγιας</t>
  </si>
  <si>
    <t>TJud.24.2</t>
  </si>
  <si>
    <t>TJud.25.4</t>
  </si>
  <si>
    <t>χορτασθησονται</t>
  </si>
  <si>
    <t>χαρτασθησονται</t>
  </si>
  <si>
    <t>TJud.26.3</t>
  </si>
  <si>
    <t>αναρηξει</t>
  </si>
  <si>
    <t>TIss.1.3</t>
  </si>
  <si>
    <t>μανδραγορους</t>
  </si>
  <si>
    <t>TIss.1.4</t>
  </si>
  <si>
    <t>λια</t>
  </si>
  <si>
    <t>λεια</t>
  </si>
  <si>
    <t>TIss.1.7</t>
  </si>
  <si>
    <t>TIss.1.9</t>
  </si>
  <si>
    <t>TIss.1.15</t>
  </si>
  <si>
    <t>λιαν</t>
  </si>
  <si>
    <t>λειαν</t>
  </si>
  <si>
    <t>TIss.2.2</t>
  </si>
  <si>
    <t>TIss.2.4</t>
  </si>
  <si>
    <t>προσθησα</t>
  </si>
  <si>
    <t>TIss.3.3</t>
  </si>
  <si>
    <t>TIss.3.5</t>
  </si>
  <si>
    <t>TIss.3.7</t>
  </si>
  <si>
    <t>εδιπλασιαζε</t>
  </si>
  <si>
    <t>TIss.4.1</t>
  </si>
  <si>
    <t>TIss.4.6</t>
  </si>
  <si>
    <t>TIss.5.1</t>
  </si>
  <si>
    <t>TIss.5.4</t>
  </si>
  <si>
    <t>TIss.5.6</t>
  </si>
  <si>
    <t>TIss.5.7</t>
  </si>
  <si>
    <t>TIss.6.1</t>
  </si>
  <si>
    <t>προσπελασουσι</t>
  </si>
  <si>
    <t>TIss.6.3</t>
  </si>
  <si>
    <t>επιστρεψουσι</t>
  </si>
  <si>
    <t>TIss.7.9</t>
  </si>
  <si>
    <t>γηρι</t>
  </si>
  <si>
    <t>γηρει</t>
  </si>
  <si>
    <t>TZeb.1.2</t>
  </si>
  <si>
    <t>TZeb.1.3</t>
  </si>
  <si>
    <t>TZeb.2.1</t>
  </si>
  <si>
    <t>TZeb.2.3</t>
  </si>
  <si>
    <t>TZeb.2.5</t>
  </si>
  <si>
    <t>εβομβη</t>
  </si>
  <si>
    <t>TZeb.2.6</t>
  </si>
  <si>
    <t>συνκλαιοντα</t>
  </si>
  <si>
    <t>TZeb.3.3</t>
  </si>
  <si>
    <t>καταπατησωμεν</t>
  </si>
  <si>
    <t>TZeb.3.5</t>
  </si>
  <si>
    <t>TZeb.4.8</t>
  </si>
  <si>
    <t>ειπομεν</t>
  </si>
  <si>
    <t>TZeb.4.9</t>
  </si>
  <si>
    <t>θυσωμεν</t>
  </si>
  <si>
    <t>εμβαψωμεν</t>
  </si>
  <si>
    <t>εμβαψoμεν</t>
  </si>
  <si>
    <t>TZeb.4.13</t>
  </si>
  <si>
    <t>TZeb.5.1</t>
  </si>
  <si>
    <t>TZeb.5.5</t>
  </si>
  <si>
    <t>TZeb.6.3</t>
  </si>
  <si>
    <t>TZeb.6.4</t>
  </si>
  <si>
    <t>εδιδουν</t>
  </si>
  <si>
    <t>εδιδων</t>
  </si>
  <si>
    <t>TZeb.7.3</t>
  </si>
  <si>
    <t>χρηζοντι</t>
  </si>
  <si>
    <t>χρηζαντι</t>
  </si>
  <si>
    <t>TZeb.8.1</t>
  </si>
  <si>
    <t>TZeb.8.3</t>
  </si>
  <si>
    <t>σπλαγχνιζετε</t>
  </si>
  <si>
    <t>TZeb.8.4</t>
  </si>
  <si>
    <t>εμνησικακησεν</t>
  </si>
  <si>
    <t>εμμνησικακησεν</t>
  </si>
  <si>
    <t>TZeb.8.5</t>
  </si>
  <si>
    <t>εμβλεποντες</t>
  </si>
  <si>
    <t>εμβλεπωντες</t>
  </si>
  <si>
    <t>TZeb.9.1</t>
  </si>
  <si>
    <t>πορευονται</t>
  </si>
  <si>
    <t>πορευεται</t>
  </si>
  <si>
    <t>TZeb.9.8</t>
  </si>
  <si>
    <t>ανατελλει</t>
  </si>
  <si>
    <t>λυτρωσηται</t>
  </si>
  <si>
    <t>λυτρωσεται</t>
  </si>
  <si>
    <t>εκλεξηται</t>
  </si>
  <si>
    <t>εκλειψηται</t>
  </si>
  <si>
    <t>TZeb.9.9</t>
  </si>
  <si>
    <t>απορηφησεσθε</t>
  </si>
  <si>
    <t>απορρηφησεσθε</t>
  </si>
  <si>
    <t>TZeb.10.1</t>
  </si>
  <si>
    <t>TZeb.10.2</t>
  </si>
  <si>
    <t>εφυλαξαν</t>
  </si>
  <si>
    <t>εφυλαξoν</t>
  </si>
  <si>
    <t>TDan.1.2</t>
  </si>
  <si>
    <t>TDan.1.3</t>
  </si>
  <si>
    <t>TDan.1.4</t>
  </si>
  <si>
    <t>ηδωμην</t>
  </si>
  <si>
    <t>TDan.1.5</t>
  </si>
  <si>
    <t>TDan.1.9</t>
  </si>
  <si>
    <t>ανομιμα</t>
  </si>
  <si>
    <t>ανομημα</t>
  </si>
  <si>
    <t>TDan.4.2</t>
  </si>
  <si>
    <t>διεγειρει</t>
  </si>
  <si>
    <t>διαγειρει</t>
  </si>
  <si>
    <t>TDan.4.3</t>
  </si>
  <si>
    <t>TDan.4.5</t>
  </si>
  <si>
    <t>TDan.5.12</t>
  </si>
  <si>
    <t>αναπαυσονται</t>
  </si>
  <si>
    <t>αταπαυσονται</t>
  </si>
  <si>
    <t>TDan.6.4</t>
  </si>
  <si>
    <t>TDan.6.6</t>
  </si>
  <si>
    <t>TNaph.1.2</t>
  </si>
  <si>
    <t>TNaph.1.3</t>
  </si>
  <si>
    <t>επιστευον</t>
  </si>
  <si>
    <t>επιστευου</t>
  </si>
  <si>
    <t>TNaph.1.8</t>
  </si>
  <si>
    <t>TNaph.1.11</t>
  </si>
  <si>
    <t>ηγορασθη</t>
  </si>
  <si>
    <t>ηγηρασθη</t>
  </si>
  <si>
    <t>TNaph.1.12</t>
  </si>
  <si>
    <t>TNaph.2.1</t>
  </si>
  <si>
    <t>TNaph.2.2</t>
  </si>
  <si>
    <t>TNaph.2.3</t>
  </si>
  <si>
    <t>TNaph.2.7</t>
  </si>
  <si>
    <t>TNaph.2.8</t>
  </si>
  <si>
    <t>ψυας</t>
  </si>
  <si>
    <t>πλευρας</t>
  </si>
  <si>
    <t>TNaph.3.1</t>
  </si>
  <si>
    <t>TNaph.3.4</t>
  </si>
  <si>
    <t>TNaph.3.5</t>
  </si>
  <si>
    <t>εγγρηγορες</t>
  </si>
  <si>
    <t>TNaph.4.1</t>
  </si>
  <si>
    <t>TNaph.4.3</t>
  </si>
  <si>
    <t>επιστρεψετε</t>
  </si>
  <si>
    <t>TNaph.4.5</t>
  </si>
  <si>
    <t>TNaph.5.1</t>
  </si>
  <si>
    <t>τεσσακοστω</t>
  </si>
  <si>
    <t>τεσσαρακοστω</t>
  </si>
  <si>
    <t>TNaph.5.4</t>
  </si>
  <si>
    <t>TNaph.6.2</t>
  </si>
  <si>
    <t>TNaph.6.3</t>
  </si>
  <si>
    <t>TNaph.6.5</t>
  </si>
  <si>
    <t>εφερωμεθα</t>
  </si>
  <si>
    <t>περιρισσομενον</t>
  </si>
  <si>
    <t>TNaph.6.8</t>
  </si>
  <si>
    <t>περιβαλομενος</t>
  </si>
  <si>
    <t>TNaph.7.1</t>
  </si>
  <si>
    <t>TNaph.7.2</t>
  </si>
  <si>
    <t>TNaph.8.2</t>
  </si>
  <si>
    <t>ενουνται</t>
  </si>
  <si>
    <t>TNaph.8.3</t>
  </si>
  <si>
    <t>TNaph.8.6</t>
  </si>
  <si>
    <t>TGad.1.2</t>
  </si>
  <si>
    <t>TGad.1.4</t>
  </si>
  <si>
    <t>εποιμανε</t>
  </si>
  <si>
    <t>TGad.1.7</t>
  </si>
  <si>
    <t>εξηλομην</t>
  </si>
  <si>
    <t>TGad.1.9</t>
  </si>
  <si>
    <t>επειθεθετο</t>
  </si>
  <si>
    <t>επειθετο</t>
  </si>
  <si>
    <t>TGad.2.2</t>
  </si>
  <si>
    <t>εκλειξαι</t>
  </si>
  <si>
    <t>TGad.2.4</t>
  </si>
  <si>
    <t>επληροφορηθην</t>
  </si>
  <si>
    <t>TGad.3.1</t>
  </si>
  <si>
    <t>TGad.3.3</t>
  </si>
  <si>
    <t>TGad.4.6</t>
  </si>
  <si>
    <t>TGad.5.1</t>
  </si>
  <si>
    <t>λαλων</t>
  </si>
  <si>
    <t>TGad.5.4</t>
  </si>
  <si>
    <t>TGad.5.11</t>
  </si>
  <si>
    <t>TGad.6.2</t>
  </si>
  <si>
    <t>TGad.6.6</t>
  </si>
  <si>
    <t>TGad.7.4</t>
  </si>
  <si>
    <t>TGad.8.2</t>
  </si>
  <si>
    <t>TAsh.1.8</t>
  </si>
  <si>
    <t>κλινει</t>
  </si>
  <si>
    <t>πραξει</t>
  </si>
  <si>
    <t>TAsh.2.6</t>
  </si>
  <si>
    <t>ελεα</t>
  </si>
  <si>
    <t>TAsh.2.8</t>
  </si>
  <si>
    <t>αιδεσματων</t>
  </si>
  <si>
    <t>TAsh.3.2</t>
  </si>
  <si>
    <t>TAsh.4.4</t>
  </si>
  <si>
    <t>μολυνει</t>
  </si>
  <si>
    <t>TAsh.5.2</t>
  </si>
  <si>
    <t>TAsh.5.3</t>
  </si>
  <si>
    <t>TAsh.6.2</t>
  </si>
  <si>
    <t>TAsh.6.5</t>
  </si>
  <si>
    <t>TAsh.7.1</t>
  </si>
  <si>
    <t>TAsh.8.1</t>
  </si>
  <si>
    <t>TJos.1.2</t>
  </si>
  <si>
    <t>TJos.1.4</t>
  </si>
  <si>
    <t>TJos.2.2</t>
  </si>
  <si>
    <t>TJos.2.5</t>
  </si>
  <si>
    <t>TJos.2.6</t>
  </si>
  <si>
    <t>TJos.3.1</t>
  </si>
  <si>
    <t>παραδουσα</t>
  </si>
  <si>
    <t>TJos.3.3</t>
  </si>
  <si>
    <t>TJos.3.6</t>
  </si>
  <si>
    <t>εισιει</t>
  </si>
  <si>
    <t>εισηει</t>
  </si>
  <si>
    <t>TJos.3.10</t>
  </si>
  <si>
    <t>αποστρεψει</t>
  </si>
  <si>
    <t>TJos.4.2</t>
  </si>
  <si>
    <t>εδοξαζε</t>
  </si>
  <si>
    <t>εδοξασε</t>
  </si>
  <si>
    <t>TJos.4.3</t>
  </si>
  <si>
    <t>ρυσεται</t>
  </si>
  <si>
    <t>TJos.4.6</t>
  </si>
  <si>
    <t>σεβομενους</t>
  </si>
  <si>
    <t>σεβουμενους</t>
  </si>
  <si>
    <t>TJos.4.7</t>
  </si>
  <si>
    <t>TJos.4.8</t>
  </si>
  <si>
    <t>TJos.5.4</t>
  </si>
  <si>
    <t>TJos.6.2</t>
  </si>
  <si>
    <t>TJos.6.3</t>
  </si>
  <si>
    <t>TJos.7.1</t>
  </si>
  <si>
    <t>TJos.7.6</t>
  </si>
  <si>
    <t>TJos.8.4</t>
  </si>
  <si>
    <t>εσυκοφαντισε</t>
  </si>
  <si>
    <t>TJos.9.3</t>
  </si>
  <si>
    <t>TJos.10.6</t>
  </si>
  <si>
    <t>ετιμουν</t>
  </si>
  <si>
    <t>εσιωπουν</t>
  </si>
  <si>
    <t>TJos.11.2</t>
  </si>
  <si>
    <t>ηρωτουν</t>
  </si>
  <si>
    <t>TJos.11.4</t>
  </si>
  <si>
    <t>προσδους</t>
  </si>
  <si>
    <t>TJos.12.1</t>
  </si>
  <si>
    <t>παριει</t>
  </si>
  <si>
    <t>μεμφια</t>
  </si>
  <si>
    <t>TJos.12.3</t>
  </si>
  <si>
    <t>TJos.13.1</t>
  </si>
  <si>
    <t>μετεμπωλων</t>
  </si>
  <si>
    <t>μετεμπολων</t>
  </si>
  <si>
    <t>TJos.13.5</t>
  </si>
  <si>
    <t>αρχευνουχω</t>
  </si>
  <si>
    <t>TJos.13.6</t>
  </si>
  <si>
    <t>TJos.13.7</t>
  </si>
  <si>
    <t>TJos.14.3</t>
  </si>
  <si>
    <t>TJos.15.2</t>
  </si>
  <si>
    <t>TJos.15.7</t>
  </si>
  <si>
    <t>προσελθοντες</t>
  </si>
  <si>
    <t>προσελθουντες</t>
  </si>
  <si>
    <t>TJos.16.1</t>
  </si>
  <si>
    <t>TJos.16.3</t>
  </si>
  <si>
    <t>TJos.16.4</t>
  </si>
  <si>
    <t>φεισασθαι</t>
  </si>
  <si>
    <t>TJos.16.5</t>
  </si>
  <si>
    <t>δεδωσθαι</t>
  </si>
  <si>
    <t>TJos.17.3</t>
  </si>
  <si>
    <t>ευδοκημουσης</t>
  </si>
  <si>
    <t>TJos.18.2</t>
  </si>
  <si>
    <t>αγαθοποιια</t>
  </si>
  <si>
    <t>αγαθοποια</t>
  </si>
  <si>
    <t>TJos.19.2</t>
  </si>
  <si>
    <t>TJos.19.12</t>
  </si>
  <si>
    <t>οποροφυλακιον</t>
  </si>
  <si>
    <t>οπωροφυλακιον</t>
  </si>
  <si>
    <t>TJos.20.1</t>
  </si>
  <si>
    <t>θλιψωσιν</t>
  </si>
  <si>
    <t>TBen.2.2</t>
  </si>
  <si>
    <t>εφυραν</t>
  </si>
  <si>
    <t>TBen.3.4</t>
  </si>
  <si>
    <t>TBen.3.5</t>
  </si>
  <si>
    <t>TBen.5.2</t>
  </si>
  <si>
    <t>φευξεται</t>
  </si>
  <si>
    <t>TBen.5.3</t>
  </si>
  <si>
    <t>TBen.7.2</t>
  </si>
  <si>
    <t>απωλεια</t>
  </si>
  <si>
    <t>θλιψις</t>
  </si>
  <si>
    <t>αιχμαλωσια</t>
  </si>
  <si>
    <t>ενδεια</t>
  </si>
  <si>
    <t>ταραχη</t>
  </si>
  <si>
    <t>ερημωσις</t>
  </si>
  <si>
    <t>TBen.7.5</t>
  </si>
  <si>
    <t>μισαδελφιαν</t>
  </si>
  <si>
    <t>μισαλελφιαν</t>
  </si>
  <si>
    <t>TBen.8.1</t>
  </si>
  <si>
    <t>TBen.8.2</t>
  </si>
  <si>
    <t>TBen.8.3</t>
  </si>
  <si>
    <t>απελαυνει</t>
  </si>
  <si>
    <t>απολαυνει</t>
  </si>
  <si>
    <t>TBen.9.5</t>
  </si>
  <si>
    <t>TBen.10.1</t>
  </si>
  <si>
    <t>TBen.10.5</t>
  </si>
  <si>
    <t>κατεκληρονομησαν</t>
  </si>
  <si>
    <t>κατεκληρομησαν</t>
  </si>
  <si>
    <t>TBen.10.7</t>
  </si>
  <si>
    <t>συγχαρισονται</t>
  </si>
  <si>
    <t>συγχαρησονται</t>
  </si>
  <si>
    <t>TBen.10.8</t>
  </si>
  <si>
    <t>αναστησονται</t>
  </si>
  <si>
    <t>αναστησανται</t>
  </si>
  <si>
    <t>παραγεναμενον</t>
  </si>
  <si>
    <t>TBen.10.10</t>
  </si>
  <si>
    <t>μαδιναιοις</t>
  </si>
  <si>
    <t>ειδωλολατρειας</t>
  </si>
  <si>
    <t>ειδολωλατρειας</t>
  </si>
  <si>
    <t>απηλλοτριωθησαν</t>
  </si>
  <si>
    <t>απηλοτριωθησαν</t>
  </si>
  <si>
    <t>TBen.10.11</t>
  </si>
  <si>
    <t>πορευεσθε</t>
  </si>
  <si>
    <t>κατοικησεται</t>
  </si>
  <si>
    <t>TBen.11.2</t>
  </si>
  <si>
    <t>ε̅η̅λ̅</t>
  </si>
  <si>
    <t>TBen.11.4</t>
  </si>
  <si>
    <t>TBen.12.1</t>
  </si>
  <si>
    <t>TBen.12.2</t>
  </si>
  <si>
    <t>εποιμαινε</t>
  </si>
  <si>
    <t>και παν αρτον</t>
  </si>
  <si>
    <t>και παντα αρτον</t>
  </si>
  <si>
    <t>και εικων του θανατου</t>
  </si>
  <si>
    <t>και εικη εικων του θανατου</t>
  </si>
  <si>
    <t>(4) ωφθη (5) πεμπτον πνα υπερηφανειας</t>
  </si>
  <si>
    <t xml:space="preserve">κλοπη και </t>
  </si>
  <si>
    <t>O.4.24 corrects κλοπη -&gt; κλοπαι</t>
  </si>
  <si>
    <t>O.4.24 corrects to δοσοληψιας</t>
  </si>
  <si>
    <t>O.4.24 corrects to σκεπηνω</t>
  </si>
  <si>
    <t>καλλος γυναικων</t>
  </si>
  <si>
    <t>O.4.24 corrects καλλος -&gt; καλλει</t>
  </si>
  <si>
    <t>O.4.24 corrects to μοχθουντες</t>
  </si>
  <si>
    <t>εως νυν</t>
  </si>
  <si>
    <t>O.4.24 corrects to εως του νυν</t>
  </si>
  <si>
    <t>εστιν η πορνεια</t>
  </si>
  <si>
    <t>εστιν πορνεια</t>
  </si>
  <si>
    <t>εστι πλανωσα</t>
  </si>
  <si>
    <t>O.4.24 corrects to εστι η πλανωσα</t>
  </si>
  <si>
    <t>των πρων μου</t>
  </si>
  <si>
    <t>των παρων πατερων μου</t>
  </si>
  <si>
    <t>πορνεια την εννοιαν</t>
  </si>
  <si>
    <t>γυναικες ηττωνται τω πνι</t>
  </si>
  <si>
    <t>γυναικες τω πνευματι</t>
  </si>
  <si>
    <t>συνεχως ορωντες</t>
  </si>
  <si>
    <t>συνεχωςς ορωντες</t>
  </si>
  <si>
    <t>κακειναι επιθυμουσαι</t>
  </si>
  <si>
    <t>κακεινοι επιθυμουσαι</t>
  </si>
  <si>
    <t>διανοια τας φαντασιας</t>
  </si>
  <si>
    <t>O.4.24 corrects τας -&gt; της</t>
  </si>
  <si>
    <t>O.4.24 corrects to συνδοιαζειν</t>
  </si>
  <si>
    <t>ο γαρ θς</t>
  </si>
  <si>
    <t>ου γαρ θς</t>
  </si>
  <si>
    <t>O.4.24 corrects to πονηρω</t>
  </si>
  <si>
    <t>μετ αυτων</t>
  </si>
  <si>
    <t>O.4.24 corrects to μετ αυτον</t>
  </si>
  <si>
    <t>ειναι επι αρχοντας</t>
  </si>
  <si>
    <t>O.4.24 corrects επι -&gt; εις</t>
  </si>
  <si>
    <t>O.4.24 corrects to διαστελει</t>
  </si>
  <si>
    <t>και θυσιας υπερ</t>
  </si>
  <si>
    <t>O.4.24 corrects θυσιας -&gt; θυμιασει</t>
  </si>
  <si>
    <t>εκαστος προς</t>
  </si>
  <si>
    <t>O.4.24 corrects εκαστος -&gt; εκαστον</t>
  </si>
  <si>
    <t xml:space="preserve">συμεων α ελαλησε </t>
  </si>
  <si>
    <t>O.4.24 corrects α -&gt; ων</t>
  </si>
  <si>
    <r>
      <t xml:space="preserve">εικοστω </t>
    </r>
    <r>
      <rPr>
        <b/>
        <sz val="11"/>
        <color theme="1"/>
        <rFont val="Calibri"/>
        <family val="2"/>
        <scheme val="minor"/>
      </rPr>
      <t>επι</t>
    </r>
    <r>
      <rPr>
        <sz val="11"/>
        <color theme="1"/>
        <rFont val="Calibri"/>
        <family val="2"/>
        <scheme val="minor"/>
      </rPr>
      <t xml:space="preserve"> της ζωης</t>
    </r>
  </si>
  <si>
    <r>
      <t xml:space="preserve">εικοστω </t>
    </r>
    <r>
      <rPr>
        <b/>
        <sz val="11"/>
        <color theme="1"/>
        <rFont val="Calibri"/>
        <family val="2"/>
        <scheme val="minor"/>
      </rPr>
      <t>ετει</t>
    </r>
    <r>
      <rPr>
        <sz val="11"/>
        <color theme="1"/>
        <rFont val="Calibri"/>
        <family val="2"/>
        <scheme val="minor"/>
      </rPr>
      <t xml:space="preserve"> της ζωης</t>
    </r>
  </si>
  <si>
    <t>O.4.24 firsthand = ετι; Ff 1.24 corrects/gives an alternate reading ετει</t>
  </si>
  <si>
    <t>συμεωνα οτι</t>
  </si>
  <si>
    <t>O.4.24 corrects συμεωνα -&gt; συμεων</t>
  </si>
  <si>
    <t>καιρω εκεινω</t>
  </si>
  <si>
    <t>O.4.24 adds ουν between these words</t>
  </si>
  <si>
    <t>εζηλωσα τω ιωσηφ</t>
  </si>
  <si>
    <t>O.4.24 corrects τω -&gt; τον</t>
  </si>
  <si>
    <t>O.4.24 corrects to εστηριξα</t>
  </si>
  <si>
    <t>O.4.24 corrects to αποσχωμαι</t>
  </si>
  <si>
    <t>εν φοβω κυριου</t>
  </si>
  <si>
    <t>εν φοω κυ</t>
  </si>
  <si>
    <t>O.4.24 corrects to καταφευγη</t>
  </si>
  <si>
    <t>πρασεως ιωσηφ</t>
  </si>
  <si>
    <t>O.4.24 corrects to πρασεως του ιωσηφ</t>
  </si>
  <si>
    <t>εμνησικακησε μοι αλλα</t>
  </si>
  <si>
    <t>O.4.24 corrects μοι -&gt; με</t>
  </si>
  <si>
    <t>ανοις ενεργειν</t>
  </si>
  <si>
    <t>ανθρωποις συνεργειν</t>
  </si>
  <si>
    <t>ουτως φαινεται</t>
  </si>
  <si>
    <t>O.4.24 corrects ουτως -&gt; ουτος</t>
  </si>
  <si>
    <t>αφ υμων φθονον</t>
  </si>
  <si>
    <t>αφ υμων τον φθονον</t>
  </si>
  <si>
    <t>O.4.24 corrects to πληθυνθησονται</t>
  </si>
  <si>
    <t>απολειται σπερμα</t>
  </si>
  <si>
    <t>O.4.24 corrects to απολειται το σπερμα</t>
  </si>
  <si>
    <t>υψιστον εν τοις</t>
  </si>
  <si>
    <t>O.4.24 corrects εν -&gt; επι</t>
  </si>
  <si>
    <t>οτι θς</t>
  </si>
  <si>
    <t>οτι θεος</t>
  </si>
  <si>
    <t>O.4.24 corrects to οτι ο θεος</t>
  </si>
  <si>
    <t>ουτως σωσει</t>
  </si>
  <si>
    <t>παντα εντελλομαι</t>
  </si>
  <si>
    <t>O.4.24 corrects παντα -&gt; ταυτα</t>
  </si>
  <si>
    <t>εκαστος τον αδελφον</t>
  </si>
  <si>
    <t>απ αιγυπτου</t>
  </si>
  <si>
    <t>O.4.24 corrects απ -&gt; εξ</t>
  </si>
  <si>
    <t>αγρος αμπελων</t>
  </si>
  <si>
    <t>O.4.24 corrects to αγρος και αμπελων</t>
  </si>
  <si>
    <r>
      <rPr>
        <b/>
        <sz val="11"/>
        <color theme="1"/>
        <rFont val="Calibri"/>
        <family val="2"/>
        <scheme val="minor"/>
      </rPr>
      <t>πασας αδικιας</t>
    </r>
    <r>
      <rPr>
        <sz val="11"/>
        <color theme="1"/>
        <rFont val="Calibri"/>
        <family val="2"/>
        <scheme val="minor"/>
      </rPr>
      <t xml:space="preserve"> ανων</t>
    </r>
  </si>
  <si>
    <r>
      <rPr>
        <b/>
        <sz val="11"/>
        <color theme="1"/>
        <rFont val="Calibri"/>
        <family val="2"/>
        <scheme val="minor"/>
      </rPr>
      <t>πασας αδικιας</t>
    </r>
    <r>
      <rPr>
        <sz val="11"/>
        <color theme="1"/>
        <rFont val="Calibri"/>
        <family val="2"/>
        <scheme val="minor"/>
      </rPr>
      <t xml:space="preserve"> ανθρωπων</t>
    </r>
  </si>
  <si>
    <r>
      <t xml:space="preserve">πασας </t>
    </r>
    <r>
      <rPr>
        <b/>
        <sz val="11"/>
        <color theme="1"/>
        <rFont val="Calibri"/>
        <family val="2"/>
        <scheme val="minor"/>
      </rPr>
      <t>αδικιας ανων</t>
    </r>
  </si>
  <si>
    <r>
      <t xml:space="preserve">πασας </t>
    </r>
    <r>
      <rPr>
        <b/>
        <sz val="11"/>
        <color theme="1"/>
        <rFont val="Calibri"/>
        <family val="2"/>
        <scheme val="minor"/>
      </rPr>
      <t>αδικιας ανθρωπων</t>
    </r>
  </si>
  <si>
    <t>O.4.24 corrects to πασας τας αδικιας</t>
  </si>
  <si>
    <t>O.4.24 corrects to αδικιας των ανθρωπων</t>
  </si>
  <si>
    <t>θρονοι εξουσιαι</t>
  </si>
  <si>
    <t>O.4.24 corrects to θρονοι και εξουσιαι</t>
  </si>
  <si>
    <t>και οι αβυσσοι</t>
  </si>
  <si>
    <t>O.4.24 corrects οι -&gt; αι</t>
  </si>
  <si>
    <t>τηκομενων του αδου</t>
  </si>
  <si>
    <t>O.4.24 corrects to τηκομενων και του αδου</t>
  </si>
  <si>
    <t>O.4.24 firsthand = σκυλουομενου, correction = σκυλλομενου</t>
  </si>
  <si>
    <t>ουν υψιστος</t>
  </si>
  <si>
    <t>ουν ο υψιστος</t>
  </si>
  <si>
    <t>παντι σπερματι</t>
  </si>
  <si>
    <t>O.4.24 corrects to παντι τω σπερματι</t>
  </si>
  <si>
    <t>σπλαγχνοις υιοι αυτου</t>
  </si>
  <si>
    <t>O.4.24 corrects υιοι -&gt; υιου</t>
  </si>
  <si>
    <t>επι θρονου δοξης</t>
  </si>
  <si>
    <t>επι θρονον δοξης</t>
  </si>
  <si>
    <t>παροικησω εμμεσω</t>
  </si>
  <si>
    <t>παροικηση εμμεσω</t>
  </si>
  <si>
    <t>μοι το ονομα</t>
  </si>
  <si>
    <t>O.4.24 corrects to μοι τι το ονομα</t>
  </si>
  <si>
    <t>O.4.24 corrects to αβιμα</t>
  </si>
  <si>
    <t>εμαλακισθη εν</t>
  </si>
  <si>
    <t>O.4.24 corrects to εμαλακισθην εν</t>
  </si>
  <si>
    <r>
      <rPr>
        <b/>
        <sz val="11"/>
        <color theme="1"/>
        <rFont val="Calibri"/>
        <family val="2"/>
        <scheme val="minor"/>
      </rPr>
      <t>ωσει</t>
    </r>
    <r>
      <rPr>
        <sz val="11"/>
        <color theme="1"/>
        <rFont val="Calibri"/>
        <family val="2"/>
        <scheme val="minor"/>
      </rPr>
      <t xml:space="preserve"> τις χλευασαι</t>
    </r>
  </si>
  <si>
    <r>
      <rPr>
        <b/>
        <sz val="11"/>
        <color theme="1"/>
        <rFont val="Calibri"/>
        <family val="2"/>
        <scheme val="minor"/>
      </rPr>
      <t>ως εις</t>
    </r>
    <r>
      <rPr>
        <sz val="11"/>
        <color theme="1"/>
        <rFont val="Calibri"/>
        <family val="2"/>
        <scheme val="minor"/>
      </rPr>
      <t xml:space="preserve"> τις χλευασει</t>
    </r>
  </si>
  <si>
    <r>
      <t xml:space="preserve">ως εις τις </t>
    </r>
    <r>
      <rPr>
        <b/>
        <sz val="11"/>
        <color theme="1"/>
        <rFont val="Calibri"/>
        <family val="2"/>
        <scheme val="minor"/>
      </rPr>
      <t>χλευασαι</t>
    </r>
  </si>
  <si>
    <r>
      <t xml:space="preserve">ωσει τις </t>
    </r>
    <r>
      <rPr>
        <b/>
        <sz val="11"/>
        <color theme="1"/>
        <rFont val="Calibri"/>
        <family val="2"/>
        <scheme val="minor"/>
      </rPr>
      <t>χλευασαι</t>
    </r>
  </si>
  <si>
    <t>O.4.24 corrects to χλευασει</t>
  </si>
  <si>
    <t>απαραντες ηλθομεν</t>
  </si>
  <si>
    <t>απαραντες ελθομεν</t>
  </si>
  <si>
    <t>ο τεταρτος ζωνην</t>
  </si>
  <si>
    <t>ο τεταρτον ζωνην</t>
  </si>
  <si>
    <t>O.4.24 corrects to πορφυρας</t>
  </si>
  <si>
    <t>O.4.24 corrects to πιοτητος</t>
  </si>
  <si>
    <t>O.4.24 corrects to επληρωσεν</t>
  </si>
  <si>
    <t>κληρος μεγας</t>
  </si>
  <si>
    <t>O.4.24 corrects to κληρος και μεγας</t>
  </si>
  <si>
    <t>εκεινου εστι</t>
  </si>
  <si>
    <t>O.4.24 corrects εκεινου -&gt; εκεινω</t>
  </si>
  <si>
    <t>και εκρυψα</t>
  </si>
  <si>
    <t>O.4.24 corrects to καιγε εκρυψα</t>
  </si>
  <si>
    <t>μετα τον πρα</t>
  </si>
  <si>
    <t>O.4.24 corrects to τον πρα -&gt; του προς</t>
  </si>
  <si>
    <t>με νομον</t>
  </si>
  <si>
    <t>με κονον</t>
  </si>
  <si>
    <t>ελεγε μη προσεχε</t>
  </si>
  <si>
    <t>O.4.24 corrects ελεγε μοι προσεχε</t>
  </si>
  <si>
    <t>πρωτογενηματος και</t>
  </si>
  <si>
    <r>
      <rPr>
        <b/>
        <sz val="11"/>
        <color theme="1"/>
        <rFont val="Calibri"/>
        <family val="2"/>
        <scheme val="minor"/>
      </rPr>
      <t>πρωτογενηματος</t>
    </r>
    <r>
      <rPr>
        <sz val="11"/>
        <color theme="1"/>
        <rFont val="Calibri"/>
        <family val="2"/>
        <scheme val="minor"/>
      </rPr>
      <t xml:space="preserve"> και</t>
    </r>
  </si>
  <si>
    <t>O.4.24 corrects to πρωτογεννηματος</t>
  </si>
  <si>
    <t xml:space="preserve">O.4.24 adds σου between these words </t>
  </si>
  <si>
    <t>O.4.24 corrects to φυλαξατε</t>
  </si>
  <si>
    <t>O.4.24 corrects to βαστασαι</t>
  </si>
  <si>
    <t>την ιη ιλημ</t>
  </si>
  <si>
    <t>την ιλημ</t>
  </si>
  <si>
    <t>απλοτητι κατα παντα</t>
  </si>
  <si>
    <t>O.4.24 adds καρδιας after απλοτητι</t>
  </si>
  <si>
    <t>νομον αυτων (2) διδαξατε</t>
  </si>
  <si>
    <t>O.4.24 corrects αυτων -&gt; αυτου</t>
  </si>
  <si>
    <t>εχωσιν συνεσιν</t>
  </si>
  <si>
    <t>εχωσι συνεσιν</t>
  </si>
  <si>
    <t>τοις ουνοις (6) και</t>
  </si>
  <si>
    <t>τοις ουρανων (6) και</t>
  </si>
  <si>
    <t>O.4.24 corrects to πορωσις</t>
  </si>
  <si>
    <t>λαμπρα και επι γης</t>
  </si>
  <si>
    <t>O.4.24 duplicates και</t>
  </si>
  <si>
    <t>φιλος (9) εαν διδασκη</t>
  </si>
  <si>
    <t>O.4.24 adds ος before εαν</t>
  </si>
  <si>
    <t>O.4.24 adds ποιηησουσι</t>
  </si>
  <si>
    <t>και επαξετε</t>
  </si>
  <si>
    <t>και α επαξετε</t>
  </si>
  <si>
    <t>υπερ ων το φως</t>
  </si>
  <si>
    <t>O.4.24 corrects ων -&gt; ου</t>
  </si>
  <si>
    <t>O.4.24 corrects to ληστευσετε</t>
  </si>
  <si>
    <r>
      <t xml:space="preserve">μεριδων </t>
    </r>
    <r>
      <rPr>
        <b/>
        <sz val="11"/>
        <color theme="1"/>
        <rFont val="Calibri"/>
        <family val="2"/>
        <scheme val="minor"/>
      </rPr>
      <t>αυτου</t>
    </r>
    <r>
      <rPr>
        <sz val="11"/>
        <color theme="1"/>
        <rFont val="Calibri"/>
        <family val="2"/>
        <scheme val="minor"/>
      </rPr>
      <t xml:space="preserve"> κλεψητε </t>
    </r>
  </si>
  <si>
    <r>
      <t xml:space="preserve">μεριδων αυτου </t>
    </r>
    <r>
      <rPr>
        <b/>
        <sz val="11"/>
        <color theme="1"/>
        <rFont val="Calibri"/>
        <family val="2"/>
        <scheme val="minor"/>
      </rPr>
      <t>κλεψητε</t>
    </r>
    <r>
      <rPr>
        <sz val="11"/>
        <color theme="1"/>
        <rFont val="Calibri"/>
        <family val="2"/>
        <scheme val="minor"/>
      </rPr>
      <t xml:space="preserve"> </t>
    </r>
  </si>
  <si>
    <t>O.4.24 corrects to αυτων</t>
  </si>
  <si>
    <t>O.4.24 corrects to κλεψετε</t>
  </si>
  <si>
    <t>(5) πορνων (6) εν πλεονεξια</t>
  </si>
  <si>
    <t>O.4.24 adds και before εν</t>
  </si>
  <si>
    <t>O.4.24 corrects to διδαξετε</t>
  </si>
  <si>
    <t>O.4.24 corrects to βεβηλωσετε</t>
  </si>
  <si>
    <t>υμων σοδομα</t>
  </si>
  <si>
    <t>O.4.24 corrects to υμων ως σοδομα</t>
  </si>
  <si>
    <t>αγια εν καταφρονησει</t>
  </si>
  <si>
    <t>αγια και εν καταφρονησει</t>
  </si>
  <si>
    <t>O.4.24 corrects to εξουθενωσετε</t>
  </si>
  <si>
    <t>O.4.24 corrects to βδελυξεσθε</t>
  </si>
  <si>
    <t>O.4.24 corrects to νομισετε</t>
  </si>
  <si>
    <t>εν τω δευτερω</t>
  </si>
  <si>
    <t>O.4.24 corrects to εν δε τω δευτερω</t>
  </si>
  <si>
    <t>αυτον η αδικια</t>
  </si>
  <si>
    <t>O.4.24 corrects αυτον -&gt; αυτω</t>
  </si>
  <si>
    <t>κυ χυθησεται</t>
  </si>
  <si>
    <t>O.4.24 corrects to κυ εκχυθησεται</t>
  </si>
  <si>
    <t>δοξης του</t>
  </si>
  <si>
    <t>O.4.24 corrects to κυ και εκχυθησεται</t>
  </si>
  <si>
    <t>φωνης πνευματικης</t>
  </si>
  <si>
    <t>O.4.24 corrects to κυ και χαρησομαι</t>
  </si>
  <si>
    <t>η νομον</t>
  </si>
  <si>
    <t>O.4.24 corrects to η τον νομον</t>
  </si>
  <si>
    <t>O.4.24 corrects to ειπαμεν</t>
  </si>
  <si>
    <t>χειρα αβρααμ</t>
  </si>
  <si>
    <t>O.4.24 corrects χειρα -&gt; χειρας</t>
  </si>
  <si>
    <t>εγενομην τω πρι</t>
  </si>
  <si>
    <t>O.4.24 adds εγω before τω</t>
  </si>
  <si>
    <t>ιουδα λεγουσα</t>
  </si>
  <si>
    <t>O.4.24 corrects ιουδα -&gt; ιουδαν</t>
  </si>
  <si>
    <t>αδελφην της μρς</t>
  </si>
  <si>
    <t>αδελφην μου της μρς</t>
  </si>
  <si>
    <t>ιακωβ ηυξατο</t>
  </si>
  <si>
    <t>O.4.24 corrects ευξατο -&gt; επηυξατο</t>
  </si>
  <si>
    <t>πιασας ημερωσα</t>
  </si>
  <si>
    <t>πιασας ημηρ ημερωσα</t>
  </si>
  <si>
    <r>
      <t xml:space="preserve">ει </t>
    </r>
    <r>
      <rPr>
        <b/>
        <sz val="11"/>
        <color theme="1"/>
        <rFont val="Calibri"/>
        <family val="2"/>
        <scheme val="minor"/>
      </rPr>
      <t>επεστρεφε</t>
    </r>
    <r>
      <rPr>
        <sz val="11"/>
        <color theme="1"/>
        <rFont val="Calibri"/>
        <family val="2"/>
        <scheme val="minor"/>
      </rPr>
      <t xml:space="preserve"> προς με διησπουν αυτο</t>
    </r>
  </si>
  <si>
    <r>
      <t xml:space="preserve">ει επεστρεφε </t>
    </r>
    <r>
      <rPr>
        <b/>
        <sz val="11"/>
        <color theme="1"/>
        <rFont val="Calibri"/>
        <family val="2"/>
        <scheme val="minor"/>
      </rPr>
      <t>προς</t>
    </r>
    <r>
      <rPr>
        <sz val="11"/>
        <color theme="1"/>
        <rFont val="Calibri"/>
        <family val="2"/>
        <scheme val="minor"/>
      </rPr>
      <t xml:space="preserve"> με διησπουν αυτο</t>
    </r>
  </si>
  <si>
    <r>
      <t xml:space="preserve">ει επεστρεφε προς με </t>
    </r>
    <r>
      <rPr>
        <b/>
        <sz val="11"/>
        <color theme="1"/>
        <rFont val="Calibri"/>
        <family val="2"/>
        <scheme val="minor"/>
      </rPr>
      <t>διησπουν</t>
    </r>
    <r>
      <rPr>
        <sz val="11"/>
        <color theme="1"/>
        <rFont val="Calibri"/>
        <family val="2"/>
        <scheme val="minor"/>
      </rPr>
      <t xml:space="preserve"> αυτο</t>
    </r>
  </si>
  <si>
    <t>O.4.24 corrects to υπεστρεφε</t>
  </si>
  <si>
    <t>O.4.24 corrects to επι</t>
  </si>
  <si>
    <t>O.4.24 corrects to διησπων</t>
  </si>
  <si>
    <t>αγριω συνεδραμον</t>
  </si>
  <si>
    <t>O.4.24 corrects συν- -&gt; κατ-</t>
  </si>
  <si>
    <t>αγριον χωρα</t>
  </si>
  <si>
    <t>O.4.24 adds εν before χωρα</t>
  </si>
  <si>
    <r>
      <t xml:space="preserve">και </t>
    </r>
    <r>
      <rPr>
        <b/>
        <sz val="11"/>
        <color theme="1"/>
        <rFont val="Calibri"/>
        <family val="2"/>
        <scheme val="minor"/>
      </rPr>
      <t>εν κυκλω συσ</t>
    </r>
    <r>
      <rPr>
        <sz val="11"/>
        <color theme="1"/>
        <rFont val="Calibri"/>
        <family val="2"/>
        <scheme val="minor"/>
      </rPr>
      <t>σεισας και</t>
    </r>
  </si>
  <si>
    <r>
      <t xml:space="preserve">και </t>
    </r>
    <r>
      <rPr>
        <b/>
        <sz val="11"/>
        <color theme="1"/>
        <rFont val="Calibri"/>
        <family val="2"/>
        <scheme val="minor"/>
      </rPr>
      <t>εγκυκλωσις</t>
    </r>
    <r>
      <rPr>
        <sz val="11"/>
        <color theme="1"/>
        <rFont val="Calibri"/>
        <family val="2"/>
        <scheme val="minor"/>
      </rPr>
      <t xml:space="preserve"> σεισας και</t>
    </r>
  </si>
  <si>
    <t>O.4.24 corrects to σκοτησας</t>
  </si>
  <si>
    <t>βασιλεα σουρ</t>
  </si>
  <si>
    <t>O.4.24 corrects σουρ -&gt; ασουρ</t>
  </si>
  <si>
    <t>κνιμιδας κατεσπασα</t>
  </si>
  <si>
    <t>κνιμιδας κρουσας κατεσπασα</t>
  </si>
  <si>
    <t>εμπροσθε και</t>
  </si>
  <si>
    <t>O.4.24 corrects εμπροσθε -&gt; εμπροσθεν</t>
  </si>
  <si>
    <t>λιθον λιτρων ξ</t>
  </si>
  <si>
    <t>λιθον ξ</t>
  </si>
  <si>
    <t>ιππω απεκτεινα αυτον</t>
  </si>
  <si>
    <r>
      <t xml:space="preserve">ιππω </t>
    </r>
    <r>
      <rPr>
        <b/>
        <sz val="11"/>
        <color theme="1"/>
        <rFont val="Calibri"/>
        <family val="2"/>
        <scheme val="minor"/>
      </rPr>
      <t>και</t>
    </r>
    <r>
      <rPr>
        <sz val="11"/>
        <color theme="1"/>
        <rFont val="Calibri"/>
        <family val="2"/>
        <scheme val="minor"/>
      </rPr>
      <t xml:space="preserve"> απεκτεινα αυτον</t>
    </r>
  </si>
  <si>
    <r>
      <t xml:space="preserve">ιππω και </t>
    </r>
    <r>
      <rPr>
        <b/>
        <sz val="11"/>
        <color theme="1"/>
        <rFont val="Calibri"/>
        <family val="2"/>
        <scheme val="minor"/>
      </rPr>
      <t>απεκτεινα αυτον</t>
    </r>
  </si>
  <si>
    <r>
      <t xml:space="preserve">ιππω </t>
    </r>
    <r>
      <rPr>
        <b/>
        <sz val="11"/>
        <color theme="1"/>
        <rFont val="Calibri"/>
        <family val="2"/>
        <scheme val="minor"/>
      </rPr>
      <t>απεκτεινα αυτον</t>
    </r>
  </si>
  <si>
    <t>O.4.24 adds και between these words</t>
  </si>
  <si>
    <t>O.4.24 corrects to ενειλησας</t>
  </si>
  <si>
    <t>χειρι μου σφενδωνισας</t>
  </si>
  <si>
    <r>
      <t xml:space="preserve">χειρι μου </t>
    </r>
    <r>
      <rPr>
        <b/>
        <sz val="11"/>
        <color theme="1"/>
        <rFont val="Calibri"/>
        <family val="2"/>
        <scheme val="minor"/>
      </rPr>
      <t>λιθοις</t>
    </r>
    <r>
      <rPr>
        <sz val="11"/>
        <color theme="1"/>
        <rFont val="Calibri"/>
        <family val="2"/>
        <scheme val="minor"/>
      </rPr>
      <t xml:space="preserve"> σφενδωνισας</t>
    </r>
  </si>
  <si>
    <r>
      <t xml:space="preserve">χειρι μου λιθοις </t>
    </r>
    <r>
      <rPr>
        <b/>
        <sz val="11"/>
        <color theme="1"/>
        <rFont val="Calibri"/>
        <family val="2"/>
        <scheme val="minor"/>
      </rPr>
      <t>σφενδωνισας</t>
    </r>
  </si>
  <si>
    <r>
      <t xml:space="preserve">χειρι μου </t>
    </r>
    <r>
      <rPr>
        <b/>
        <sz val="11"/>
        <color theme="1"/>
        <rFont val="Calibri"/>
        <family val="2"/>
        <scheme val="minor"/>
      </rPr>
      <t>σφενδωνισας</t>
    </r>
  </si>
  <si>
    <t>O.4.24 corrects to σφενδονησας</t>
  </si>
  <si>
    <t>επεται μοι εν πασι</t>
  </si>
  <si>
    <t>επεται μου μοι εν πασι</t>
  </si>
  <si>
    <t>O.4.24 corrects to τεσσαρας</t>
  </si>
  <si>
    <t>(4:3) βασιλεων (5:1) τη εξης</t>
  </si>
  <si>
    <t>O.4.24 adds και before τη</t>
  </si>
  <si>
    <r>
      <t xml:space="preserve">και </t>
    </r>
    <r>
      <rPr>
        <b/>
        <sz val="11"/>
        <color theme="1"/>
        <rFont val="Calibri"/>
        <family val="2"/>
        <scheme val="minor"/>
      </rPr>
      <t>τειχειρη</t>
    </r>
    <r>
      <rPr>
        <sz val="11"/>
        <color theme="1"/>
        <rFont val="Calibri"/>
        <family val="2"/>
        <scheme val="minor"/>
      </rPr>
      <t xml:space="preserve"> και απροσεγγιστον</t>
    </r>
  </si>
  <si>
    <t>O.4.24 corrects to τειχηρη</t>
  </si>
  <si>
    <t>λαθραιοι οι αδελφοι</t>
  </si>
  <si>
    <t>O.4.24 corrects λαθραιοι -&gt; λαθρα</t>
  </si>
  <si>
    <t>θαφφου επεβαλον</t>
  </si>
  <si>
    <t>O.4.24 corrects θαφφου -&gt; θαφφουε</t>
  </si>
  <si>
    <t>Not clear to me whether the και in question is a correction</t>
  </si>
  <si>
    <r>
      <rPr>
        <b/>
        <sz val="11"/>
        <color theme="1"/>
        <rFont val="Calibri"/>
        <family val="2"/>
        <scheme val="minor"/>
      </rPr>
      <t>ενεπρισαμεν</t>
    </r>
    <r>
      <rPr>
        <sz val="11"/>
        <color theme="1"/>
        <rFont val="Calibri"/>
        <family val="2"/>
        <scheme val="minor"/>
      </rPr>
      <t xml:space="preserve"> παντα τα εν αυτη </t>
    </r>
  </si>
  <si>
    <t xml:space="preserve">ενεπρισαμεν παντα τα εν αυτη </t>
  </si>
  <si>
    <r>
      <rPr>
        <b/>
        <sz val="11"/>
        <color theme="1"/>
        <rFont val="Calibri"/>
        <family val="2"/>
        <scheme val="minor"/>
      </rPr>
      <t>ενεπρησαμεν</t>
    </r>
    <r>
      <rPr>
        <sz val="11"/>
        <color theme="1"/>
        <rFont val="Calibri"/>
        <family val="2"/>
        <scheme val="minor"/>
      </rPr>
      <t xml:space="preserve"> και παντα εν αυτη</t>
    </r>
  </si>
  <si>
    <r>
      <t xml:space="preserve">ενεπρησαμεν </t>
    </r>
    <r>
      <rPr>
        <b/>
        <sz val="11"/>
        <color theme="1"/>
        <rFont val="Calibri"/>
        <family val="2"/>
        <scheme val="minor"/>
      </rPr>
      <t>και</t>
    </r>
    <r>
      <rPr>
        <sz val="11"/>
        <color theme="1"/>
        <rFont val="Calibri"/>
        <family val="2"/>
        <scheme val="minor"/>
      </rPr>
      <t xml:space="preserve"> παντα εν αυτη</t>
    </r>
  </si>
  <si>
    <t>ενεπρησαμεν και παντα εν αυτη</t>
  </si>
  <si>
    <r>
      <t xml:space="preserve">ενεπρισαμεν παντα </t>
    </r>
    <r>
      <rPr>
        <b/>
        <sz val="11"/>
        <color theme="1"/>
        <rFont val="Calibri"/>
        <family val="2"/>
        <scheme val="minor"/>
      </rPr>
      <t>τα</t>
    </r>
    <r>
      <rPr>
        <sz val="11"/>
        <color theme="1"/>
        <rFont val="Calibri"/>
        <family val="2"/>
        <scheme val="minor"/>
      </rPr>
      <t xml:space="preserve"> εν αυτη </t>
    </r>
  </si>
  <si>
    <t>O.4.24 corrects χουζιβα</t>
  </si>
  <si>
    <t>ηλθον εφ ημας</t>
  </si>
  <si>
    <t>O.4.24 corrects εφ -&gt; προς</t>
  </si>
  <si>
    <t>συνηψαμεν αυτους και</t>
  </si>
  <si>
    <t>συνηψαμεν αυτους αυτους και</t>
  </si>
  <si>
    <t>επιλαβαμεθα</t>
  </si>
  <si>
    <t>O.4.24 corrects to επελαβομεθα</t>
  </si>
  <si>
    <t>O.4.24 corrects to ερχεται</t>
  </si>
  <si>
    <t>αυτων ολοθρευσαμεν</t>
  </si>
  <si>
    <t>O.4.24 corrects ολοθρευσαμεν -&gt; ωλοθρευσαμεν</t>
  </si>
  <si>
    <t>η αποφυγη των</t>
  </si>
  <si>
    <t>O.4.24 corrects αποφυγη -&gt; αποσκευη</t>
  </si>
  <si>
    <t>θαμνα και</t>
  </si>
  <si>
    <t>O.4.24 corrects θαμνα -&gt; θαμναν</t>
  </si>
  <si>
    <t>πληρωθεντων των δεκαοκτω</t>
  </si>
  <si>
    <t>πληρωθεντων δεκα οκτω</t>
  </si>
  <si>
    <t>περικαθισαντες επολιορκουμεν</t>
  </si>
  <si>
    <t>O.4.24 adds δε between these words</t>
  </si>
  <si>
    <t>ημιν πυρου κορους</t>
  </si>
  <si>
    <t>εως οτε κατηλθομεν</t>
  </si>
  <si>
    <t>O.4.24 corrects οτε -&gt; οτου</t>
  </si>
  <si>
    <t>μετα ταυτα</t>
  </si>
  <si>
    <t>αυτη ενιαυτον</t>
  </si>
  <si>
    <t>αυτη συνιαυτον</t>
  </si>
  <si>
    <t>ως αυτη</t>
  </si>
  <si>
    <t>ελαβετο σιλωμ</t>
  </si>
  <si>
    <t>O.4.24 corrects to ελαβε τω σιλωμ</t>
  </si>
  <si>
    <t>κατηρασαμην αυτης εν</t>
  </si>
  <si>
    <t>κατηρασαμην αυτη εν</t>
  </si>
  <si>
    <t>παρα την πυλην</t>
  </si>
  <si>
    <t>O.4.24 corrects to παρα τη πυλη</t>
  </si>
  <si>
    <t>(11) λιμον (12) σαρακοντα</t>
  </si>
  <si>
    <t>O.4.24 corrects σαρακοντα -&gt; τεσσαρακοντα</t>
  </si>
  <si>
    <t>τεκνα του πρς</t>
  </si>
  <si>
    <t>τεκνα του πατρος</t>
  </si>
  <si>
    <t>O.4.24 adds ιουδα after τεκνα</t>
  </si>
  <si>
    <t>ουκ ηπατησε</t>
  </si>
  <si>
    <t>ουχ ηπατησε</t>
  </si>
  <si>
    <t>O.4.24 corrects to βησσουε</t>
  </si>
  <si>
    <t>καρδιαν ηδονη</t>
  </si>
  <si>
    <t>O.4.24 adds η between these words</t>
  </si>
  <si>
    <t>οτε εχει</t>
  </si>
  <si>
    <t>ποιει το πνα</t>
  </si>
  <si>
    <t>ποιει πνευμα</t>
  </si>
  <si>
    <r>
      <t xml:space="preserve">οτι </t>
    </r>
    <r>
      <rPr>
        <b/>
        <sz val="11"/>
        <color theme="1"/>
        <rFont val="Calibri"/>
        <family val="2"/>
        <scheme val="minor"/>
      </rPr>
      <t>και</t>
    </r>
    <r>
      <rPr>
        <sz val="11"/>
        <color theme="1"/>
        <rFont val="Calibri"/>
        <family val="2"/>
        <scheme val="minor"/>
      </rPr>
      <t xml:space="preserve"> βασιλει και πτωχω</t>
    </r>
  </si>
  <si>
    <r>
      <t xml:space="preserve">οτι και βασιλει </t>
    </r>
    <r>
      <rPr>
        <b/>
        <sz val="11"/>
        <color theme="1"/>
        <rFont val="Calibri"/>
        <family val="2"/>
        <scheme val="minor"/>
      </rPr>
      <t>και</t>
    </r>
    <r>
      <rPr>
        <sz val="11"/>
        <color theme="1"/>
        <rFont val="Calibri"/>
        <family val="2"/>
        <scheme val="minor"/>
      </rPr>
      <t xml:space="preserve"> πτωχω</t>
    </r>
  </si>
  <si>
    <t>O.4.24 corrects και -&gt; καν</t>
  </si>
  <si>
    <t>O.4.24 corrects to κατακυριευσωσι</t>
  </si>
  <si>
    <t>Note that the word in question is given at the bottom of  9v in O.4.24, but this line is usually used only to indicate the first word of the next page (I have not counted these as errors so far)</t>
  </si>
  <si>
    <r>
      <t xml:space="preserve">τεκνα </t>
    </r>
    <r>
      <rPr>
        <b/>
        <sz val="11"/>
        <color theme="1"/>
        <rFont val="Calibri"/>
        <family val="2"/>
        <scheme val="minor"/>
      </rPr>
      <t>μου ορον</t>
    </r>
    <r>
      <rPr>
        <sz val="11"/>
        <color theme="1"/>
        <rFont val="Calibri"/>
        <family val="2"/>
        <scheme val="minor"/>
      </rPr>
      <t xml:space="preserve"> οινου εστι</t>
    </r>
  </si>
  <si>
    <r>
      <t xml:space="preserve">τεκνα μου </t>
    </r>
    <r>
      <rPr>
        <b/>
        <sz val="11"/>
        <color theme="1"/>
        <rFont val="Calibri"/>
        <family val="2"/>
        <scheme val="minor"/>
      </rPr>
      <t>ορον οινου</t>
    </r>
    <r>
      <rPr>
        <sz val="11"/>
        <color theme="1"/>
        <rFont val="Calibri"/>
        <family val="2"/>
        <scheme val="minor"/>
      </rPr>
      <t xml:space="preserve"> εστι</t>
    </r>
  </si>
  <si>
    <t>O.4.24 adds τον between these words</t>
  </si>
  <si>
    <t>O.4.24 adds του between these words</t>
  </si>
  <si>
    <t>O.4.24 corrects to πινετε</t>
  </si>
  <si>
    <t>O.4.24 corrects to απολεσθε</t>
  </si>
  <si>
    <t>ευλογιας ου μεμνηται</t>
  </si>
  <si>
    <t>O.4.24 adds θεου before ου</t>
  </si>
  <si>
    <t>O.4.24 corrects to προσχορθιζει</t>
  </si>
  <si>
    <r>
      <rPr>
        <b/>
        <sz val="11"/>
        <color theme="1"/>
        <rFont val="Calibri"/>
        <family val="2"/>
        <scheme val="minor"/>
      </rPr>
      <t>δυο</t>
    </r>
    <r>
      <rPr>
        <sz val="11"/>
        <color theme="1"/>
        <rFont val="Calibri"/>
        <family val="2"/>
        <scheme val="minor"/>
      </rPr>
      <t xml:space="preserve"> γαρ παθη εναντια των εντολων </t>
    </r>
  </si>
  <si>
    <r>
      <rPr>
        <b/>
        <sz val="11"/>
        <color theme="1"/>
        <rFont val="Calibri"/>
        <family val="2"/>
        <scheme val="minor"/>
      </rPr>
      <t>δυσι</t>
    </r>
    <r>
      <rPr>
        <sz val="11"/>
        <color theme="1"/>
        <rFont val="Calibri"/>
        <family val="2"/>
        <scheme val="minor"/>
      </rPr>
      <t xml:space="preserve"> γαρ παθη εναντια των εντελων </t>
    </r>
  </si>
  <si>
    <r>
      <t xml:space="preserve">δυο γαρ </t>
    </r>
    <r>
      <rPr>
        <b/>
        <sz val="11"/>
        <color theme="1"/>
        <rFont val="Calibri"/>
        <family val="2"/>
        <scheme val="minor"/>
      </rPr>
      <t>παθη</t>
    </r>
    <r>
      <rPr>
        <sz val="11"/>
        <color theme="1"/>
        <rFont val="Calibri"/>
        <family val="2"/>
        <scheme val="minor"/>
      </rPr>
      <t xml:space="preserve"> εναντια των εντολων </t>
    </r>
  </si>
  <si>
    <r>
      <t xml:space="preserve">δυσι γαρ </t>
    </r>
    <r>
      <rPr>
        <b/>
        <sz val="11"/>
        <color theme="1"/>
        <rFont val="Calibri"/>
        <family val="2"/>
        <scheme val="minor"/>
      </rPr>
      <t>παθη</t>
    </r>
    <r>
      <rPr>
        <sz val="11"/>
        <color theme="1"/>
        <rFont val="Calibri"/>
        <family val="2"/>
        <scheme val="minor"/>
      </rPr>
      <t xml:space="preserve"> εναντια των εντελων </t>
    </r>
  </si>
  <si>
    <r>
      <t xml:space="preserve">δυο γαρ παθη </t>
    </r>
    <r>
      <rPr>
        <b/>
        <sz val="11"/>
        <color theme="1"/>
        <rFont val="Calibri"/>
        <family val="2"/>
        <scheme val="minor"/>
      </rPr>
      <t>εναντια</t>
    </r>
    <r>
      <rPr>
        <sz val="11"/>
        <color theme="1"/>
        <rFont val="Calibri"/>
        <family val="2"/>
        <scheme val="minor"/>
      </rPr>
      <t xml:space="preserve"> των εντολων </t>
    </r>
  </si>
  <si>
    <r>
      <t xml:space="preserve">δυσι γαρ παθη </t>
    </r>
    <r>
      <rPr>
        <b/>
        <sz val="11"/>
        <color theme="1"/>
        <rFont val="Calibri"/>
        <family val="2"/>
        <scheme val="minor"/>
      </rPr>
      <t>εναντια</t>
    </r>
    <r>
      <rPr>
        <sz val="11"/>
        <color theme="1"/>
        <rFont val="Calibri"/>
        <family val="2"/>
        <scheme val="minor"/>
      </rPr>
      <t xml:space="preserve"> των εντελων </t>
    </r>
  </si>
  <si>
    <r>
      <t xml:space="preserve">δυο γαρ παθη εναντια των </t>
    </r>
    <r>
      <rPr>
        <b/>
        <sz val="11"/>
        <color theme="1"/>
        <rFont val="Calibri"/>
        <family val="2"/>
        <scheme val="minor"/>
      </rPr>
      <t>εντολων</t>
    </r>
    <r>
      <rPr>
        <sz val="11"/>
        <color theme="1"/>
        <rFont val="Calibri"/>
        <family val="2"/>
        <scheme val="minor"/>
      </rPr>
      <t xml:space="preserve"> </t>
    </r>
  </si>
  <si>
    <r>
      <t xml:space="preserve">δυσι γαρ παθη εναντια των </t>
    </r>
    <r>
      <rPr>
        <b/>
        <sz val="11"/>
        <color theme="1"/>
        <rFont val="Calibri"/>
        <family val="2"/>
        <scheme val="minor"/>
      </rPr>
      <t>εντελων</t>
    </r>
    <r>
      <rPr>
        <sz val="11"/>
        <color theme="1"/>
        <rFont val="Calibri"/>
        <family val="2"/>
        <scheme val="minor"/>
      </rPr>
      <t xml:space="preserve"> </t>
    </r>
  </si>
  <si>
    <t>O.4.24 corrects to παθεσιν</t>
  </si>
  <si>
    <t>O.4.24 corrects to εναντιοις</t>
  </si>
  <si>
    <t>δουλευων θω θυ υπακουειν</t>
  </si>
  <si>
    <t>O.4.24 corrects by striking out θυ</t>
  </si>
  <si>
    <t>O.4.24 corrects to ετυφλωσε</t>
  </si>
  <si>
    <t>μετανοια σαρκος</t>
  </si>
  <si>
    <t>ταπεινωσις ψυχης</t>
  </si>
  <si>
    <t>O.4.24 adds της between these words</t>
  </si>
  <si>
    <t>υπερεχει ο ουρανος</t>
  </si>
  <si>
    <t>υπερεχει ουνος</t>
  </si>
  <si>
    <t>εντρυφηματα υιων</t>
  </si>
  <si>
    <t>O.4.24 corrects εντρυφηματα -&gt; εντρυφηματων</t>
  </si>
  <si>
    <t>O.4.24 corrects to κινδυνευσουσιν</t>
  </si>
  <si>
    <t>καταπινοντες ανους ως ιχθυας</t>
  </si>
  <si>
    <t>καταπινοντες ανους ανους ως ιχθυας</t>
  </si>
  <si>
    <t>O.4.24 corrects to καταδουλωσουσιν</t>
  </si>
  <si>
    <t>O.4.24 corrects to διωξουσι</t>
  </si>
  <si>
    <t>μου και του σπερματος</t>
  </si>
  <si>
    <t>O.4.24 corrects και -&gt; εκ</t>
  </si>
  <si>
    <t>εγγαστριμυθοις ακολουθουντες</t>
  </si>
  <si>
    <t>επ αυτον</t>
  </si>
  <si>
    <r>
      <t xml:space="preserve">εκχεαι </t>
    </r>
    <r>
      <rPr>
        <b/>
        <sz val="11"/>
        <color theme="1"/>
        <rFont val="Calibri"/>
        <family val="2"/>
        <scheme val="minor"/>
      </rPr>
      <t>πνς</t>
    </r>
    <r>
      <rPr>
        <sz val="11"/>
        <color theme="1"/>
        <rFont val="Calibri"/>
        <family val="2"/>
        <scheme val="minor"/>
      </rPr>
      <t xml:space="preserve"> ευλογιαν πρς</t>
    </r>
  </si>
  <si>
    <r>
      <t xml:space="preserve">εκχεαι </t>
    </r>
    <r>
      <rPr>
        <b/>
        <sz val="11"/>
        <color theme="1"/>
        <rFont val="Calibri"/>
        <family val="2"/>
        <scheme val="minor"/>
      </rPr>
      <t>πνα</t>
    </r>
    <r>
      <rPr>
        <sz val="11"/>
        <color theme="1"/>
        <rFont val="Calibri"/>
        <family val="2"/>
        <scheme val="minor"/>
      </rPr>
      <t xml:space="preserve"> ευλογιας πρς</t>
    </r>
  </si>
  <si>
    <r>
      <t xml:space="preserve">εκχεαι πνα </t>
    </r>
    <r>
      <rPr>
        <b/>
        <sz val="11"/>
        <color theme="1"/>
        <rFont val="Calibri"/>
        <family val="2"/>
        <scheme val="minor"/>
      </rPr>
      <t>ευλογιας</t>
    </r>
    <r>
      <rPr>
        <sz val="11"/>
        <color theme="1"/>
        <rFont val="Calibri"/>
        <family val="2"/>
        <scheme val="minor"/>
      </rPr>
      <t xml:space="preserve"> πρς</t>
    </r>
  </si>
  <si>
    <r>
      <t xml:space="preserve">εκχεαι πνς </t>
    </r>
    <r>
      <rPr>
        <b/>
        <sz val="11"/>
        <color theme="1"/>
        <rFont val="Calibri"/>
        <family val="2"/>
        <scheme val="minor"/>
      </rPr>
      <t>ευλογιαν</t>
    </r>
    <r>
      <rPr>
        <sz val="11"/>
        <color theme="1"/>
        <rFont val="Calibri"/>
        <family val="2"/>
        <scheme val="minor"/>
      </rPr>
      <t xml:space="preserve"> πρς</t>
    </r>
  </si>
  <si>
    <t>πολυτελη εσθητι</t>
  </si>
  <si>
    <t>O.4.24 corrects πολυτελη -&gt; πολυτελει</t>
  </si>
  <si>
    <t>O.4.24 corrects to αναρηξοι</t>
  </si>
  <si>
    <t>O.4.24 corrects to μανδραγορας</t>
  </si>
  <si>
    <t>O.4.24 corrects to προσθεισα</t>
  </si>
  <si>
    <t>μανδραγορα δια τουτο</t>
  </si>
  <si>
    <t>O.4.24 corrects μανδραγορα -&gt; μανδραγοραν</t>
  </si>
  <si>
    <t>πλησιον (4) ου κατελαλησα</t>
  </si>
  <si>
    <t>O.4.24 adds μου after πλησιον</t>
  </si>
  <si>
    <t>τριακοντα ετων</t>
  </si>
  <si>
    <t>O.4.24 adds πεντε between these words</t>
  </si>
  <si>
    <t>O.4.24 corrects to εδιπλασιασε</t>
  </si>
  <si>
    <t>ευαρεστησιν κυ</t>
  </si>
  <si>
    <t>O.4.24 corrects κυ -&gt; κω</t>
  </si>
  <si>
    <t>περιεργαζομενοι νομον κυ</t>
  </si>
  <si>
    <t>περιεργαζομενοι εντολας κυ</t>
  </si>
  <si>
    <r>
      <t xml:space="preserve">επιδεχομενος </t>
    </r>
    <r>
      <rPr>
        <b/>
        <sz val="11"/>
        <color theme="1"/>
        <rFont val="Calibri"/>
        <family val="2"/>
        <scheme val="minor"/>
      </rPr>
      <t>οφθαλμοις</t>
    </r>
    <r>
      <rPr>
        <sz val="11"/>
        <color theme="1"/>
        <rFont val="Calibri"/>
        <family val="2"/>
        <scheme val="minor"/>
      </rPr>
      <t xml:space="preserve"> πονηριας απο της</t>
    </r>
  </si>
  <si>
    <r>
      <t xml:space="preserve">επιδεχομενος οφθαλμοις </t>
    </r>
    <r>
      <rPr>
        <b/>
        <sz val="11"/>
        <color theme="1"/>
        <rFont val="Calibri"/>
        <family val="2"/>
        <scheme val="minor"/>
      </rPr>
      <t>πονηριας</t>
    </r>
    <r>
      <rPr>
        <sz val="11"/>
        <color theme="1"/>
        <rFont val="Calibri"/>
        <family val="2"/>
        <scheme val="minor"/>
      </rPr>
      <t xml:space="preserve"> απο της</t>
    </r>
  </si>
  <si>
    <t>O.4.24 corrects to οφθαλμους</t>
  </si>
  <si>
    <t>O.4.24 corrects to πονηριους</t>
  </si>
  <si>
    <t>ευλογησε κς</t>
  </si>
  <si>
    <t>O.4.24 adds σε between these words</t>
  </si>
  <si>
    <t>απαρχων καρπων</t>
  </si>
  <si>
    <t>O.4.24 corrects απαρχων -&gt; απαρχαι</t>
  </si>
  <si>
    <t>εδοξασθη παρα κυ</t>
  </si>
  <si>
    <t>O.4.24 corrects εδοξασθη -&gt; εδοξασθησαν</t>
  </si>
  <si>
    <t>οπως εαν</t>
  </si>
  <si>
    <t>οπως α εαν</t>
  </si>
  <si>
    <t>O.4.24 corrects to επιστρεψωσι</t>
  </si>
  <si>
    <t>ακουσατε μου υιοι</t>
  </si>
  <si>
    <t>O.4.24 adds λογων after μου</t>
  </si>
  <si>
    <t>ιωσηφ ελεγεν</t>
  </si>
  <si>
    <t>επενεγκητε δια</t>
  </si>
  <si>
    <t>O.4.24 adds μοι between these words</t>
  </si>
  <si>
    <t>O.4.24 corrects to εβομβει</t>
  </si>
  <si>
    <t>O.4.24 corrects to συγκλαιοντα</t>
  </si>
  <si>
    <t>O.4.24 corrects to καταπατησομεν</t>
  </si>
  <si>
    <t>υπελυσεν αυτους</t>
  </si>
  <si>
    <t>O.4.24 corrects αυτους -&gt; αυτοις</t>
  </si>
  <si>
    <t>O.4.24 corrects to θυσομεν</t>
  </si>
  <si>
    <t>διδωσιν αυτον</t>
  </si>
  <si>
    <t>O.4.24 adds αυτοις between these words</t>
  </si>
  <si>
    <t>μου αναγγελω</t>
  </si>
  <si>
    <t>μου αγγελω</t>
  </si>
  <si>
    <t>εν τη χανααν</t>
  </si>
  <si>
    <t>O.4.24 corrects τη -&gt; γη</t>
  </si>
  <si>
    <t>εως ηλθωμεν</t>
  </si>
  <si>
    <r>
      <t xml:space="preserve">εως </t>
    </r>
    <r>
      <rPr>
        <b/>
        <sz val="11"/>
        <color theme="1"/>
        <rFont val="Calibri"/>
        <family val="2"/>
        <scheme val="minor"/>
      </rPr>
      <t>ηλθωμεν</t>
    </r>
  </si>
  <si>
    <t>O.4.24 adds ου between these words</t>
  </si>
  <si>
    <t>O.4.24 corrects to ηλθομεν</t>
  </si>
  <si>
    <t>κατα παντος ανου εν ελεει</t>
  </si>
  <si>
    <t>κατα παντα ανον εν ελεει</t>
  </si>
  <si>
    <t>οσον γαρ</t>
  </si>
  <si>
    <t>οσαν γαρ</t>
  </si>
  <si>
    <t>σπλαγχνιζεται</t>
  </si>
  <si>
    <t>λογιζεσθε εκαστος</t>
  </si>
  <si>
    <t>O.4.24 corrects λογιζεσθε -&gt; λογιζεσθω</t>
  </si>
  <si>
    <t>προσεχετε τα υδατα</t>
  </si>
  <si>
    <t>O.4.24 adds επι before τα</t>
  </si>
  <si>
    <t>O.4.24 corrects to ανατελει</t>
  </si>
  <si>
    <t>μου μη λυπεισθε</t>
  </si>
  <si>
    <t>μου λυπεισθε</t>
  </si>
  <si>
    <t>λογων μου προσεχετε</t>
  </si>
  <si>
    <t>O.4.24 adds και after μου</t>
  </si>
  <si>
    <t>κακιαν ανον εκδιδασκει</t>
  </si>
  <si>
    <t>κακιαν ανων εκδιδασκ[ει]</t>
  </si>
  <si>
    <t>O.4.24 corrects to ηδομην</t>
  </si>
  <si>
    <t>πηρ αυτου ηγαπα</t>
  </si>
  <si>
    <t>O.4.24 corrects αυτου -&gt; αυτον</t>
  </si>
  <si>
    <t>O.4.24 corrects ειασε</t>
  </si>
  <si>
    <r>
      <rPr>
        <b/>
        <sz val="11"/>
        <color theme="1"/>
        <rFont val="Calibri"/>
        <family val="2"/>
        <scheme val="minor"/>
      </rPr>
      <t>εασε</t>
    </r>
    <r>
      <rPr>
        <sz val="11"/>
        <color theme="1"/>
        <rFont val="Calibri"/>
        <family val="2"/>
        <scheme val="minor"/>
      </rPr>
      <t xml:space="preserve"> το ανομημα </t>
    </r>
  </si>
  <si>
    <r>
      <rPr>
        <b/>
        <sz val="11"/>
        <color theme="1"/>
        <rFont val="Calibri"/>
        <family val="2"/>
        <scheme val="minor"/>
      </rPr>
      <t>εασε το</t>
    </r>
    <r>
      <rPr>
        <sz val="11"/>
        <color theme="1"/>
        <rFont val="Calibri"/>
        <family val="2"/>
        <scheme val="minor"/>
      </rPr>
      <t xml:space="preserve"> ανομημα </t>
    </r>
  </si>
  <si>
    <t>O.4.24 adds με before το</t>
  </si>
  <si>
    <t>υμεις κινεισθε</t>
  </si>
  <si>
    <t>O.4.24 adds μη before κινεισθε</t>
  </si>
  <si>
    <t>εις ειδεαν</t>
  </si>
  <si>
    <t>O.4.24 corrects ειδεαν -&gt; αηδιαν</t>
  </si>
  <si>
    <t>(4) οργιζεσθαι (5) εαν ζημια</t>
  </si>
  <si>
    <r>
      <t xml:space="preserve">(4) οργιζεσθαι (5) </t>
    </r>
    <r>
      <rPr>
        <b/>
        <sz val="11"/>
        <color theme="1"/>
        <rFont val="Calibri"/>
        <family val="2"/>
        <scheme val="minor"/>
      </rPr>
      <t>α</t>
    </r>
    <r>
      <rPr>
        <sz val="11"/>
        <color theme="1"/>
        <rFont val="Calibri"/>
        <family val="2"/>
        <scheme val="minor"/>
      </rPr>
      <t xml:space="preserve"> εαν ζημια</t>
    </r>
  </si>
  <si>
    <r>
      <t xml:space="preserve">(4) οργιζεσθαι (5) </t>
    </r>
    <r>
      <rPr>
        <b/>
        <sz val="11"/>
        <color theme="1"/>
        <rFont val="Calibri"/>
        <family val="2"/>
        <scheme val="minor"/>
      </rPr>
      <t>εαν ζημια</t>
    </r>
  </si>
  <si>
    <r>
      <t xml:space="preserve">(4) οργιζεσθαι (5) α </t>
    </r>
    <r>
      <rPr>
        <b/>
        <sz val="11"/>
        <color theme="1"/>
        <rFont val="Calibri"/>
        <family val="2"/>
        <scheme val="minor"/>
      </rPr>
      <t>εαν ζημια</t>
    </r>
  </si>
  <si>
    <t>O.4.24 adds δε after εαν</t>
  </si>
  <si>
    <t>περιπεση τεκνα</t>
  </si>
  <si>
    <t>O.4.24 adds τε after περιπεση</t>
  </si>
  <si>
    <t>απολωμενου ινα</t>
  </si>
  <si>
    <t>O.4.24 corrects απολωμενου -&gt; απολωλοτος</t>
  </si>
  <si>
    <t>οτι εν ημερα</t>
  </si>
  <si>
    <t>οτι εν η ημερα</t>
  </si>
  <si>
    <t>οπισθα ποιουντα</t>
  </si>
  <si>
    <t>οπισθε ποιουντα</t>
  </si>
  <si>
    <t>αυτου ε εποιησε</t>
  </si>
  <si>
    <t>αυτου εποιησε</t>
  </si>
  <si>
    <t>τας ευχας ραχηλ</t>
  </si>
  <si>
    <t>τας αρχας ραχηλ</t>
  </si>
  <si>
    <t>εσπευδε θηλαζειν</t>
  </si>
  <si>
    <t>εσπευδε λ θηλαζειν</t>
  </si>
  <si>
    <t>με ευλογησε</t>
  </si>
  <si>
    <t>O.4.24 corrects ευλογησε -&gt; ηυλογησε</t>
  </si>
  <si>
    <t>φερει πηλον</t>
  </si>
  <si>
    <t>σωματος το πνα</t>
  </si>
  <si>
    <t>σωματος το ν πνα</t>
  </si>
  <si>
    <t>τριχος σταθμω</t>
  </si>
  <si>
    <t>τριχος και σταθμω</t>
  </si>
  <si>
    <t>και ουκ εστιν</t>
  </si>
  <si>
    <t>και εστιν</t>
  </si>
  <si>
    <t>καλαμος προς</t>
  </si>
  <si>
    <t>O.4.24 corrects καλαμος -&gt; καλαμον</t>
  </si>
  <si>
    <t>O.4.24 corrects to ψοας</t>
  </si>
  <si>
    <t>πλ[ευ]πλευρας</t>
  </si>
  <si>
    <r>
      <t xml:space="preserve">καρδιας </t>
    </r>
    <r>
      <rPr>
        <b/>
        <sz val="11"/>
        <color theme="1"/>
        <rFont val="Calibri"/>
        <family val="2"/>
        <scheme val="minor"/>
      </rPr>
      <t>δυνησεται</t>
    </r>
    <r>
      <rPr>
        <sz val="11"/>
        <color theme="1"/>
        <rFont val="Calibri"/>
        <family val="2"/>
        <scheme val="minor"/>
      </rPr>
      <t xml:space="preserve"> το θελημα</t>
    </r>
  </si>
  <si>
    <r>
      <t xml:space="preserve">καρδιας </t>
    </r>
    <r>
      <rPr>
        <b/>
        <sz val="11"/>
        <color theme="1"/>
        <rFont val="Calibri"/>
        <family val="2"/>
        <scheme val="minor"/>
      </rPr>
      <t>δυνησετε</t>
    </r>
    <r>
      <rPr>
        <sz val="11"/>
        <color theme="1"/>
        <rFont val="Calibri"/>
        <family val="2"/>
        <scheme val="minor"/>
      </rPr>
      <t xml:space="preserve"> το θελημα</t>
    </r>
  </si>
  <si>
    <r>
      <t xml:space="preserve">καρδιας δυνησεται </t>
    </r>
    <r>
      <rPr>
        <b/>
        <sz val="11"/>
        <color theme="1"/>
        <rFont val="Calibri"/>
        <family val="2"/>
        <scheme val="minor"/>
      </rPr>
      <t>το</t>
    </r>
    <r>
      <rPr>
        <sz val="11"/>
        <color theme="1"/>
        <rFont val="Calibri"/>
        <family val="2"/>
        <scheme val="minor"/>
      </rPr>
      <t xml:space="preserve"> θελημα</t>
    </r>
  </si>
  <si>
    <r>
      <t xml:space="preserve">καρδιας δυνησετε </t>
    </r>
    <r>
      <rPr>
        <b/>
        <sz val="11"/>
        <color theme="1"/>
        <rFont val="Calibri"/>
        <family val="2"/>
        <scheme val="minor"/>
      </rPr>
      <t>το</t>
    </r>
    <r>
      <rPr>
        <sz val="11"/>
        <color theme="1"/>
        <rFont val="Calibri"/>
        <family val="2"/>
        <scheme val="minor"/>
      </rPr>
      <t xml:space="preserve"> θελημα</t>
    </r>
  </si>
  <si>
    <t>O.4.24 corrects to συνησετε</t>
  </si>
  <si>
    <t>O.4.24 corrects by omitting το</t>
  </si>
  <si>
    <t>πασι τοις δημιουργημασι</t>
  </si>
  <si>
    <t>πασι τοις τοις δημιουργημασι</t>
  </si>
  <si>
    <t>O.4.24 corrects to εγγρηγοροι</t>
  </si>
  <si>
    <r>
      <t xml:space="preserve">πασαν </t>
    </r>
    <r>
      <rPr>
        <b/>
        <sz val="11"/>
        <color theme="1"/>
        <rFont val="Calibri"/>
        <family val="2"/>
        <scheme val="minor"/>
      </rPr>
      <t>πονηριαν</t>
    </r>
    <r>
      <rPr>
        <sz val="11"/>
        <color theme="1"/>
        <rFont val="Calibri"/>
        <family val="2"/>
        <scheme val="minor"/>
      </rPr>
      <t xml:space="preserve"> εθνων και ποιησετε κατα πασαν </t>
    </r>
    <r>
      <rPr>
        <b/>
        <sz val="11"/>
        <color theme="1"/>
        <rFont val="Calibri"/>
        <family val="2"/>
        <scheme val="minor"/>
      </rPr>
      <t>ανομιαν</t>
    </r>
    <r>
      <rPr>
        <sz val="11"/>
        <color theme="1"/>
        <rFont val="Calibri"/>
        <family val="2"/>
        <scheme val="minor"/>
      </rPr>
      <t xml:space="preserve"> σοδομων</t>
    </r>
  </si>
  <si>
    <t>Corrections (or alternate readings) in O.4.24 reverse the order of these elements</t>
  </si>
  <si>
    <t>O.4.24 corrects to επιστρεψεσθε</t>
  </si>
  <si>
    <t>της γης αχρι</t>
  </si>
  <si>
    <t>της γης αχ αχρι</t>
  </si>
  <si>
    <t>ορεσιν ελαιου</t>
  </si>
  <si>
    <t>O.4.24 corrects ελαιου -&gt; ελαιων</t>
  </si>
  <si>
    <t>λαμπρος ως η σεληνη</t>
  </si>
  <si>
    <t>λαμπρος ος η σεληνη</t>
  </si>
  <si>
    <t>ποδας αυτου</t>
  </si>
  <si>
    <t>O.4.24 corrects αυτου -&gt; αυτων</t>
  </si>
  <si>
    <t>αρμενιζον μεστον ταριχων</t>
  </si>
  <si>
    <t>αρμενιζον μεσθον μ[ε]στον ταριχων</t>
  </si>
  <si>
    <t>εκτος ναυτων</t>
  </si>
  <si>
    <t>εκτος αυτων</t>
  </si>
  <si>
    <t>ημων εμβωμεν</t>
  </si>
  <si>
    <t>O.4.24 corrects εμβωμεν -&gt; αναβωμεν</t>
  </si>
  <si>
    <t>O.4.24 corrects to εφερομεθα</t>
  </si>
  <si>
    <t>O.4.24 corrects to περιρρησσομενον</t>
  </si>
  <si>
    <t>O.4.24 corrects to περιβαλλομενος</t>
  </si>
  <si>
    <t>κατα καιρον</t>
  </si>
  <si>
    <t>O.4.24 corrects καιρον -&gt; καιρους</t>
  </si>
  <si>
    <t>αυτον μεθ υμων</t>
  </si>
  <si>
    <t>αυτον μεν μεθ υμων</t>
  </si>
  <si>
    <t>O.4.24 corrects to ενωνται</t>
  </si>
  <si>
    <t>οφθησεται θς κατοικων</t>
  </si>
  <si>
    <t>οφθησεται κς κατοικων</t>
  </si>
  <si>
    <t>αδοξηση εν τοις</t>
  </si>
  <si>
    <t>O.4.24 corrects αδοξηση -&gt; αδοξησα</t>
  </si>
  <si>
    <t>ο κς μισησει</t>
  </si>
  <si>
    <t>ο θς μισησει</t>
  </si>
  <si>
    <t>εβδομος υιος</t>
  </si>
  <si>
    <t>O.4.24 corrects εβδομος -&gt; εννατος</t>
  </si>
  <si>
    <t>ων εμαλακισθη</t>
  </si>
  <si>
    <t>ων εβα εμαλακισθη</t>
  </si>
  <si>
    <t>O.4.24 corrects to εξειλομην</t>
  </si>
  <si>
    <t>O.4.24 corrects to εκλειψαι</t>
  </si>
  <si>
    <t>O.4.24 corrects to επληροφορηθημεν</t>
  </si>
  <si>
    <t>δικαιοσυνην και παντα</t>
  </si>
  <si>
    <t>δικαιοσυνην και και παντα</t>
  </si>
  <si>
    <t>ασπαζετε υπερηφανιαν</t>
  </si>
  <si>
    <t xml:space="preserve">ασπαζετε υπερηφανιαν </t>
  </si>
  <si>
    <t>O.4.24 corrects ασπαζετε -&gt; ασπαζεται</t>
  </si>
  <si>
    <t>θελησει ανακαλεσασθαι</t>
  </si>
  <si>
    <t>O.4.24 corrects θελησει -&gt; θελει</t>
  </si>
  <si>
    <t>O.4.24 corrects to λαλουν</t>
  </si>
  <si>
    <t>φως προσεχει</t>
  </si>
  <si>
    <t>φως φ προσεχει</t>
  </si>
  <si>
    <t>ο φοβος</t>
  </si>
  <si>
    <t>ο β φοβος</t>
  </si>
  <si>
    <t>ουν ενεκειτο</t>
  </si>
  <si>
    <t>O.4.24 corrects ενεκειτο -&gt; ανεκειτο</t>
  </si>
  <si>
    <t>πρς υμων</t>
  </si>
  <si>
    <t>πρς ημων</t>
  </si>
  <si>
    <t>Ff 1.24 isn't quite clear whether υμων or ημων is firsthand</t>
  </si>
  <si>
    <t>ησυχασηη μη</t>
  </si>
  <si>
    <t>ησυχασθη μη</t>
  </si>
  <si>
    <t>ορον γαρ</t>
  </si>
  <si>
    <t>ορον κ γαρ</t>
  </si>
  <si>
    <t>απ αυτων</t>
  </si>
  <si>
    <t>O.4.24 corrects to κλινει</t>
  </si>
  <si>
    <t>O.4.24 corrects to πραξη</t>
  </si>
  <si>
    <t>(5) εστι (6) πλεονεκτων</t>
  </si>
  <si>
    <t>O.4.24 adds ο between these words</t>
  </si>
  <si>
    <t>O.4.24 corrects to ελεεα</t>
  </si>
  <si>
    <t>αθετη και</t>
  </si>
  <si>
    <t>αθετει και</t>
  </si>
  <si>
    <t>απεχεται αιδεσματων</t>
  </si>
  <si>
    <t>O.4.24 corrects αιδεσματων -&gt; εδεσματων</t>
  </si>
  <si>
    <t>την κακιαν</t>
  </si>
  <si>
    <t>ο αιωνιος ζωη</t>
  </si>
  <si>
    <t>η αιωνιος ζωη</t>
  </si>
  <si>
    <r>
      <rPr>
        <b/>
        <sz val="11"/>
        <color theme="1"/>
        <rFont val="Calibri"/>
        <family val="2"/>
        <scheme val="minor"/>
      </rPr>
      <t>μισησατε</t>
    </r>
    <r>
      <rPr>
        <sz val="11"/>
        <color theme="1"/>
        <rFont val="Calibri"/>
        <family val="2"/>
        <scheme val="minor"/>
      </rPr>
      <t xml:space="preserve"> τα κατα τον ανον</t>
    </r>
  </si>
  <si>
    <r>
      <t xml:space="preserve">μισησατε τα κατα </t>
    </r>
    <r>
      <rPr>
        <b/>
        <sz val="11"/>
        <color theme="1"/>
        <rFont val="Calibri"/>
        <family val="2"/>
        <scheme val="minor"/>
      </rPr>
      <t>τον ανον</t>
    </r>
  </si>
  <si>
    <t>O.4.24 corrects μισησατε -&gt; μιμουμενοι</t>
  </si>
  <si>
    <t>O.4.24 corrects to των ανων</t>
  </si>
  <si>
    <t>πνς ου και</t>
  </si>
  <si>
    <t>O.4.24 corrects ου -&gt; ω</t>
  </si>
  <si>
    <t>ηγνοησε τους αγγελους</t>
  </si>
  <si>
    <t>ηγνοησε του αγγελους</t>
  </si>
  <si>
    <t>απεθανεν υπνω</t>
  </si>
  <si>
    <t>O.4.24 adds εν between these words</t>
  </si>
  <si>
    <t>του ηγαπημενου</t>
  </si>
  <si>
    <t>του αγαπημενου</t>
  </si>
  <si>
    <t>εφυλαξε με</t>
  </si>
  <si>
    <t>εφυλαξα με</t>
  </si>
  <si>
    <t>επειγουση με</t>
  </si>
  <si>
    <t>O.4.24 corrects επειγουση -&gt; επειγουσην</t>
  </si>
  <si>
    <t>ανου δειλια</t>
  </si>
  <si>
    <t>ανου τειλια</t>
  </si>
  <si>
    <t>O.4.24 corrects to απωθειται</t>
  </si>
  <si>
    <r>
      <t xml:space="preserve">(5) </t>
    </r>
    <r>
      <rPr>
        <b/>
        <sz val="11"/>
        <color theme="1"/>
        <rFont val="Calibri"/>
        <family val="2"/>
        <scheme val="minor"/>
      </rPr>
      <t>αποθειται</t>
    </r>
    <r>
      <rPr>
        <sz val="11"/>
        <color theme="1"/>
        <rFont val="Calibri"/>
        <family val="2"/>
        <scheme val="minor"/>
      </rPr>
      <t xml:space="preserve"> (6) επι πασι</t>
    </r>
  </si>
  <si>
    <r>
      <t xml:space="preserve">(5) αποθειται (6) </t>
    </r>
    <r>
      <rPr>
        <b/>
        <sz val="11"/>
        <color theme="1"/>
        <rFont val="Calibri"/>
        <family val="2"/>
        <scheme val="minor"/>
      </rPr>
      <t>επι</t>
    </r>
    <r>
      <rPr>
        <sz val="11"/>
        <color theme="1"/>
        <rFont val="Calibri"/>
        <family val="2"/>
        <scheme val="minor"/>
      </rPr>
      <t xml:space="preserve"> πασι</t>
    </r>
  </si>
  <si>
    <t>O.4.24 corrects to εν</t>
  </si>
  <si>
    <t>O.4.24 corrects to παραδουναι</t>
  </si>
  <si>
    <t>εμνησκομην λογους πρων</t>
  </si>
  <si>
    <t>O.4.24 corrects λογους -&gt; λογων</t>
  </si>
  <si>
    <t>O.4.24 corrects to αποστρεφει</t>
  </si>
  <si>
    <t>O.4.24 corrects to ρυσηται</t>
  </si>
  <si>
    <t>κακεινη εσιωπησε</t>
  </si>
  <si>
    <t>κακεινη εστι εσιωπησε</t>
  </si>
  <si>
    <t>πασαν απολαυσιν</t>
  </si>
  <si>
    <t>πασιν απολαυσιν</t>
  </si>
  <si>
    <t>περιεργεια αυτης εις</t>
  </si>
  <si>
    <t>O.4.24 corrects αυτης -&gt; αυτη</t>
  </si>
  <si>
    <t>O.4.24 corrects to εδεσματων</t>
  </si>
  <si>
    <t>ενεκειτο εις εμε</t>
  </si>
  <si>
    <t>ενεκειτο εμε</t>
  </si>
  <si>
    <t>τεκνων μου εχω</t>
  </si>
  <si>
    <t>O.4.24 adds ει before εχω</t>
  </si>
  <si>
    <t>O.4.24 corrects to εσυκοφαντησε</t>
  </si>
  <si>
    <t>ο δε</t>
  </si>
  <si>
    <t>O.4.24 corrects ο -&gt; ου</t>
  </si>
  <si>
    <t>ταυτα ως καμοι</t>
  </si>
  <si>
    <t>O.4.24 corrects ταυτα -&gt; ταυτην</t>
  </si>
  <si>
    <t>O.4.24 corrects to ετιμων</t>
  </si>
  <si>
    <t>O.4.24 corrects to εσιωπων</t>
  </si>
  <si>
    <t>O.4.24 corrects to ηρωτων</t>
  </si>
  <si>
    <t>O.4.24 corrects to προδους</t>
  </si>
  <si>
    <t>O.4.24 corrects to παρειη</t>
  </si>
  <si>
    <t>O.4.24 corrects to μεμφις</t>
  </si>
  <si>
    <t>μετ αυτου</t>
  </si>
  <si>
    <t>μετ εμου</t>
  </si>
  <si>
    <t>O.4.24 corrects to αρχιευνουχω</t>
  </si>
  <si>
    <t>απ αυτου</t>
  </si>
  <si>
    <t>αυτω των ισμαηλιτων</t>
  </si>
  <si>
    <t>αυτω την ισμαηλιτων</t>
  </si>
  <si>
    <t>υπηρετειν σου</t>
  </si>
  <si>
    <t>O.4.24 corrects σου -&gt; σοι</t>
  </si>
  <si>
    <t>εν λακκω</t>
  </si>
  <si>
    <t>O.4.24 corrects λακκω -&gt; σακκω</t>
  </si>
  <si>
    <t>γαρ φησιν οτι</t>
  </si>
  <si>
    <t>δηλοι τη δεσποινη</t>
  </si>
  <si>
    <t>O.4.24 adds δε after δηλοι</t>
  </si>
  <si>
    <t>O.4.24 corrects to φεισασθε</t>
  </si>
  <si>
    <t>O.4.24 corrects to δεδοσθαι</t>
  </si>
  <si>
    <t>O.4.24 corrects to ευδοκιμουσης</t>
  </si>
  <si>
    <t>και οι εννεα</t>
  </si>
  <si>
    <t>[και] εννεα</t>
  </si>
  <si>
    <t xml:space="preserve">βασιλεια αυτου βασιλεια αιωνος </t>
  </si>
  <si>
    <t xml:space="preserve">βασιλεια βασιλεια αιωνος </t>
  </si>
  <si>
    <t>O.4.24 corrects to θλιψουσιν</t>
  </si>
  <si>
    <t>O.4.24 corrects to εφυρον</t>
  </si>
  <si>
    <t>χιτωνα αιματι</t>
  </si>
  <si>
    <t>χιτωνα σου αιματι</t>
  </si>
  <si>
    <t>φοβου του θυ</t>
  </si>
  <si>
    <t>φοβου θυ</t>
  </si>
  <si>
    <r>
      <rPr>
        <b/>
        <sz val="11"/>
        <color theme="1"/>
        <rFont val="Calibri"/>
        <family val="2"/>
        <scheme val="minor"/>
      </rPr>
      <t>υπο</t>
    </r>
    <r>
      <rPr>
        <sz val="11"/>
        <color theme="1"/>
        <rFont val="Calibri"/>
        <family val="2"/>
        <scheme val="minor"/>
      </rPr>
      <t xml:space="preserve"> επιβουλης</t>
    </r>
  </si>
  <si>
    <r>
      <rPr>
        <b/>
        <sz val="11"/>
        <color theme="1"/>
        <rFont val="Calibri"/>
        <family val="2"/>
        <scheme val="minor"/>
      </rPr>
      <t>υπο</t>
    </r>
    <r>
      <rPr>
        <sz val="11"/>
        <color theme="1"/>
        <rFont val="Calibri"/>
        <family val="2"/>
        <scheme val="minor"/>
      </rPr>
      <t xml:space="preserve"> επιβολης</t>
    </r>
  </si>
  <si>
    <r>
      <t xml:space="preserve">υπο </t>
    </r>
    <r>
      <rPr>
        <b/>
        <sz val="11"/>
        <color theme="1"/>
        <rFont val="Calibri"/>
        <family val="2"/>
        <scheme val="minor"/>
      </rPr>
      <t>επιβουλης</t>
    </r>
  </si>
  <si>
    <r>
      <t xml:space="preserve">υπο </t>
    </r>
    <r>
      <rPr>
        <b/>
        <sz val="11"/>
        <color theme="1"/>
        <rFont val="Calibri"/>
        <family val="2"/>
        <scheme val="minor"/>
      </rPr>
      <t>επιβολης</t>
    </r>
  </si>
  <si>
    <t>O.4.24 corrects to απο</t>
  </si>
  <si>
    <t>O.4.24 corrects to φευξονται</t>
  </si>
  <si>
    <t>αποδιδρασκει αυτου</t>
  </si>
  <si>
    <t>O.4.24 adds απ between these words</t>
  </si>
  <si>
    <t>O.4.24 corrects to απωλειαν</t>
  </si>
  <si>
    <t>O.4.24 corrects to θλιψιν</t>
  </si>
  <si>
    <t>O.4.24 corrects to αιχμαλωσιαν</t>
  </si>
  <si>
    <t>O.4.24 corrects to ενδειαν</t>
  </si>
  <si>
    <t>O.4.24 corrects to ταραχην</t>
  </si>
  <si>
    <t>O.4.24 corrects to ερημωσιν</t>
  </si>
  <si>
    <t>εν αγαπη</t>
  </si>
  <si>
    <t>O.4.24 corrects εν -&gt; επ</t>
  </si>
  <si>
    <t xml:space="preserve">ωσπερ γαρ ο ηλιος </t>
  </si>
  <si>
    <t xml:space="preserve">ωσπερ και ο ηλιος </t>
  </si>
  <si>
    <t>εγνω δε</t>
  </si>
  <si>
    <t>O.4.24 corrects εγνω -&gt; εγνων</t>
  </si>
  <si>
    <t>την ειδεαν</t>
  </si>
  <si>
    <t>η ειδεα</t>
  </si>
  <si>
    <t>O.4.24 corrects ειδεαν -&gt; ιδεαν</t>
  </si>
  <si>
    <t>O.4.24 corrects ειδεα -&gt; ιδεα</t>
  </si>
  <si>
    <t>οτε ο κς</t>
  </si>
  <si>
    <t>φανεντα μορφη</t>
  </si>
  <si>
    <t>O.4.24 corrects to παραγενομενον</t>
  </si>
  <si>
    <t>O.4.24 corrects to μαδηναιοις</t>
  </si>
  <si>
    <t>O.4.24 corrects to πορευησθ[ε]</t>
  </si>
  <si>
    <t>πορευεσθ[ε]</t>
  </si>
  <si>
    <t>κατοικησετε</t>
  </si>
  <si>
    <t>ιηλ</t>
  </si>
  <si>
    <t>απ αυτης</t>
  </si>
  <si>
    <t>βιβλοις αγιαις</t>
  </si>
  <si>
    <t>βιβλοις αγιας</t>
  </si>
  <si>
    <t xml:space="preserve">και ως επληρωσε </t>
  </si>
  <si>
    <t xml:space="preserve">και επληρωσε </t>
  </si>
  <si>
    <t>O.4.24 corrects to γηρει</t>
  </si>
  <si>
    <t>Speech part add/omitted</t>
  </si>
  <si>
    <t>Visual Cues</t>
  </si>
  <si>
    <t>Duplicate Material</t>
  </si>
  <si>
    <t>Singularity</t>
  </si>
  <si>
    <t>Secondary</t>
  </si>
  <si>
    <t>Minutiae</t>
  </si>
  <si>
    <t>Adjective</t>
  </si>
  <si>
    <t>Present</t>
  </si>
  <si>
    <t>Dittography</t>
  </si>
  <si>
    <t>Singular</t>
  </si>
  <si>
    <t>Itacism</t>
  </si>
  <si>
    <t>Article</t>
  </si>
  <si>
    <t>Absent</t>
  </si>
  <si>
    <t>Repetition</t>
  </si>
  <si>
    <t>Movable ν</t>
  </si>
  <si>
    <t>Adverb</t>
  </si>
  <si>
    <t>Iota Adscript</t>
  </si>
  <si>
    <t>Conjunction</t>
  </si>
  <si>
    <t>Iota Subscript</t>
  </si>
  <si>
    <t>Compound word</t>
  </si>
  <si>
    <t>Abbreviation</t>
  </si>
  <si>
    <t>Noun</t>
  </si>
  <si>
    <t>Breathings</t>
  </si>
  <si>
    <t>Pronoun</t>
  </si>
  <si>
    <t>Accents</t>
  </si>
  <si>
    <t>Preposition</t>
  </si>
  <si>
    <t>Punctuation</t>
  </si>
  <si>
    <t>Participle</t>
  </si>
  <si>
    <t>Vocative</t>
  </si>
  <si>
    <t>Phrase Length</t>
  </si>
  <si>
    <t>Words Length</t>
  </si>
  <si>
    <t>Letters Length</t>
  </si>
  <si>
    <t>Cue Regions</t>
  </si>
  <si>
    <t>Cue Length</t>
  </si>
  <si>
    <t>AO Word Frequency</t>
  </si>
  <si>
    <t>SUB Frequency Difference</t>
  </si>
  <si>
    <t>Nonsense</t>
  </si>
  <si>
    <t>Generated - strict</t>
  </si>
  <si>
    <t>Generated - contextual</t>
  </si>
  <si>
    <t>Removed - strict</t>
  </si>
  <si>
    <t>Removed - contextual</t>
  </si>
  <si>
    <t>Exclusion Grounds</t>
  </si>
  <si>
    <t>Corrector Followed</t>
  </si>
  <si>
    <t>Apograph Corrected</t>
  </si>
  <si>
    <t>Speech Part Add/Omitted</t>
  </si>
  <si>
    <t>Orthographic - General</t>
  </si>
  <si>
    <t>Harmonization - Context</t>
  </si>
  <si>
    <t>Parallel Present</t>
  </si>
  <si>
    <t>Harmonization - Parallel</t>
  </si>
  <si>
    <t>Mere Minutiae</t>
  </si>
  <si>
    <t>Review</t>
  </si>
  <si>
    <t>Disharmonizing</t>
  </si>
  <si>
    <t>Substitution - Word</t>
  </si>
  <si>
    <t>NA</t>
  </si>
  <si>
    <t>Substitution - Form</t>
  </si>
  <si>
    <t>Substitution - Both</t>
  </si>
  <si>
    <t>Below word level</t>
  </si>
  <si>
    <t>Particle</t>
  </si>
  <si>
    <t>Unfiltered variants:</t>
  </si>
  <si>
    <t>Total variants:</t>
  </si>
  <si>
    <t>τη καρδια μου κρυπτα εκλιπων</t>
  </si>
  <si>
    <t>τη καρδια μου κρυτα εκλιπων</t>
  </si>
  <si>
    <t>ει μη ιακωβ ο πηρ ημων προσηυξατο</t>
  </si>
  <si>
    <t>ει μη ιακωβ προσηυξατο</t>
  </si>
  <si>
    <t>Verb</t>
  </si>
  <si>
    <t>BD</t>
  </si>
  <si>
    <t>3</t>
  </si>
  <si>
    <t>5</t>
  </si>
  <si>
    <t>(4) ωφθη (5) πνε πεμπτον πνευμα υπερηφανειας</t>
  </si>
  <si>
    <t>το πνευμα το υπνου</t>
  </si>
  <si>
    <t>το πνα του υπνου</t>
  </si>
  <si>
    <t>συναπτεται πλανη και φαντασια (8) και ουτως</t>
  </si>
  <si>
    <t>συναπτεται πλανη και φαντασιας (8) και ουτως</t>
  </si>
  <si>
    <t>Frequency = παραθεω - παρερχομαι</t>
  </si>
  <si>
    <t>page turn error</t>
  </si>
  <si>
    <t>ΝΑ</t>
  </si>
  <si>
    <t>LSJ indicates both spellings as alternatives</t>
  </si>
  <si>
    <t>Frequency = ωσει - εις</t>
  </si>
  <si>
    <t>η-ε</t>
  </si>
  <si>
    <t>ε-η</t>
  </si>
  <si>
    <t>ι-η</t>
  </si>
  <si>
    <t>φωνης πατρικης</t>
  </si>
  <si>
    <t>δοξα υψιστου επ αυτον ρυθησεται</t>
  </si>
  <si>
    <t>δοξα υψιστω επ αυτον ρυθησεται</t>
  </si>
  <si>
    <t>BD:CD</t>
  </si>
  <si>
    <t>3:3</t>
  </si>
  <si>
    <t>5:5</t>
  </si>
  <si>
    <t>6:6</t>
  </si>
  <si>
    <t>Frequency = εγκυκλωσις - κυκλος</t>
  </si>
  <si>
    <t>AB:AC</t>
  </si>
  <si>
    <t>The verb κρουω occurs only here</t>
  </si>
  <si>
    <t>This is the only occurrence of this word</t>
  </si>
  <si>
    <t>εν δε τω εκδυειν με αυτου τον θωρακα</t>
  </si>
  <si>
    <t>εν δε τω εκδυειν με τον θωρακα</t>
  </si>
  <si>
    <t>AC:BD</t>
  </si>
  <si>
    <t xml:space="preserve">πτωχου το της πτωχειας ελαχιστον </t>
  </si>
  <si>
    <t xml:space="preserve">πτωχου το της ελαχιστον </t>
  </si>
  <si>
    <t>επαξει δε αυτοις κς διαιρεσεις</t>
  </si>
  <si>
    <t>επαξει δε αυτους κς διαιρεσεις</t>
  </si>
  <si>
    <t>ι-ει</t>
  </si>
  <si>
    <t xml:space="preserve">εν ταις ποικιλαις ραβδοις ειχε τον κληρον </t>
  </si>
  <si>
    <t xml:space="preserve">εν τοις ποικιλοις ραβδοις ειχε τον κληρον </t>
  </si>
  <si>
    <t>ο-ω</t>
  </si>
  <si>
    <t>ω-ο</t>
  </si>
  <si>
    <t>Apograph form = impossible?</t>
  </si>
  <si>
    <t>Frequency = πεντε (taking ε as numeral)</t>
  </si>
  <si>
    <t>Frequency = αρχη - ευχη</t>
  </si>
  <si>
    <t>Frequency = τριακοντα, taking λ as a numeral</t>
  </si>
  <si>
    <t>Frequency = πεντηκοντα, taking ν as a numeral</t>
  </si>
  <si>
    <t>4</t>
  </si>
  <si>
    <t>Frequency interprets φ as numeral</t>
  </si>
  <si>
    <t>Frequency interprets κ as numeral</t>
  </si>
  <si>
    <t>Frequency interprets β as numeral</t>
  </si>
  <si>
    <t>Frequency = εις as preposition only</t>
  </si>
  <si>
    <t>ω-ο:ο-ω</t>
  </si>
  <si>
    <t>Autograph corresponds to structure used at T. Reub. 3:1 το πνα του υπνου; apograph disharmonizes</t>
  </si>
  <si>
    <t>καθ εκαστον γαρ ιωβηλαιον</t>
  </si>
  <si>
    <t>καθ εκαστου γαρ ιωβηλαιον</t>
  </si>
  <si>
    <t>Frequency based on εικω</t>
  </si>
  <si>
    <t>Frequency = παρειμι; contextual nonsense since the apparent participle would have to be singular and nominative</t>
  </si>
  <si>
    <t/>
  </si>
  <si>
    <t>Singular Type</t>
  </si>
  <si>
    <t>SimGem</t>
  </si>
  <si>
    <t>AltForm</t>
  </si>
  <si>
    <t>Name Spelling</t>
  </si>
  <si>
    <t>Contraction</t>
  </si>
  <si>
    <t>Autograph not labelled nonsense since other instances were observed using ραβδος as masculine</t>
  </si>
  <si>
    <t>adds:</t>
  </si>
  <si>
    <t>omits:</t>
  </si>
  <si>
    <t>Add rate:</t>
  </si>
  <si>
    <t>LM</t>
  </si>
  <si>
    <t>HM</t>
  </si>
  <si>
    <t>LM-adds:</t>
  </si>
  <si>
    <t>LM-omits:</t>
  </si>
  <si>
    <t>LM-add rate:</t>
  </si>
  <si>
    <t>Length</t>
  </si>
  <si>
    <t>Adds</t>
  </si>
  <si>
    <t>Omits</t>
  </si>
  <si>
    <t>AddRate</t>
  </si>
  <si>
    <t>HM-adds:</t>
  </si>
  <si>
    <t>HM-omits:</t>
  </si>
  <si>
    <t>HM-add rate:</t>
  </si>
  <si>
    <t>Cues</t>
  </si>
  <si>
    <t>Not</t>
  </si>
  <si>
    <t>% present</t>
  </si>
  <si>
    <t>Total</t>
  </si>
  <si>
    <t>%</t>
  </si>
  <si>
    <t>Add ratio diff.</t>
  </si>
  <si>
    <t>Add Ratio</t>
  </si>
  <si>
    <t>Cues Abs.</t>
  </si>
  <si>
    <t>Cues Pres.</t>
  </si>
  <si>
    <t>Non-ditt.</t>
  </si>
  <si>
    <t>Ditt.</t>
  </si>
  <si>
    <t>2-3</t>
  </si>
  <si>
    <t>4+</t>
  </si>
  <si>
    <t>&gt;=5</t>
  </si>
  <si>
    <t>Words in corpus (Genesis - Deuteronomy)</t>
  </si>
  <si>
    <t>SUB_Aut_Freq</t>
  </si>
  <si>
    <t>SUB_Apog_Freq</t>
  </si>
  <si>
    <t>Freq-per-10000</t>
  </si>
  <si>
    <t>Med-word-freq</t>
  </si>
  <si>
    <t>HF-adds</t>
  </si>
  <si>
    <t>HF-omits</t>
  </si>
  <si>
    <t>HF-add-ratio</t>
  </si>
  <si>
    <t>LF-adds</t>
  </si>
  <si>
    <t>LF-omits</t>
  </si>
  <si>
    <t>LF-add-ratio</t>
  </si>
  <si>
    <t>not enough data</t>
  </si>
  <si>
    <t>art-adds</t>
  </si>
  <si>
    <t>art-omits</t>
  </si>
  <si>
    <t>art-add-rate</t>
  </si>
  <si>
    <t>Aut_P10K_Freq</t>
  </si>
  <si>
    <t>Apog_P10K_Freq</t>
  </si>
  <si>
    <t>P10K_Freq_Diff</t>
  </si>
  <si>
    <t>pos</t>
  </si>
  <si>
    <t>neg</t>
  </si>
  <si>
    <t>p =</t>
  </si>
  <si>
    <t>avg_diff</t>
  </si>
  <si>
    <t>stdv</t>
  </si>
  <si>
    <t>avg_P10K_diff</t>
  </si>
  <si>
    <t>P10K_stdv</t>
  </si>
  <si>
    <t>AddRatioDiff</t>
  </si>
  <si>
    <t>total_subs</t>
  </si>
  <si>
    <t>std_dev</t>
  </si>
  <si>
    <t>Harmonizations</t>
  </si>
  <si>
    <t>Disharmonizations</t>
  </si>
  <si>
    <t>Harm_Ratio</t>
  </si>
  <si>
    <t>Words copied</t>
  </si>
  <si>
    <t>Raw Errors</t>
  </si>
  <si>
    <t>Variants</t>
  </si>
  <si>
    <t>Raw PKW Error Rate</t>
  </si>
  <si>
    <t>PKW Meaningful Error Rate</t>
  </si>
  <si>
    <t>Pseudo-singular</t>
  </si>
  <si>
    <t>Non-singular</t>
  </si>
  <si>
    <t>πλαττειν λογους αυτου</t>
  </si>
  <si>
    <t>other MSS = πλαττειν λογους και κρυπτειν λογους αυτου, or another variant</t>
  </si>
  <si>
    <t>AC</t>
  </si>
  <si>
    <t>10</t>
  </si>
  <si>
    <t>δια της δολολειψιας</t>
  </si>
  <si>
    <t>other MSS = δια της δωροληψιας</t>
  </si>
  <si>
    <t>απο τοτε ουν παρεφυλαξαμην</t>
  </si>
  <si>
    <t>other MSS = απο τοτε μετανοων παρεφυλαξαμην, or other variant</t>
  </si>
  <si>
    <t>αληθειαν εκαστος προς τον πλησιον αυτου (10) και προς</t>
  </si>
  <si>
    <t>AC;BD</t>
  </si>
  <si>
    <t>22;3</t>
  </si>
  <si>
    <r>
      <t xml:space="preserve">other MSS = αληθειαν εκαστος προς τον πλησιον αυτου </t>
    </r>
    <r>
      <rPr>
        <b/>
        <sz val="11"/>
        <color theme="1"/>
        <rFont val="Calibri"/>
        <family val="2"/>
        <scheme val="minor"/>
      </rPr>
      <t>και αγαπην εκαστος προς τον αδελφον αυτου</t>
    </r>
    <r>
      <rPr>
        <sz val="11"/>
        <color theme="1"/>
        <rFont val="Calibri"/>
        <family val="2"/>
        <scheme val="minor"/>
      </rPr>
      <t xml:space="preserve"> (10) και προς, or other variant; freq = αγαπη</t>
    </r>
  </si>
  <si>
    <t>other MSS = εζηλωσα τον ιωσηφ</t>
  </si>
  <si>
    <r>
      <rPr>
        <b/>
        <sz val="11"/>
        <color theme="1"/>
        <rFont val="Calibri"/>
        <family val="2"/>
        <scheme val="minor"/>
      </rPr>
      <t>αποκαταστηση</t>
    </r>
    <r>
      <rPr>
        <sz val="11"/>
        <color theme="1"/>
        <rFont val="Calibri"/>
        <family val="2"/>
        <scheme val="minor"/>
      </rPr>
      <t xml:space="preserve"> την χειρα μου και αποσχομαι</t>
    </r>
  </si>
  <si>
    <r>
      <t xml:space="preserve">other MSS = </t>
    </r>
    <r>
      <rPr>
        <b/>
        <sz val="11"/>
        <color theme="1"/>
        <rFont val="Calibri"/>
        <family val="2"/>
        <scheme val="minor"/>
      </rPr>
      <t>αποκατασταθω</t>
    </r>
    <r>
      <rPr>
        <sz val="11"/>
        <color theme="1"/>
        <rFont val="Calibri"/>
        <family val="2"/>
        <scheme val="minor"/>
      </rPr>
      <t xml:space="preserve"> και αποσχωμαι</t>
    </r>
  </si>
  <si>
    <r>
      <t xml:space="preserve">αποκαταστηση </t>
    </r>
    <r>
      <rPr>
        <b/>
        <sz val="11"/>
        <color theme="1"/>
        <rFont val="Calibri"/>
        <family val="2"/>
        <scheme val="minor"/>
      </rPr>
      <t>την χειρα μου</t>
    </r>
    <r>
      <rPr>
        <sz val="11"/>
        <color theme="1"/>
        <rFont val="Calibri"/>
        <family val="2"/>
        <scheme val="minor"/>
      </rPr>
      <t xml:space="preserve"> και αποσχομαι</t>
    </r>
  </si>
  <si>
    <t>other MSS = αποκατασταθω και αποσχωμαι; freq = χειρ</t>
  </si>
  <si>
    <t>TSim.2.14</t>
  </si>
  <si>
    <t>ιακωβ του πατρος δια</t>
  </si>
  <si>
    <t>other MSS = ιακωβ του πατρος μου δια</t>
  </si>
  <si>
    <t>TSim.4.6</t>
  </si>
  <si>
    <t>υπερ τους υιους αυτου και εδοξασεν</t>
  </si>
  <si>
    <t>other MSS lack και</t>
  </si>
  <si>
    <t>την συνεσιν ανθρωποις</t>
  </si>
  <si>
    <t>other MSS = τη συνεσιν εν ανθρωποις</t>
  </si>
  <si>
    <t>TSim.5.6</t>
  </si>
  <si>
    <t>και εσται εξ υμων</t>
  </si>
  <si>
    <t>other MSS = και ουκ εσται εξ υμων</t>
  </si>
  <si>
    <t>και πληθυνθησεται ως κεδροι</t>
  </si>
  <si>
    <t>other MSS = και πληθυνθησονται ως κεδροι</t>
  </si>
  <si>
    <t>εν παση τη αιγυπτω</t>
  </si>
  <si>
    <t>other MSS = εν παση γη αιγυπτω</t>
  </si>
  <si>
    <t>ουτος παρα πασας αδικιας</t>
  </si>
  <si>
    <t>other MSS = ουτος ορα πασας αδικιας</t>
  </si>
  <si>
    <t>ασπις οτι εγγυς γεβαλ</t>
  </si>
  <si>
    <t>other MSS = ασπις ο εστιν εγγυς γεβαλ</t>
  </si>
  <si>
    <t>TLev.6.8</t>
  </si>
  <si>
    <t>ηθελον εις την σαρραν ποιησαι</t>
  </si>
  <si>
    <t>other MSS = ηθελον και την σαρραν ποιησαι</t>
  </si>
  <si>
    <t>μετα τον πατερα ημων</t>
  </si>
  <si>
    <t>other MSS = μετα του πατρος ημων</t>
  </si>
  <si>
    <t>και ελεγε μη προσεχε</t>
  </si>
  <si>
    <t>other MSS lack μη</t>
  </si>
  <si>
    <t>και τρεις ετεκε μοι</t>
  </si>
  <si>
    <t>other MSS = και τριτον ετεκε μοι</t>
  </si>
  <si>
    <t>TLev.12.6</t>
  </si>
  <si>
    <t>και ιδου τεκνα μου εστε</t>
  </si>
  <si>
    <t>other MSS lack τεκνα μου here</t>
  </si>
  <si>
    <t>τον νομων αυτων</t>
  </si>
  <si>
    <t>other MSS = τον νομον αυτου</t>
  </si>
  <si>
    <t>μετα φοβου κυριου</t>
  </si>
  <si>
    <t>other MSS lack φοβου</t>
  </si>
  <si>
    <t>TLev.18.1</t>
  </si>
  <si>
    <t>παρα κυριου τη ιερατεια</t>
  </si>
  <si>
    <r>
      <t xml:space="preserve">other MSS = παρα κυριου </t>
    </r>
    <r>
      <rPr>
        <b/>
        <sz val="11"/>
        <color theme="1"/>
        <rFont val="Calibri"/>
        <family val="2"/>
        <scheme val="minor"/>
      </rPr>
      <t>εκλειψει</t>
    </r>
    <r>
      <rPr>
        <sz val="11"/>
        <color theme="1"/>
        <rFont val="Calibri"/>
        <family val="2"/>
        <scheme val="minor"/>
      </rPr>
      <t xml:space="preserve"> η ιερατεια</t>
    </r>
  </si>
  <si>
    <r>
      <t xml:space="preserve">παρα κυριου </t>
    </r>
    <r>
      <rPr>
        <b/>
        <sz val="11"/>
        <color theme="1"/>
        <rFont val="Calibri"/>
        <family val="2"/>
        <scheme val="minor"/>
      </rPr>
      <t>τη ιερατεια</t>
    </r>
  </si>
  <si>
    <r>
      <t xml:space="preserve">other MSS = παρα κυριου εκλειψει </t>
    </r>
    <r>
      <rPr>
        <b/>
        <sz val="11"/>
        <color theme="1"/>
        <rFont val="Calibri"/>
        <family val="2"/>
        <scheme val="minor"/>
      </rPr>
      <t>η ιερατεια</t>
    </r>
  </si>
  <si>
    <t>βασιλευς εση και ευοδουμενος εν πασι</t>
  </si>
  <si>
    <t>other MSS = βασιλευς εση κατευοδουμενος εν πασι; freq = ευοδοω - κατευοδοω</t>
  </si>
  <si>
    <t>βουν αγριον χωρα</t>
  </si>
  <si>
    <t>other MSS = βουν αγριον εν χωρα</t>
  </si>
  <si>
    <t>ουτως λαθραιοι οι αδελφοι</t>
  </si>
  <si>
    <t>other MSS = ουτως λαθρα οι αδελφοι</t>
  </si>
  <si>
    <r>
      <t xml:space="preserve">και </t>
    </r>
    <r>
      <rPr>
        <b/>
        <sz val="11"/>
        <color theme="1"/>
        <rFont val="Calibri"/>
        <family val="2"/>
        <scheme val="minor"/>
      </rPr>
      <t>παραλαβοντες</t>
    </r>
    <r>
      <rPr>
        <sz val="11"/>
        <color theme="1"/>
        <rFont val="Calibri"/>
        <family val="2"/>
        <scheme val="minor"/>
      </rPr>
      <t xml:space="preserve"> αυτην συν τοις υιοις ημων</t>
    </r>
  </si>
  <si>
    <t>other MSS = και παραδοντες αυτην τοις υιοις ημων</t>
  </si>
  <si>
    <r>
      <t xml:space="preserve">other MSS = και </t>
    </r>
    <r>
      <rPr>
        <b/>
        <sz val="11"/>
        <color theme="1"/>
        <rFont val="Calibri"/>
        <family val="2"/>
        <scheme val="minor"/>
      </rPr>
      <t>παραδοντες</t>
    </r>
    <r>
      <rPr>
        <sz val="11"/>
        <color theme="1"/>
        <rFont val="Calibri"/>
        <family val="2"/>
        <scheme val="minor"/>
      </rPr>
      <t xml:space="preserve"> αυτην τοις υιοις ημων</t>
    </r>
  </si>
  <si>
    <r>
      <t xml:space="preserve">και παραλαβοντες αυτην </t>
    </r>
    <r>
      <rPr>
        <b/>
        <sz val="11"/>
        <color theme="1"/>
        <rFont val="Calibri"/>
        <family val="2"/>
        <scheme val="minor"/>
      </rPr>
      <t>συν</t>
    </r>
    <r>
      <rPr>
        <sz val="11"/>
        <color theme="1"/>
        <rFont val="Calibri"/>
        <family val="2"/>
        <scheme val="minor"/>
      </rPr>
      <t xml:space="preserve"> τοις υιοις ημων</t>
    </r>
  </si>
  <si>
    <t>και απο μαχιρ</t>
  </si>
  <si>
    <t>other MSS = και οι απο μαχιρ</t>
  </si>
  <si>
    <t>πληθος δυνατοι εν αυτοις</t>
  </si>
  <si>
    <t>other MSS = πληθος δυνατων εν αυτοις, or other variant</t>
  </si>
  <si>
    <t>other MSS = οτι γαας πολις βασιλεων εν οχλω</t>
  </si>
  <si>
    <r>
      <t xml:space="preserve">οτι αι πολεις </t>
    </r>
    <r>
      <rPr>
        <b/>
        <sz val="11"/>
        <color theme="1"/>
        <rFont val="Calibri"/>
        <family val="2"/>
        <scheme val="minor"/>
      </rPr>
      <t>των δυο</t>
    </r>
    <r>
      <rPr>
        <sz val="11"/>
        <color theme="1"/>
        <rFont val="Calibri"/>
        <family val="2"/>
        <scheme val="minor"/>
      </rPr>
      <t xml:space="preserve"> βασιλεων εν οχλω</t>
    </r>
  </si>
  <si>
    <r>
      <t xml:space="preserve">οτι </t>
    </r>
    <r>
      <rPr>
        <b/>
        <sz val="11"/>
        <color theme="1"/>
        <rFont val="Calibri"/>
        <family val="2"/>
        <scheme val="minor"/>
      </rPr>
      <t xml:space="preserve">αι </t>
    </r>
    <r>
      <rPr>
        <sz val="11"/>
        <color theme="1"/>
        <rFont val="Calibri"/>
        <family val="2"/>
        <scheme val="minor"/>
      </rPr>
      <t>πολεις των δυο βασιλεων εν οχλω</t>
    </r>
  </si>
  <si>
    <r>
      <t xml:space="preserve">other MSS = οτι </t>
    </r>
    <r>
      <rPr>
        <b/>
        <sz val="11"/>
        <color theme="1"/>
        <rFont val="Calibri"/>
        <family val="2"/>
        <scheme val="minor"/>
      </rPr>
      <t>γαας πολις</t>
    </r>
    <r>
      <rPr>
        <sz val="11"/>
        <color theme="1"/>
        <rFont val="Calibri"/>
        <family val="2"/>
        <scheme val="minor"/>
      </rPr>
      <t xml:space="preserve"> βασιλεων εν οχλω; ignoring case change of πολις as dependent on γαας</t>
    </r>
  </si>
  <si>
    <t>ερχονται προς ημας</t>
  </si>
  <si>
    <t>other MSS = ερχεται προς ημας</t>
  </si>
  <si>
    <t>TJud.12.10</t>
  </si>
  <si>
    <t>και ενομιζεν οτι</t>
  </si>
  <si>
    <t>other MSS = και ενομιζον οτι</t>
  </si>
  <si>
    <t>συμβουλευσω τω πατρι</t>
  </si>
  <si>
    <t>TJud.13.4</t>
  </si>
  <si>
    <t>other MSS = συμβουλευσομαι τω πατρι</t>
  </si>
  <si>
    <r>
      <t xml:space="preserve">εις τον νουν </t>
    </r>
    <r>
      <rPr>
        <b/>
        <sz val="11"/>
        <color theme="1"/>
        <rFont val="Calibri"/>
        <family val="2"/>
        <scheme val="minor"/>
      </rPr>
      <t>και ποιει</t>
    </r>
    <r>
      <rPr>
        <sz val="11"/>
        <color theme="1"/>
        <rFont val="Calibri"/>
        <family val="2"/>
        <scheme val="minor"/>
      </rPr>
      <t xml:space="preserve"> το πνευμα</t>
    </r>
  </si>
  <si>
    <r>
      <t xml:space="preserve">εις τον νουν </t>
    </r>
    <r>
      <rPr>
        <b/>
        <sz val="11"/>
        <color theme="1"/>
        <rFont val="Calibri"/>
        <family val="2"/>
        <scheme val="minor"/>
      </rPr>
      <t>και ποιει</t>
    </r>
    <r>
      <rPr>
        <sz val="11"/>
        <color theme="1"/>
        <rFont val="Calibri"/>
        <family val="2"/>
        <scheme val="minor"/>
      </rPr>
      <t xml:space="preserve"> πνευμα</t>
    </r>
  </si>
  <si>
    <t>other MSS = εις τον νουν το πνευμα</t>
  </si>
  <si>
    <t>TJud.15.2</t>
  </si>
  <si>
    <t>TJud.15.1-2</t>
  </si>
  <si>
    <t>(1) ο πορνευων  (2) και γυμνουμενος της βασιλειας</t>
  </si>
  <si>
    <t>9:7</t>
  </si>
  <si>
    <r>
      <t xml:space="preserve">other MSS = (1) ο πορνευων </t>
    </r>
    <r>
      <rPr>
        <b/>
        <sz val="11"/>
        <color theme="1"/>
        <rFont val="Calibri"/>
        <family val="2"/>
        <scheme val="minor"/>
      </rPr>
      <t>ζημιουμενος ουκ αισθανεται και αδοξων ουκ αισχυνεται (2) καν γαρ τις βασιλευση πορνευων</t>
    </r>
    <r>
      <rPr>
        <sz val="11"/>
        <color theme="1"/>
        <rFont val="Calibri"/>
        <family val="2"/>
        <scheme val="minor"/>
      </rPr>
      <t xml:space="preserve"> γυμνουμενος της βασιλειας; ignoring added και since its addition is not singular; freq = ζημιοω</t>
    </r>
  </si>
  <si>
    <t>βασιλειας ουκ εξερχεται</t>
  </si>
  <si>
    <t>other MSS lack ουκ</t>
  </si>
  <si>
    <t>αιδουμενοι ζησεσθε εαν γαρ</t>
  </si>
  <si>
    <t>TJud.16.2</t>
  </si>
  <si>
    <t>other MSS lack ζησεσθε</t>
  </si>
  <si>
    <t>επ εσχαταις ημεραις</t>
  </si>
  <si>
    <t>TJud.18.1</t>
  </si>
  <si>
    <t>other MSS = εν ταις εσχαταις ημεραις</t>
  </si>
  <si>
    <t>δουλευων θεω θεου υπακουειν</t>
  </si>
  <si>
    <t>other MSS lack θεου</t>
  </si>
  <si>
    <t>TJud.20.4</t>
  </si>
  <si>
    <t>οστεων αυτος εγγεγραπται</t>
  </si>
  <si>
    <t>other MSS have αυτου</t>
  </si>
  <si>
    <t>(5) ισραηλ (6) και εση αυτοις</t>
  </si>
  <si>
    <r>
      <t xml:space="preserve">other MSS = (5) ισραηλ (6) </t>
    </r>
    <r>
      <rPr>
        <b/>
        <sz val="11"/>
        <color theme="1"/>
        <rFont val="Calibri"/>
        <family val="2"/>
        <scheme val="minor"/>
      </rPr>
      <t>συ δε εση βασιλευς εν Ιακωβ</t>
    </r>
    <r>
      <rPr>
        <sz val="11"/>
        <color theme="1"/>
        <rFont val="Calibri"/>
        <family val="2"/>
        <scheme val="minor"/>
      </rPr>
      <t xml:space="preserve"> και εση αυτοις; freq = βασιλευς</t>
    </r>
  </si>
  <si>
    <t>ελευθερους καταδουλουσιν</t>
  </si>
  <si>
    <t>other MSS = ελευθερους καταδουλωσουσιν</t>
  </si>
  <si>
    <t>μη εκλειψειν</t>
  </si>
  <si>
    <t>other MSS = μη εκλειψαι</t>
  </si>
  <si>
    <t>TJud.23.5</t>
  </si>
  <si>
    <t>ευτελεια καρδιας</t>
  </si>
  <si>
    <t>other MSS = εν τελεια καρδια; ignoring case change in καρδια as dependent variant</t>
  </si>
  <si>
    <t>ιακωβ γαρ ηνεγκε</t>
  </si>
  <si>
    <t>other MSS = ρουβημ γαρ ηνεγκε</t>
  </si>
  <si>
    <t>TZeb.1.1</t>
  </si>
  <si>
    <t>μετα λβ ετη</t>
  </si>
  <si>
    <t>other MSS = μετα δυο ετη</t>
  </si>
  <si>
    <t>(9) εστιν ουτος (10) τον γαρ χιτωνα</t>
  </si>
  <si>
    <t>6</t>
  </si>
  <si>
    <t>other MSS = (9) εστιν ουτος και εποιησαν ουτως (10) τον γαρ χιτωνα; freq = ουτως</t>
  </si>
  <si>
    <t>TZeb.7.4</t>
  </si>
  <si>
    <t>και ετι επτα σταδιους</t>
  </si>
  <si>
    <t>other MSS = και επι επτα σταδιους</t>
  </si>
  <si>
    <t>οτι επι το αυτο</t>
  </si>
  <si>
    <t>other MSS = οτι οτε επι το αυτο</t>
  </si>
  <si>
    <t>TZeb.9.6</t>
  </si>
  <si>
    <t>και οδυνης ψυχης</t>
  </si>
  <si>
    <t>other MSS = και οδυναις ψυχης</t>
  </si>
  <si>
    <t>μετα ταυτα ανατελλει</t>
  </si>
  <si>
    <t>other MSS = μετα ταυτα ανατελει</t>
  </si>
  <si>
    <t>οτι απολειπω υμων</t>
  </si>
  <si>
    <t>other MSS = οτι απολειπω</t>
  </si>
  <si>
    <t>ο πατηρ αυτου ηγαπα</t>
  </si>
  <si>
    <t>other MSS = ο πατηρ αυτον ηγαπα</t>
  </si>
  <si>
    <t>ουδε εασε το ανομημα</t>
  </si>
  <si>
    <t>other MSS = ουδε εασε με το ανομημα</t>
  </si>
  <si>
    <t>TDan.2.2</t>
  </si>
  <si>
    <t>TDan.2.3</t>
  </si>
  <si>
    <t>TDan.3.3</t>
  </si>
  <si>
    <t>ουκ εστι τις θυμωδης ορων</t>
  </si>
  <si>
    <t>other MSS lack θυμωδης</t>
  </si>
  <si>
    <t>ως πολεμιοις προσεχει εαυτοις</t>
  </si>
  <si>
    <t>other MSS use αυτοις</t>
  </si>
  <si>
    <t>πραξη ψυχη</t>
  </si>
  <si>
    <t>other MSS = πραξη η ψυχη</t>
  </si>
  <si>
    <t>TDan.4.7</t>
  </si>
  <si>
    <t>TDan.5.4</t>
  </si>
  <si>
    <t>μητε εις ειδεαν</t>
  </si>
  <si>
    <t>other MSS end with αηδιαν</t>
  </si>
  <si>
    <t>κακον θυμον μετα ψευδους</t>
  </si>
  <si>
    <t>other MSS use θυμος</t>
  </si>
  <si>
    <t>προσωχθιειτε τον λευι</t>
  </si>
  <si>
    <t>other MSS use τω λευι</t>
  </si>
  <si>
    <t>κυριος μετελευσεται</t>
  </si>
  <si>
    <t>other MSS = κυριος και μετελευσεται</t>
  </si>
  <si>
    <t>οτι ουδενι των αγγελων</t>
  </si>
  <si>
    <t>other MSS use ουδεις</t>
  </si>
  <si>
    <t>εσται ως αυτω</t>
  </si>
  <si>
    <t>other MSS = εσται ισος αυτω</t>
  </si>
  <si>
    <t>TDan.6.10</t>
  </si>
  <si>
    <t>(10) νομον θεου (11) και θαψατε</t>
  </si>
  <si>
    <t>other MSS include at the end of v. 10: και εσται το γενος μου εις σωτηριαν εως του αιωνος; freq = σωτηρια</t>
  </si>
  <si>
    <t>TNaph.1.1</t>
  </si>
  <si>
    <t>νεφθαλειμ ων διεθετο</t>
  </si>
  <si>
    <t>other MSS use ης instead of ων</t>
  </si>
  <si>
    <t>αυτος και κωθωνα</t>
  </si>
  <si>
    <t>TNaph.2.6</t>
  </si>
  <si>
    <t>ουτω και το εργον αυτου</t>
  </si>
  <si>
    <r>
      <t xml:space="preserve">η </t>
    </r>
    <r>
      <rPr>
        <b/>
        <sz val="11"/>
        <color theme="1"/>
        <rFont val="Calibri"/>
        <family val="2"/>
        <scheme val="minor"/>
      </rPr>
      <t>των ομοιων</t>
    </r>
  </si>
  <si>
    <r>
      <t xml:space="preserve">other MSS = η </t>
    </r>
    <r>
      <rPr>
        <b/>
        <sz val="11"/>
        <color theme="1"/>
        <rFont val="Calibri"/>
        <family val="2"/>
        <scheme val="minor"/>
      </rPr>
      <t>τω</t>
    </r>
    <r>
      <rPr>
        <sz val="11"/>
        <color theme="1"/>
        <rFont val="Calibri"/>
        <family val="2"/>
        <scheme val="minor"/>
      </rPr>
      <t xml:space="preserve"> νοι </t>
    </r>
    <r>
      <rPr>
        <b/>
        <sz val="11"/>
        <color theme="1"/>
        <rFont val="Calibri"/>
        <family val="2"/>
        <scheme val="minor"/>
      </rPr>
      <t>ομοιον</t>
    </r>
    <r>
      <rPr>
        <sz val="11"/>
        <color theme="1"/>
        <rFont val="Calibri"/>
        <family val="2"/>
        <scheme val="minor"/>
      </rPr>
      <t>; omission of νοι not singular</t>
    </r>
  </si>
  <si>
    <t>οι εγγρηγορες ενηλλαξαν</t>
  </si>
  <si>
    <t>other MSS use εγρηγοροι</t>
  </si>
  <si>
    <t>TNaph.5.8</t>
  </si>
  <si>
    <t>ημην εκει που και ιδου</t>
  </si>
  <si>
    <t>other MSS = ημην εν κηποις και ιδου; omission of εν κηποις is not singular, nor is inclusion of εκει</t>
  </si>
  <si>
    <t>τρικυμιας περιρισσομενον</t>
  </si>
  <si>
    <t>other MSS = εν τρικυμιαις περιρρησσομενον; variant with περιρρησσομενον not counted as likely not tracked as orthographic; form change in τρικυμιας considered dependent on omission of  εν</t>
  </si>
  <si>
    <t>TGad.1.3</t>
  </si>
  <si>
    <t xml:space="preserve">εβδομος υιος εγενομην </t>
  </si>
  <si>
    <t>other MSS use ενατος</t>
  </si>
  <si>
    <t>ηρχετο ο λεων</t>
  </si>
  <si>
    <t>other MSS lack the article</t>
  </si>
  <si>
    <t>εκδιδασκει και πολεμον</t>
  </si>
  <si>
    <t>other MSS = εδιδασκει και οργην και πολεμον</t>
  </si>
  <si>
    <t>TGad.5.7</t>
  </si>
  <si>
    <t>αναιρει την απειθειαν</t>
  </si>
  <si>
    <t>other MSS = αναιρει την αγνοιαν</t>
  </si>
  <si>
    <t>TGad.7.6</t>
  </si>
  <si>
    <t>ησυχασθη μη εξαξης</t>
  </si>
  <si>
    <t>other MSS use ησυχασον</t>
  </si>
  <si>
    <t>παρα πασι πλουτει</t>
  </si>
  <si>
    <t>other MSS = παρα παντας πλουτει</t>
  </si>
  <si>
    <t>TGad.8.5</t>
  </si>
  <si>
    <t>και εθηκαν αυτον</t>
  </si>
  <si>
    <t>other MSS use εθαψαν</t>
  </si>
  <si>
    <t>TAsh.1.1</t>
  </si>
  <si>
    <t>εκατοστω εικοστω ετει</t>
  </si>
  <si>
    <t>other MSS = εκατοστω εικοστω εκτω ετει</t>
  </si>
  <si>
    <t>TAsh.1.9</t>
  </si>
  <si>
    <t>θησαυρος του διαβολου ιου</t>
  </si>
  <si>
    <t>other MSS use διαβουλιου</t>
  </si>
  <si>
    <t>TJos.1.7</t>
  </si>
  <si>
    <t>εν φθονοις συν δολοις</t>
  </si>
  <si>
    <t>other MSS use συνδουλων</t>
  </si>
  <si>
    <t>εξελθοντος αυτης εκλαιον</t>
  </si>
  <si>
    <t>other MSS use αυτου</t>
  </si>
  <si>
    <t>επεμψε με εις φυλακην εν οικω αυτου ο αιγυπτιος</t>
  </si>
  <si>
    <r>
      <t xml:space="preserve">other MSS = επεμψε με εις </t>
    </r>
    <r>
      <rPr>
        <b/>
        <sz val="11"/>
        <color theme="1"/>
        <rFont val="Calibri"/>
        <family val="2"/>
        <scheme val="minor"/>
      </rPr>
      <t>την</t>
    </r>
    <r>
      <rPr>
        <sz val="11"/>
        <color theme="1"/>
        <rFont val="Calibri"/>
        <family val="2"/>
        <scheme val="minor"/>
      </rPr>
      <t xml:space="preserve"> ειρκτην του φαραω</t>
    </r>
  </si>
  <si>
    <r>
      <t xml:space="preserve">other MSS = επεμψε με εις την </t>
    </r>
    <r>
      <rPr>
        <b/>
        <sz val="11"/>
        <color theme="1"/>
        <rFont val="Calibri"/>
        <family val="2"/>
        <scheme val="minor"/>
      </rPr>
      <t>ειρκτην</t>
    </r>
    <r>
      <rPr>
        <sz val="11"/>
        <color theme="1"/>
        <rFont val="Calibri"/>
        <family val="2"/>
        <scheme val="minor"/>
      </rPr>
      <t xml:space="preserve"> του φαραω</t>
    </r>
  </si>
  <si>
    <r>
      <t xml:space="preserve">επεμψε με εις </t>
    </r>
    <r>
      <rPr>
        <b/>
        <sz val="11"/>
        <color theme="1"/>
        <rFont val="Calibri"/>
        <family val="2"/>
        <scheme val="minor"/>
      </rPr>
      <t>φυλακην</t>
    </r>
    <r>
      <rPr>
        <sz val="11"/>
        <color theme="1"/>
        <rFont val="Calibri"/>
        <family val="2"/>
        <scheme val="minor"/>
      </rPr>
      <t xml:space="preserve"> εν οικω αυτου ο αιγυπτιος</t>
    </r>
  </si>
  <si>
    <r>
      <t xml:space="preserve">επεμψε με εις φυλακην </t>
    </r>
    <r>
      <rPr>
        <b/>
        <sz val="11"/>
        <color theme="1"/>
        <rFont val="Calibri"/>
        <family val="2"/>
        <scheme val="minor"/>
      </rPr>
      <t>εν οικω αυτου ο αιγυπτιος</t>
    </r>
  </si>
  <si>
    <r>
      <t xml:space="preserve">other MSS = επεμψε με εις την ειρκτην </t>
    </r>
    <r>
      <rPr>
        <b/>
        <sz val="11"/>
        <color theme="1"/>
        <rFont val="Calibri"/>
        <family val="2"/>
        <scheme val="minor"/>
      </rPr>
      <t>του φαραω; counting as multi-word substitution, since so far I have coded potential add + omits in this manner</t>
    </r>
  </si>
  <si>
    <t>TJos.10.3</t>
  </si>
  <si>
    <t>η συκοφαντια κυριος</t>
  </si>
  <si>
    <t>other MSS = η συκοφαντια η σκοτια κυριος</t>
  </si>
  <si>
    <t>TJos.11.1</t>
  </si>
  <si>
    <t>εν πραξει</t>
  </si>
  <si>
    <t>other MSS = εν παση πραξει</t>
  </si>
  <si>
    <t>7</t>
  </si>
  <si>
    <t>η μεμφια γυνη του πετεφρι</t>
  </si>
  <si>
    <t>other MSS = η μεμφια εν λαμπηνη η γυνη του πετεφρη or one of several variants; only part that is singular is omission of article before γυνη</t>
  </si>
  <si>
    <t>TJos.13.4</t>
  </si>
  <si>
    <t>TJos.13.8</t>
  </si>
  <si>
    <t>αυτου λεγει</t>
  </si>
  <si>
    <t>other MSS = αυτοι τοις λογοις λεγει</t>
  </si>
  <si>
    <t>εκ της χανααν</t>
  </si>
  <si>
    <t>other MSS = εκ γης χανααν</t>
  </si>
  <si>
    <t>other MSS = εν σακκω</t>
  </si>
  <si>
    <t>TJos.16.2</t>
  </si>
  <si>
    <t>TJos.17.2</t>
  </si>
  <si>
    <t>ητειτο εις πρασιν</t>
  </si>
  <si>
    <t>other MSS = ητειτο με εις πρασιν or similar variant</t>
  </si>
  <si>
    <t>εν μακροθυμιαις</t>
  </si>
  <si>
    <t>other MSS = εν μακροθυμια</t>
  </si>
  <si>
    <t>TBen.1.1</t>
  </si>
  <si>
    <t>ετη εκατον εικοσι</t>
  </si>
  <si>
    <t>other MSS = ετη εκατον εικοσι πεντε</t>
  </si>
  <si>
    <t>TBen.3.6</t>
  </si>
  <si>
    <r>
      <rPr>
        <b/>
        <sz val="11"/>
        <color theme="1"/>
        <rFont val="Calibri"/>
        <family val="2"/>
        <scheme val="minor"/>
      </rPr>
      <t>εδεηθην</t>
    </r>
    <r>
      <rPr>
        <sz val="11"/>
        <color theme="1"/>
        <rFont val="Calibri"/>
        <family val="2"/>
        <scheme val="minor"/>
      </rPr>
      <t xml:space="preserve"> του πατρος ημων ιακωβ</t>
    </r>
  </si>
  <si>
    <r>
      <t xml:space="preserve">other MSS = </t>
    </r>
    <r>
      <rPr>
        <b/>
        <sz val="11"/>
        <color theme="1"/>
        <rFont val="Calibri"/>
        <family val="2"/>
        <scheme val="minor"/>
      </rPr>
      <t>εδεηθη</t>
    </r>
    <r>
      <rPr>
        <sz val="11"/>
        <color theme="1"/>
        <rFont val="Calibri"/>
        <family val="2"/>
        <scheme val="minor"/>
      </rPr>
      <t xml:space="preserve"> του πατρος ημων ιωσηφ</t>
    </r>
  </si>
  <si>
    <r>
      <t xml:space="preserve">εδεηθην του πατρος ημων </t>
    </r>
    <r>
      <rPr>
        <b/>
        <sz val="11"/>
        <color theme="1"/>
        <rFont val="Calibri"/>
        <family val="2"/>
        <scheme val="minor"/>
      </rPr>
      <t>ιακωβ</t>
    </r>
  </si>
  <si>
    <r>
      <t xml:space="preserve">other MSS = εδεηθη του πατρος ημων </t>
    </r>
    <r>
      <rPr>
        <b/>
        <sz val="11"/>
        <color theme="1"/>
        <rFont val="Calibri"/>
        <family val="2"/>
        <scheme val="minor"/>
      </rPr>
      <t>ιωσηφ</t>
    </r>
  </si>
  <si>
    <t>TBen.3.7</t>
  </si>
  <si>
    <t>TBen.4.3</t>
  </si>
  <si>
    <t>ιωσηφ ενικησας</t>
  </si>
  <si>
    <t>other MSS = ιωσηφ ω τεκνον χρηστον ενικησας</t>
  </si>
  <si>
    <t>ουτως ο αγαθοποιων</t>
  </si>
  <si>
    <t>other MSS lack article</t>
  </si>
  <si>
    <t>TBen.6.3</t>
  </si>
  <si>
    <t>TBen.6.5</t>
  </si>
  <si>
    <t>other MSS = θηρια φοβηθηςονται υμας</t>
  </si>
  <si>
    <r>
      <t xml:space="preserve">θηρια </t>
    </r>
    <r>
      <rPr>
        <b/>
        <sz val="11"/>
        <color theme="1"/>
        <rFont val="Calibri"/>
        <family val="2"/>
        <scheme val="minor"/>
      </rPr>
      <t>φευξεται</t>
    </r>
    <r>
      <rPr>
        <sz val="11"/>
        <color theme="1"/>
        <rFont val="Calibri"/>
        <family val="2"/>
        <scheme val="minor"/>
      </rPr>
      <t xml:space="preserve"> αφ υμων φοβηθεντες</t>
    </r>
  </si>
  <si>
    <r>
      <t xml:space="preserve">other MSS = θηρια </t>
    </r>
    <r>
      <rPr>
        <b/>
        <sz val="11"/>
        <color theme="1"/>
        <rFont val="Calibri"/>
        <family val="2"/>
        <scheme val="minor"/>
      </rPr>
      <t>φοβηθηςονται</t>
    </r>
    <r>
      <rPr>
        <sz val="11"/>
        <color theme="1"/>
        <rFont val="Calibri"/>
        <family val="2"/>
        <scheme val="minor"/>
      </rPr>
      <t xml:space="preserve"> υμας</t>
    </r>
  </si>
  <si>
    <r>
      <t xml:space="preserve">θηρια φευξεται </t>
    </r>
    <r>
      <rPr>
        <b/>
        <sz val="11"/>
        <color theme="1"/>
        <rFont val="Calibri"/>
        <family val="2"/>
        <scheme val="minor"/>
      </rPr>
      <t>αφ</t>
    </r>
    <r>
      <rPr>
        <sz val="11"/>
        <color theme="1"/>
        <rFont val="Calibri"/>
        <family val="2"/>
        <scheme val="minor"/>
      </rPr>
      <t xml:space="preserve"> υμων φοβηθεντες</t>
    </r>
  </si>
  <si>
    <r>
      <t xml:space="preserve">θηρια φευξεται αφ υμων </t>
    </r>
    <r>
      <rPr>
        <b/>
        <sz val="11"/>
        <color theme="1"/>
        <rFont val="Calibri"/>
        <family val="2"/>
        <scheme val="minor"/>
      </rPr>
      <t>φοβηθεντες</t>
    </r>
  </si>
  <si>
    <t>other MSS = θηρια φοβηθηςονται υμας; case change of υμων considered dependent</t>
  </si>
  <si>
    <t>εμπιπλαται τροφης</t>
  </si>
  <si>
    <t>other MSS = εμπιλαται τρυφης</t>
  </si>
  <si>
    <t>ειλικρινη καθαρ[αν]</t>
  </si>
  <si>
    <t>ειλικρινη καθαραν</t>
  </si>
  <si>
    <t>other MSS = ειλικρινη και καθαραν</t>
  </si>
  <si>
    <t>other MSS = εγνων δε</t>
  </si>
  <si>
    <t>οτι δε</t>
  </si>
  <si>
    <t>other MSS = οτε δε</t>
  </si>
  <si>
    <t>TBen.12.3</t>
  </si>
  <si>
    <t>εν τοπω λεγομενω χανααν</t>
  </si>
  <si>
    <t>other MSS = εν τω πολεμω χανααν; counting as single word substitution since seems to stem partly from word division confusion</t>
  </si>
  <si>
    <t>other MSS = ουτω και η τεχνη αυτου; not counted as locally harmonizing (within verse) since seems rather to be duplication</t>
  </si>
  <si>
    <t>Non-singulars</t>
  </si>
  <si>
    <t>Singulars</t>
  </si>
  <si>
    <t>Pseudo-singulars</t>
  </si>
  <si>
    <t>% Singular</t>
  </si>
  <si>
    <t>Contamination rate</t>
  </si>
  <si>
    <t>count</t>
  </si>
  <si>
    <t>Crit-text-relation</t>
  </si>
  <si>
    <t>Non-deviating variant</t>
  </si>
  <si>
    <t>Deviating variant</t>
  </si>
  <si>
    <t>Deviating variant (type change)</t>
  </si>
  <si>
    <t>Deviating non-variant</t>
  </si>
  <si>
    <t>As a singular, the variant type relative to the exemplar (substitution of form) differs from the type relative to the critical text/other witnesses (word substitution).</t>
  </si>
  <si>
    <t>Queens 214 Agreement</t>
  </si>
  <si>
    <t>Disagree</t>
  </si>
  <si>
    <t>Agree</t>
  </si>
  <si>
    <t>Dual-agreement</t>
  </si>
  <si>
    <t>Queens 214 Duals</t>
  </si>
  <si>
    <t>Dual ratio</t>
  </si>
  <si>
    <t>Correction Readings Followed</t>
  </si>
  <si>
    <t>% Yes</t>
  </si>
  <si>
    <t>Variant Corrected</t>
  </si>
  <si>
    <t>Count</t>
  </si>
  <si>
    <t>% of Variants</t>
  </si>
  <si>
    <t>Proportion of "Corrections"</t>
  </si>
  <si>
    <t>Partially</t>
  </si>
  <si>
    <t>To Other Variant</t>
  </si>
  <si>
    <t>Oo.VI.91.8 Dual?</t>
  </si>
  <si>
    <t>Diff.:</t>
  </si>
  <si>
    <t>φωνης πρικης</t>
  </si>
  <si>
    <t>δοξα υψιστου επ αυτον ρηθησεται</t>
  </si>
  <si>
    <t>δοξα υψιστω επ αυτον ρηθησεται</t>
  </si>
  <si>
    <t>γαρ εφη οτι</t>
  </si>
  <si>
    <t>ου γαρ θεος</t>
  </si>
  <si>
    <t>ημιν σιτου πυρου κορους</t>
  </si>
  <si>
    <t>καιγε οι εν τη πολει ελεγον τελισκομενην οτι</t>
  </si>
  <si>
    <r>
      <t xml:space="preserve">καιγε οι εν </t>
    </r>
    <r>
      <rPr>
        <b/>
        <sz val="11"/>
        <color theme="1"/>
        <rFont val="Calibri"/>
        <family val="2"/>
        <scheme val="minor"/>
      </rPr>
      <t>η πολει</t>
    </r>
    <r>
      <rPr>
        <sz val="11"/>
        <color theme="1"/>
        <rFont val="Calibri"/>
        <family val="2"/>
        <scheme val="minor"/>
      </rPr>
      <t xml:space="preserve"> ελεγον μη ειναι εν τη πολει τελισκομενην οτι</t>
    </r>
  </si>
  <si>
    <t>O.4.24 corrects to ασελγειας</t>
  </si>
  <si>
    <t>εγγαστριμυθοις ακολοθουντες</t>
  </si>
  <si>
    <t>O.4.24 corrects ακολοθουντες -&gt; εξακολουθουντες</t>
  </si>
  <si>
    <t>προσπηλασουσι</t>
  </si>
  <si>
    <t>O.4.24 corrects to μολυνη</t>
  </si>
  <si>
    <r>
      <t xml:space="preserve">καιγε οι εν η πολει ελεγον </t>
    </r>
    <r>
      <rPr>
        <b/>
        <sz val="11"/>
        <color theme="1"/>
        <rFont val="Calibri"/>
        <family val="2"/>
        <scheme val="minor"/>
      </rPr>
      <t>μη ειναι εν τη πολει</t>
    </r>
    <r>
      <rPr>
        <sz val="11"/>
        <color theme="1"/>
        <rFont val="Calibri"/>
        <family val="2"/>
        <scheme val="minor"/>
      </rPr>
      <t xml:space="preserve"> τελισκομενην οτι</t>
    </r>
  </si>
  <si>
    <t>frequency = both that of δεκα and οκτω (not combined)</t>
  </si>
  <si>
    <t>O.4.24 seems to correct to απορρφησεσθε</t>
  </si>
  <si>
    <t>Harmonization_Direction</t>
  </si>
  <si>
    <t>Forward</t>
  </si>
  <si>
    <t>Backward</t>
  </si>
  <si>
    <t>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</si>
</sst>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0"/>
      <color theme="1"/>
      <name val="Arial Unicode MS"/>
    </font>
  </fonts>
  <fills count="8">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7"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1">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2" borderId="0" xfId="0" applyFill="1" applyAlignment="1">
      <alignment wrapText="1"/>
    </xf>
    <xf numFmtId="0" fontId="0" fillId="3" borderId="0" xfId="0" applyFill="1"/>
    <xf numFmtId="0" fontId="0" fillId="4" borderId="0" xfId="0" applyFill="1" applyAlignment="1">
      <alignment wrapText="1"/>
    </xf>
    <xf numFmtId="49" fontId="1" fillId="0" borderId="0" xfId="0" applyNumberFormat="1" applyFont="1"/>
    <xf numFmtId="0" fontId="0" fillId="5" borderId="1" xfId="0" applyFill="1" applyBorder="1"/>
    <xf numFmtId="49" fontId="0" fillId="5" borderId="1" xfId="0" applyNumberFormat="1" applyFill="1" applyBorder="1"/>
    <xf numFmtId="49" fontId="0" fillId="0" borderId="0" xfId="0" applyNumberFormat="1"/>
    <xf numFmtId="0" fontId="4" fillId="0" borderId="0" xfId="0" applyFont="1" applyAlignment="1">
      <alignment vertical="center"/>
    </xf>
    <xf numFmtId="0" fontId="0" fillId="6" borderId="0" xfId="0" applyFill="1"/>
    <xf numFmtId="0" fontId="0" fillId="6" borderId="0" xfId="0" applyFill="1" applyAlignment="1">
      <alignment wrapText="1"/>
    </xf>
    <xf numFmtId="0" fontId="0" fillId="6" borderId="1" xfId="0" applyFill="1" applyBorder="1"/>
    <xf numFmtId="49" fontId="0" fillId="6" borderId="1" xfId="0" applyNumberFormat="1" applyFill="1" applyBorder="1"/>
    <xf numFmtId="164" fontId="0" fillId="0" borderId="0" xfId="0" applyNumberFormat="1"/>
    <xf numFmtId="0" fontId="0" fillId="7" borderId="0" xfId="0" applyFill="1"/>
    <xf numFmtId="0" fontId="0" fillId="7" borderId="0" xfId="0" applyFill="1" applyAlignment="1">
      <alignment wrapText="1"/>
    </xf>
    <xf numFmtId="0" fontId="0" fillId="7" borderId="1" xfId="0" applyFill="1" applyBorder="1"/>
    <xf numFmtId="0" fontId="0" fillId="0" borderId="0" xfId="0" applyAlignment="1">
      <alignment horizontal="center"/>
    </xf>
  </cellXfs>
  <cellStyles count="1">
    <cellStyle name="Normal" xfId="0" builtinId="0"/>
  </cellStyles>
  <dxfs count="261">
    <dxf>
      <fill>
        <patternFill>
          <bgColor rgb="FFFFFF00"/>
        </patternFill>
      </fill>
      <border>
        <vertical/>
        <horizontal/>
      </border>
    </dxf>
    <dxf>
      <fill>
        <patternFill patternType="none">
          <bgColor auto="1"/>
        </patternFill>
      </fill>
      <border>
        <vertical/>
        <horizontal/>
      </border>
    </dxf>
    <dxf>
      <fill>
        <patternFill>
          <bgColor rgb="FFFFFF00"/>
        </patternFill>
      </fill>
    </dxf>
    <dxf>
      <fill>
        <patternFill patternType="none">
          <bgColor auto="1"/>
        </patternFill>
      </fill>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solid">
          <bgColor rgb="FFFFFF00"/>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rgb="FFFFFF00"/>
        </patternFill>
      </fill>
    </dxf>
    <dxf>
      <fill>
        <patternFill>
          <bgColor theme="0" tint="-0.14996795556505021"/>
        </patternFill>
      </fill>
      <border>
        <vertical/>
        <horizontal/>
      </border>
    </dxf>
    <dxf>
      <fill>
        <patternFill patternType="none">
          <bgColor auto="1"/>
        </patternFill>
      </fill>
    </dxf>
    <dxf>
      <fill>
        <patternFill>
          <bgColor rgb="FFFFFF00"/>
        </patternFill>
      </fill>
    </dxf>
    <dxf>
      <fill>
        <patternFill>
          <bgColor rgb="FFFFFF00"/>
        </patternFill>
      </fill>
      <border>
        <vertical/>
        <horizontal/>
      </border>
    </dxf>
    <dxf>
      <fill>
        <patternFill>
          <bgColor rgb="FFFFFF00"/>
        </patternFill>
      </fill>
    </dxf>
    <dxf>
      <fill>
        <patternFill patternType="none">
          <bgColor auto="1"/>
        </patternFill>
      </fill>
    </dxf>
    <dxf>
      <fill>
        <patternFill patternType="none">
          <bgColor auto="1"/>
        </patternFill>
      </fill>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rgb="FFFFFF00"/>
        </patternFill>
      </fill>
    </dxf>
    <dxf>
      <fill>
        <patternFill patternType="none">
          <bgColor auto="1"/>
        </patternFill>
      </fill>
    </dxf>
    <dxf>
      <fill>
        <patternFill patternType="none">
          <bgColor auto="1"/>
        </patternFill>
      </fill>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patternType="none">
          <bgColor auto="1"/>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patternType="none">
          <bgColor auto="1"/>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patternType="none">
          <bgColor auto="1"/>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rgb="FFFFFF00"/>
        </patternFill>
      </fill>
    </dxf>
    <dxf>
      <fill>
        <patternFill patternType="none">
          <bgColor auto="1"/>
        </patternFill>
      </fill>
    </dxf>
    <dxf>
      <fill>
        <patternFill patternType="none">
          <bgColor auto="1"/>
        </patternFill>
      </fill>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
      <fill>
        <patternFill>
          <bgColor rgb="FFFFFF00"/>
        </patternFill>
      </fill>
      <border>
        <vertical/>
        <horizontal/>
      </border>
    </dxf>
    <dxf>
      <fill>
        <patternFill>
          <bgColor rgb="FFFFFF00"/>
        </patternFill>
      </fill>
    </dxf>
    <dxf>
      <fill>
        <patternFill patternType="none">
          <bgColor auto="1"/>
        </patternFill>
      </fill>
    </dxf>
    <dxf>
      <fill>
        <patternFill patternType="none">
          <bgColor auto="1"/>
        </patternFill>
      </fill>
    </dxf>
    <dxf>
      <fill>
        <patternFill>
          <bgColor theme="0" tint="-0.14996795556505021"/>
        </patternFill>
      </fill>
      <border>
        <vertical/>
        <horizontal/>
      </border>
    </dxf>
    <dxf>
      <fill>
        <patternFill>
          <bgColor rgb="FFFFFF00"/>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patternType="solid">
          <bgColor rgb="FFFFFF00"/>
        </patternFill>
      </fill>
      <border>
        <vertical/>
        <horizontal/>
      </border>
    </dxf>
    <dxf>
      <fill>
        <patternFill>
          <bgColor theme="0" tint="-0.14996795556505021"/>
        </patternFill>
      </fill>
      <border>
        <vertical/>
        <horizontal/>
      </border>
    </dxf>
    <dxf>
      <fill>
        <patternFill>
          <bgColor rgb="FFFF0000"/>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border>
        <vertical/>
        <horizontal/>
      </border>
    </dxf>
    <dxf>
      <fill>
        <patternFill patternType="none">
          <bgColor auto="1"/>
        </patternFill>
      </fill>
    </dxf>
    <dxf>
      <fill>
        <patternFill>
          <bgColor theme="0" tint="-0.14996795556505021"/>
        </patternFill>
      </fill>
      <border>
        <vertical/>
        <horizontal/>
      </border>
    </dxf>
    <dxf>
      <fill>
        <patternFill>
          <bgColor theme="0" tint="-0.14996795556505021"/>
        </patternFill>
      </fill>
      <border>
        <vertical/>
        <horizontal/>
      </border>
    </dxf>
    <dxf>
      <fill>
        <patternFill>
          <bgColor theme="0" tint="-0.14996795556505021"/>
        </patternFill>
      </fill>
      <border>
        <vertical/>
        <horizontal/>
      </border>
    </dxf>
    <dxf>
      <fill>
        <patternFill>
          <bgColor rgb="FFFFFF00"/>
        </patternFill>
      </fill>
    </dxf>
    <dxf>
      <fill>
        <patternFill>
          <bgColor theme="0" tint="-0.14996795556505021"/>
        </patternFill>
      </fill>
      <border>
        <vertical/>
        <horizontal/>
      </border>
    </dxf>
    <dxf>
      <fill>
        <patternFill patternType="none">
          <bgColor auto="1"/>
        </patternFill>
      </fill>
      <border>
        <vertical/>
        <horizontal/>
      </border>
    </dxf>
    <dxf>
      <fill>
        <patternFill>
          <bgColor theme="0" tint="-0.14996795556505021"/>
        </patternFill>
      </fill>
      <border>
        <vertical/>
        <horizontal/>
      </border>
    </dxf>
    <dxf>
      <fill>
        <patternFill>
          <bgColor rgb="FFFFFF00"/>
        </patternFill>
      </fill>
    </dxf>
    <dxf>
      <fill>
        <patternFill>
          <bgColor rgb="FFFFFF00"/>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O.4.24 - Readings by Singularity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Singularity!$E$175</c:f>
              <c:strCache>
                <c:ptCount val="1"/>
                <c:pt idx="0">
                  <c:v>Non-singulars</c:v>
                </c:pt>
              </c:strCache>
            </c:strRef>
          </c:tx>
          <c:spPr>
            <a:solidFill>
              <a:schemeClr val="accent1"/>
            </a:solidFill>
            <a:ln>
              <a:noFill/>
            </a:ln>
            <a:effectLst/>
          </c:spPr>
          <c:invertIfNegative val="0"/>
          <c:val>
            <c:numRef>
              <c:f>Singularity!$F$175</c:f>
              <c:numCache>
                <c:formatCode>General</c:formatCode>
                <c:ptCount val="1"/>
                <c:pt idx="0">
                  <c:v>13</c:v>
                </c:pt>
              </c:numCache>
            </c:numRef>
          </c:val>
          <c:extLst>
            <c:ext xmlns:c16="http://schemas.microsoft.com/office/drawing/2014/chart" uri="{C3380CC4-5D6E-409C-BE32-E72D297353CC}">
              <c16:uniqueId val="{00000000-C0B1-483D-B95E-90B4CB9588D0}"/>
            </c:ext>
          </c:extLst>
        </c:ser>
        <c:ser>
          <c:idx val="1"/>
          <c:order val="1"/>
          <c:tx>
            <c:strRef>
              <c:f>Singularity!$E$176</c:f>
              <c:strCache>
                <c:ptCount val="1"/>
                <c:pt idx="0">
                  <c:v>Singulars</c:v>
                </c:pt>
              </c:strCache>
            </c:strRef>
          </c:tx>
          <c:spPr>
            <a:solidFill>
              <a:schemeClr val="accent2"/>
            </a:solidFill>
            <a:ln>
              <a:noFill/>
            </a:ln>
            <a:effectLst/>
          </c:spPr>
          <c:invertIfNegative val="0"/>
          <c:val>
            <c:numRef>
              <c:f>Singularity!$F$176</c:f>
              <c:numCache>
                <c:formatCode>General</c:formatCode>
                <c:ptCount val="1"/>
                <c:pt idx="0">
                  <c:v>48</c:v>
                </c:pt>
              </c:numCache>
            </c:numRef>
          </c:val>
          <c:extLst>
            <c:ext xmlns:c16="http://schemas.microsoft.com/office/drawing/2014/chart" uri="{C3380CC4-5D6E-409C-BE32-E72D297353CC}">
              <c16:uniqueId val="{00000001-C0B1-483D-B95E-90B4CB9588D0}"/>
            </c:ext>
          </c:extLst>
        </c:ser>
        <c:ser>
          <c:idx val="2"/>
          <c:order val="2"/>
          <c:tx>
            <c:strRef>
              <c:f>Singularity!$E$177</c:f>
              <c:strCache>
                <c:ptCount val="1"/>
                <c:pt idx="0">
                  <c:v>Pseudo-singulars</c:v>
                </c:pt>
              </c:strCache>
            </c:strRef>
          </c:tx>
          <c:spPr>
            <a:solidFill>
              <a:schemeClr val="accent3"/>
            </a:solidFill>
            <a:ln>
              <a:noFill/>
            </a:ln>
            <a:effectLst/>
          </c:spPr>
          <c:invertIfNegative val="0"/>
          <c:val>
            <c:numRef>
              <c:f>Singularity!$F$177</c:f>
              <c:numCache>
                <c:formatCode>General</c:formatCode>
                <c:ptCount val="1"/>
                <c:pt idx="0">
                  <c:v>110</c:v>
                </c:pt>
              </c:numCache>
            </c:numRef>
          </c:val>
          <c:extLst>
            <c:ext xmlns:c16="http://schemas.microsoft.com/office/drawing/2014/chart" uri="{C3380CC4-5D6E-409C-BE32-E72D297353CC}">
              <c16:uniqueId val="{00000002-C0B1-483D-B95E-90B4CB9588D0}"/>
            </c:ext>
          </c:extLst>
        </c:ser>
        <c:dLbls>
          <c:showLegendKey val="0"/>
          <c:showVal val="0"/>
          <c:showCatName val="0"/>
          <c:showSerName val="0"/>
          <c:showPercent val="0"/>
          <c:showBubbleSize val="0"/>
        </c:dLbls>
        <c:gapWidth val="150"/>
        <c:overlap val="100"/>
        <c:axId val="1219589936"/>
        <c:axId val="663327136"/>
      </c:barChart>
      <c:catAx>
        <c:axId val="1219589936"/>
        <c:scaling>
          <c:orientation val="minMax"/>
        </c:scaling>
        <c:delete val="1"/>
        <c:axPos val="l"/>
        <c:numFmt formatCode="General" sourceLinked="1"/>
        <c:majorTickMark val="none"/>
        <c:minorTickMark val="none"/>
        <c:tickLblPos val="nextTo"/>
        <c:crossAx val="663327136"/>
        <c:crosses val="autoZero"/>
        <c:auto val="1"/>
        <c:lblAlgn val="ctr"/>
        <c:lblOffset val="100"/>
        <c:noMultiLvlLbl val="0"/>
      </c:catAx>
      <c:valAx>
        <c:axId val="663327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589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O.4.24 - Readings by Singularity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Singularity!$E$175</c:f>
              <c:strCache>
                <c:ptCount val="1"/>
                <c:pt idx="0">
                  <c:v>Non-singulars</c:v>
                </c:pt>
              </c:strCache>
            </c:strRef>
          </c:tx>
          <c:spPr>
            <a:solidFill>
              <a:schemeClr val="accent1"/>
            </a:solidFill>
            <a:ln>
              <a:noFill/>
            </a:ln>
            <a:effectLst/>
          </c:spPr>
          <c:invertIfNegative val="0"/>
          <c:val>
            <c:numRef>
              <c:f>Singularity!$G$175</c:f>
              <c:numCache>
                <c:formatCode>0.0%</c:formatCode>
                <c:ptCount val="1"/>
                <c:pt idx="0">
                  <c:v>7.6023391812865493E-2</c:v>
                </c:pt>
              </c:numCache>
            </c:numRef>
          </c:val>
          <c:extLst>
            <c:ext xmlns:c16="http://schemas.microsoft.com/office/drawing/2014/chart" uri="{C3380CC4-5D6E-409C-BE32-E72D297353CC}">
              <c16:uniqueId val="{00000000-2CAE-485B-98FF-13DCC068ADA7}"/>
            </c:ext>
          </c:extLst>
        </c:ser>
        <c:ser>
          <c:idx val="1"/>
          <c:order val="1"/>
          <c:tx>
            <c:strRef>
              <c:f>Singularity!$E$176</c:f>
              <c:strCache>
                <c:ptCount val="1"/>
                <c:pt idx="0">
                  <c:v>Singulars</c:v>
                </c:pt>
              </c:strCache>
            </c:strRef>
          </c:tx>
          <c:spPr>
            <a:solidFill>
              <a:schemeClr val="accent2"/>
            </a:solidFill>
            <a:ln>
              <a:noFill/>
            </a:ln>
            <a:effectLst/>
          </c:spPr>
          <c:invertIfNegative val="0"/>
          <c:val>
            <c:numRef>
              <c:f>Singularity!$G$176</c:f>
              <c:numCache>
                <c:formatCode>0.0%</c:formatCode>
                <c:ptCount val="1"/>
                <c:pt idx="0">
                  <c:v>0.2807017543859649</c:v>
                </c:pt>
              </c:numCache>
            </c:numRef>
          </c:val>
          <c:extLst>
            <c:ext xmlns:c16="http://schemas.microsoft.com/office/drawing/2014/chart" uri="{C3380CC4-5D6E-409C-BE32-E72D297353CC}">
              <c16:uniqueId val="{00000001-2CAE-485B-98FF-13DCC068ADA7}"/>
            </c:ext>
          </c:extLst>
        </c:ser>
        <c:ser>
          <c:idx val="2"/>
          <c:order val="2"/>
          <c:tx>
            <c:strRef>
              <c:f>Singularity!$E$177</c:f>
              <c:strCache>
                <c:ptCount val="1"/>
                <c:pt idx="0">
                  <c:v>Pseudo-singulars</c:v>
                </c:pt>
              </c:strCache>
            </c:strRef>
          </c:tx>
          <c:spPr>
            <a:solidFill>
              <a:schemeClr val="accent3"/>
            </a:solidFill>
            <a:ln>
              <a:noFill/>
            </a:ln>
            <a:effectLst/>
          </c:spPr>
          <c:invertIfNegative val="0"/>
          <c:val>
            <c:numRef>
              <c:f>Singularity!$G$177</c:f>
              <c:numCache>
                <c:formatCode>0.0%</c:formatCode>
                <c:ptCount val="1"/>
                <c:pt idx="0">
                  <c:v>0.64327485380116955</c:v>
                </c:pt>
              </c:numCache>
            </c:numRef>
          </c:val>
          <c:extLst>
            <c:ext xmlns:c16="http://schemas.microsoft.com/office/drawing/2014/chart" uri="{C3380CC4-5D6E-409C-BE32-E72D297353CC}">
              <c16:uniqueId val="{00000002-2CAE-485B-98FF-13DCC068ADA7}"/>
            </c:ext>
          </c:extLst>
        </c:ser>
        <c:dLbls>
          <c:showLegendKey val="0"/>
          <c:showVal val="0"/>
          <c:showCatName val="0"/>
          <c:showSerName val="0"/>
          <c:showPercent val="0"/>
          <c:showBubbleSize val="0"/>
        </c:dLbls>
        <c:gapWidth val="150"/>
        <c:overlap val="100"/>
        <c:axId val="1490396719"/>
        <c:axId val="1379163631"/>
      </c:barChart>
      <c:catAx>
        <c:axId val="1490396719"/>
        <c:scaling>
          <c:orientation val="minMax"/>
        </c:scaling>
        <c:delete val="1"/>
        <c:axPos val="l"/>
        <c:numFmt formatCode="General" sourceLinked="1"/>
        <c:majorTickMark val="none"/>
        <c:minorTickMark val="none"/>
        <c:tickLblPos val="nextTo"/>
        <c:crossAx val="1379163631"/>
        <c:crosses val="autoZero"/>
        <c:auto val="1"/>
        <c:lblAlgn val="ctr"/>
        <c:lblOffset val="100"/>
        <c:noMultiLvlLbl val="0"/>
      </c:catAx>
      <c:valAx>
        <c:axId val="137916363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396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Histogram: Word Frequencies of Added &amp; Omitted Words</a:t>
            </a:r>
            <a:endParaRPr lang="en-US" sz="1400">
              <a:effectLst/>
            </a:endParaRPr>
          </a:p>
        </cx:rich>
      </cx:tx>
    </cx:title>
    <cx:plotArea>
      <cx:plotAreaRegion>
        <cx:series layoutId="clusteredColumn" uniqueId="{5F4AAF1F-9915-4B0E-955A-AA4AF82EB16A}">
          <cx:tx>
            <cx:txData>
              <cx:f>_xlchart.v1.0</cx:f>
              <cx:v>Freq-per-10000</cx:v>
            </cx:txData>
          </cx:tx>
          <cx:dataId val="0"/>
          <cx:layoutPr>
            <cx:binning intervalClosed="r">
              <cx:binCount val="1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9525</xdr:colOff>
      <xdr:row>83</xdr:row>
      <xdr:rowOff>11436</xdr:rowOff>
    </xdr:from>
    <xdr:to>
      <xdr:col>9</xdr:col>
      <xdr:colOff>314325</xdr:colOff>
      <xdr:row>98</xdr:row>
      <xdr:rowOff>36201</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6EBB4BA-791F-FC09-145D-7D2F7E824D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35150" y="27659336"/>
              <a:ext cx="3962400" cy="274256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152400</xdr:colOff>
      <xdr:row>174</xdr:row>
      <xdr:rowOff>91440</xdr:rowOff>
    </xdr:from>
    <xdr:to>
      <xdr:col>23</xdr:col>
      <xdr:colOff>457200</xdr:colOff>
      <xdr:row>189</xdr:row>
      <xdr:rowOff>91440</xdr:rowOff>
    </xdr:to>
    <xdr:graphicFrame macro="">
      <xdr:nvGraphicFramePr>
        <xdr:cNvPr id="2" name="Chart 1">
          <a:extLst>
            <a:ext uri="{FF2B5EF4-FFF2-40B4-BE49-F238E27FC236}">
              <a16:creationId xmlns:a16="http://schemas.microsoft.com/office/drawing/2014/main" id="{727F9AA8-D0E3-6558-DF9E-D865377FF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167640</xdr:colOff>
      <xdr:row>174</xdr:row>
      <xdr:rowOff>99060</xdr:rowOff>
    </xdr:from>
    <xdr:to>
      <xdr:col>31</xdr:col>
      <xdr:colOff>472440</xdr:colOff>
      <xdr:row>189</xdr:row>
      <xdr:rowOff>99060</xdr:rowOff>
    </xdr:to>
    <xdr:graphicFrame macro="">
      <xdr:nvGraphicFramePr>
        <xdr:cNvPr id="4" name="Chart 3">
          <a:extLst>
            <a:ext uri="{FF2B5EF4-FFF2-40B4-BE49-F238E27FC236}">
              <a16:creationId xmlns:a16="http://schemas.microsoft.com/office/drawing/2014/main" id="{5A33063E-2EB9-CC1E-F536-B2BFF8A257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onathan Wilken" id="{822E2EA9-C24B-47B5-A08D-803C935AC8F0}" userId="186593bc330ab858"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1" dT="2024-01-16T10:00:06.98" personId="{822E2EA9-C24B-47B5-A08D-803C935AC8F0}" id="{56FFDC4B-C87C-4949-B54C-8847D7ACB646}">
    <text>For substitutions, the word frequency of the apograph reading</text>
  </threadedComment>
  <threadedComment ref="V1" dT="2024-01-16T09:59:48.08" personId="{822E2EA9-C24B-47B5-A08D-803C935AC8F0}" id="{B02DCDCF-8905-4455-82BF-30B7DEA8D502}">
    <text>For substitutions, the word frequency of the autograph reading</text>
  </threadedComment>
  <threadedComment ref="AA1" dT="2023-08-03T16:37:01.60" personId="{822E2EA9-C24B-47B5-A08D-803C935AC8F0}" id="{1DFD5FBC-8BAB-4AF9-A662-D88C74248C10}">
    <text>If the apograph reading is singular or dual, what kind of variant would it appear to be compared to the relevant critical text?</text>
  </threadedComment>
</ThreadedComments>
</file>

<file path=xl/threadedComments/threadedComment2.xml><?xml version="1.0" encoding="utf-8"?>
<ThreadedComments xmlns="http://schemas.microsoft.com/office/spreadsheetml/2018/threadedcomments" xmlns:x="http://schemas.openxmlformats.org/spreadsheetml/2006/main">
  <threadedComment ref="R1" dT="2024-01-16T10:00:06.98" personId="{822E2EA9-C24B-47B5-A08D-803C935AC8F0}" id="{58F9DAAB-852C-4AF7-9960-A5E635E0871D}">
    <text>For substitutions, the word frequency of the apograph reading</text>
  </threadedComment>
  <threadedComment ref="S1" dT="2024-01-16T09:59:48.08" personId="{822E2EA9-C24B-47B5-A08D-803C935AC8F0}" id="{0DFFE358-4B8B-4587-A3F2-47A1339CEDA9}">
    <text>For substitutions, the word frequency of the autograph reading</text>
  </threadedComment>
  <threadedComment ref="X1" dT="2023-08-03T16:37:01.60" personId="{822E2EA9-C24B-47B5-A08D-803C935AC8F0}" id="{69341BFD-7DF0-41EA-927A-FB1A700274AF}">
    <text>If the apograph reading is singular or dual, what kind of variant would it appear to be compared to the relevant critical text?</text>
  </threadedComment>
</ThreadedComments>
</file>

<file path=xl/threadedComments/threadedComment3.xml><?xml version="1.0" encoding="utf-8"?>
<ThreadedComments xmlns="http://schemas.microsoft.com/office/spreadsheetml/2018/threadedcomments" xmlns:x="http://schemas.openxmlformats.org/spreadsheetml/2006/main">
  <threadedComment ref="Q1" dT="2024-01-15T15:51:08.85" personId="{822E2EA9-C24B-47B5-A08D-803C935AC8F0}" id="{61E95B9F-285F-4D6C-B03B-1195CE88F47E}">
    <text>Derived variable indicating the number of times per 1000 words the added or omitted word occurs. Thus, Freq-per-10,000 = (AO Word Frequency / Words in Corpus) * 10,000</text>
  </threadedComment>
  <threadedComment ref="W1" dT="2023-08-03T16:37:01.60" personId="{822E2EA9-C24B-47B5-A08D-803C935AC8F0}" id="{F971B4D7-3AA6-4E58-978B-CB6A0FB6D534}">
    <text>If the apograph reading is singular or dual, what kind of variant would it appear to be compared to the relevant critical text?</text>
  </threadedComment>
  <threadedComment ref="F33" dT="2023-09-09T16:20:24.92" personId="{822E2EA9-C24B-47B5-A08D-803C935AC8F0}" id="{175C19A6-2DAE-46F6-9D6C-03B1A367E744}">
    <text>Raw number of additions</text>
  </threadedComment>
  <threadedComment ref="B34" dT="2023-09-09T13:15:24.43" personId="{822E2EA9-C24B-47B5-A08D-803C935AC8F0}" id="{6E6BCA85-EE43-48C7-B064-FA747BA22519}">
    <text>"Low Meaning" words</text>
  </threadedComment>
  <threadedComment ref="C34" dT="2023-09-09T13:15:40.92" personId="{822E2EA9-C24B-47B5-A08D-803C935AC8F0}" id="{3C730A11-FA46-427A-878A-3A847469907D}">
    <text>"High Meaning" words</text>
  </threadedComment>
  <threadedComment ref="F34" dT="2023-09-09T16:20:41.93" personId="{822E2EA9-C24B-47B5-A08D-803C935AC8F0}" id="{001F1443-6F80-443D-99A4-149163D31A7D}">
    <text>Raw number of omissions</text>
  </threadedComment>
  <threadedComment ref="F35" dT="2023-09-09T16:21:30.82" personId="{822E2EA9-C24B-47B5-A08D-803C935AC8F0}" id="{C1465904-A38E-4690-9E18-BB7175F35AB3}">
    <text>% of add-omits that are additions</text>
  </threadedComment>
  <threadedComment ref="F38" dT="2023-09-09T16:22:43.13" personId="{822E2EA9-C24B-47B5-A08D-803C935AC8F0}" id="{9CCF1A1D-50D1-48FE-9445-2C7FB9EBB413}">
    <text>Raw number of additions of "low meaning" words. See LM column for included word types (and adjust equation as necessary)</text>
  </threadedComment>
  <threadedComment ref="F39" dT="2023-09-09T16:23:00.73" personId="{822E2EA9-C24B-47B5-A08D-803C935AC8F0}" id="{CEE5C2C5-E76A-49BC-ADEA-51E751A79821}">
    <text>Raw number of omissions of "low meaning" words. See LM column for included word types (and adjust equation as necessary)</text>
  </threadedComment>
  <threadedComment ref="F40" dT="2023-09-09T16:23:25.50" personId="{822E2EA9-C24B-47B5-A08D-803C935AC8F0}" id="{824F4A66-7795-4AE3-B0F8-AB10AB763E8D}">
    <text>Addition rate for "low meaning" words. See LM column for included word types (and adjust equation as necessary)</text>
  </threadedComment>
  <threadedComment ref="F43" dT="2023-09-09T16:26:23.57" personId="{822E2EA9-C24B-47B5-A08D-803C935AC8F0}" id="{2227FF53-EA7A-49C1-93E1-072071F8BEF6}">
    <text>Raw number of additions of "high meaning" words. See HM column for included word types (and adjust equation as necessary)</text>
  </threadedComment>
  <threadedComment ref="F44" dT="2023-09-09T16:26:53.68" personId="{822E2EA9-C24B-47B5-A08D-803C935AC8F0}" id="{E930FD91-136F-47F1-9F74-416C77174123}">
    <text>Raw number of omissions of "high meaning" words. See HM column for included word types (and adjust equation as necessary)</text>
  </threadedComment>
  <threadedComment ref="F45" dT="2023-09-09T16:27:24.75" personId="{822E2EA9-C24B-47B5-A08D-803C935AC8F0}" id="{0954078F-9F94-4500-8ED9-DEC9AE28DDD6}">
    <text>Addition rate for "high meaning" words. See HM column for included word types (and adjust equation as necessary)</text>
  </threadedComment>
  <threadedComment ref="D51" dT="2023-09-09T16:31:02.72" personId="{822E2EA9-C24B-47B5-A08D-803C935AC8F0}" id="{4F75A462-904C-4A8F-8596-36FBA8757E79}">
    <text>The number of add-omits where visual cues are present that are, in fact, additions. I.e., the number of additions that result in the presence of visual cues</text>
  </threadedComment>
  <threadedComment ref="E51" dT="2023-09-09T16:31:50.60" personId="{822E2EA9-C24B-47B5-A08D-803C935AC8F0}" id="{5805AA5E-A486-4835-8014-866D8710563E}">
    <text>The number of add-omits where visual cues are NOT present that are, in fact, additions. I.e., the number of additions that generate no visual cues</text>
  </threadedComment>
  <threadedComment ref="F51" dT="2023-09-09T16:33:25.83" personId="{822E2EA9-C24B-47B5-A08D-803C935AC8F0}" id="{611CDE40-B2A1-45C4-8B39-511967520951}">
    <text>The percentage of add-omits where visual cues are present that are, in fact, additions. I.e., a percent frequency indicating how often an addition generates visual cues</text>
  </threadedComment>
  <threadedComment ref="D52" dT="2023-09-09T16:34:19.48" personId="{822E2EA9-C24B-47B5-A08D-803C935AC8F0}" id="{1AA30F21-7439-473B-95D7-19636CEEB3EC}">
    <text>The number of add-omits where visual cues are present that are, in fact, omissions. I.e., the number of times that omissions occurred in the presence of visual cues</text>
  </threadedComment>
  <threadedComment ref="E52" dT="2023-09-09T16:34:51.06" personId="{822E2EA9-C24B-47B5-A08D-803C935AC8F0}" id="{446F542B-561E-44AF-86C2-DDF30B2B1669}">
    <text>The number of add-omits where visual cues are NOT present that are, in fact, omissions. I.e., the number of times that omissions occurred in the absence of visual cues</text>
  </threadedComment>
  <threadedComment ref="F52" dT="2023-09-09T16:35:41.16" personId="{822E2EA9-C24B-47B5-A08D-803C935AC8F0}" id="{BF1B5239-57FC-4AB7-9AEF-2D7782C12F56}">
    <text>The percentage of add-omits where visual cues are present that are, in fact, omissions. I.e., the percentage of omissions that could plausibly be due to visual cues</text>
  </threadedComment>
  <threadedComment ref="D53" dT="2023-09-09T16:36:05.81" personId="{822E2EA9-C24B-47B5-A08D-803C935AC8F0}" id="{AE742617-3FAF-444A-873F-DF45D681061E}">
    <text>The total number of add-omits that involve visual cues</text>
  </threadedComment>
  <threadedComment ref="E53" dT="2023-09-09T16:38:54.43" personId="{822E2EA9-C24B-47B5-A08D-803C935AC8F0}" id="{F1DC230E-2C24-4324-93FD-6311114DA479}">
    <text>The total number of add-omits that involve NO visual cues (given the definition of this project, i.e., 3-character minimum similarity in critical regions)</text>
  </threadedComment>
  <threadedComment ref="F53" dT="2023-09-09T16:39:12.76" personId="{822E2EA9-C24B-47B5-A08D-803C935AC8F0}" id="{D506818D-2791-4453-AE82-561BBC3A2AA2}">
    <text>The percentage of all add-omits that involve visual cues</text>
  </threadedComment>
  <threadedComment ref="D57" dT="2023-09-09T16:31:50.60" personId="{822E2EA9-C24B-47B5-A08D-803C935AC8F0}" id="{1BDDDABD-8133-4A39-9C86-A5E1B913DD02}">
    <text>The number of add-omits where visual cues are NOT present that are, in fact, additions. I.e., the number of additions that generate no visual cues</text>
  </threadedComment>
  <threadedComment ref="E57" dT="2023-09-09T16:34:51.06" personId="{822E2EA9-C24B-47B5-A08D-803C935AC8F0}" id="{7E163D4C-35E7-4698-8F72-A349331560CD}">
    <text>The number of add-omits where visual cues are NOT present that are, in fact, omissions. I.e., the number of times that omissions occurred in the absence of visual cues</text>
  </threadedComment>
  <threadedComment ref="D58" dT="2023-09-09T16:31:02.72" personId="{822E2EA9-C24B-47B5-A08D-803C935AC8F0}" id="{82F9D814-049E-423E-A8B1-9AEBE7ADC647}">
    <text>The number of add-omits where visual cues are present that are, in fact, additions. I.e., the number of additions that result in the presence of visual cues</text>
  </threadedComment>
  <threadedComment ref="E58" dT="2023-09-09T16:34:19.48" personId="{822E2EA9-C24B-47B5-A08D-803C935AC8F0}" id="{D0E9475A-9C22-4F29-AC99-39FDC5757339}">
    <text>The number of add-omits where visual cues are present that are, in fact, omissions. I.e., the number of times that omissions occurred in the presence of visual cues</text>
  </threadedComment>
  <threadedComment ref="D63" dT="2023-09-09T16:31:50.60" personId="{822E2EA9-C24B-47B5-A08D-803C935AC8F0}" id="{59C214A9-A99A-4760-BEFD-5DCB1BD9D2D4}">
    <text>The number of non-dittographic add-omits that are, in fact, additions. I.e., the number of additions that do not result in dittography</text>
  </threadedComment>
  <threadedComment ref="E63" dT="2023-09-09T16:34:51.06" personId="{822E2EA9-C24B-47B5-A08D-803C935AC8F0}" id="{CEBC1E4A-116A-4E0C-B38D-2F59944A7D10}">
    <text>The number of non-dittographic add-omits that are, in fact, omissions. I.e., the number of omissions that did not undo a dittographic reading</text>
  </threadedComment>
  <threadedComment ref="D64" dT="2023-09-09T16:31:02.72" personId="{822E2EA9-C24B-47B5-A08D-803C935AC8F0}" id="{7F0A8355-78D5-4351-8AAA-D6940A6B9159}">
    <text>The number of dittographic add-omits that are, in fact, additions. I.e., the number of additions that result in dittography</text>
  </threadedComment>
  <threadedComment ref="E64" dT="2023-09-09T16:34:19.48" personId="{822E2EA9-C24B-47B5-A08D-803C935AC8F0}" id="{94DC7C6F-D4C5-449A-8002-81BDFABBC117}">
    <text>The number of dittographic add-omits that are, in fact, omissions. I.e., the number omissions where the omitted word(s) is/are dittographies</text>
  </threadedComment>
  <threadedComment ref="D69" dT="2024-01-06T19:48:13.17" personId="{822E2EA9-C24B-47B5-A08D-803C935AC8F0}" id="{126797DB-400B-47C4-975D-806E181E87BD}">
    <text>Additions of one word</text>
  </threadedComment>
  <threadedComment ref="E69" dT="2024-01-06T19:48:24.08" personId="{822E2EA9-C24B-47B5-A08D-803C935AC8F0}" id="{B3AB3741-C718-4333-85BD-C5CC8505E00B}">
    <text>Omissions of one word</text>
  </threadedComment>
  <threadedComment ref="F69" dT="2024-01-06T19:49:49.67" personId="{822E2EA9-C24B-47B5-A08D-803C935AC8F0}" id="{C7C6731F-82C5-43EB-9416-47FAA0421A84}">
    <text>Add ratio for single-word variants</text>
  </threadedComment>
  <threadedComment ref="D70" dT="2024-01-06T19:48:46.30" personId="{822E2EA9-C24B-47B5-A08D-803C935AC8F0}" id="{887B6E83-9F6B-435B-8811-2CF7D4227753}">
    <text>Additions of 2-3 words</text>
  </threadedComment>
  <threadedComment ref="E70" dT="2024-01-06T19:49:11.26" personId="{822E2EA9-C24B-47B5-A08D-803C935AC8F0}" id="{173F5814-A45A-4A96-A1FB-0AD75BA422B9}">
    <text>Omissions of 2-3 words</text>
  </threadedComment>
  <threadedComment ref="F70" dT="2024-01-06T19:50:08.15" personId="{822E2EA9-C24B-47B5-A08D-803C935AC8F0}" id="{9DDABB06-C0FC-4901-B604-8096ECDBA55A}">
    <text>Add ratio for variants of 2-3 words</text>
  </threadedComment>
  <threadedComment ref="D71" dT="2024-01-06T19:48:58.81" personId="{822E2EA9-C24B-47B5-A08D-803C935AC8F0}" id="{D860F5CE-E981-4B02-A6A9-72EAA7AEE32D}">
    <text>Additions of 4 or more words</text>
  </threadedComment>
  <threadedComment ref="E71" dT="2024-01-06T19:49:22.83" personId="{822E2EA9-C24B-47B5-A08D-803C935AC8F0}" id="{391F0D5B-6530-4672-A856-D77545D3CCB0}">
    <text>Omissions of 4 or more words</text>
  </threadedComment>
  <threadedComment ref="F71" dT="2024-01-06T19:50:20.70" personId="{822E2EA9-C24B-47B5-A08D-803C935AC8F0}" id="{C3FC1E1F-5333-4EF1-B3F8-B925F595CA75}">
    <text>Add ratio for variants of 4 or more words</text>
  </threadedComment>
  <threadedComment ref="C74" dT="2023-09-09T16:27:49.68" personId="{822E2EA9-C24B-47B5-A08D-803C935AC8F0}" id="{36FA58C2-8015-4A42-9B1D-BFC3963BD5B4}">
    <text>Number of words added or omitted</text>
  </threadedComment>
  <threadedComment ref="D74" dT="2023-09-09T16:28:21.63" personId="{822E2EA9-C24B-47B5-A08D-803C935AC8F0}" id="{26605B44-511A-495B-AF2C-5BE19306E528}">
    <text>Number of additions involving the number of words specified in the "Length" column</text>
  </threadedComment>
  <threadedComment ref="E74" dT="2023-09-09T16:28:41.21" personId="{822E2EA9-C24B-47B5-A08D-803C935AC8F0}" id="{E8AB9EEC-9FF2-4AA4-8685-DB007E5BC327}">
    <text>Number of omissions involving the number of words specified in the "Length" column</text>
  </threadedComment>
  <threadedComment ref="F74" dT="2023-09-09T16:29:25.88" personId="{822E2EA9-C24B-47B5-A08D-803C935AC8F0}" id="{B500ECA4-3034-4736-80AE-732547CB6150}">
    <text>The addition rate for add-omits involving the number of words indicated in the "Length" column</text>
  </threadedComment>
  <threadedComment ref="E82" dT="2024-01-15T11:53:38.99" personId="{822E2EA9-C24B-47B5-A08D-803C935AC8F0}" id="{7FC04E06-D5C7-4A11-BAE4-2860B9D0D5F1}">
    <text>Total word count for corpus. Figure taken from Accordance "Word Count Totals" analysis. Search for word "*" specifying [RANGE &lt;CONTENT&gt;]. E.g., for 1 Samuel - 2 Kings in Alexandrinus, search for "* [RANGE 1 Sam - 2 Kings]" in LXX Rahlfs.</text>
  </threadedComment>
</ThreadedComments>
</file>

<file path=xl/threadedComments/threadedComment4.xml><?xml version="1.0" encoding="utf-8"?>
<ThreadedComments xmlns="http://schemas.microsoft.com/office/spreadsheetml/2018/threadedcomments" xmlns:x="http://schemas.openxmlformats.org/spreadsheetml/2006/main">
  <threadedComment ref="Q1" dT="2024-01-15T15:51:08.85" personId="{822E2EA9-C24B-47B5-A08D-803C935AC8F0}" id="{B57CBBE2-4DE3-4E14-871D-99DA12546CAA}">
    <text>Derived variable indicating the number of times per 1000 words the added or omitted word occurs. Thus, Freq-per-10,000 = (AO Word Frequency / Words in Corpus) * 10,000</text>
  </threadedComment>
  <threadedComment ref="W1" dT="2023-08-03T16:37:01.60" personId="{822E2EA9-C24B-47B5-A08D-803C935AC8F0}" id="{E896215B-A56E-4DBC-9768-1DFF1507630E}">
    <text>If the apograph reading is singular or dual, what kind of variant would it appear to be compared to the relevant critical text?</text>
  </threadedComment>
  <threadedComment ref="D25" dT="2024-01-15T11:53:38.99" personId="{822E2EA9-C24B-47B5-A08D-803C935AC8F0}" id="{281371D7-E0F8-41FC-BB7E-F9A1CA79C4B0}">
    <text>Total word count for corpus. Figure taken from Accordance "Word Count Totals" analysis. Search for word "*" specifying [RANGE &lt;CONTENT&gt;]. E.g., for 1 Samuel - 2 Kings in Alexandrinus, search for "* [RANGE 1 Sam - 2 Kings]" in LXX Rahlfs.</text>
  </threadedComment>
  <threadedComment ref="D26" dT="2024-01-15T16:09:47.97" personId="{822E2EA9-C24B-47B5-A08D-803C935AC8F0}" id="{DCC0C593-53DF-439F-BA9A-9E2AC23A0449}">
    <text>Median word frequency</text>
  </threadedComment>
  <threadedComment ref="D29" dT="2024-01-16T15:49:15.06" personId="{822E2EA9-C24B-47B5-A08D-803C935AC8F0}" id="{E1673BB4-2692-490A-B731-69FA53B1E174}">
    <text>Higher-frequency additions: the number of additions among variants whose word frequency was equal to or above the median</text>
  </threadedComment>
  <threadedComment ref="D30" dT="2024-01-16T15:49:42.55" personId="{822E2EA9-C24B-47B5-A08D-803C935AC8F0}" id="{2C95E34A-154E-4FFE-BBA0-7744950F06CE}">
    <text xml:space="preserve">Higher-frequency omissions: the number of omissions among variants whose word frequency was equal to or above the median
</text>
  </threadedComment>
  <threadedComment ref="D31" dT="2024-01-16T15:50:17.80" personId="{822E2EA9-C24B-47B5-A08D-803C935AC8F0}" id="{23FE8A8F-B104-48B8-8CF2-7EB2AE7290DB}">
    <text>Higher-frequency add ratio: the add ratio among variants whose word frequency was equal to or above the median</text>
  </threadedComment>
  <threadedComment ref="D32" dT="2024-01-16T15:50:43.11" personId="{822E2EA9-C24B-47B5-A08D-803C935AC8F0}" id="{3C409505-6611-45E5-B089-098F4475092E}">
    <text xml:space="preserve">Lower-frequency additions: the number of additions among variants whose word frequency was below the median
</text>
  </threadedComment>
  <threadedComment ref="D33" dT="2024-01-16T15:52:18.36" personId="{822E2EA9-C24B-47B5-A08D-803C935AC8F0}" id="{35E100C1-AEEC-4E27-84D0-B1B44A1C2AF0}">
    <text>Higher-frequency omissions: the number of omissions among variants whose word frequency was below  the median</text>
  </threadedComment>
  <threadedComment ref="D34" dT="2024-01-16T15:51:50.24" personId="{822E2EA9-C24B-47B5-A08D-803C935AC8F0}" id="{7E2AF338-95E2-43C8-B20E-1ACD009EAB28}">
    <text xml:space="preserve">Lower-frequency add ratio: the add ratio among variants whose word frequency was below the median
</text>
  </threadedComment>
  <threadedComment ref="D37" dT="2024-01-16T15:56:55.41" personId="{822E2EA9-C24B-47B5-A08D-803C935AC8F0}" id="{2FECF803-9E12-4302-9559-AD4418150104}">
    <text>Articular additions: the number of additions of an article</text>
  </threadedComment>
  <threadedComment ref="D38" dT="2024-01-16T16:01:25.48" personId="{822E2EA9-C24B-47B5-A08D-803C935AC8F0}" id="{3C4047E5-481E-467C-96BD-A9664F95F97B}">
    <text>Articular omissions: the number of omissions of an article</text>
  </threadedComment>
  <threadedComment ref="D39" dT="2024-01-16T16:01:49.04" personId="{822E2EA9-C24B-47B5-A08D-803C935AC8F0}" id="{247CA279-C45B-4B66-A8B4-5AC647D41AE1}">
    <text>Articular add ratio: the add ratio for the definite article</text>
  </threadedComment>
</ThreadedComments>
</file>

<file path=xl/threadedComments/threadedComment5.xml><?xml version="1.0" encoding="utf-8"?>
<ThreadedComments xmlns="http://schemas.microsoft.com/office/spreadsheetml/2018/threadedcomments" xmlns:x="http://schemas.openxmlformats.org/spreadsheetml/2006/main">
  <threadedComment ref="R1" dT="2024-01-15T15:51:08.85" personId="{822E2EA9-C24B-47B5-A08D-803C935AC8F0}" id="{78453880-E6D0-41BC-B947-E51D7235D3F8}">
    <text>Derived variable indicating the number of times per 1000 words the added or omitted word occurs. Thus, Freq-per-10,000 = (AO Word Frequency / Words in Corpus) * 10,000</text>
  </threadedComment>
  <threadedComment ref="X1" dT="2023-08-03T16:37:01.60" personId="{822E2EA9-C24B-47B5-A08D-803C935AC8F0}" id="{8D9FDB0D-573A-405A-B942-21246CEADCE7}">
    <text>If the apograph reading is singular or dual, what kind of variant would it appear to be compared to the relevant critical text?</text>
  </threadedComment>
  <threadedComment ref="D11" dT="2024-01-15T11:53:38.99" personId="{822E2EA9-C24B-47B5-A08D-803C935AC8F0}" id="{AE5FBC4C-06E3-4151-BDD9-57D60A6A4C7B}">
    <text>Total word count for corpus. Figure taken from Accordance "Word Count Totals" analysis. Search for word "*" specifying [RANGE &lt;CONTENT&gt;]. E.g., for 1 Samuel - 2 Kings in Alexandrinus, search for "* [RANGE 1 Sam - 2 Kings]" in LXX Rahlfs.</text>
  </threadedComment>
  <threadedComment ref="D12" dT="2024-01-15T16:09:47.97" personId="{822E2EA9-C24B-47B5-A08D-803C935AC8F0}" id="{01E80CA7-D7BF-4DC9-B493-428D0EF418FF}">
    <text>Median word frequency</text>
  </threadedComment>
  <threadedComment ref="D15" dT="2024-01-16T15:49:15.06" personId="{822E2EA9-C24B-47B5-A08D-803C935AC8F0}" id="{EAD08AB8-6937-4882-BE93-D9C4B0784021}">
    <text>Higher-frequency additions: the number of additions among variants whose word frequency was equal to or above the median</text>
  </threadedComment>
  <threadedComment ref="D16" dT="2024-01-16T15:49:42.55" personId="{822E2EA9-C24B-47B5-A08D-803C935AC8F0}" id="{79E8BDED-2E6F-49D9-B139-5E6A6DCA500F}">
    <text xml:space="preserve">Higher-frequency omissions: the number of omissions among variants whose word frequency was equal to or above the median
</text>
  </threadedComment>
  <threadedComment ref="D17" dT="2024-01-16T15:50:17.80" personId="{822E2EA9-C24B-47B5-A08D-803C935AC8F0}" id="{0C1D08EE-F4C5-4695-A7CF-6242F6C74A14}">
    <text>Higher-frequency add ratio: the add ratio among variants whose word frequency was equal to or above the median</text>
  </threadedComment>
  <threadedComment ref="D18" dT="2024-01-16T15:50:43.11" personId="{822E2EA9-C24B-47B5-A08D-803C935AC8F0}" id="{9D807AFE-A4C0-4CA5-AC97-8A0A7D573B61}">
    <text xml:space="preserve">Lower-frequency additions: the number of additions among variants whose word frequency was below the median
</text>
  </threadedComment>
  <threadedComment ref="D19" dT="2024-01-16T15:52:18.36" personId="{822E2EA9-C24B-47B5-A08D-803C935AC8F0}" id="{AF63BEE6-A752-43D5-A895-FB89174B4847}">
    <text>Higher-frequency omissions: the number of omissions among variants whose word frequency was below  the median</text>
  </threadedComment>
  <threadedComment ref="D20" dT="2024-01-16T15:51:50.24" personId="{822E2EA9-C24B-47B5-A08D-803C935AC8F0}" id="{F4988D4B-FBEA-4E25-932B-97368855FBDE}">
    <text xml:space="preserve">Lower-frequency add ratio: the add ratio among variants whose word frequency was below the median
</text>
  </threadedComment>
  <threadedComment ref="D21" dT="2024-01-22T14:15:25.14" personId="{822E2EA9-C24B-47B5-A08D-803C935AC8F0}" id="{C5B853EA-2933-4601-B0EC-0EF121B18007}">
    <text>The difference in add ratio based on word frequency category. If scribes exhibit preference for the familiar, the HF add ratio should usually be higher than the LF add ratio (thus, the Add Ratio Difference should be positive)</text>
  </threadedComment>
</ThreadedComments>
</file>

<file path=xl/threadedComments/threadedComment6.xml><?xml version="1.0" encoding="utf-8"?>
<ThreadedComments xmlns="http://schemas.microsoft.com/office/spreadsheetml/2018/threadedcomments" xmlns:x="http://schemas.openxmlformats.org/spreadsheetml/2006/main">
  <threadedComment ref="S1" dT="2024-01-16T10:00:06.98" personId="{822E2EA9-C24B-47B5-A08D-803C935AC8F0}" id="{CE33CF8E-963F-4EAE-A369-603BA448262B}">
    <text>For substitutions, the word frequency of the apograph reading</text>
  </threadedComment>
  <threadedComment ref="T1" dT="2024-01-16T09:59:48.08" personId="{822E2EA9-C24B-47B5-A08D-803C935AC8F0}" id="{5F19EE34-74C1-4DDC-AF61-C3A7E499FE36}">
    <text>For substitutions, the word frequency of the autograph reading</text>
  </threadedComment>
  <threadedComment ref="U1" dT="2024-01-16T12:04:07.25" personId="{822E2EA9-C24B-47B5-A08D-803C935AC8F0}" id="{5EA499E2-D39D-4D78-8108-5EE9AE39DBAF}">
    <text>Frequency occurrence of autograph reading per 10,000 words of text</text>
  </threadedComment>
  <threadedComment ref="V1" dT="2024-01-16T12:04:21.22" personId="{822E2EA9-C24B-47B5-A08D-803C935AC8F0}" id="{A3010AC9-DFA3-4AD1-94A5-FD106C311771}">
    <text>Frequency occurrence of apograph reading per 10,000 words of text</text>
  </threadedComment>
  <threadedComment ref="W1" dT="2024-01-16T12:05:32.46" personId="{822E2EA9-C24B-47B5-A08D-803C935AC8F0}" id="{83CBC86C-6C10-4C95-91C8-49257A4EF886}">
    <text>Difference in the P10K frequency of the autograph and apograph readings. Difference = apograph - autograph. Thus, positive values indicate the apograph reading was a more common/frequent word; negative values indicate the apograph reading was a less common/frequent word</text>
  </threadedComment>
  <threadedComment ref="AB1" dT="2023-08-03T16:37:01.60" personId="{822E2EA9-C24B-47B5-A08D-803C935AC8F0}" id="{0B1080CB-99AD-4EFC-A03B-3AFE33EB2A6F}">
    <text>If the apograph reading is singular or dual, what kind of variant would it appear to be compared to the relevant critical text?</text>
  </threadedComment>
  <threadedComment ref="D21" dT="2024-01-15T11:53:38.99" personId="{822E2EA9-C24B-47B5-A08D-803C935AC8F0}" id="{64BEF9E3-C167-434E-9FAE-428743B8D2E4}">
    <text>Total word count for corpus. Figure taken from Accordance "Word Count Totals" analysis. Search for word "*" specifying [RANGE &lt;CONTENT&gt;]. E.g., for 1 Samuel - 2 Kings in Alexandrinus, search for "* [RANGE 1 Sam - 2 Kings]" in LXX Rahlfs.</text>
  </threadedComment>
  <threadedComment ref="D24" dT="2024-01-16T16:24:54.84" personId="{822E2EA9-C24B-47B5-A08D-803C935AC8F0}" id="{9DCB4FB3-F23B-49BC-AE82-86DC5646FBA6}">
    <text>Number of variants where the scribe used a more common/frequent word in place of a less common/frequent word</text>
  </threadedComment>
  <threadedComment ref="D25" dT="2024-01-16T16:25:18.29" personId="{822E2EA9-C24B-47B5-A08D-803C935AC8F0}" id="{D7DFA8FA-E6F1-493C-9330-39DDDB18ACCB}">
    <text>Number of variants where the scribe used a less common/frequent word in place of a more  common/frequent word</text>
  </threadedComment>
  <threadedComment ref="D26" dT="2024-01-16T16:26:16.57" personId="{822E2EA9-C24B-47B5-A08D-803C935AC8F0}" id="{AF301BB3-C50C-416B-87AD-6D8E91523B8A}">
    <text>Probability based on 2-tailed sign test: probability of obtaining a result as extreme as or more extreme than that shown above</text>
  </threadedComment>
  <threadedComment ref="D28" dT="2024-01-16T16:28:22.68" personId="{822E2EA9-C24B-47B5-A08D-803C935AC8F0}" id="{89E2F295-DEB6-42A8-9E19-1B27FDFD8EAF}">
    <text>The mean frequency difference between the reading of the autograph and that of the apograph. Positive value = tendency of the scribe to replace less common words in the exemplar with more common alternatives; negative = tendency of the scribe to replace more common words in the exemplar with less common alternatives</text>
  </threadedComment>
  <threadedComment ref="D29" dT="2024-01-16T16:28:51.78" personId="{822E2EA9-C24B-47B5-A08D-803C935AC8F0}" id="{FA3C82BD-F2B3-46C8-BA4E-059B405BD02F}">
    <text>Standard deviation of the word frequency difference for substitutions</text>
  </threadedComment>
  <threadedComment ref="D32" dT="2024-01-16T16:30:57.18" personId="{822E2EA9-C24B-47B5-A08D-803C935AC8F0}" id="{F75E9140-8261-4379-87C4-63775426FE46}">
    <text>The mean difference in word frequency for substitutions, measuring word frequency according to "occurrences per 10,000 words". As above, positive values indicate a trend toward substituting in more common alternatives; negative values indicate a trend toward substituting in less common alternatives</text>
  </threadedComment>
  <threadedComment ref="D33" dT="2024-01-16T16:31:30.62" personId="{822E2EA9-C24B-47B5-A08D-803C935AC8F0}" id="{69AD53CE-12F6-4E64-A3A0-34BAC4FA6E67}">
    <text>Standard deviation of the change in word frequency, using the frequency measure of "occurrences per 10,000 words"</text>
  </threadedComment>
  <threadedComment ref="D36" dT="2024-01-22T16:14:41.99" personId="{822E2EA9-C24B-47B5-A08D-803C935AC8F0}" id="{22654AB5-56B8-40FA-A132-A2852E2B76D6}">
    <text>Total number of substitutions for which a word frequency difference could be calculated</text>
  </threadedComment>
  <threadedComment ref="D37" dT="2024-01-22T17:13:39.02" personId="{822E2EA9-C24B-47B5-A08D-803C935AC8F0}" id="{C20FFCAA-481F-4C41-AAF0-353C98095E7A}">
    <text>The standard deviation of word frequency difference scores</text>
  </threadedComment>
</ThreadedComments>
</file>

<file path=xl/threadedComments/threadedComment7.xml><?xml version="1.0" encoding="utf-8"?>
<ThreadedComments xmlns="http://schemas.microsoft.com/office/spreadsheetml/2018/threadedcomments" xmlns:x="http://schemas.openxmlformats.org/spreadsheetml/2006/main">
  <threadedComment ref="S1" dT="2024-01-16T10:00:06.98" personId="{822E2EA9-C24B-47B5-A08D-803C935AC8F0}" id="{53BD3313-A8F2-4F03-9457-B3897E1D294A}">
    <text>For substitutions, the word frequency of the apograph reading</text>
  </threadedComment>
  <threadedComment ref="T1" dT="2024-01-16T09:59:48.08" personId="{822E2EA9-C24B-47B5-A08D-803C935AC8F0}" id="{8B7D4486-A8BE-4D7C-ACA7-DE42A20C8C92}">
    <text>For substitutions, the word frequency of the autograph reading</text>
  </threadedComment>
  <threadedComment ref="Z1" dT="2023-08-03T16:37:01.60" personId="{822E2EA9-C24B-47B5-A08D-803C935AC8F0}" id="{6131EF28-FCFB-4794-8159-16353E3C5089}">
    <text>If the apograph reading is singular or dual, what kind of variant would it appear to be compared to the relevant critical text?</text>
  </threadedComment>
  <threadedComment ref="D5" dT="2024-01-24T17:15:11.25" personId="{822E2EA9-C24B-47B5-A08D-803C935AC8F0}" id="{C3C02A19-0118-40E4-9F3C-0B8DF2093CE1}">
    <text>The number of variants that harmonized to parallel phrases in the near context</text>
  </threadedComment>
  <threadedComment ref="D6" dT="2024-01-24T17:15:35.01" personId="{822E2EA9-C24B-47B5-A08D-803C935AC8F0}" id="{EB7AAE6B-E5AC-4587-992E-037F5D7F5038}">
    <text>The number of variants that disharmonized from  parallel phrases in the near context</text>
  </threadedComment>
  <threadedComment ref="D7" dT="2024-01-24T17:16:15.06" personId="{822E2EA9-C24B-47B5-A08D-803C935AC8F0}" id="{6DD8ABD5-AF6C-4392-8A7D-F38964BDE01F}">
    <text>The ratio of harmonizations to disharmonizations; = harmonizations / (harmonizations + disharmonizations)</text>
  </threadedComment>
</ThreadedComments>
</file>

<file path=xl/threadedComments/threadedComment8.xml><?xml version="1.0" encoding="utf-8"?>
<ThreadedComments xmlns="http://schemas.microsoft.com/office/spreadsheetml/2018/threadedcomments" xmlns:x="http://schemas.openxmlformats.org/spreadsheetml/2006/main">
  <threadedComment ref="A1" dT="2024-01-30T16:42:58.97" personId="{822E2EA9-C24B-47B5-A08D-803C935AC8F0}" id="{A242166D-D1C1-4865-8EB1-BF437D373418}">
    <text>Word count of the apograph, for the extent of text copied from the exemplar. Not necessarily equal to the word count of a corpus, or the exemplar. Apograph word count was chosen over autograph since it would remain stable across comparisons to other potential autographa, when the exemplar is not known.</text>
  </threadedComment>
  <threadedComment ref="A2" dT="2024-01-30T16:43:29.06" personId="{822E2EA9-C24B-47B5-A08D-803C935AC8F0}" id="{C49A78DD-DEC0-45A2-84D2-5D105EF72487}">
    <text>The number of total deviations from the exemplar. Includes itacisms, orthographic changes, nonsense readings etc.</text>
  </threadedComment>
  <threadedComment ref="A3" dT="2024-01-30T16:44:34.54" personId="{822E2EA9-C24B-47B5-A08D-803C935AC8F0}" id="{819BC495-8CBC-423E-BF02-F350AF434E36}">
    <text>The number of "meaningful" variants produced by the scribe. Should be based on the "general filters" page, with those readings excluded that have not been deemed fit for analysis (e.g., nonsense readings and corrections thereof, itacisms etc.)</text>
  </threadedComment>
  <threadedComment ref="A5" dT="2024-01-31T15:17:30.66" personId="{822E2EA9-C24B-47B5-A08D-803C935AC8F0}" id="{BB5EBC09-67F2-45B4-B26B-266DBD6BBAC0}">
    <text>The rate of error generation per 1000 words in the apograph. Figure includes itacisms, orthographic changes, nonsense readings etc.</text>
  </threadedComment>
  <threadedComment ref="A6" dT="2024-01-31T15:18:45.83" personId="{822E2EA9-C24B-47B5-A08D-803C935AC8F0}" id="{9EE7F0EB-425A-4FAA-B70F-F284F1BA55C6}">
    <text>Frequency of "meaningful" errors per 1000 words in the apograph. "Meaningful" errors are defined by the general filters applied to the raw data. (Here, this means the exclusion of such readings as itacisms, orthographic changes, variants involving nonsense readings etc.)</text>
  </threadedComment>
</ThreadedComments>
</file>

<file path=xl/threadedComments/threadedComment9.xml><?xml version="1.0" encoding="utf-8"?>
<ThreadedComments xmlns="http://schemas.microsoft.com/office/spreadsheetml/2018/threadedcomments" xmlns:x="http://schemas.openxmlformats.org/spreadsheetml/2006/main">
  <threadedComment ref="S1" dT="2024-01-16T10:00:06.98" personId="{822E2EA9-C24B-47B5-A08D-803C935AC8F0}" id="{76C1B2D9-C2EF-4F3A-A33F-DF2888700555}">
    <text>For substitutions, the word frequency of the apograph reading</text>
  </threadedComment>
  <threadedComment ref="T1" dT="2024-01-16T09:59:48.08" personId="{822E2EA9-C24B-47B5-A08D-803C935AC8F0}" id="{87F7C83C-870D-47C3-801E-299CFFBB0258}">
    <text>For substitutions, the word frequency of the autograph reading</text>
  </threadedComment>
  <threadedComment ref="Y1" dT="2023-08-03T16:37:01.60" personId="{822E2EA9-C24B-47B5-A08D-803C935AC8F0}" id="{D48A7AFC-2AC5-4E17-9AA4-B843A00FA980}">
    <text>If the apograph reading is singular or dual, what kind of variant would it appear to be compared to the relevant critical text?</text>
  </threadedComment>
  <threadedComment ref="X2" dT="2024-01-31T18:36:53.19" personId="{822E2EA9-C24B-47B5-A08D-803C935AC8F0}" id="{967E6753-8BC9-4817-9CAA-41E15A346997}">
    <text>For O.4.24, singularity will be determined by comparison to the readings presented in M. de Jonge's 1978 critical edition</text>
  </threadedComment>
  <threadedComment ref="E175" dT="2024-02-03T12:53:56.59" personId="{822E2EA9-C24B-47B5-A08D-803C935AC8F0}" id="{705D1235-C6EA-43DD-9416-63D7D5DB8B35}">
    <text>Variants in the apograph that were not singular readings. I.e., other MSS contained the same reading. The singular readings method would not detect these variants in a manuscript</text>
  </threadedComment>
  <threadedComment ref="E176" dT="2024-02-03T12:54:56.49" personId="{822E2EA9-C24B-47B5-A08D-803C935AC8F0}" id="{A8585220-3725-494E-8AA0-8565BC9D9482}">
    <text>True singular readings. The apograph has deviated from its exemplar and the result was a singular reading. The singular readings method would detect these, and they would be the true creations of the manuscript's scribe</text>
  </threadedComment>
  <threadedComment ref="E177" dT="2024-02-03T12:56:25.27" personId="{822E2EA9-C24B-47B5-A08D-803C935AC8F0}" id="{1BEF079A-A5F8-4BBC-8D46-FFB0462C467C}">
    <text>Basically dual readings with the autograph. These are places where the apograph has faithfully transmitted a reading from its exemplar, but no other MS has that reading. The singular readings method would identify these as variants in the apograph manuscript, even though they are not truly variants. These readings contaminate the data pool offered by the singular readings method</text>
  </threadedComment>
  <threadedComment ref="E179" dT="2024-02-03T13:02:31.97" personId="{822E2EA9-C24B-47B5-A08D-803C935AC8F0}" id="{3A705D0C-1DC3-4176-9630-F13AF3C284FD}">
    <text>The percentage of total variants that are also singular readings. This is the proportion of true variants in a manuscript that would be detected by the singular readings method.</text>
  </threadedComment>
  <threadedComment ref="E180" dT="2024-02-03T13:04:01.02" personId="{822E2EA9-C24B-47B5-A08D-803C935AC8F0}" id="{7CE73209-E87F-4F87-B533-D2B135A5F771}">
    <text>The percentage of all apparently singular readings in the apograph that are not variants, but accurate representations of the autograph manuscript. The contamination rate is therefore the proportion of readings identified by the singular readings method that are not the creations of the scribe in question.</text>
  </threadedComment>
</ThreadedComments>
</file>

<file path=xl/threadedComments/threadedComment10.xml><?xml version="1.0" encoding="utf-8"?>
<ThreadedComments xmlns="http://schemas.microsoft.com/office/spreadsheetml/2018/threadedcomments" xmlns:x="http://schemas.openxmlformats.org/spreadsheetml/2006/main">
  <threadedComment ref="L3" dT="2023-08-03T13:34:30.53" personId="{822E2EA9-C24B-47B5-A08D-803C935AC8F0}" id="{FA453649-0517-4978-A6FE-3C5DBE6653AE}">
    <text>The apograph reading is singular and the autograph reading is not. The singular readings method would detect this variant</text>
  </threadedComment>
  <threadedComment ref="M3" dT="2024-02-22T12:13:50.91" personId="{822E2EA9-C24B-47B5-A08D-803C935AC8F0}" id="{107C528D-91A6-4BDA-AC19-A4661795CC40}">
    <text>Places where the apograph has altered the text, but the apograph reading corresponds to the modern critical edition of the text</text>
  </threadedComment>
  <threadedComment ref="L4" dT="2023-08-03T13:33:28.57" personId="{822E2EA9-C24B-47B5-A08D-803C935AC8F0}" id="{88DD870A-2552-4C1B-A5D2-27C956847775}">
    <text>That is, the autograph contains a singular reading and the apograph followed it</text>
  </threadedComment>
  <threadedComment ref="M4" dT="2024-02-22T12:14:40.68" personId="{822E2EA9-C24B-47B5-A08D-803C935AC8F0}" id="{CDCB78CB-4DE3-415D-BB14-0D465C7AC5F4}">
    <text>Places where the apograph has altered the text, and the apograph reading deviates from the modern critical edition of the text</text>
  </threadedComment>
  <threadedComment ref="L5" dT="2023-08-03T13:35:10.13" personId="{822E2EA9-C24B-47B5-A08D-803C935AC8F0}" id="{B55FD924-71B7-4470-8A67-02F48E645951}">
    <text>The apograph reading is not singular: other witnesses contain the same reading. These are real variants produced by the apograph scribe, but the singular readings method would not detect them</text>
  </threadedComment>
  <threadedComment ref="M5" dT="2024-02-22T12:17:32.10" personId="{822E2EA9-C24B-47B5-A08D-803C935AC8F0}" id="{F74F3533-D6BA-4417-AE90-501F1C639388}">
    <text>Places where the apograph has altered the text, and the apograph reading deviates from the modern critical edition of the text, but the apparent type of variation relative to the critical text differs from the true variant type (e.g., relative to the critical text the variant appears to be a substitution, but relative to the exemplar it is an addition)</text>
  </threadedComment>
  <threadedComment ref="L6" dT="2024-01-31T19:30:51.09" personId="{822E2EA9-C24B-47B5-A08D-803C935AC8F0}" id="{381DE320-B1F5-4A05-BDC0-894EE16CC99A}">
    <text>Particularly for use when a given edition does not supply sufficient data to determine singularity</text>
  </threadedComment>
  <threadedComment ref="M6" dT="2024-02-22T12:19:38.97" personId="{822E2EA9-C24B-47B5-A08D-803C935AC8F0}" id="{2C0637CB-6223-4600-BC41-A8F482563AEF}">
    <text>Places where the apograph text differs from the modern critical text, but the apograph has not altered the autograph text (i.e., the apograph scribe has not actually altered his text)</text>
  </threadedComment>
  <threadedComment ref="O13" dT="2023-08-14T14:21:11.11" personId="{822E2EA9-C24B-47B5-A08D-803C935AC8F0}" id="{8BE5C7E4-10A8-4B5A-8587-1939623AD98A}">
    <text>For words which have multiple common forms not impacting their inflection (e.g., ουκ-ουχ-ου, επι-επ-εφ)</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7.bin"/><Relationship Id="rId4" Type="http://schemas.microsoft.com/office/2017/10/relationships/threadedComment" Target="../threadedComments/threadedComment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2.xml"/><Relationship Id="rId4" Type="http://schemas.microsoft.com/office/2017/10/relationships/threadedComment" Target="../threadedComments/threadedComment9.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9498E-60FE-47CE-98CB-DF81F2BD960C}">
  <dimension ref="A1:AG472"/>
  <sheetViews>
    <sheetView tabSelected="1" workbookViewId="0">
      <pane xSplit="5" ySplit="1" topLeftCell="F40" activePane="bottomRight" state="frozen"/>
      <selection pane="topRight" activeCell="F1" sqref="F1"/>
      <selection pane="bottomLeft" activeCell="A2" sqref="A2"/>
      <selection pane="bottomRight" sqref="A1:XFD1"/>
    </sheetView>
  </sheetViews>
  <sheetFormatPr defaultRowHeight="14.5"/>
  <cols>
    <col min="1" max="1" width="10.81640625" customWidth="1"/>
    <col min="2" max="3" width="8.90625" hidden="1" customWidth="1"/>
    <col min="4" max="5" width="20.81640625" customWidth="1"/>
    <col min="6" max="8" width="18.81640625" customWidth="1"/>
    <col min="9" max="9" width="9.54296875" bestFit="1" customWidth="1"/>
    <col min="10" max="18" width="8.90625" style="8"/>
    <col min="19" max="19" width="18.36328125" style="8" bestFit="1" customWidth="1"/>
    <col min="20" max="22" width="8.90625" style="8"/>
    <col min="23" max="23" width="13.81640625" style="8" bestFit="1" customWidth="1"/>
    <col min="24" max="24" width="13.81640625" style="8" customWidth="1"/>
    <col min="25" max="25" width="13.81640625" style="8" bestFit="1" customWidth="1"/>
    <col min="26" max="33" width="8.90625" style="8"/>
  </cols>
  <sheetData>
    <row r="1" spans="1:33" s="1" customFormat="1">
      <c r="A1" s="1" t="s">
        <v>0</v>
      </c>
      <c r="B1" s="1" t="s">
        <v>1</v>
      </c>
      <c r="C1" s="1" t="s">
        <v>2</v>
      </c>
      <c r="D1" s="1" t="s">
        <v>5</v>
      </c>
      <c r="E1" s="1" t="s">
        <v>6</v>
      </c>
      <c r="F1" s="1" t="s">
        <v>1292</v>
      </c>
      <c r="G1" s="1" t="s">
        <v>1293</v>
      </c>
      <c r="H1" s="1" t="s">
        <v>1294</v>
      </c>
      <c r="I1" s="1" t="s">
        <v>7</v>
      </c>
      <c r="J1" s="1" t="s">
        <v>3</v>
      </c>
      <c r="K1" s="1" t="s">
        <v>1280</v>
      </c>
      <c r="L1" s="1" t="s">
        <v>1281</v>
      </c>
      <c r="M1" s="1" t="s">
        <v>1282</v>
      </c>
      <c r="N1" s="1" t="s">
        <v>1295</v>
      </c>
      <c r="O1" s="1" t="s">
        <v>1252</v>
      </c>
      <c r="P1" s="1" t="s">
        <v>1283</v>
      </c>
      <c r="Q1" s="7" t="s">
        <v>1284</v>
      </c>
      <c r="R1" s="1" t="s">
        <v>1253</v>
      </c>
      <c r="S1" s="1" t="s">
        <v>1285</v>
      </c>
      <c r="T1" s="1" t="s">
        <v>1286</v>
      </c>
      <c r="U1" s="1" t="s">
        <v>1408</v>
      </c>
      <c r="V1" s="1" t="s">
        <v>1409</v>
      </c>
      <c r="W1" s="1" t="s">
        <v>1297</v>
      </c>
      <c r="X1" s="1" t="s">
        <v>1298</v>
      </c>
      <c r="Y1" s="1" t="s">
        <v>1299</v>
      </c>
      <c r="Z1" s="1" t="s">
        <v>1254</v>
      </c>
      <c r="AA1" s="1" t="s">
        <v>1372</v>
      </c>
      <c r="AB1" s="1" t="s">
        <v>1255</v>
      </c>
      <c r="AC1" s="1" t="s">
        <v>1256</v>
      </c>
      <c r="AD1" s="1" t="s">
        <v>1296</v>
      </c>
      <c r="AE1" s="1" t="s">
        <v>1300</v>
      </c>
      <c r="AF1" s="1" t="s">
        <v>1287</v>
      </c>
      <c r="AG1" s="1" t="s">
        <v>1301</v>
      </c>
    </row>
    <row r="2" spans="1:33" ht="29">
      <c r="A2" t="s">
        <v>37</v>
      </c>
      <c r="D2" s="3" t="s">
        <v>1311</v>
      </c>
      <c r="E2" s="3" t="s">
        <v>1312</v>
      </c>
      <c r="H2" t="s">
        <v>19</v>
      </c>
      <c r="J2" s="8" t="s">
        <v>1303</v>
      </c>
      <c r="Q2" s="9"/>
      <c r="T2" s="8" t="s">
        <v>1304</v>
      </c>
      <c r="U2" s="8" t="str">
        <f t="shared" ref="U2" ca="1" si="0">IF(ISNUMBER(T2),VALUE(MID(_xlfn.FORMULATEXT(T2),SEARCH("-",_xlfn.FORMULATEXT(T2))+1,LEN(_xlfn.FORMULATEXT(T2))-SEARCH("-",_xlfn.FORMULATEXT(T2)))), "")</f>
        <v/>
      </c>
      <c r="V2" s="8" t="str">
        <f t="shared" ref="V2" ca="1" si="1">IF(ISNUMBER(T2), VALUE(MID(_xlfn.FORMULATEXT(T2), 2, SEARCH("-", _xlfn.FORMULATEXT(T2)) - 2)), "")</f>
        <v/>
      </c>
      <c r="AB2" s="8" t="s">
        <v>19</v>
      </c>
      <c r="AF2" s="8" t="s">
        <v>1288</v>
      </c>
    </row>
    <row r="3" spans="1:33" ht="29">
      <c r="A3" t="s">
        <v>38</v>
      </c>
      <c r="D3" s="3" t="s">
        <v>1313</v>
      </c>
      <c r="E3" s="3" t="s">
        <v>1314</v>
      </c>
      <c r="H3" t="s">
        <v>19</v>
      </c>
      <c r="J3" s="8" t="s">
        <v>25</v>
      </c>
      <c r="K3" s="8">
        <v>0</v>
      </c>
      <c r="L3" s="8">
        <v>3</v>
      </c>
      <c r="M3" s="8">
        <v>8</v>
      </c>
      <c r="O3" s="8" t="s">
        <v>1263</v>
      </c>
      <c r="Q3" s="9"/>
      <c r="S3" s="8">
        <v>146</v>
      </c>
      <c r="U3" s="8" t="str">
        <f t="shared" ref="U3:U66" ca="1" si="2">IF(ISNUMBER(T3),VALUE(MID(_xlfn.FORMULATEXT(T3),SEARCH("-",_xlfn.FORMULATEXT(T3))+1,LEN(_xlfn.FORMULATEXT(T3))-SEARCH("-",_xlfn.FORMULATEXT(T3)))), "")</f>
        <v/>
      </c>
      <c r="V3" s="8" t="str">
        <f t="shared" ref="V3:V66" ca="1" si="3">IF(ISNUMBER(T3), VALUE(MID(_xlfn.FORMULATEXT(T3), 2, SEARCH("-", _xlfn.FORMULATEXT(T3)) - 2)), "")</f>
        <v/>
      </c>
      <c r="AB3" s="8" t="s">
        <v>19</v>
      </c>
    </row>
    <row r="4" spans="1:33">
      <c r="A4" t="s">
        <v>39</v>
      </c>
      <c r="D4" s="3" t="s">
        <v>604</v>
      </c>
      <c r="E4" s="3" t="s">
        <v>605</v>
      </c>
      <c r="J4" s="8" t="s">
        <v>1305</v>
      </c>
      <c r="Q4" s="9"/>
      <c r="U4" s="8" t="str">
        <f t="shared" ca="1" si="2"/>
        <v/>
      </c>
      <c r="V4" s="8" t="str">
        <f t="shared" ca="1" si="3"/>
        <v/>
      </c>
      <c r="AB4" s="8" t="s">
        <v>19</v>
      </c>
    </row>
    <row r="5" spans="1:33">
      <c r="A5" t="s">
        <v>40</v>
      </c>
      <c r="D5" s="3" t="s">
        <v>41</v>
      </c>
      <c r="E5" s="3" t="s">
        <v>42</v>
      </c>
      <c r="H5" t="s">
        <v>19</v>
      </c>
      <c r="J5" s="8" t="s">
        <v>1303</v>
      </c>
      <c r="Q5" s="9"/>
      <c r="T5" s="8" t="s">
        <v>1304</v>
      </c>
      <c r="U5" s="8" t="str">
        <f t="shared" ca="1" si="2"/>
        <v/>
      </c>
      <c r="V5" s="8" t="str">
        <f t="shared" ca="1" si="3"/>
        <v/>
      </c>
      <c r="AB5" s="8" t="s">
        <v>19</v>
      </c>
      <c r="AF5" s="8" t="s">
        <v>1288</v>
      </c>
    </row>
    <row r="6" spans="1:33" ht="29">
      <c r="A6" t="s">
        <v>43</v>
      </c>
      <c r="D6" s="3" t="s">
        <v>606</v>
      </c>
      <c r="E6" s="3" t="s">
        <v>607</v>
      </c>
      <c r="H6" t="s">
        <v>19</v>
      </c>
      <c r="I6" t="s">
        <v>1369</v>
      </c>
      <c r="J6" s="8" t="s">
        <v>24</v>
      </c>
      <c r="K6" s="8">
        <v>0</v>
      </c>
      <c r="L6" s="8">
        <v>1</v>
      </c>
      <c r="M6" s="8">
        <v>4</v>
      </c>
      <c r="N6" s="8" t="s">
        <v>1315</v>
      </c>
      <c r="O6" s="8" t="s">
        <v>1258</v>
      </c>
      <c r="P6" s="8" t="s">
        <v>1316</v>
      </c>
      <c r="Q6" s="9" t="s">
        <v>1317</v>
      </c>
      <c r="S6" s="8">
        <v>0</v>
      </c>
      <c r="U6" s="8" t="str">
        <f t="shared" ca="1" si="2"/>
        <v/>
      </c>
      <c r="V6" s="8" t="str">
        <f t="shared" ca="1" si="3"/>
        <v/>
      </c>
      <c r="AB6" s="8" t="s">
        <v>19</v>
      </c>
    </row>
    <row r="7" spans="1:33" ht="43.5">
      <c r="A7" t="s">
        <v>44</v>
      </c>
      <c r="D7" s="3" t="s">
        <v>608</v>
      </c>
      <c r="E7" s="3" t="s">
        <v>1319</v>
      </c>
      <c r="H7" t="s">
        <v>19</v>
      </c>
      <c r="J7" s="8" t="s">
        <v>24</v>
      </c>
      <c r="K7" s="8">
        <v>0</v>
      </c>
      <c r="L7" s="8">
        <v>1</v>
      </c>
      <c r="M7" s="8">
        <v>3</v>
      </c>
      <c r="N7" s="8" t="s">
        <v>1272</v>
      </c>
      <c r="O7" s="8" t="s">
        <v>1263</v>
      </c>
      <c r="Q7" s="9"/>
      <c r="S7" s="8" t="s">
        <v>1304</v>
      </c>
      <c r="U7" s="8" t="str">
        <f t="shared" ca="1" si="2"/>
        <v/>
      </c>
      <c r="V7" s="8" t="str">
        <f t="shared" ca="1" si="3"/>
        <v/>
      </c>
      <c r="AB7" s="8" t="s">
        <v>19</v>
      </c>
      <c r="AF7" s="8" t="s">
        <v>1288</v>
      </c>
    </row>
    <row r="8" spans="1:33">
      <c r="A8" t="s">
        <v>45</v>
      </c>
      <c r="D8" s="3" t="s">
        <v>609</v>
      </c>
      <c r="E8" s="3" t="s">
        <v>609</v>
      </c>
      <c r="F8" t="s">
        <v>35</v>
      </c>
      <c r="I8" t="s">
        <v>610</v>
      </c>
      <c r="Q8" s="9"/>
      <c r="U8" s="8" t="str">
        <f t="shared" ca="1" si="2"/>
        <v/>
      </c>
      <c r="V8" s="8" t="str">
        <f t="shared" ca="1" si="3"/>
        <v/>
      </c>
      <c r="AB8" s="8" t="s">
        <v>1371</v>
      </c>
    </row>
    <row r="9" spans="1:33">
      <c r="A9" t="s">
        <v>45</v>
      </c>
      <c r="D9" s="3" t="s">
        <v>46</v>
      </c>
      <c r="E9" s="3" t="s">
        <v>46</v>
      </c>
      <c r="F9" t="s">
        <v>35</v>
      </c>
      <c r="I9" t="s">
        <v>611</v>
      </c>
      <c r="Q9" s="9"/>
      <c r="U9" s="8" t="str">
        <f t="shared" ca="1" si="2"/>
        <v/>
      </c>
      <c r="V9" s="8" t="str">
        <f t="shared" ca="1" si="3"/>
        <v/>
      </c>
      <c r="AB9" s="8" t="s">
        <v>1371</v>
      </c>
    </row>
    <row r="10" spans="1:33">
      <c r="A10" t="s">
        <v>47</v>
      </c>
      <c r="D10" s="3" t="s">
        <v>1321</v>
      </c>
      <c r="E10" s="3" t="s">
        <v>1320</v>
      </c>
      <c r="I10" t="s">
        <v>1366</v>
      </c>
      <c r="J10" s="8" t="s">
        <v>1305</v>
      </c>
      <c r="Q10" s="9"/>
      <c r="U10" s="8" t="str">
        <f t="shared" ca="1" si="2"/>
        <v/>
      </c>
      <c r="V10" s="8" t="str">
        <f t="shared" ca="1" si="3"/>
        <v/>
      </c>
      <c r="W10" s="8" t="s">
        <v>1302</v>
      </c>
      <c r="AB10" s="8" t="s">
        <v>19</v>
      </c>
    </row>
    <row r="11" spans="1:33" ht="43.5">
      <c r="A11" t="s">
        <v>47</v>
      </c>
      <c r="D11" s="3" t="s">
        <v>1322</v>
      </c>
      <c r="E11" s="3" t="s">
        <v>1323</v>
      </c>
      <c r="J11" s="8" t="s">
        <v>1305</v>
      </c>
      <c r="Q11" s="9"/>
      <c r="U11" s="8" t="str">
        <f t="shared" ca="1" si="2"/>
        <v/>
      </c>
      <c r="V11" s="8" t="str">
        <f t="shared" ca="1" si="3"/>
        <v/>
      </c>
      <c r="AB11" s="8" t="s">
        <v>19</v>
      </c>
      <c r="AF11" s="8" t="s">
        <v>1289</v>
      </c>
    </row>
    <row r="12" spans="1:33">
      <c r="A12" t="s">
        <v>48</v>
      </c>
      <c r="D12" s="3" t="s">
        <v>49</v>
      </c>
      <c r="E12" s="3" t="s">
        <v>49</v>
      </c>
      <c r="F12" t="s">
        <v>35</v>
      </c>
      <c r="I12" t="s">
        <v>612</v>
      </c>
      <c r="Q12" s="9"/>
      <c r="U12" s="8" t="str">
        <f t="shared" ca="1" si="2"/>
        <v/>
      </c>
      <c r="V12" s="8" t="str">
        <f t="shared" ca="1" si="3"/>
        <v/>
      </c>
      <c r="AB12" s="8" t="s">
        <v>1371</v>
      </c>
    </row>
    <row r="13" spans="1:33">
      <c r="A13" t="s">
        <v>50</v>
      </c>
      <c r="D13" s="3" t="s">
        <v>613</v>
      </c>
      <c r="E13" s="3" t="s">
        <v>613</v>
      </c>
      <c r="F13" t="s">
        <v>35</v>
      </c>
      <c r="I13" t="s">
        <v>614</v>
      </c>
      <c r="Q13" s="9"/>
      <c r="U13" s="8" t="str">
        <f t="shared" ca="1" si="2"/>
        <v/>
      </c>
      <c r="V13" s="8" t="str">
        <f t="shared" ca="1" si="3"/>
        <v/>
      </c>
      <c r="AB13" s="8" t="s">
        <v>1371</v>
      </c>
    </row>
    <row r="14" spans="1:33">
      <c r="A14" t="s">
        <v>50</v>
      </c>
      <c r="D14" s="3" t="s">
        <v>51</v>
      </c>
      <c r="E14" s="3" t="s">
        <v>51</v>
      </c>
      <c r="F14" t="s">
        <v>35</v>
      </c>
      <c r="I14" t="s">
        <v>615</v>
      </c>
      <c r="Q14" s="9"/>
      <c r="U14" s="8" t="str">
        <f t="shared" ca="1" si="2"/>
        <v/>
      </c>
      <c r="V14" s="8" t="str">
        <f t="shared" ca="1" si="3"/>
        <v/>
      </c>
      <c r="AB14" s="8" t="s">
        <v>1371</v>
      </c>
    </row>
    <row r="15" spans="1:33">
      <c r="A15" t="s">
        <v>52</v>
      </c>
      <c r="D15" s="3" t="s">
        <v>616</v>
      </c>
      <c r="E15" s="3" t="s">
        <v>616</v>
      </c>
      <c r="F15" t="s">
        <v>35</v>
      </c>
      <c r="I15" t="s">
        <v>617</v>
      </c>
      <c r="Q15" s="9"/>
      <c r="U15" s="8" t="str">
        <f t="shared" ca="1" si="2"/>
        <v/>
      </c>
      <c r="V15" s="8" t="str">
        <f t="shared" ca="1" si="3"/>
        <v/>
      </c>
      <c r="AB15" s="8" t="s">
        <v>1371</v>
      </c>
    </row>
    <row r="16" spans="1:33">
      <c r="A16" t="s">
        <v>53</v>
      </c>
      <c r="D16" s="3" t="s">
        <v>54</v>
      </c>
      <c r="E16" s="3" t="s">
        <v>55</v>
      </c>
      <c r="H16" t="s">
        <v>19</v>
      </c>
      <c r="I16" t="s">
        <v>1324</v>
      </c>
      <c r="J16" s="8" t="s">
        <v>1303</v>
      </c>
      <c r="Q16" s="9"/>
      <c r="T16" s="8">
        <f>0-4</f>
        <v>-4</v>
      </c>
      <c r="U16" s="8">
        <f t="shared" ca="1" si="2"/>
        <v>4</v>
      </c>
      <c r="V16" s="8">
        <f t="shared" ca="1" si="3"/>
        <v>0</v>
      </c>
      <c r="AB16" s="8" t="s">
        <v>19</v>
      </c>
    </row>
    <row r="17" spans="1:32">
      <c r="A17" t="s">
        <v>56</v>
      </c>
      <c r="D17" s="3" t="s">
        <v>618</v>
      </c>
      <c r="E17" s="3" t="s">
        <v>619</v>
      </c>
      <c r="H17" t="s">
        <v>19</v>
      </c>
      <c r="J17" s="8" t="s">
        <v>25</v>
      </c>
      <c r="K17" s="8">
        <v>0</v>
      </c>
      <c r="L17" s="8">
        <v>1</v>
      </c>
      <c r="M17" s="8">
        <v>1</v>
      </c>
      <c r="N17" s="8" t="s">
        <v>1262</v>
      </c>
      <c r="O17" s="8" t="s">
        <v>1304</v>
      </c>
      <c r="Q17" s="9"/>
      <c r="S17" s="8">
        <v>2475</v>
      </c>
      <c r="U17" s="8" t="str">
        <f t="shared" ca="1" si="2"/>
        <v/>
      </c>
      <c r="V17" s="8" t="str">
        <f t="shared" ca="1" si="3"/>
        <v/>
      </c>
      <c r="AB17" s="8" t="s">
        <v>19</v>
      </c>
    </row>
    <row r="18" spans="1:32">
      <c r="A18" t="s">
        <v>56</v>
      </c>
      <c r="D18" t="s">
        <v>620</v>
      </c>
      <c r="E18" t="s">
        <v>620</v>
      </c>
      <c r="F18" t="s">
        <v>35</v>
      </c>
      <c r="I18" t="s">
        <v>621</v>
      </c>
      <c r="Q18" s="9"/>
      <c r="U18" s="8" t="str">
        <f t="shared" ca="1" si="2"/>
        <v/>
      </c>
      <c r="V18" s="8" t="str">
        <f t="shared" ca="1" si="3"/>
        <v/>
      </c>
      <c r="AB18" s="8" t="s">
        <v>1371</v>
      </c>
    </row>
    <row r="19" spans="1:32">
      <c r="A19" t="s">
        <v>57</v>
      </c>
      <c r="D19" s="3" t="s">
        <v>58</v>
      </c>
      <c r="E19" s="3" t="s">
        <v>59</v>
      </c>
      <c r="H19" t="s">
        <v>19</v>
      </c>
      <c r="J19" s="8" t="s">
        <v>1303</v>
      </c>
      <c r="Q19" s="9"/>
      <c r="T19" s="8" t="s">
        <v>1304</v>
      </c>
      <c r="U19" s="8" t="str">
        <f t="shared" ca="1" si="2"/>
        <v/>
      </c>
      <c r="V19" s="8" t="str">
        <f t="shared" ca="1" si="3"/>
        <v/>
      </c>
      <c r="AB19" s="8" t="s">
        <v>19</v>
      </c>
      <c r="AF19" s="8" t="s">
        <v>1288</v>
      </c>
    </row>
    <row r="20" spans="1:32">
      <c r="A20" t="s">
        <v>57</v>
      </c>
      <c r="D20" s="3" t="s">
        <v>60</v>
      </c>
      <c r="E20" s="3" t="s">
        <v>61</v>
      </c>
      <c r="J20" s="8" t="s">
        <v>1303</v>
      </c>
      <c r="Q20" s="9"/>
      <c r="T20" s="8" t="s">
        <v>1304</v>
      </c>
      <c r="U20" s="8" t="str">
        <f t="shared" ca="1" si="2"/>
        <v/>
      </c>
      <c r="V20" s="8" t="str">
        <f t="shared" ca="1" si="3"/>
        <v/>
      </c>
      <c r="AB20" s="8" t="s">
        <v>19</v>
      </c>
      <c r="AF20" s="8" t="s">
        <v>1290</v>
      </c>
    </row>
    <row r="21" spans="1:32" ht="29">
      <c r="A21" t="s">
        <v>62</v>
      </c>
      <c r="D21" s="3" t="s">
        <v>622</v>
      </c>
      <c r="E21" s="3" t="s">
        <v>623</v>
      </c>
      <c r="H21" t="s">
        <v>19</v>
      </c>
      <c r="I21" t="s">
        <v>1370</v>
      </c>
      <c r="J21" s="8" t="s">
        <v>24</v>
      </c>
      <c r="K21" s="8">
        <v>0</v>
      </c>
      <c r="L21" s="8">
        <v>1</v>
      </c>
      <c r="M21" s="8">
        <v>5</v>
      </c>
      <c r="N21" s="8" t="s">
        <v>1278</v>
      </c>
      <c r="O21" s="8" t="s">
        <v>1258</v>
      </c>
      <c r="P21" s="8" t="s">
        <v>1316</v>
      </c>
      <c r="Q21" s="9" t="s">
        <v>1318</v>
      </c>
      <c r="S21" s="8">
        <v>3</v>
      </c>
      <c r="U21" s="8" t="str">
        <f t="shared" ca="1" si="2"/>
        <v/>
      </c>
      <c r="V21" s="8" t="str">
        <f t="shared" ca="1" si="3"/>
        <v/>
      </c>
      <c r="AB21" s="8" t="s">
        <v>19</v>
      </c>
      <c r="AF21" s="8" t="s">
        <v>1289</v>
      </c>
    </row>
    <row r="22" spans="1:32">
      <c r="A22" t="s">
        <v>63</v>
      </c>
      <c r="D22" s="3" t="s">
        <v>624</v>
      </c>
      <c r="E22" s="3" t="s">
        <v>624</v>
      </c>
      <c r="F22" t="s">
        <v>35</v>
      </c>
      <c r="H22" t="s">
        <v>19</v>
      </c>
      <c r="Q22" s="9"/>
      <c r="U22" s="8" t="str">
        <f t="shared" ca="1" si="2"/>
        <v/>
      </c>
      <c r="V22" s="8" t="str">
        <f t="shared" ca="1" si="3"/>
        <v/>
      </c>
      <c r="AB22" s="8" t="s">
        <v>1371</v>
      </c>
    </row>
    <row r="23" spans="1:32" ht="29">
      <c r="A23" t="s">
        <v>64</v>
      </c>
      <c r="D23" s="3" t="s">
        <v>625</v>
      </c>
      <c r="E23" s="3" t="s">
        <v>626</v>
      </c>
      <c r="J23" s="8" t="s">
        <v>25</v>
      </c>
      <c r="K23" s="8">
        <v>0</v>
      </c>
      <c r="L23" s="8">
        <v>1</v>
      </c>
      <c r="M23" s="8">
        <v>8</v>
      </c>
      <c r="N23" s="8" t="s">
        <v>1315</v>
      </c>
      <c r="O23" s="8" t="s">
        <v>1263</v>
      </c>
      <c r="Q23" s="9"/>
      <c r="S23" s="8">
        <v>3</v>
      </c>
      <c r="U23" s="8" t="str">
        <f t="shared" ca="1" si="2"/>
        <v/>
      </c>
      <c r="V23" s="8" t="str">
        <f t="shared" ca="1" si="3"/>
        <v/>
      </c>
      <c r="AB23" s="8" t="s">
        <v>19</v>
      </c>
    </row>
    <row r="24" spans="1:32">
      <c r="A24" t="s">
        <v>65</v>
      </c>
      <c r="D24" s="3" t="s">
        <v>627</v>
      </c>
      <c r="E24" s="3" t="s">
        <v>628</v>
      </c>
      <c r="J24" s="8" t="s">
        <v>1303</v>
      </c>
      <c r="Q24" s="9"/>
      <c r="R24" s="8" t="s">
        <v>1259</v>
      </c>
      <c r="T24" s="8" t="s">
        <v>1326</v>
      </c>
      <c r="U24" s="8" t="str">
        <f t="shared" ca="1" si="2"/>
        <v/>
      </c>
      <c r="V24" s="8" t="str">
        <f t="shared" ca="1" si="3"/>
        <v/>
      </c>
      <c r="AB24" s="8" t="s">
        <v>19</v>
      </c>
      <c r="AF24" s="8" t="s">
        <v>1288</v>
      </c>
    </row>
    <row r="25" spans="1:32">
      <c r="A25" t="s">
        <v>66</v>
      </c>
      <c r="D25" s="3" t="s">
        <v>630</v>
      </c>
      <c r="E25" s="3" t="s">
        <v>629</v>
      </c>
      <c r="H25" t="s">
        <v>19</v>
      </c>
      <c r="J25" s="8" t="s">
        <v>1305</v>
      </c>
      <c r="Q25" s="9"/>
      <c r="U25" s="8" t="str">
        <f t="shared" ca="1" si="2"/>
        <v/>
      </c>
      <c r="V25" s="8" t="str">
        <f t="shared" ca="1" si="3"/>
        <v/>
      </c>
      <c r="AB25" s="8" t="s">
        <v>19</v>
      </c>
      <c r="AF25" s="8" t="s">
        <v>1291</v>
      </c>
    </row>
    <row r="26" spans="1:32">
      <c r="A26" t="s">
        <v>66</v>
      </c>
      <c r="D26" s="3" t="s">
        <v>631</v>
      </c>
      <c r="E26" s="3" t="s">
        <v>631</v>
      </c>
      <c r="F26" t="s">
        <v>35</v>
      </c>
      <c r="I26" t="s">
        <v>632</v>
      </c>
      <c r="Q26" s="9"/>
      <c r="U26" s="8" t="str">
        <f t="shared" ca="1" si="2"/>
        <v/>
      </c>
      <c r="V26" s="8" t="str">
        <f t="shared" ca="1" si="3"/>
        <v/>
      </c>
      <c r="AB26" s="8" t="s">
        <v>1371</v>
      </c>
    </row>
    <row r="27" spans="1:32">
      <c r="A27" t="s">
        <v>67</v>
      </c>
      <c r="D27" s="3" t="s">
        <v>68</v>
      </c>
      <c r="E27" s="3" t="s">
        <v>68</v>
      </c>
      <c r="F27" t="s">
        <v>35</v>
      </c>
      <c r="I27" t="s">
        <v>633</v>
      </c>
      <c r="Q27" s="9"/>
      <c r="U27" s="8" t="str">
        <f t="shared" ca="1" si="2"/>
        <v/>
      </c>
      <c r="V27" s="8" t="str">
        <f t="shared" ca="1" si="3"/>
        <v/>
      </c>
      <c r="AB27" s="8" t="s">
        <v>1371</v>
      </c>
    </row>
    <row r="28" spans="1:32">
      <c r="A28" t="s">
        <v>69</v>
      </c>
      <c r="D28" s="3" t="s">
        <v>70</v>
      </c>
      <c r="E28" s="3" t="s">
        <v>71</v>
      </c>
      <c r="H28" t="s">
        <v>19</v>
      </c>
      <c r="J28" s="8" t="s">
        <v>1303</v>
      </c>
      <c r="Q28" s="9"/>
      <c r="T28" s="8" t="s">
        <v>1304</v>
      </c>
      <c r="U28" s="8" t="str">
        <f t="shared" ca="1" si="2"/>
        <v/>
      </c>
      <c r="V28" s="8" t="str">
        <f t="shared" ca="1" si="3"/>
        <v/>
      </c>
      <c r="AB28" s="8" t="s">
        <v>19</v>
      </c>
      <c r="AF28" s="8" t="s">
        <v>1288</v>
      </c>
    </row>
    <row r="29" spans="1:32">
      <c r="A29" t="s">
        <v>72</v>
      </c>
      <c r="D29" s="3" t="s">
        <v>73</v>
      </c>
      <c r="E29" s="3" t="s">
        <v>74</v>
      </c>
      <c r="H29" t="s">
        <v>19</v>
      </c>
      <c r="J29" s="8" t="s">
        <v>1305</v>
      </c>
      <c r="Q29" s="9"/>
      <c r="U29" s="8" t="str">
        <f t="shared" ca="1" si="2"/>
        <v/>
      </c>
      <c r="V29" s="8" t="str">
        <f t="shared" ca="1" si="3"/>
        <v/>
      </c>
      <c r="AB29" s="8" t="s">
        <v>19</v>
      </c>
      <c r="AF29" s="8" t="s">
        <v>1288</v>
      </c>
    </row>
    <row r="30" spans="1:32">
      <c r="A30" t="s">
        <v>75</v>
      </c>
      <c r="D30" s="3" t="s">
        <v>634</v>
      </c>
      <c r="E30" s="3" t="s">
        <v>1746</v>
      </c>
      <c r="H30" t="s">
        <v>19</v>
      </c>
      <c r="J30" s="8" t="s">
        <v>1303</v>
      </c>
      <c r="Q30" s="9"/>
      <c r="T30" s="8">
        <f>204-2475</f>
        <v>-2271</v>
      </c>
      <c r="U30" s="8">
        <f t="shared" ca="1" si="2"/>
        <v>2475</v>
      </c>
      <c r="V30" s="8">
        <f t="shared" ca="1" si="3"/>
        <v>204</v>
      </c>
      <c r="AB30" s="8" t="s">
        <v>19</v>
      </c>
    </row>
    <row r="31" spans="1:32">
      <c r="A31" t="s">
        <v>75</v>
      </c>
      <c r="D31" s="3" t="s">
        <v>76</v>
      </c>
      <c r="E31" s="3" t="s">
        <v>76</v>
      </c>
      <c r="F31" t="s">
        <v>35</v>
      </c>
      <c r="I31" t="s">
        <v>636</v>
      </c>
      <c r="Q31" s="9"/>
      <c r="U31" s="8" t="str">
        <f t="shared" ca="1" si="2"/>
        <v/>
      </c>
      <c r="V31" s="8" t="str">
        <f t="shared" ca="1" si="3"/>
        <v/>
      </c>
      <c r="AB31" s="8" t="s">
        <v>1371</v>
      </c>
    </row>
    <row r="32" spans="1:32">
      <c r="A32" t="s">
        <v>77</v>
      </c>
      <c r="D32" s="3" t="s">
        <v>637</v>
      </c>
      <c r="E32" s="3" t="s">
        <v>637</v>
      </c>
      <c r="F32" t="s">
        <v>35</v>
      </c>
      <c r="I32" t="s">
        <v>638</v>
      </c>
      <c r="Q32" s="9"/>
      <c r="U32" s="8" t="str">
        <f t="shared" ca="1" si="2"/>
        <v/>
      </c>
      <c r="V32" s="8" t="str">
        <f t="shared" ca="1" si="3"/>
        <v/>
      </c>
      <c r="AB32" s="8" t="s">
        <v>1371</v>
      </c>
    </row>
    <row r="33" spans="1:32">
      <c r="A33" t="s">
        <v>77</v>
      </c>
      <c r="D33" s="3" t="s">
        <v>78</v>
      </c>
      <c r="E33" s="3" t="s">
        <v>79</v>
      </c>
      <c r="H33" t="s">
        <v>19</v>
      </c>
      <c r="J33" s="8" t="s">
        <v>1305</v>
      </c>
      <c r="Q33" s="9"/>
      <c r="U33" s="8" t="str">
        <f t="shared" ca="1" si="2"/>
        <v/>
      </c>
      <c r="V33" s="8" t="str">
        <f t="shared" ca="1" si="3"/>
        <v/>
      </c>
      <c r="AB33" s="8" t="s">
        <v>19</v>
      </c>
    </row>
    <row r="34" spans="1:32">
      <c r="A34" t="s">
        <v>77</v>
      </c>
      <c r="D34" s="3" t="s">
        <v>639</v>
      </c>
      <c r="E34" s="3" t="s">
        <v>639</v>
      </c>
      <c r="F34" t="s">
        <v>35</v>
      </c>
      <c r="I34" t="s">
        <v>640</v>
      </c>
      <c r="Q34" s="9"/>
      <c r="U34" s="8" t="str">
        <f t="shared" ca="1" si="2"/>
        <v/>
      </c>
      <c r="V34" s="8" t="str">
        <f t="shared" ca="1" si="3"/>
        <v/>
      </c>
      <c r="AB34" s="8" t="s">
        <v>1371</v>
      </c>
    </row>
    <row r="35" spans="1:32">
      <c r="A35" t="s">
        <v>80</v>
      </c>
      <c r="D35" s="3" t="s">
        <v>81</v>
      </c>
      <c r="E35" s="3" t="s">
        <v>81</v>
      </c>
      <c r="F35" t="s">
        <v>35</v>
      </c>
      <c r="I35" t="s">
        <v>641</v>
      </c>
      <c r="Q35" s="9"/>
      <c r="U35" s="8" t="str">
        <f t="shared" ca="1" si="2"/>
        <v/>
      </c>
      <c r="V35" s="8" t="str">
        <f t="shared" ca="1" si="3"/>
        <v/>
      </c>
      <c r="AB35" s="8" t="s">
        <v>1371</v>
      </c>
    </row>
    <row r="36" spans="1:32">
      <c r="A36" t="s">
        <v>80</v>
      </c>
      <c r="D36" s="3" t="s">
        <v>642</v>
      </c>
      <c r="E36" s="3" t="s">
        <v>642</v>
      </c>
      <c r="F36" t="s">
        <v>35</v>
      </c>
      <c r="I36" t="s">
        <v>643</v>
      </c>
      <c r="Q36" s="9"/>
      <c r="U36" s="8" t="str">
        <f t="shared" ca="1" si="2"/>
        <v/>
      </c>
      <c r="V36" s="8" t="str">
        <f t="shared" ca="1" si="3"/>
        <v/>
      </c>
      <c r="AB36" s="8" t="s">
        <v>1371</v>
      </c>
    </row>
    <row r="37" spans="1:32">
      <c r="A37" t="s">
        <v>80</v>
      </c>
      <c r="D37" s="3" t="s">
        <v>82</v>
      </c>
      <c r="E37" s="3" t="s">
        <v>83</v>
      </c>
      <c r="H37" t="s">
        <v>19</v>
      </c>
      <c r="I37" t="s">
        <v>1327</v>
      </c>
      <c r="J37" s="8" t="s">
        <v>1305</v>
      </c>
      <c r="Q37" s="9"/>
      <c r="U37" s="8" t="str">
        <f t="shared" ca="1" si="2"/>
        <v/>
      </c>
      <c r="V37" s="8" t="str">
        <f t="shared" ca="1" si="3"/>
        <v/>
      </c>
      <c r="AB37" s="8" t="s">
        <v>19</v>
      </c>
    </row>
    <row r="38" spans="1:32">
      <c r="A38" t="s">
        <v>84</v>
      </c>
      <c r="D38" s="3" t="s">
        <v>644</v>
      </c>
      <c r="E38" s="3" t="s">
        <v>644</v>
      </c>
      <c r="F38" t="s">
        <v>35</v>
      </c>
      <c r="I38" t="s">
        <v>645</v>
      </c>
      <c r="Q38" s="9"/>
      <c r="U38" s="8" t="str">
        <f t="shared" ca="1" si="2"/>
        <v/>
      </c>
      <c r="V38" s="8" t="str">
        <f t="shared" ca="1" si="3"/>
        <v/>
      </c>
      <c r="AB38" s="8" t="s">
        <v>1371</v>
      </c>
    </row>
    <row r="39" spans="1:32">
      <c r="A39" t="s">
        <v>85</v>
      </c>
      <c r="D39" s="3" t="s">
        <v>646</v>
      </c>
      <c r="E39" s="3" t="s">
        <v>646</v>
      </c>
      <c r="F39" t="s">
        <v>35</v>
      </c>
      <c r="I39" t="s">
        <v>647</v>
      </c>
      <c r="Q39" s="9"/>
      <c r="U39" s="8" t="str">
        <f t="shared" ca="1" si="2"/>
        <v/>
      </c>
      <c r="V39" s="8" t="str">
        <f t="shared" ca="1" si="3"/>
        <v/>
      </c>
      <c r="AB39" s="8" t="s">
        <v>1371</v>
      </c>
    </row>
    <row r="40" spans="1:32">
      <c r="A40" t="s">
        <v>85</v>
      </c>
      <c r="D40" s="3" t="s">
        <v>648</v>
      </c>
      <c r="E40" s="4" t="s">
        <v>649</v>
      </c>
      <c r="F40" t="s">
        <v>32</v>
      </c>
      <c r="G40" t="s">
        <v>19</v>
      </c>
      <c r="I40" t="s">
        <v>650</v>
      </c>
      <c r="J40" s="8" t="s">
        <v>1303</v>
      </c>
      <c r="Q40" s="9"/>
      <c r="T40" s="8">
        <f>52-166</f>
        <v>-114</v>
      </c>
      <c r="U40" s="8">
        <f t="shared" ca="1" si="2"/>
        <v>166</v>
      </c>
      <c r="V40" s="8">
        <f t="shared" ca="1" si="3"/>
        <v>52</v>
      </c>
      <c r="AB40" s="8" t="s">
        <v>19</v>
      </c>
    </row>
    <row r="41" spans="1:32">
      <c r="A41" t="s">
        <v>86</v>
      </c>
      <c r="D41" s="3" t="s">
        <v>651</v>
      </c>
      <c r="E41" s="3" t="s">
        <v>651</v>
      </c>
      <c r="F41" t="s">
        <v>35</v>
      </c>
      <c r="I41" t="s">
        <v>652</v>
      </c>
      <c r="Q41" s="9"/>
      <c r="U41" s="8" t="str">
        <f t="shared" ca="1" si="2"/>
        <v/>
      </c>
      <c r="V41" s="8" t="str">
        <f t="shared" ca="1" si="3"/>
        <v/>
      </c>
      <c r="AB41" s="8" t="s">
        <v>1371</v>
      </c>
    </row>
    <row r="42" spans="1:32">
      <c r="A42" t="s">
        <v>87</v>
      </c>
      <c r="D42" s="3" t="s">
        <v>653</v>
      </c>
      <c r="E42" s="3" t="s">
        <v>653</v>
      </c>
      <c r="F42" t="s">
        <v>35</v>
      </c>
      <c r="I42" t="s">
        <v>654</v>
      </c>
      <c r="Q42" s="9"/>
      <c r="U42" s="8" t="str">
        <f t="shared" ca="1" si="2"/>
        <v/>
      </c>
      <c r="V42" s="8" t="str">
        <f t="shared" ca="1" si="3"/>
        <v/>
      </c>
      <c r="AB42" s="8" t="s">
        <v>1371</v>
      </c>
    </row>
    <row r="43" spans="1:32">
      <c r="A43" t="s">
        <v>87</v>
      </c>
      <c r="D43" s="3" t="s">
        <v>655</v>
      </c>
      <c r="E43" s="3" t="s">
        <v>655</v>
      </c>
      <c r="F43" t="s">
        <v>35</v>
      </c>
      <c r="I43" t="s">
        <v>656</v>
      </c>
      <c r="Q43" s="9"/>
      <c r="U43" s="8" t="str">
        <f t="shared" ca="1" si="2"/>
        <v/>
      </c>
      <c r="V43" s="8" t="str">
        <f t="shared" ca="1" si="3"/>
        <v/>
      </c>
      <c r="AB43" s="8" t="s">
        <v>1371</v>
      </c>
    </row>
    <row r="44" spans="1:32">
      <c r="A44" t="s">
        <v>88</v>
      </c>
      <c r="D44" s="3" t="s">
        <v>89</v>
      </c>
      <c r="E44" s="3" t="s">
        <v>89</v>
      </c>
      <c r="F44" t="s">
        <v>35</v>
      </c>
      <c r="I44" t="s">
        <v>657</v>
      </c>
      <c r="Q44" s="9"/>
      <c r="U44" s="8" t="str">
        <f t="shared" ca="1" si="2"/>
        <v/>
      </c>
      <c r="V44" s="8" t="str">
        <f t="shared" ca="1" si="3"/>
        <v/>
      </c>
      <c r="AB44" s="8" t="s">
        <v>1371</v>
      </c>
    </row>
    <row r="45" spans="1:32">
      <c r="A45" t="s">
        <v>90</v>
      </c>
      <c r="D45" s="3" t="s">
        <v>91</v>
      </c>
      <c r="E45" s="3" t="s">
        <v>91</v>
      </c>
      <c r="F45" t="s">
        <v>35</v>
      </c>
      <c r="I45" t="s">
        <v>658</v>
      </c>
      <c r="Q45" s="9"/>
      <c r="U45" s="8" t="str">
        <f t="shared" ca="1" si="2"/>
        <v/>
      </c>
      <c r="V45" s="8" t="str">
        <f t="shared" ca="1" si="3"/>
        <v/>
      </c>
      <c r="AB45" s="8" t="s">
        <v>1371</v>
      </c>
    </row>
    <row r="46" spans="1:32">
      <c r="A46" t="s">
        <v>92</v>
      </c>
      <c r="D46" s="3" t="s">
        <v>660</v>
      </c>
      <c r="E46" s="3" t="s">
        <v>659</v>
      </c>
      <c r="G46" t="s">
        <v>19</v>
      </c>
      <c r="J46" s="8" t="s">
        <v>1303</v>
      </c>
      <c r="Q46" s="9"/>
      <c r="T46" s="8" t="s">
        <v>1304</v>
      </c>
      <c r="U46" s="8" t="str">
        <f t="shared" ca="1" si="2"/>
        <v/>
      </c>
      <c r="V46" s="8" t="str">
        <f t="shared" ca="1" si="3"/>
        <v/>
      </c>
      <c r="AB46" s="8" t="s">
        <v>19</v>
      </c>
      <c r="AF46" s="8" t="s">
        <v>1290</v>
      </c>
    </row>
    <row r="47" spans="1:32">
      <c r="A47" t="s">
        <v>93</v>
      </c>
      <c r="D47" s="3" t="s">
        <v>94</v>
      </c>
      <c r="E47" s="3" t="s">
        <v>94</v>
      </c>
      <c r="F47" t="s">
        <v>35</v>
      </c>
      <c r="I47" t="s">
        <v>661</v>
      </c>
      <c r="Q47" s="9"/>
      <c r="U47" s="8" t="str">
        <f t="shared" ca="1" si="2"/>
        <v/>
      </c>
      <c r="V47" s="8" t="str">
        <f t="shared" ca="1" si="3"/>
        <v/>
      </c>
      <c r="AB47" s="8" t="s">
        <v>1371</v>
      </c>
    </row>
    <row r="48" spans="1:32">
      <c r="A48" t="s">
        <v>95</v>
      </c>
      <c r="D48" s="3" t="s">
        <v>662</v>
      </c>
      <c r="E48" s="3" t="s">
        <v>662</v>
      </c>
      <c r="F48" t="s">
        <v>35</v>
      </c>
      <c r="I48" t="s">
        <v>663</v>
      </c>
      <c r="Q48" s="9"/>
      <c r="U48" s="8" t="str">
        <f t="shared" ca="1" si="2"/>
        <v/>
      </c>
      <c r="V48" s="8" t="str">
        <f t="shared" ca="1" si="3"/>
        <v/>
      </c>
      <c r="AB48" s="8" t="s">
        <v>1371</v>
      </c>
    </row>
    <row r="49" spans="1:32">
      <c r="A49" t="s">
        <v>96</v>
      </c>
      <c r="D49" s="3" t="s">
        <v>664</v>
      </c>
      <c r="E49" s="3" t="s">
        <v>664</v>
      </c>
      <c r="F49" t="s">
        <v>35</v>
      </c>
      <c r="I49" t="s">
        <v>665</v>
      </c>
      <c r="Q49" s="9"/>
      <c r="U49" s="8" t="str">
        <f t="shared" ca="1" si="2"/>
        <v/>
      </c>
      <c r="V49" s="8" t="str">
        <f t="shared" ca="1" si="3"/>
        <v/>
      </c>
      <c r="AB49" s="8" t="s">
        <v>1371</v>
      </c>
    </row>
    <row r="50" spans="1:32">
      <c r="A50" t="s">
        <v>97</v>
      </c>
      <c r="D50" s="3" t="s">
        <v>666</v>
      </c>
      <c r="E50" s="3" t="s">
        <v>667</v>
      </c>
      <c r="H50" t="s">
        <v>19</v>
      </c>
      <c r="J50" s="8" t="s">
        <v>1303</v>
      </c>
      <c r="Q50" s="9"/>
      <c r="T50" s="8">
        <f>6-3</f>
        <v>3</v>
      </c>
      <c r="U50" s="8">
        <f t="shared" ca="1" si="2"/>
        <v>3</v>
      </c>
      <c r="V50" s="8">
        <f t="shared" ca="1" si="3"/>
        <v>6</v>
      </c>
      <c r="AB50" s="8" t="s">
        <v>19</v>
      </c>
    </row>
    <row r="51" spans="1:32">
      <c r="A51" t="s">
        <v>98</v>
      </c>
      <c r="D51" s="3" t="s">
        <v>668</v>
      </c>
      <c r="E51" s="3" t="s">
        <v>668</v>
      </c>
      <c r="F51" t="s">
        <v>35</v>
      </c>
      <c r="I51" t="s">
        <v>669</v>
      </c>
      <c r="Q51" s="9"/>
      <c r="U51" s="8" t="str">
        <f t="shared" ca="1" si="2"/>
        <v/>
      </c>
      <c r="V51" s="8" t="str">
        <f t="shared" ca="1" si="3"/>
        <v/>
      </c>
      <c r="AB51" s="8" t="s">
        <v>1371</v>
      </c>
    </row>
    <row r="52" spans="1:32">
      <c r="A52" t="s">
        <v>99</v>
      </c>
      <c r="D52" s="3" t="s">
        <v>671</v>
      </c>
      <c r="E52" s="3" t="s">
        <v>670</v>
      </c>
      <c r="J52" s="8" t="s">
        <v>25</v>
      </c>
      <c r="K52" s="8">
        <v>0</v>
      </c>
      <c r="L52" s="8">
        <v>1</v>
      </c>
      <c r="M52" s="8">
        <v>3</v>
      </c>
      <c r="N52" s="8" t="s">
        <v>1262</v>
      </c>
      <c r="O52" s="8" t="s">
        <v>1263</v>
      </c>
      <c r="Q52" s="9"/>
      <c r="S52" s="8">
        <v>2475</v>
      </c>
      <c r="U52" s="8" t="str">
        <f t="shared" ca="1" si="2"/>
        <v/>
      </c>
      <c r="V52" s="8" t="str">
        <f t="shared" ca="1" si="3"/>
        <v/>
      </c>
      <c r="AB52" s="8" t="s">
        <v>19</v>
      </c>
    </row>
    <row r="53" spans="1:32">
      <c r="A53" t="s">
        <v>99</v>
      </c>
      <c r="D53" s="3" t="s">
        <v>100</v>
      </c>
      <c r="E53" s="3" t="s">
        <v>100</v>
      </c>
      <c r="F53" t="s">
        <v>35</v>
      </c>
      <c r="I53" t="s">
        <v>672</v>
      </c>
      <c r="Q53" s="9"/>
      <c r="U53" s="8" t="str">
        <f t="shared" ca="1" si="2"/>
        <v/>
      </c>
      <c r="V53" s="8" t="str">
        <f t="shared" ca="1" si="3"/>
        <v/>
      </c>
      <c r="AB53" s="8" t="s">
        <v>1371</v>
      </c>
    </row>
    <row r="54" spans="1:32">
      <c r="A54" t="s">
        <v>101</v>
      </c>
      <c r="D54" s="3" t="s">
        <v>673</v>
      </c>
      <c r="E54" s="3" t="s">
        <v>673</v>
      </c>
      <c r="F54" t="s">
        <v>35</v>
      </c>
      <c r="I54" t="s">
        <v>674</v>
      </c>
      <c r="Q54" s="9"/>
      <c r="U54" s="8" t="str">
        <f t="shared" ca="1" si="2"/>
        <v/>
      </c>
      <c r="V54" s="8" t="str">
        <f t="shared" ca="1" si="3"/>
        <v/>
      </c>
      <c r="AB54" s="8" t="s">
        <v>1371</v>
      </c>
    </row>
    <row r="55" spans="1:32">
      <c r="A55" t="s">
        <v>102</v>
      </c>
      <c r="D55" s="3" t="s">
        <v>675</v>
      </c>
      <c r="E55" s="3" t="s">
        <v>675</v>
      </c>
      <c r="F55" t="s">
        <v>35</v>
      </c>
      <c r="I55" t="s">
        <v>676</v>
      </c>
      <c r="Q55" s="9"/>
      <c r="U55" s="8" t="str">
        <f t="shared" ca="1" si="2"/>
        <v/>
      </c>
      <c r="V55" s="8" t="str">
        <f t="shared" ca="1" si="3"/>
        <v/>
      </c>
      <c r="AB55" s="8" t="s">
        <v>1371</v>
      </c>
    </row>
    <row r="56" spans="1:32">
      <c r="A56" t="s">
        <v>102</v>
      </c>
      <c r="D56" s="3" t="s">
        <v>677</v>
      </c>
      <c r="E56" s="3" t="s">
        <v>678</v>
      </c>
      <c r="F56" t="s">
        <v>35</v>
      </c>
      <c r="I56" t="s">
        <v>679</v>
      </c>
      <c r="Q56" s="9"/>
      <c r="U56" s="8" t="str">
        <f t="shared" ca="1" si="2"/>
        <v/>
      </c>
      <c r="V56" s="8" t="str">
        <f t="shared" ca="1" si="3"/>
        <v/>
      </c>
      <c r="AB56" s="8" t="s">
        <v>1371</v>
      </c>
    </row>
    <row r="57" spans="1:32">
      <c r="A57" t="s">
        <v>103</v>
      </c>
      <c r="D57" s="3" t="s">
        <v>104</v>
      </c>
      <c r="E57" s="3" t="s">
        <v>105</v>
      </c>
      <c r="H57" t="s">
        <v>19</v>
      </c>
      <c r="J57" s="8" t="s">
        <v>1303</v>
      </c>
      <c r="Q57" s="9"/>
      <c r="T57" s="8" t="s">
        <v>1304</v>
      </c>
      <c r="U57" s="8" t="str">
        <f t="shared" ca="1" si="2"/>
        <v/>
      </c>
      <c r="V57" s="8" t="str">
        <f t="shared" ca="1" si="3"/>
        <v/>
      </c>
      <c r="AB57" s="8" t="s">
        <v>19</v>
      </c>
      <c r="AF57" s="8" t="s">
        <v>1288</v>
      </c>
    </row>
    <row r="58" spans="1:32">
      <c r="A58" t="s">
        <v>103</v>
      </c>
      <c r="D58" s="3" t="s">
        <v>680</v>
      </c>
      <c r="E58" s="3" t="s">
        <v>680</v>
      </c>
      <c r="F58" t="s">
        <v>35</v>
      </c>
      <c r="I58" t="s">
        <v>669</v>
      </c>
      <c r="Q58" s="9"/>
      <c r="U58" s="8" t="str">
        <f t="shared" ca="1" si="2"/>
        <v/>
      </c>
      <c r="V58" s="8" t="str">
        <f t="shared" ca="1" si="3"/>
        <v/>
      </c>
      <c r="AB58" s="8" t="s">
        <v>1371</v>
      </c>
    </row>
    <row r="59" spans="1:32">
      <c r="A59" t="s">
        <v>106</v>
      </c>
      <c r="D59" s="3" t="s">
        <v>681</v>
      </c>
      <c r="E59" s="3" t="s">
        <v>681</v>
      </c>
      <c r="F59" t="s">
        <v>35</v>
      </c>
      <c r="I59" t="s">
        <v>682</v>
      </c>
      <c r="Q59" s="9"/>
      <c r="U59" s="8" t="str">
        <f t="shared" ca="1" si="2"/>
        <v/>
      </c>
      <c r="V59" s="8" t="str">
        <f t="shared" ca="1" si="3"/>
        <v/>
      </c>
      <c r="AB59" s="8" t="s">
        <v>1371</v>
      </c>
    </row>
    <row r="60" spans="1:32">
      <c r="A60" t="s">
        <v>107</v>
      </c>
      <c r="D60" s="3" t="s">
        <v>683</v>
      </c>
      <c r="E60" s="3" t="s">
        <v>683</v>
      </c>
      <c r="F60" t="s">
        <v>35</v>
      </c>
      <c r="I60" t="s">
        <v>645</v>
      </c>
      <c r="Q60" s="9"/>
      <c r="U60" s="8" t="str">
        <f t="shared" ca="1" si="2"/>
        <v/>
      </c>
      <c r="V60" s="8" t="str">
        <f t="shared" ca="1" si="3"/>
        <v/>
      </c>
      <c r="AB60" s="8" t="s">
        <v>1371</v>
      </c>
    </row>
    <row r="61" spans="1:32">
      <c r="A61" t="s">
        <v>108</v>
      </c>
      <c r="D61" s="3" t="s">
        <v>684</v>
      </c>
      <c r="E61" s="3" t="s">
        <v>684</v>
      </c>
      <c r="F61" t="s">
        <v>35</v>
      </c>
      <c r="I61" t="s">
        <v>685</v>
      </c>
      <c r="Q61" s="9"/>
      <c r="U61" s="8" t="str">
        <f t="shared" ca="1" si="2"/>
        <v/>
      </c>
      <c r="V61" s="8" t="str">
        <f t="shared" ca="1" si="3"/>
        <v/>
      </c>
      <c r="AB61" s="8" t="s">
        <v>1371</v>
      </c>
    </row>
    <row r="62" spans="1:32">
      <c r="A62" t="s">
        <v>111</v>
      </c>
      <c r="D62" s="3" t="s">
        <v>110</v>
      </c>
      <c r="E62" s="3" t="s">
        <v>112</v>
      </c>
      <c r="J62" s="8" t="s">
        <v>1303</v>
      </c>
      <c r="Q62" s="9"/>
      <c r="T62" s="8">
        <f>0-2</f>
        <v>-2</v>
      </c>
      <c r="U62" s="8">
        <f t="shared" ca="1" si="2"/>
        <v>2</v>
      </c>
      <c r="V62" s="8">
        <f t="shared" ca="1" si="3"/>
        <v>0</v>
      </c>
      <c r="AB62" s="8" t="s">
        <v>19</v>
      </c>
    </row>
    <row r="63" spans="1:32">
      <c r="A63" t="s">
        <v>113</v>
      </c>
      <c r="D63" s="3" t="s">
        <v>114</v>
      </c>
      <c r="E63" s="3" t="s">
        <v>115</v>
      </c>
      <c r="F63" t="s">
        <v>17</v>
      </c>
      <c r="H63" t="s">
        <v>19</v>
      </c>
      <c r="Q63" s="9"/>
      <c r="U63" s="8" t="str">
        <f t="shared" ca="1" si="2"/>
        <v/>
      </c>
      <c r="V63" s="8" t="str">
        <f t="shared" ca="1" si="3"/>
        <v/>
      </c>
      <c r="AB63" s="8" t="s">
        <v>1371</v>
      </c>
    </row>
    <row r="64" spans="1:32">
      <c r="A64" t="s">
        <v>116</v>
      </c>
      <c r="D64" s="3" t="s">
        <v>686</v>
      </c>
      <c r="E64" s="3" t="s">
        <v>686</v>
      </c>
      <c r="F64" t="s">
        <v>35</v>
      </c>
      <c r="I64" t="s">
        <v>687</v>
      </c>
      <c r="Q64" s="9"/>
      <c r="U64" s="8" t="str">
        <f t="shared" ca="1" si="2"/>
        <v/>
      </c>
      <c r="V64" s="8" t="str">
        <f t="shared" ca="1" si="3"/>
        <v/>
      </c>
      <c r="AB64" s="8" t="s">
        <v>1371</v>
      </c>
    </row>
    <row r="65" spans="1:32" ht="29">
      <c r="A65" t="s">
        <v>117</v>
      </c>
      <c r="D65" s="3" t="s">
        <v>688</v>
      </c>
      <c r="E65" s="3" t="s">
        <v>689</v>
      </c>
      <c r="F65" t="s">
        <v>35</v>
      </c>
      <c r="I65" t="s">
        <v>692</v>
      </c>
      <c r="Q65" s="9"/>
      <c r="U65" s="8" t="str">
        <f t="shared" ca="1" si="2"/>
        <v/>
      </c>
      <c r="V65" s="8" t="str">
        <f t="shared" ca="1" si="3"/>
        <v/>
      </c>
      <c r="AB65" s="8" t="s">
        <v>1371</v>
      </c>
    </row>
    <row r="66" spans="1:32" ht="29">
      <c r="A66" t="s">
        <v>117</v>
      </c>
      <c r="D66" s="3" t="s">
        <v>690</v>
      </c>
      <c r="E66" s="3" t="s">
        <v>691</v>
      </c>
      <c r="F66" t="s">
        <v>35</v>
      </c>
      <c r="I66" t="s">
        <v>693</v>
      </c>
      <c r="Q66" s="9"/>
      <c r="U66" s="8" t="str">
        <f t="shared" ca="1" si="2"/>
        <v/>
      </c>
      <c r="V66" s="8" t="str">
        <f t="shared" ca="1" si="3"/>
        <v/>
      </c>
      <c r="AB66" s="8" t="s">
        <v>1371</v>
      </c>
    </row>
    <row r="67" spans="1:32">
      <c r="A67" t="s">
        <v>118</v>
      </c>
      <c r="D67" s="3" t="s">
        <v>694</v>
      </c>
      <c r="E67" s="3" t="s">
        <v>694</v>
      </c>
      <c r="F67" t="s">
        <v>35</v>
      </c>
      <c r="I67" t="s">
        <v>695</v>
      </c>
      <c r="Q67" s="9"/>
      <c r="U67" s="8" t="str">
        <f t="shared" ref="U67:U130" ca="1" si="4">IF(ISNUMBER(T67),VALUE(MID(_xlfn.FORMULATEXT(T67),SEARCH("-",_xlfn.FORMULATEXT(T67))+1,LEN(_xlfn.FORMULATEXT(T67))-SEARCH("-",_xlfn.FORMULATEXT(T67)))), "")</f>
        <v/>
      </c>
      <c r="V67" s="8" t="str">
        <f t="shared" ref="V67:V130" ca="1" si="5">IF(ISNUMBER(T67), VALUE(MID(_xlfn.FORMULATEXT(T67), 2, SEARCH("-", _xlfn.FORMULATEXT(T67)) - 2)), "")</f>
        <v/>
      </c>
      <c r="AB67" s="8" t="s">
        <v>1371</v>
      </c>
    </row>
    <row r="68" spans="1:32">
      <c r="A68" t="s">
        <v>119</v>
      </c>
      <c r="D68" s="3" t="s">
        <v>696</v>
      </c>
      <c r="E68" s="3" t="s">
        <v>696</v>
      </c>
      <c r="F68" t="s">
        <v>35</v>
      </c>
      <c r="I68" t="s">
        <v>697</v>
      </c>
      <c r="Q68" s="9"/>
      <c r="U68" s="8" t="str">
        <f t="shared" ca="1" si="4"/>
        <v/>
      </c>
      <c r="V68" s="8" t="str">
        <f t="shared" ca="1" si="5"/>
        <v/>
      </c>
      <c r="AB68" s="8" t="s">
        <v>1371</v>
      </c>
    </row>
    <row r="69" spans="1:32">
      <c r="A69" t="s">
        <v>120</v>
      </c>
      <c r="D69" s="3" t="s">
        <v>121</v>
      </c>
      <c r="E69" s="3" t="s">
        <v>122</v>
      </c>
      <c r="H69" t="s">
        <v>19</v>
      </c>
      <c r="J69" s="8" t="s">
        <v>1303</v>
      </c>
      <c r="Q69" s="9"/>
      <c r="T69" s="8" t="s">
        <v>1304</v>
      </c>
      <c r="U69" s="8" t="str">
        <f t="shared" ca="1" si="4"/>
        <v/>
      </c>
      <c r="V69" s="8" t="str">
        <f t="shared" ca="1" si="5"/>
        <v/>
      </c>
      <c r="AB69" s="8" t="s">
        <v>19</v>
      </c>
      <c r="AD69" s="8" t="s">
        <v>1373</v>
      </c>
      <c r="AE69" s="8" t="s">
        <v>19</v>
      </c>
      <c r="AF69" s="8" t="s">
        <v>1288</v>
      </c>
    </row>
    <row r="70" spans="1:32">
      <c r="A70" t="s">
        <v>120</v>
      </c>
      <c r="D70" s="3" t="s">
        <v>698</v>
      </c>
      <c r="E70" s="3" t="s">
        <v>698</v>
      </c>
      <c r="F70" t="s">
        <v>35</v>
      </c>
      <c r="I70" t="s">
        <v>699</v>
      </c>
      <c r="Q70" s="9"/>
      <c r="U70" s="8" t="str">
        <f t="shared" ca="1" si="4"/>
        <v/>
      </c>
      <c r="V70" s="8" t="str">
        <f t="shared" ca="1" si="5"/>
        <v/>
      </c>
      <c r="AB70" s="8" t="s">
        <v>1371</v>
      </c>
    </row>
    <row r="71" spans="1:32">
      <c r="A71" t="s">
        <v>120</v>
      </c>
      <c r="D71" s="3" t="s">
        <v>123</v>
      </c>
      <c r="E71" s="4" t="s">
        <v>124</v>
      </c>
      <c r="F71" t="s">
        <v>32</v>
      </c>
      <c r="I71" t="s">
        <v>700</v>
      </c>
      <c r="J71" s="8" t="s">
        <v>1303</v>
      </c>
      <c r="Q71" s="9"/>
      <c r="T71" s="8" t="s">
        <v>1304</v>
      </c>
      <c r="U71" s="8" t="str">
        <f t="shared" ca="1" si="4"/>
        <v/>
      </c>
      <c r="V71" s="8" t="str">
        <f t="shared" ca="1" si="5"/>
        <v/>
      </c>
      <c r="AB71" s="8" t="s">
        <v>19</v>
      </c>
      <c r="AD71" s="8" t="s">
        <v>1373</v>
      </c>
      <c r="AE71" s="8" t="s">
        <v>19</v>
      </c>
      <c r="AF71" s="8" t="s">
        <v>1288</v>
      </c>
    </row>
    <row r="72" spans="1:32">
      <c r="A72" t="s">
        <v>125</v>
      </c>
      <c r="D72" t="s">
        <v>702</v>
      </c>
      <c r="E72" t="s">
        <v>701</v>
      </c>
      <c r="J72" s="8" t="s">
        <v>25</v>
      </c>
      <c r="K72" s="8">
        <v>0</v>
      </c>
      <c r="L72" s="8">
        <v>1</v>
      </c>
      <c r="M72" s="8">
        <v>1</v>
      </c>
      <c r="N72" s="8" t="s">
        <v>1262</v>
      </c>
      <c r="O72" s="8" t="s">
        <v>1304</v>
      </c>
      <c r="Q72" s="9"/>
      <c r="S72" s="8">
        <v>2475</v>
      </c>
      <c r="U72" s="8" t="str">
        <f t="shared" ca="1" si="4"/>
        <v/>
      </c>
      <c r="V72" s="8" t="str">
        <f t="shared" ca="1" si="5"/>
        <v/>
      </c>
      <c r="AB72" s="8" t="s">
        <v>19</v>
      </c>
    </row>
    <row r="73" spans="1:32">
      <c r="A73" t="s">
        <v>126</v>
      </c>
      <c r="D73" s="3" t="s">
        <v>703</v>
      </c>
      <c r="E73" s="3" t="s">
        <v>703</v>
      </c>
      <c r="F73" t="s">
        <v>35</v>
      </c>
      <c r="I73" t="s">
        <v>704</v>
      </c>
      <c r="Q73" s="9"/>
      <c r="U73" s="8" t="str">
        <f t="shared" ca="1" si="4"/>
        <v/>
      </c>
      <c r="V73" s="8" t="str">
        <f t="shared" ca="1" si="5"/>
        <v/>
      </c>
      <c r="AB73" s="8" t="s">
        <v>1371</v>
      </c>
    </row>
    <row r="74" spans="1:32">
      <c r="A74" t="s">
        <v>126</v>
      </c>
      <c r="D74" s="3" t="s">
        <v>705</v>
      </c>
      <c r="E74" s="3" t="s">
        <v>705</v>
      </c>
      <c r="F74" t="s">
        <v>35</v>
      </c>
      <c r="I74" t="s">
        <v>706</v>
      </c>
      <c r="Q74" s="9"/>
      <c r="U74" s="8" t="str">
        <f t="shared" ca="1" si="4"/>
        <v/>
      </c>
      <c r="V74" s="8" t="str">
        <f t="shared" ca="1" si="5"/>
        <v/>
      </c>
      <c r="AB74" s="8" t="s">
        <v>1371</v>
      </c>
    </row>
    <row r="75" spans="1:32">
      <c r="A75" t="s">
        <v>127</v>
      </c>
      <c r="D75" s="3" t="s">
        <v>707</v>
      </c>
      <c r="E75" s="3" t="s">
        <v>708</v>
      </c>
      <c r="H75" t="s">
        <v>19</v>
      </c>
      <c r="J75" s="8" t="s">
        <v>1305</v>
      </c>
      <c r="Q75" s="9"/>
      <c r="U75" s="8" t="str">
        <f t="shared" ca="1" si="4"/>
        <v/>
      </c>
      <c r="V75" s="8" t="str">
        <f t="shared" ca="1" si="5"/>
        <v/>
      </c>
      <c r="AB75" s="8" t="s">
        <v>19</v>
      </c>
    </row>
    <row r="76" spans="1:32">
      <c r="A76" t="s">
        <v>128</v>
      </c>
      <c r="D76" s="3" t="s">
        <v>709</v>
      </c>
      <c r="E76" s="3" t="s">
        <v>710</v>
      </c>
      <c r="H76" t="s">
        <v>19</v>
      </c>
      <c r="J76" s="8" t="s">
        <v>1305</v>
      </c>
      <c r="Q76" s="9"/>
      <c r="U76" s="8" t="str">
        <f t="shared" ca="1" si="4"/>
        <v/>
      </c>
      <c r="V76" s="8" t="str">
        <f t="shared" ca="1" si="5"/>
        <v/>
      </c>
      <c r="AB76" s="8" t="s">
        <v>19</v>
      </c>
    </row>
    <row r="77" spans="1:32">
      <c r="A77" t="s">
        <v>129</v>
      </c>
      <c r="D77" s="3" t="s">
        <v>711</v>
      </c>
      <c r="E77" s="3" t="s">
        <v>711</v>
      </c>
      <c r="F77" t="s">
        <v>35</v>
      </c>
      <c r="I77" t="s">
        <v>712</v>
      </c>
      <c r="Q77" s="9"/>
      <c r="U77" s="8" t="str">
        <f t="shared" ca="1" si="4"/>
        <v/>
      </c>
      <c r="V77" s="8" t="str">
        <f t="shared" ca="1" si="5"/>
        <v/>
      </c>
      <c r="AB77" s="8" t="s">
        <v>1371</v>
      </c>
    </row>
    <row r="78" spans="1:32">
      <c r="A78" t="s">
        <v>130</v>
      </c>
      <c r="D78" s="3" t="s">
        <v>131</v>
      </c>
      <c r="E78" s="3" t="s">
        <v>131</v>
      </c>
      <c r="F78" t="s">
        <v>35</v>
      </c>
      <c r="I78" t="s">
        <v>713</v>
      </c>
      <c r="Q78" s="9"/>
      <c r="U78" s="8" t="str">
        <f t="shared" ca="1" si="4"/>
        <v/>
      </c>
      <c r="V78" s="8" t="str">
        <f t="shared" ca="1" si="5"/>
        <v/>
      </c>
      <c r="AB78" s="8" t="s">
        <v>1371</v>
      </c>
    </row>
    <row r="79" spans="1:32">
      <c r="A79" t="s">
        <v>132</v>
      </c>
      <c r="D79" s="3" t="s">
        <v>714</v>
      </c>
      <c r="E79" s="3" t="s">
        <v>714</v>
      </c>
      <c r="F79" t="s">
        <v>35</v>
      </c>
      <c r="I79" t="s">
        <v>715</v>
      </c>
      <c r="Q79" s="9"/>
      <c r="U79" s="8" t="str">
        <f t="shared" ca="1" si="4"/>
        <v/>
      </c>
      <c r="V79" s="8" t="str">
        <f t="shared" ca="1" si="5"/>
        <v/>
      </c>
      <c r="AB79" s="8" t="s">
        <v>1371</v>
      </c>
    </row>
    <row r="80" spans="1:32">
      <c r="A80" t="s">
        <v>133</v>
      </c>
      <c r="D80" s="3" t="s">
        <v>134</v>
      </c>
      <c r="E80" s="3" t="s">
        <v>135</v>
      </c>
      <c r="F80" t="s">
        <v>17</v>
      </c>
      <c r="H80" t="s">
        <v>19</v>
      </c>
      <c r="Q80" s="9"/>
      <c r="U80" s="8" t="str">
        <f t="shared" ca="1" si="4"/>
        <v/>
      </c>
      <c r="V80" s="8" t="str">
        <f t="shared" ca="1" si="5"/>
        <v/>
      </c>
      <c r="AB80" s="8" t="s">
        <v>1371</v>
      </c>
    </row>
    <row r="81" spans="1:32">
      <c r="A81" t="s">
        <v>136</v>
      </c>
      <c r="D81" s="3" t="s">
        <v>716</v>
      </c>
      <c r="E81" s="3" t="s">
        <v>717</v>
      </c>
      <c r="H81" t="s">
        <v>19</v>
      </c>
      <c r="I81" t="s">
        <v>1328</v>
      </c>
      <c r="J81" s="8" t="s">
        <v>1303</v>
      </c>
      <c r="Q81" s="9"/>
      <c r="T81" s="8">
        <f>3-31</f>
        <v>-28</v>
      </c>
      <c r="U81" s="8">
        <f t="shared" ca="1" si="4"/>
        <v>31</v>
      </c>
      <c r="V81" s="8">
        <f t="shared" ca="1" si="5"/>
        <v>3</v>
      </c>
      <c r="AB81" s="8" t="s">
        <v>19</v>
      </c>
    </row>
    <row r="82" spans="1:32">
      <c r="A82" t="s">
        <v>136</v>
      </c>
      <c r="D82" s="3" t="s">
        <v>719</v>
      </c>
      <c r="E82" s="3" t="s">
        <v>718</v>
      </c>
      <c r="F82" t="s">
        <v>35</v>
      </c>
      <c r="I82" t="s">
        <v>720</v>
      </c>
      <c r="Q82" s="9"/>
      <c r="U82" s="8" t="str">
        <f t="shared" ca="1" si="4"/>
        <v/>
      </c>
      <c r="V82" s="8" t="str">
        <f t="shared" ca="1" si="5"/>
        <v/>
      </c>
      <c r="AB82" s="8" t="s">
        <v>1371</v>
      </c>
    </row>
    <row r="83" spans="1:32">
      <c r="A83" t="s">
        <v>137</v>
      </c>
      <c r="D83" s="3" t="s">
        <v>721</v>
      </c>
      <c r="E83" s="3" t="s">
        <v>722</v>
      </c>
      <c r="J83" s="8" t="s">
        <v>1305</v>
      </c>
      <c r="Q83" s="9"/>
      <c r="U83" s="8" t="str">
        <f t="shared" ca="1" si="4"/>
        <v/>
      </c>
      <c r="V83" s="8" t="str">
        <f t="shared" ca="1" si="5"/>
        <v/>
      </c>
      <c r="AB83" s="8" t="s">
        <v>19</v>
      </c>
      <c r="AD83" s="8" t="s">
        <v>1329</v>
      </c>
      <c r="AE83" s="8" t="s">
        <v>19</v>
      </c>
      <c r="AF83" s="8" t="s">
        <v>1288</v>
      </c>
    </row>
    <row r="84" spans="1:32">
      <c r="A84" t="s">
        <v>138</v>
      </c>
      <c r="D84" s="3" t="s">
        <v>723</v>
      </c>
      <c r="E84" s="3" t="s">
        <v>724</v>
      </c>
      <c r="H84" t="s">
        <v>19</v>
      </c>
      <c r="J84" s="8" t="s">
        <v>1305</v>
      </c>
      <c r="Q84" s="9"/>
      <c r="U84" s="8" t="str">
        <f t="shared" ca="1" si="4"/>
        <v/>
      </c>
      <c r="V84" s="8" t="str">
        <f t="shared" ca="1" si="5"/>
        <v/>
      </c>
      <c r="AB84" s="8" t="s">
        <v>19</v>
      </c>
      <c r="AF84" s="8" t="s">
        <v>1289</v>
      </c>
    </row>
    <row r="85" spans="1:32">
      <c r="A85" t="s">
        <v>138</v>
      </c>
      <c r="D85" s="3" t="s">
        <v>139</v>
      </c>
      <c r="E85" s="3" t="s">
        <v>139</v>
      </c>
      <c r="F85" t="s">
        <v>35</v>
      </c>
      <c r="I85" t="s">
        <v>725</v>
      </c>
      <c r="Q85" s="9"/>
      <c r="U85" s="8" t="str">
        <f t="shared" ca="1" si="4"/>
        <v/>
      </c>
      <c r="V85" s="8" t="str">
        <f t="shared" ca="1" si="5"/>
        <v/>
      </c>
      <c r="AB85" s="8" t="s">
        <v>1371</v>
      </c>
    </row>
    <row r="86" spans="1:32">
      <c r="A86" t="s">
        <v>140</v>
      </c>
      <c r="D86" s="3" t="s">
        <v>141</v>
      </c>
      <c r="E86" s="3" t="s">
        <v>141</v>
      </c>
      <c r="F86" t="s">
        <v>35</v>
      </c>
      <c r="I86" t="s">
        <v>726</v>
      </c>
      <c r="Q86" s="9"/>
      <c r="U86" s="8" t="str">
        <f t="shared" ca="1" si="4"/>
        <v/>
      </c>
      <c r="V86" s="8" t="str">
        <f t="shared" ca="1" si="5"/>
        <v/>
      </c>
      <c r="AB86" s="8" t="s">
        <v>1371</v>
      </c>
    </row>
    <row r="87" spans="1:32">
      <c r="A87" t="s">
        <v>142</v>
      </c>
      <c r="D87" s="3" t="s">
        <v>143</v>
      </c>
      <c r="E87" s="3" t="s">
        <v>144</v>
      </c>
      <c r="J87" s="8" t="s">
        <v>1303</v>
      </c>
      <c r="Q87" s="9"/>
      <c r="T87" s="8" t="s">
        <v>1326</v>
      </c>
      <c r="U87" s="8" t="str">
        <f t="shared" ca="1" si="4"/>
        <v/>
      </c>
      <c r="V87" s="8" t="str">
        <f t="shared" ca="1" si="5"/>
        <v/>
      </c>
      <c r="AB87" s="8" t="s">
        <v>19</v>
      </c>
      <c r="AF87" s="8" t="s">
        <v>1290</v>
      </c>
    </row>
    <row r="88" spans="1:32">
      <c r="A88" t="s">
        <v>145</v>
      </c>
      <c r="D88" s="3" t="s">
        <v>146</v>
      </c>
      <c r="E88" s="3" t="s">
        <v>146</v>
      </c>
      <c r="F88" t="s">
        <v>35</v>
      </c>
      <c r="I88" t="s">
        <v>727</v>
      </c>
      <c r="Q88" s="9"/>
      <c r="U88" s="8" t="str">
        <f t="shared" ca="1" si="4"/>
        <v/>
      </c>
      <c r="V88" s="8" t="str">
        <f t="shared" ca="1" si="5"/>
        <v/>
      </c>
      <c r="AB88" s="8" t="s">
        <v>1371</v>
      </c>
    </row>
    <row r="89" spans="1:32">
      <c r="A89" t="s">
        <v>147</v>
      </c>
      <c r="D89" s="3" t="s">
        <v>728</v>
      </c>
      <c r="E89" s="3" t="s">
        <v>728</v>
      </c>
      <c r="F89" t="s">
        <v>35</v>
      </c>
      <c r="I89" t="s">
        <v>729</v>
      </c>
      <c r="Q89" s="9"/>
      <c r="U89" s="8" t="str">
        <f t="shared" ca="1" si="4"/>
        <v/>
      </c>
      <c r="V89" s="8" t="str">
        <f t="shared" ca="1" si="5"/>
        <v/>
      </c>
      <c r="AB89" s="8" t="s">
        <v>1371</v>
      </c>
    </row>
    <row r="90" spans="1:32">
      <c r="A90" t="s">
        <v>148</v>
      </c>
      <c r="D90" s="3" t="s">
        <v>149</v>
      </c>
      <c r="E90" s="3" t="s">
        <v>150</v>
      </c>
      <c r="H90" t="s">
        <v>19</v>
      </c>
      <c r="J90" s="8" t="s">
        <v>1303</v>
      </c>
      <c r="Q90" s="9"/>
      <c r="T90" s="8" t="s">
        <v>1304</v>
      </c>
      <c r="U90" s="8" t="str">
        <f t="shared" ca="1" si="4"/>
        <v/>
      </c>
      <c r="V90" s="8" t="str">
        <f t="shared" ca="1" si="5"/>
        <v/>
      </c>
      <c r="AB90" s="8" t="s">
        <v>19</v>
      </c>
      <c r="AD90" s="8" t="s">
        <v>1330</v>
      </c>
      <c r="AE90" s="8" t="s">
        <v>19</v>
      </c>
      <c r="AF90" s="8" t="s">
        <v>1288</v>
      </c>
    </row>
    <row r="91" spans="1:32">
      <c r="A91" t="s">
        <v>151</v>
      </c>
      <c r="D91" s="3" t="s">
        <v>730</v>
      </c>
      <c r="E91" s="3" t="s">
        <v>730</v>
      </c>
      <c r="F91" t="s">
        <v>35</v>
      </c>
      <c r="I91" t="s">
        <v>731</v>
      </c>
      <c r="Q91" s="9"/>
      <c r="U91" s="8" t="str">
        <f t="shared" ca="1" si="4"/>
        <v/>
      </c>
      <c r="V91" s="8" t="str">
        <f t="shared" ca="1" si="5"/>
        <v/>
      </c>
      <c r="AB91" s="8" t="s">
        <v>1371</v>
      </c>
    </row>
    <row r="92" spans="1:32">
      <c r="A92" t="s">
        <v>152</v>
      </c>
      <c r="D92" s="3" t="s">
        <v>732</v>
      </c>
      <c r="E92" s="3" t="s">
        <v>732</v>
      </c>
      <c r="F92" t="s">
        <v>35</v>
      </c>
      <c r="I92" t="s">
        <v>733</v>
      </c>
      <c r="Q92" s="9"/>
      <c r="U92" s="8" t="str">
        <f t="shared" ca="1" si="4"/>
        <v/>
      </c>
      <c r="V92" s="8" t="str">
        <f t="shared" ca="1" si="5"/>
        <v/>
      </c>
      <c r="AB92" s="8" t="s">
        <v>1371</v>
      </c>
    </row>
    <row r="93" spans="1:32">
      <c r="A93" t="s">
        <v>153</v>
      </c>
      <c r="D93" s="3" t="s">
        <v>734</v>
      </c>
      <c r="E93" s="3" t="s">
        <v>734</v>
      </c>
      <c r="F93" t="s">
        <v>35</v>
      </c>
      <c r="I93" t="s">
        <v>735</v>
      </c>
      <c r="Q93" s="9"/>
      <c r="U93" s="8" t="str">
        <f t="shared" ca="1" si="4"/>
        <v/>
      </c>
      <c r="V93" s="8" t="str">
        <f t="shared" ca="1" si="5"/>
        <v/>
      </c>
      <c r="AB93" s="8" t="s">
        <v>1371</v>
      </c>
    </row>
    <row r="94" spans="1:32">
      <c r="A94" t="s">
        <v>154</v>
      </c>
      <c r="D94" s="3" t="s">
        <v>736</v>
      </c>
      <c r="E94" s="3" t="s">
        <v>737</v>
      </c>
      <c r="F94" t="s">
        <v>17</v>
      </c>
      <c r="H94" t="s">
        <v>19</v>
      </c>
      <c r="Q94" s="9"/>
      <c r="U94" s="8" t="str">
        <f t="shared" ca="1" si="4"/>
        <v/>
      </c>
      <c r="V94" s="8" t="str">
        <f t="shared" ca="1" si="5"/>
        <v/>
      </c>
      <c r="AB94" s="8" t="s">
        <v>1371</v>
      </c>
    </row>
    <row r="95" spans="1:32">
      <c r="A95" t="s">
        <v>155</v>
      </c>
      <c r="D95" s="3" t="s">
        <v>738</v>
      </c>
      <c r="E95" s="3" t="s">
        <v>738</v>
      </c>
      <c r="F95" t="s">
        <v>35</v>
      </c>
      <c r="I95" t="s">
        <v>739</v>
      </c>
      <c r="Q95" s="9"/>
      <c r="U95" s="8" t="str">
        <f t="shared" ca="1" si="4"/>
        <v/>
      </c>
      <c r="V95" s="8" t="str">
        <f t="shared" ca="1" si="5"/>
        <v/>
      </c>
      <c r="AB95" s="8" t="s">
        <v>1371</v>
      </c>
    </row>
    <row r="96" spans="1:32">
      <c r="A96" t="s">
        <v>156</v>
      </c>
      <c r="D96" s="3" t="s">
        <v>741</v>
      </c>
      <c r="E96" s="3" t="s">
        <v>741</v>
      </c>
      <c r="F96" t="s">
        <v>35</v>
      </c>
      <c r="I96" t="s">
        <v>742</v>
      </c>
      <c r="Q96" s="9"/>
      <c r="U96" s="8" t="str">
        <f t="shared" ca="1" si="4"/>
        <v/>
      </c>
      <c r="V96" s="8" t="str">
        <f t="shared" ca="1" si="5"/>
        <v/>
      </c>
      <c r="AB96" s="8" t="s">
        <v>1371</v>
      </c>
    </row>
    <row r="97" spans="1:32">
      <c r="A97" t="s">
        <v>156</v>
      </c>
      <c r="D97" s="2" t="s">
        <v>740</v>
      </c>
      <c r="E97" s="2" t="s">
        <v>740</v>
      </c>
      <c r="F97" t="s">
        <v>35</v>
      </c>
      <c r="I97" t="s">
        <v>743</v>
      </c>
      <c r="Q97" s="9"/>
      <c r="U97" s="8" t="str">
        <f t="shared" ca="1" si="4"/>
        <v/>
      </c>
      <c r="V97" s="8" t="str">
        <f t="shared" ca="1" si="5"/>
        <v/>
      </c>
      <c r="AB97" s="8" t="s">
        <v>1371</v>
      </c>
    </row>
    <row r="98" spans="1:32">
      <c r="A98" t="s">
        <v>157</v>
      </c>
      <c r="D98" s="3" t="s">
        <v>158</v>
      </c>
      <c r="E98" s="3" t="s">
        <v>158</v>
      </c>
      <c r="F98" t="s">
        <v>35</v>
      </c>
      <c r="I98" t="s">
        <v>744</v>
      </c>
      <c r="Q98" s="9"/>
      <c r="U98" s="8" t="str">
        <f t="shared" ca="1" si="4"/>
        <v/>
      </c>
      <c r="V98" s="8" t="str">
        <f t="shared" ca="1" si="5"/>
        <v/>
      </c>
      <c r="AB98" s="8" t="s">
        <v>1371</v>
      </c>
    </row>
    <row r="99" spans="1:32">
      <c r="A99" t="s">
        <v>159</v>
      </c>
      <c r="D99" s="3" t="s">
        <v>160</v>
      </c>
      <c r="E99" s="3" t="s">
        <v>160</v>
      </c>
      <c r="F99" t="s">
        <v>35</v>
      </c>
      <c r="I99" t="s">
        <v>745</v>
      </c>
      <c r="Q99" s="9"/>
      <c r="U99" s="8" t="str">
        <f t="shared" ca="1" si="4"/>
        <v/>
      </c>
      <c r="V99" s="8" t="str">
        <f t="shared" ca="1" si="5"/>
        <v/>
      </c>
      <c r="AB99" s="8" t="s">
        <v>1371</v>
      </c>
    </row>
    <row r="100" spans="1:32">
      <c r="A100" t="s">
        <v>159</v>
      </c>
      <c r="D100" s="3" t="s">
        <v>747</v>
      </c>
      <c r="E100" s="3" t="s">
        <v>746</v>
      </c>
      <c r="H100" t="s">
        <v>19</v>
      </c>
      <c r="I100" t="s">
        <v>1756</v>
      </c>
      <c r="J100" s="8" t="s">
        <v>24</v>
      </c>
      <c r="K100" s="8">
        <v>0</v>
      </c>
      <c r="L100" s="8">
        <v>1</v>
      </c>
      <c r="M100" s="8">
        <v>2</v>
      </c>
      <c r="N100" s="8" t="s">
        <v>1272</v>
      </c>
      <c r="O100" s="8" t="s">
        <v>1304</v>
      </c>
      <c r="Q100" s="9"/>
      <c r="S100" s="8">
        <v>3</v>
      </c>
      <c r="U100" s="8" t="str">
        <f t="shared" ca="1" si="4"/>
        <v/>
      </c>
      <c r="V100" s="8" t="str">
        <f t="shared" ca="1" si="5"/>
        <v/>
      </c>
      <c r="AB100" s="8" t="s">
        <v>19</v>
      </c>
      <c r="AF100" s="8" t="s">
        <v>1289</v>
      </c>
    </row>
    <row r="101" spans="1:32">
      <c r="A101" t="s">
        <v>161</v>
      </c>
      <c r="D101" s="3" t="s">
        <v>162</v>
      </c>
      <c r="E101" s="3" t="s">
        <v>163</v>
      </c>
      <c r="J101" s="8" t="s">
        <v>1303</v>
      </c>
      <c r="Q101" s="9"/>
      <c r="T101" s="8" t="s">
        <v>1304</v>
      </c>
      <c r="U101" s="8" t="str">
        <f t="shared" ca="1" si="4"/>
        <v/>
      </c>
      <c r="V101" s="8" t="str">
        <f t="shared" ca="1" si="5"/>
        <v/>
      </c>
      <c r="AB101" s="8" t="s">
        <v>19</v>
      </c>
      <c r="AD101" s="8" t="s">
        <v>1331</v>
      </c>
      <c r="AE101" s="8" t="s">
        <v>19</v>
      </c>
      <c r="AF101" s="8" t="s">
        <v>1288</v>
      </c>
    </row>
    <row r="102" spans="1:32">
      <c r="A102" t="s">
        <v>164</v>
      </c>
      <c r="D102" s="3" t="s">
        <v>748</v>
      </c>
      <c r="E102" s="3" t="s">
        <v>748</v>
      </c>
      <c r="F102" t="s">
        <v>35</v>
      </c>
      <c r="I102" t="s">
        <v>749</v>
      </c>
      <c r="Q102" s="9"/>
      <c r="U102" s="8" t="str">
        <f t="shared" ca="1" si="4"/>
        <v/>
      </c>
      <c r="V102" s="8" t="str">
        <f t="shared" ca="1" si="5"/>
        <v/>
      </c>
      <c r="AB102" s="8" t="s">
        <v>1371</v>
      </c>
    </row>
    <row r="103" spans="1:32" ht="29">
      <c r="A103" t="s">
        <v>164</v>
      </c>
      <c r="D103" s="3" t="s">
        <v>750</v>
      </c>
      <c r="E103" s="3" t="s">
        <v>750</v>
      </c>
      <c r="F103" t="s">
        <v>35</v>
      </c>
      <c r="I103" t="s">
        <v>751</v>
      </c>
      <c r="Q103" s="9"/>
      <c r="U103" s="8" t="str">
        <f t="shared" ca="1" si="4"/>
        <v/>
      </c>
      <c r="V103" s="8" t="str">
        <f t="shared" ca="1" si="5"/>
        <v/>
      </c>
      <c r="AB103" s="8" t="s">
        <v>1371</v>
      </c>
    </row>
    <row r="104" spans="1:32">
      <c r="A104" t="s">
        <v>165</v>
      </c>
      <c r="D104" s="3" t="s">
        <v>753</v>
      </c>
      <c r="E104" s="3" t="s">
        <v>752</v>
      </c>
      <c r="J104" s="8" t="s">
        <v>1305</v>
      </c>
      <c r="Q104" s="9"/>
      <c r="U104" s="8" t="str">
        <f t="shared" ca="1" si="4"/>
        <v/>
      </c>
      <c r="V104" s="8" t="str">
        <f t="shared" ca="1" si="5"/>
        <v/>
      </c>
      <c r="AB104" s="8" t="s">
        <v>19</v>
      </c>
      <c r="AC104" s="8" t="s">
        <v>1265</v>
      </c>
      <c r="AE104" s="8" t="s">
        <v>19</v>
      </c>
    </row>
    <row r="105" spans="1:32">
      <c r="A105" t="s">
        <v>166</v>
      </c>
      <c r="D105" s="3" t="s">
        <v>754</v>
      </c>
      <c r="E105" s="3" t="s">
        <v>755</v>
      </c>
      <c r="H105" t="s">
        <v>19</v>
      </c>
      <c r="J105" s="8" t="s">
        <v>1305</v>
      </c>
      <c r="Q105" s="9"/>
      <c r="U105" s="8" t="str">
        <f t="shared" ca="1" si="4"/>
        <v/>
      </c>
      <c r="V105" s="8" t="str">
        <f t="shared" ca="1" si="5"/>
        <v/>
      </c>
      <c r="AB105" s="8" t="s">
        <v>19</v>
      </c>
      <c r="AF105" s="8" t="s">
        <v>1289</v>
      </c>
    </row>
    <row r="106" spans="1:32">
      <c r="A106" t="s">
        <v>167</v>
      </c>
      <c r="D106" s="3" t="s">
        <v>168</v>
      </c>
      <c r="E106" s="3" t="s">
        <v>169</v>
      </c>
      <c r="J106" s="8" t="s">
        <v>1305</v>
      </c>
      <c r="Q106" s="9"/>
      <c r="U106" s="8" t="str">
        <f t="shared" ca="1" si="4"/>
        <v/>
      </c>
      <c r="V106" s="8" t="str">
        <f t="shared" ca="1" si="5"/>
        <v/>
      </c>
      <c r="AB106" s="8" t="s">
        <v>19</v>
      </c>
      <c r="AD106" s="8" t="s">
        <v>1329</v>
      </c>
      <c r="AE106" s="8" t="s">
        <v>19</v>
      </c>
    </row>
    <row r="107" spans="1:32">
      <c r="A107" t="s">
        <v>170</v>
      </c>
      <c r="D107" s="3" t="s">
        <v>171</v>
      </c>
      <c r="E107" s="3" t="s">
        <v>172</v>
      </c>
      <c r="F107" t="s">
        <v>17</v>
      </c>
      <c r="Q107" s="9"/>
      <c r="U107" s="8" t="str">
        <f t="shared" ca="1" si="4"/>
        <v/>
      </c>
      <c r="V107" s="8" t="str">
        <f t="shared" ca="1" si="5"/>
        <v/>
      </c>
      <c r="AB107" s="8" t="s">
        <v>1371</v>
      </c>
    </row>
    <row r="108" spans="1:32">
      <c r="A108" t="s">
        <v>170</v>
      </c>
      <c r="D108" s="3" t="s">
        <v>173</v>
      </c>
      <c r="E108" s="3" t="s">
        <v>173</v>
      </c>
      <c r="F108" t="s">
        <v>35</v>
      </c>
      <c r="I108" t="s">
        <v>756</v>
      </c>
      <c r="Q108" s="9"/>
      <c r="U108" s="8" t="str">
        <f t="shared" ca="1" si="4"/>
        <v/>
      </c>
      <c r="V108" s="8" t="str">
        <f t="shared" ca="1" si="5"/>
        <v/>
      </c>
      <c r="AB108" s="8" t="s">
        <v>1371</v>
      </c>
    </row>
    <row r="109" spans="1:32">
      <c r="A109" t="s">
        <v>174</v>
      </c>
      <c r="D109" s="3" t="s">
        <v>757</v>
      </c>
      <c r="E109" s="3" t="s">
        <v>757</v>
      </c>
      <c r="F109" t="s">
        <v>35</v>
      </c>
      <c r="I109" t="s">
        <v>758</v>
      </c>
      <c r="Q109" s="9"/>
      <c r="U109" s="8" t="str">
        <f t="shared" ca="1" si="4"/>
        <v/>
      </c>
      <c r="V109" s="8" t="str">
        <f t="shared" ca="1" si="5"/>
        <v/>
      </c>
      <c r="AB109" s="8" t="s">
        <v>1371</v>
      </c>
    </row>
    <row r="110" spans="1:32">
      <c r="A110" t="s">
        <v>175</v>
      </c>
      <c r="D110" s="3" t="s">
        <v>759</v>
      </c>
      <c r="E110" s="3" t="s">
        <v>759</v>
      </c>
      <c r="F110" t="s">
        <v>35</v>
      </c>
      <c r="I110" t="s">
        <v>760</v>
      </c>
      <c r="Q110" s="9"/>
      <c r="U110" s="8" t="str">
        <f t="shared" ca="1" si="4"/>
        <v/>
      </c>
      <c r="V110" s="8" t="str">
        <f t="shared" ca="1" si="5"/>
        <v/>
      </c>
      <c r="AB110" s="8" t="s">
        <v>1371</v>
      </c>
    </row>
    <row r="111" spans="1:32">
      <c r="A111" t="s">
        <v>176</v>
      </c>
      <c r="D111" s="3" t="s">
        <v>109</v>
      </c>
      <c r="E111" s="3" t="s">
        <v>109</v>
      </c>
      <c r="F111" t="s">
        <v>35</v>
      </c>
      <c r="I111" t="s">
        <v>761</v>
      </c>
      <c r="Q111" s="9"/>
      <c r="U111" s="8" t="str">
        <f t="shared" ca="1" si="4"/>
        <v/>
      </c>
      <c r="V111" s="8" t="str">
        <f t="shared" ca="1" si="5"/>
        <v/>
      </c>
      <c r="AB111" s="8" t="s">
        <v>1371</v>
      </c>
    </row>
    <row r="112" spans="1:32">
      <c r="A112" t="s">
        <v>176</v>
      </c>
      <c r="D112" s="3" t="s">
        <v>762</v>
      </c>
      <c r="E112" s="3" t="s">
        <v>763</v>
      </c>
      <c r="H112" t="s">
        <v>19</v>
      </c>
      <c r="J112" s="8" t="s">
        <v>24</v>
      </c>
      <c r="K112" s="8">
        <v>0</v>
      </c>
      <c r="L112" s="8">
        <v>1</v>
      </c>
      <c r="M112" s="8">
        <v>1</v>
      </c>
      <c r="N112" s="8" t="s">
        <v>1274</v>
      </c>
      <c r="O112" s="8" t="s">
        <v>1304</v>
      </c>
      <c r="Q112" s="9"/>
      <c r="S112" s="8">
        <v>99</v>
      </c>
      <c r="U112" s="8" t="str">
        <f t="shared" ca="1" si="4"/>
        <v/>
      </c>
      <c r="V112" s="8" t="str">
        <f t="shared" ca="1" si="5"/>
        <v/>
      </c>
      <c r="AB112" s="8" t="s">
        <v>19</v>
      </c>
      <c r="AF112" s="8" t="s">
        <v>1289</v>
      </c>
    </row>
    <row r="113" spans="1:32">
      <c r="A113" t="s">
        <v>176</v>
      </c>
      <c r="D113" s="3" t="s">
        <v>764</v>
      </c>
      <c r="E113" s="3" t="s">
        <v>764</v>
      </c>
      <c r="F113" t="s">
        <v>35</v>
      </c>
      <c r="I113" t="s">
        <v>765</v>
      </c>
      <c r="Q113" s="9"/>
      <c r="U113" s="8" t="str">
        <f t="shared" ca="1" si="4"/>
        <v/>
      </c>
      <c r="V113" s="8" t="str">
        <f t="shared" ca="1" si="5"/>
        <v/>
      </c>
      <c r="AB113" s="8" t="s">
        <v>1371</v>
      </c>
    </row>
    <row r="114" spans="1:32">
      <c r="A114" t="s">
        <v>177</v>
      </c>
      <c r="D114" s="3" t="s">
        <v>178</v>
      </c>
      <c r="E114" s="3" t="s">
        <v>178</v>
      </c>
      <c r="F114" t="s">
        <v>35</v>
      </c>
      <c r="I114" t="s">
        <v>766</v>
      </c>
      <c r="Q114" s="9"/>
      <c r="U114" s="8" t="str">
        <f t="shared" ca="1" si="4"/>
        <v/>
      </c>
      <c r="V114" s="8" t="str">
        <f t="shared" ca="1" si="5"/>
        <v/>
      </c>
      <c r="AB114" s="8" t="s">
        <v>1371</v>
      </c>
    </row>
    <row r="115" spans="1:32" ht="29">
      <c r="A115" t="s">
        <v>177</v>
      </c>
      <c r="D115" s="3" t="s">
        <v>767</v>
      </c>
      <c r="E115" s="3" t="s">
        <v>767</v>
      </c>
      <c r="F115" t="s">
        <v>35</v>
      </c>
      <c r="I115" t="s">
        <v>769</v>
      </c>
      <c r="Q115" s="9"/>
      <c r="U115" s="8" t="str">
        <f t="shared" ca="1" si="4"/>
        <v/>
      </c>
      <c r="V115" s="8" t="str">
        <f t="shared" ca="1" si="5"/>
        <v/>
      </c>
      <c r="AB115" s="8" t="s">
        <v>1371</v>
      </c>
    </row>
    <row r="116" spans="1:32" ht="29">
      <c r="A116" t="s">
        <v>177</v>
      </c>
      <c r="D116" s="3" t="s">
        <v>768</v>
      </c>
      <c r="E116" s="3" t="s">
        <v>768</v>
      </c>
      <c r="F116" t="s">
        <v>35</v>
      </c>
      <c r="I116" t="s">
        <v>770</v>
      </c>
      <c r="Q116" s="9"/>
      <c r="U116" s="8" t="str">
        <f t="shared" ca="1" si="4"/>
        <v/>
      </c>
      <c r="V116" s="8" t="str">
        <f t="shared" ca="1" si="5"/>
        <v/>
      </c>
      <c r="AB116" s="8" t="s">
        <v>1371</v>
      </c>
    </row>
    <row r="117" spans="1:32" ht="29">
      <c r="A117" t="s">
        <v>179</v>
      </c>
      <c r="D117" s="3" t="s">
        <v>771</v>
      </c>
      <c r="E117" s="3" t="s">
        <v>771</v>
      </c>
      <c r="F117" t="s">
        <v>35</v>
      </c>
      <c r="I117" t="s">
        <v>772</v>
      </c>
      <c r="Q117" s="9"/>
      <c r="U117" s="8" t="str">
        <f t="shared" ca="1" si="4"/>
        <v/>
      </c>
      <c r="V117" s="8" t="str">
        <f t="shared" ca="1" si="5"/>
        <v/>
      </c>
      <c r="AB117" s="8" t="s">
        <v>1371</v>
      </c>
    </row>
    <row r="118" spans="1:32">
      <c r="A118" t="s">
        <v>179</v>
      </c>
      <c r="D118" s="3" t="s">
        <v>180</v>
      </c>
      <c r="E118" s="3" t="s">
        <v>180</v>
      </c>
      <c r="F118" t="s">
        <v>35</v>
      </c>
      <c r="I118" t="s">
        <v>773</v>
      </c>
      <c r="Q118" s="9"/>
      <c r="U118" s="8" t="str">
        <f t="shared" ca="1" si="4"/>
        <v/>
      </c>
      <c r="V118" s="8" t="str">
        <f t="shared" ca="1" si="5"/>
        <v/>
      </c>
      <c r="AB118" s="8" t="s">
        <v>1371</v>
      </c>
    </row>
    <row r="119" spans="1:32">
      <c r="A119" t="s">
        <v>179</v>
      </c>
      <c r="D119" s="3" t="s">
        <v>181</v>
      </c>
      <c r="E119" s="3" t="s">
        <v>181</v>
      </c>
      <c r="F119" t="s">
        <v>35</v>
      </c>
      <c r="I119" t="s">
        <v>774</v>
      </c>
      <c r="Q119" s="9"/>
      <c r="U119" s="8" t="str">
        <f t="shared" ca="1" si="4"/>
        <v/>
      </c>
      <c r="V119" s="8" t="str">
        <f t="shared" ca="1" si="5"/>
        <v/>
      </c>
      <c r="AB119" s="8" t="s">
        <v>1371</v>
      </c>
    </row>
    <row r="120" spans="1:32">
      <c r="A120" t="s">
        <v>179</v>
      </c>
      <c r="D120" s="3" t="s">
        <v>182</v>
      </c>
      <c r="E120" s="3" t="s">
        <v>183</v>
      </c>
      <c r="H120" t="s">
        <v>19</v>
      </c>
      <c r="J120" s="8" t="s">
        <v>1303</v>
      </c>
      <c r="Q120" s="9"/>
      <c r="T120" s="8" t="s">
        <v>1304</v>
      </c>
      <c r="U120" s="8" t="str">
        <f t="shared" ca="1" si="4"/>
        <v/>
      </c>
      <c r="V120" s="8" t="str">
        <f t="shared" ca="1" si="5"/>
        <v/>
      </c>
      <c r="AB120" s="8" t="s">
        <v>19</v>
      </c>
      <c r="AF120" s="8" t="s">
        <v>1288</v>
      </c>
    </row>
    <row r="121" spans="1:32">
      <c r="A121" t="s">
        <v>179</v>
      </c>
      <c r="D121" s="3" t="s">
        <v>775</v>
      </c>
      <c r="E121" s="3" t="s">
        <v>775</v>
      </c>
      <c r="F121" t="s">
        <v>35</v>
      </c>
      <c r="I121" t="s">
        <v>776</v>
      </c>
      <c r="Q121" s="9"/>
      <c r="U121" s="8" t="str">
        <f t="shared" ca="1" si="4"/>
        <v/>
      </c>
      <c r="V121" s="8" t="str">
        <f t="shared" ca="1" si="5"/>
        <v/>
      </c>
      <c r="AB121" s="8" t="s">
        <v>1371</v>
      </c>
    </row>
    <row r="122" spans="1:32" ht="29">
      <c r="A122" t="s">
        <v>184</v>
      </c>
      <c r="D122" s="3" t="s">
        <v>777</v>
      </c>
      <c r="E122" s="3" t="s">
        <v>778</v>
      </c>
      <c r="H122" t="s">
        <v>19</v>
      </c>
      <c r="J122" s="8" t="s">
        <v>24</v>
      </c>
      <c r="K122" s="8">
        <v>0</v>
      </c>
      <c r="L122" s="8">
        <v>1</v>
      </c>
      <c r="M122" s="8">
        <v>3</v>
      </c>
      <c r="N122" s="8" t="s">
        <v>1268</v>
      </c>
      <c r="O122" s="8" t="s">
        <v>1263</v>
      </c>
      <c r="Q122" s="9"/>
      <c r="S122" s="8">
        <v>1701</v>
      </c>
      <c r="U122" s="8" t="str">
        <f t="shared" ca="1" si="4"/>
        <v/>
      </c>
      <c r="V122" s="8" t="str">
        <f t="shared" ca="1" si="5"/>
        <v/>
      </c>
      <c r="AB122" s="8" t="s">
        <v>19</v>
      </c>
    </row>
    <row r="123" spans="1:32">
      <c r="A123" t="s">
        <v>185</v>
      </c>
      <c r="D123" s="3" t="s">
        <v>186</v>
      </c>
      <c r="E123" s="3" t="s">
        <v>186</v>
      </c>
      <c r="F123" t="s">
        <v>35</v>
      </c>
      <c r="I123" t="s">
        <v>779</v>
      </c>
      <c r="Q123" s="9"/>
      <c r="U123" s="8" t="str">
        <f t="shared" ca="1" si="4"/>
        <v/>
      </c>
      <c r="V123" s="8" t="str">
        <f t="shared" ca="1" si="5"/>
        <v/>
      </c>
      <c r="AB123" s="8" t="s">
        <v>1371</v>
      </c>
    </row>
    <row r="124" spans="1:32">
      <c r="A124" t="s">
        <v>185</v>
      </c>
      <c r="D124" s="3" t="s">
        <v>187</v>
      </c>
      <c r="E124" s="3" t="s">
        <v>187</v>
      </c>
      <c r="F124" t="s">
        <v>35</v>
      </c>
      <c r="I124" t="s">
        <v>780</v>
      </c>
      <c r="Q124" s="9"/>
      <c r="U124" s="8" t="str">
        <f t="shared" ca="1" si="4"/>
        <v/>
      </c>
      <c r="V124" s="8" t="str">
        <f t="shared" ca="1" si="5"/>
        <v/>
      </c>
      <c r="AB124" s="8" t="s">
        <v>1371</v>
      </c>
    </row>
    <row r="125" spans="1:32">
      <c r="A125" t="s">
        <v>188</v>
      </c>
      <c r="D125" s="3" t="s">
        <v>189</v>
      </c>
      <c r="E125" s="3" t="s">
        <v>189</v>
      </c>
      <c r="F125" t="s">
        <v>35</v>
      </c>
      <c r="I125" t="s">
        <v>781</v>
      </c>
      <c r="Q125" s="9"/>
      <c r="U125" s="8" t="str">
        <f t="shared" ca="1" si="4"/>
        <v/>
      </c>
      <c r="V125" s="8" t="str">
        <f t="shared" ca="1" si="5"/>
        <v/>
      </c>
      <c r="AB125" s="8" t="s">
        <v>1371</v>
      </c>
    </row>
    <row r="126" spans="1:32" ht="29">
      <c r="A126" t="s">
        <v>190</v>
      </c>
      <c r="D126" s="3" t="s">
        <v>1367</v>
      </c>
      <c r="E126" s="3" t="s">
        <v>1368</v>
      </c>
      <c r="H126" t="s">
        <v>19</v>
      </c>
      <c r="J126" s="8" t="s">
        <v>1305</v>
      </c>
      <c r="Q126" s="9"/>
      <c r="U126" s="8" t="str">
        <f t="shared" ca="1" si="4"/>
        <v/>
      </c>
      <c r="V126" s="8" t="str">
        <f t="shared" ca="1" si="5"/>
        <v/>
      </c>
      <c r="AB126" s="8" t="s">
        <v>19</v>
      </c>
      <c r="AF126" s="8" t="s">
        <v>1289</v>
      </c>
    </row>
    <row r="127" spans="1:32">
      <c r="A127" t="s">
        <v>191</v>
      </c>
      <c r="D127" s="3" t="s">
        <v>782</v>
      </c>
      <c r="E127" s="3" t="s">
        <v>782</v>
      </c>
      <c r="F127" t="s">
        <v>35</v>
      </c>
      <c r="I127" t="s">
        <v>783</v>
      </c>
      <c r="Q127" s="9"/>
      <c r="U127" s="8" t="str">
        <f t="shared" ca="1" si="4"/>
        <v/>
      </c>
      <c r="V127" s="8" t="str">
        <f t="shared" ca="1" si="5"/>
        <v/>
      </c>
      <c r="AB127" s="8" t="s">
        <v>1371</v>
      </c>
    </row>
    <row r="128" spans="1:32">
      <c r="A128" t="s">
        <v>192</v>
      </c>
      <c r="D128" s="3" t="s">
        <v>784</v>
      </c>
      <c r="E128" s="3" t="s">
        <v>784</v>
      </c>
      <c r="F128" t="s">
        <v>35</v>
      </c>
      <c r="I128" t="s">
        <v>785</v>
      </c>
      <c r="Q128" s="9"/>
      <c r="U128" s="8" t="str">
        <f t="shared" ca="1" si="4"/>
        <v/>
      </c>
      <c r="V128" s="8" t="str">
        <f t="shared" ca="1" si="5"/>
        <v/>
      </c>
      <c r="AB128" s="8" t="s">
        <v>1371</v>
      </c>
    </row>
    <row r="129" spans="1:32">
      <c r="A129" t="s">
        <v>193</v>
      </c>
      <c r="D129" s="3" t="s">
        <v>194</v>
      </c>
      <c r="E129" s="3" t="s">
        <v>195</v>
      </c>
      <c r="J129" s="8" t="s">
        <v>1303</v>
      </c>
      <c r="Q129" s="9"/>
      <c r="T129" s="8" t="s">
        <v>1326</v>
      </c>
      <c r="U129" s="8" t="str">
        <f t="shared" ca="1" si="4"/>
        <v/>
      </c>
      <c r="V129" s="8" t="str">
        <f t="shared" ca="1" si="5"/>
        <v/>
      </c>
      <c r="AB129" s="8" t="s">
        <v>19</v>
      </c>
      <c r="AF129" s="8" t="s">
        <v>1288</v>
      </c>
    </row>
    <row r="130" spans="1:32">
      <c r="A130" t="s">
        <v>193</v>
      </c>
      <c r="D130" s="3" t="s">
        <v>786</v>
      </c>
      <c r="E130" s="3" t="s">
        <v>786</v>
      </c>
      <c r="F130" t="s">
        <v>35</v>
      </c>
      <c r="I130" t="s">
        <v>787</v>
      </c>
      <c r="Q130" s="9"/>
      <c r="U130" s="8" t="str">
        <f t="shared" ca="1" si="4"/>
        <v/>
      </c>
      <c r="V130" s="8" t="str">
        <f t="shared" ca="1" si="5"/>
        <v/>
      </c>
      <c r="AB130" s="8" t="s">
        <v>1371</v>
      </c>
    </row>
    <row r="131" spans="1:32">
      <c r="A131" t="s">
        <v>193</v>
      </c>
      <c r="D131" s="3" t="s">
        <v>788</v>
      </c>
      <c r="E131" s="3" t="s">
        <v>788</v>
      </c>
      <c r="F131" t="s">
        <v>35</v>
      </c>
      <c r="I131" t="s">
        <v>789</v>
      </c>
      <c r="Q131" s="9"/>
      <c r="U131" s="8" t="str">
        <f t="shared" ref="U131:U194" ca="1" si="6">IF(ISNUMBER(T131),VALUE(MID(_xlfn.FORMULATEXT(T131),SEARCH("-",_xlfn.FORMULATEXT(T131))+1,LEN(_xlfn.FORMULATEXT(T131))-SEARCH("-",_xlfn.FORMULATEXT(T131)))), "")</f>
        <v/>
      </c>
      <c r="V131" s="8" t="str">
        <f t="shared" ref="V131:V194" ca="1" si="7">IF(ISNUMBER(T131), VALUE(MID(_xlfn.FORMULATEXT(T131), 2, SEARCH("-", _xlfn.FORMULATEXT(T131)) - 2)), "")</f>
        <v/>
      </c>
      <c r="AB131" s="8" t="s">
        <v>1371</v>
      </c>
    </row>
    <row r="132" spans="1:32">
      <c r="A132" t="s">
        <v>196</v>
      </c>
      <c r="D132" s="3" t="s">
        <v>1742</v>
      </c>
      <c r="E132" s="3" t="s">
        <v>790</v>
      </c>
      <c r="H132" t="s">
        <v>19</v>
      </c>
      <c r="I132" s="5"/>
      <c r="J132" s="8" t="s">
        <v>1303</v>
      </c>
      <c r="Q132" s="9"/>
      <c r="T132" s="8">
        <f>0-0</f>
        <v>0</v>
      </c>
      <c r="U132" s="8">
        <f t="shared" ca="1" si="6"/>
        <v>0</v>
      </c>
      <c r="V132" s="8">
        <f t="shared" ca="1" si="7"/>
        <v>0</v>
      </c>
      <c r="AB132" s="8" t="s">
        <v>19</v>
      </c>
    </row>
    <row r="133" spans="1:32" ht="29">
      <c r="A133" t="s">
        <v>197</v>
      </c>
      <c r="D133" s="3" t="s">
        <v>1743</v>
      </c>
      <c r="E133" s="3" t="s">
        <v>1744</v>
      </c>
      <c r="H133" t="s">
        <v>19</v>
      </c>
      <c r="J133" s="8" t="s">
        <v>1305</v>
      </c>
      <c r="Q133" s="9"/>
      <c r="U133" s="8" t="str">
        <f t="shared" ca="1" si="6"/>
        <v/>
      </c>
      <c r="V133" s="8" t="str">
        <f t="shared" ca="1" si="7"/>
        <v/>
      </c>
      <c r="AB133" s="8" t="s">
        <v>19</v>
      </c>
    </row>
    <row r="134" spans="1:32">
      <c r="A134" t="s">
        <v>198</v>
      </c>
      <c r="D134" s="3" t="s">
        <v>199</v>
      </c>
      <c r="E134" s="3" t="s">
        <v>200</v>
      </c>
      <c r="H134" t="s">
        <v>19</v>
      </c>
      <c r="J134" s="8" t="s">
        <v>1303</v>
      </c>
      <c r="Q134" s="9"/>
      <c r="T134" s="8" t="s">
        <v>1304</v>
      </c>
      <c r="U134" s="8" t="str">
        <f t="shared" ca="1" si="6"/>
        <v/>
      </c>
      <c r="V134" s="8" t="str">
        <f t="shared" ca="1" si="7"/>
        <v/>
      </c>
      <c r="AB134" s="8" t="s">
        <v>19</v>
      </c>
      <c r="AF134" s="8" t="s">
        <v>1288</v>
      </c>
    </row>
    <row r="135" spans="1:32">
      <c r="A135" t="s">
        <v>201</v>
      </c>
      <c r="D135" s="3" t="s">
        <v>202</v>
      </c>
      <c r="E135" s="3" t="s">
        <v>202</v>
      </c>
      <c r="F135" t="s">
        <v>35</v>
      </c>
      <c r="I135" t="s">
        <v>791</v>
      </c>
      <c r="Q135" s="9"/>
      <c r="U135" s="8" t="str">
        <f t="shared" ca="1" si="6"/>
        <v/>
      </c>
      <c r="V135" s="8" t="str">
        <f t="shared" ca="1" si="7"/>
        <v/>
      </c>
      <c r="AB135" s="8" t="s">
        <v>1371</v>
      </c>
    </row>
    <row r="136" spans="1:32">
      <c r="A136" t="s">
        <v>203</v>
      </c>
      <c r="D136" s="3" t="s">
        <v>792</v>
      </c>
      <c r="E136" s="3" t="s">
        <v>792</v>
      </c>
      <c r="F136" t="s">
        <v>35</v>
      </c>
      <c r="I136" t="s">
        <v>793</v>
      </c>
      <c r="Q136" s="9"/>
      <c r="U136" s="8" t="str">
        <f t="shared" ca="1" si="6"/>
        <v/>
      </c>
      <c r="V136" s="8" t="str">
        <f t="shared" ca="1" si="7"/>
        <v/>
      </c>
      <c r="AB136" s="8" t="s">
        <v>1371</v>
      </c>
    </row>
    <row r="137" spans="1:32">
      <c r="A137" t="s">
        <v>204</v>
      </c>
      <c r="D137" s="3" t="s">
        <v>205</v>
      </c>
      <c r="E137" s="3" t="s">
        <v>205</v>
      </c>
      <c r="F137" t="s">
        <v>35</v>
      </c>
      <c r="I137" t="s">
        <v>794</v>
      </c>
      <c r="Q137" s="9"/>
      <c r="U137" s="8" t="str">
        <f t="shared" ca="1" si="6"/>
        <v/>
      </c>
      <c r="V137" s="8" t="str">
        <f t="shared" ca="1" si="7"/>
        <v/>
      </c>
      <c r="AB137" s="8" t="s">
        <v>1371</v>
      </c>
    </row>
    <row r="138" spans="1:32">
      <c r="A138" t="s">
        <v>206</v>
      </c>
      <c r="D138" s="3" t="s">
        <v>795</v>
      </c>
      <c r="E138" s="3" t="s">
        <v>795</v>
      </c>
      <c r="F138" t="s">
        <v>35</v>
      </c>
      <c r="I138" t="s">
        <v>796</v>
      </c>
      <c r="Q138" s="9"/>
      <c r="U138" s="8" t="str">
        <f t="shared" ca="1" si="6"/>
        <v/>
      </c>
      <c r="V138" s="8" t="str">
        <f t="shared" ca="1" si="7"/>
        <v/>
      </c>
      <c r="AB138" s="8" t="s">
        <v>1371</v>
      </c>
    </row>
    <row r="139" spans="1:32">
      <c r="A139" t="s">
        <v>207</v>
      </c>
      <c r="D139" s="3" t="s">
        <v>797</v>
      </c>
      <c r="E139" s="3" t="s">
        <v>797</v>
      </c>
      <c r="F139" t="s">
        <v>35</v>
      </c>
      <c r="I139" t="s">
        <v>798</v>
      </c>
      <c r="Q139" s="9"/>
      <c r="U139" s="8" t="str">
        <f t="shared" ca="1" si="6"/>
        <v/>
      </c>
      <c r="V139" s="8" t="str">
        <f t="shared" ca="1" si="7"/>
        <v/>
      </c>
      <c r="AB139" s="8" t="s">
        <v>1371</v>
      </c>
    </row>
    <row r="140" spans="1:32">
      <c r="A140" t="s">
        <v>207</v>
      </c>
      <c r="D140" s="3" t="s">
        <v>799</v>
      </c>
      <c r="E140" s="3" t="s">
        <v>799</v>
      </c>
      <c r="F140" t="s">
        <v>35</v>
      </c>
      <c r="I140" t="s">
        <v>800</v>
      </c>
      <c r="Q140" s="9"/>
      <c r="U140" s="8" t="str">
        <f t="shared" ca="1" si="6"/>
        <v/>
      </c>
      <c r="V140" s="8" t="str">
        <f t="shared" ca="1" si="7"/>
        <v/>
      </c>
      <c r="AB140" s="8" t="s">
        <v>1371</v>
      </c>
    </row>
    <row r="141" spans="1:32">
      <c r="A141" t="s">
        <v>208</v>
      </c>
      <c r="D141" s="3" t="s">
        <v>801</v>
      </c>
      <c r="E141" s="3" t="s">
        <v>802</v>
      </c>
      <c r="H141" t="s">
        <v>19</v>
      </c>
      <c r="J141" s="8" t="s">
        <v>24</v>
      </c>
      <c r="K141" s="8">
        <v>0</v>
      </c>
      <c r="L141" s="8">
        <v>1</v>
      </c>
      <c r="M141" s="8">
        <v>3</v>
      </c>
      <c r="N141" s="8" t="s">
        <v>1274</v>
      </c>
      <c r="O141" s="8" t="s">
        <v>1263</v>
      </c>
      <c r="Q141" s="9"/>
      <c r="S141" s="8">
        <v>743</v>
      </c>
      <c r="U141" s="8" t="str">
        <f t="shared" ca="1" si="6"/>
        <v/>
      </c>
      <c r="V141" s="8" t="str">
        <f t="shared" ca="1" si="7"/>
        <v/>
      </c>
      <c r="AB141" s="8" t="s">
        <v>19</v>
      </c>
    </row>
    <row r="142" spans="1:32">
      <c r="A142" t="s">
        <v>209</v>
      </c>
      <c r="D142" s="3" t="s">
        <v>803</v>
      </c>
      <c r="E142" s="3" t="s">
        <v>803</v>
      </c>
      <c r="F142" t="s">
        <v>35</v>
      </c>
      <c r="I142" t="s">
        <v>804</v>
      </c>
      <c r="Q142" s="9"/>
      <c r="U142" s="8" t="str">
        <f t="shared" ca="1" si="6"/>
        <v/>
      </c>
      <c r="V142" s="8" t="str">
        <f t="shared" ca="1" si="7"/>
        <v/>
      </c>
      <c r="AB142" s="8" t="s">
        <v>1371</v>
      </c>
    </row>
    <row r="143" spans="1:32">
      <c r="A143" t="s">
        <v>210</v>
      </c>
      <c r="D143" s="3" t="s">
        <v>805</v>
      </c>
      <c r="E143" s="3" t="s">
        <v>806</v>
      </c>
      <c r="H143" t="s">
        <v>19</v>
      </c>
      <c r="J143" s="8" t="s">
        <v>24</v>
      </c>
      <c r="K143" s="8">
        <v>0</v>
      </c>
      <c r="L143" s="8">
        <v>1</v>
      </c>
      <c r="M143" s="8">
        <v>4</v>
      </c>
      <c r="N143" s="8" t="s">
        <v>1272</v>
      </c>
      <c r="O143" s="8" t="s">
        <v>1258</v>
      </c>
      <c r="P143" s="8" t="s">
        <v>1335</v>
      </c>
      <c r="Q143" s="9" t="s">
        <v>1336</v>
      </c>
      <c r="S143" s="8" t="s">
        <v>1304</v>
      </c>
      <c r="U143" s="8" t="str">
        <f t="shared" ca="1" si="6"/>
        <v/>
      </c>
      <c r="V143" s="8" t="str">
        <f t="shared" ca="1" si="7"/>
        <v/>
      </c>
      <c r="AB143" s="8" t="s">
        <v>19</v>
      </c>
      <c r="AF143" s="8" t="s">
        <v>1288</v>
      </c>
    </row>
    <row r="144" spans="1:32" ht="29">
      <c r="A144" t="s">
        <v>211</v>
      </c>
      <c r="D144" s="3" t="s">
        <v>807</v>
      </c>
      <c r="E144" s="3" t="s">
        <v>807</v>
      </c>
      <c r="F144" t="s">
        <v>35</v>
      </c>
      <c r="I144" t="s">
        <v>810</v>
      </c>
      <c r="Q144" s="9"/>
      <c r="U144" s="8" t="str">
        <f t="shared" ca="1" si="6"/>
        <v/>
      </c>
      <c r="V144" s="8" t="str">
        <f t="shared" ca="1" si="7"/>
        <v/>
      </c>
      <c r="AB144" s="8" t="s">
        <v>1371</v>
      </c>
    </row>
    <row r="145" spans="1:28" ht="29">
      <c r="A145" t="s">
        <v>211</v>
      </c>
      <c r="D145" s="3" t="s">
        <v>808</v>
      </c>
      <c r="E145" s="3" t="s">
        <v>808</v>
      </c>
      <c r="F145" t="s">
        <v>35</v>
      </c>
      <c r="I145" t="s">
        <v>811</v>
      </c>
      <c r="Q145" s="9"/>
      <c r="U145" s="8" t="str">
        <f t="shared" ca="1" si="6"/>
        <v/>
      </c>
      <c r="V145" s="8" t="str">
        <f t="shared" ca="1" si="7"/>
        <v/>
      </c>
      <c r="AB145" s="8" t="s">
        <v>1371</v>
      </c>
    </row>
    <row r="146" spans="1:28" ht="29">
      <c r="A146" t="s">
        <v>211</v>
      </c>
      <c r="D146" s="3" t="s">
        <v>809</v>
      </c>
      <c r="E146" s="3" t="s">
        <v>809</v>
      </c>
      <c r="F146" t="s">
        <v>35</v>
      </c>
      <c r="I146" t="s">
        <v>812</v>
      </c>
      <c r="Q146" s="9"/>
      <c r="U146" s="8" t="str">
        <f t="shared" ca="1" si="6"/>
        <v/>
      </c>
      <c r="V146" s="8" t="str">
        <f t="shared" ca="1" si="7"/>
        <v/>
      </c>
      <c r="AB146" s="8" t="s">
        <v>1371</v>
      </c>
    </row>
    <row r="147" spans="1:28">
      <c r="A147" t="s">
        <v>212</v>
      </c>
      <c r="D147" s="3" t="s">
        <v>813</v>
      </c>
      <c r="E147" s="3" t="s">
        <v>813</v>
      </c>
      <c r="F147" t="s">
        <v>35</v>
      </c>
      <c r="I147" t="s">
        <v>814</v>
      </c>
      <c r="Q147" s="9"/>
      <c r="U147" s="8" t="str">
        <f t="shared" ca="1" si="6"/>
        <v/>
      </c>
      <c r="V147" s="8" t="str">
        <f t="shared" ca="1" si="7"/>
        <v/>
      </c>
      <c r="AB147" s="8" t="s">
        <v>1371</v>
      </c>
    </row>
    <row r="148" spans="1:28">
      <c r="A148" t="s">
        <v>213</v>
      </c>
      <c r="D148" s="3" t="s">
        <v>815</v>
      </c>
      <c r="E148" s="3" t="s">
        <v>815</v>
      </c>
      <c r="F148" t="s">
        <v>35</v>
      </c>
      <c r="I148" t="s">
        <v>816</v>
      </c>
      <c r="Q148" s="9"/>
      <c r="U148" s="8" t="str">
        <f t="shared" ca="1" si="6"/>
        <v/>
      </c>
      <c r="V148" s="8" t="str">
        <f t="shared" ca="1" si="7"/>
        <v/>
      </c>
      <c r="AB148" s="8" t="s">
        <v>1371</v>
      </c>
    </row>
    <row r="149" spans="1:28" ht="29">
      <c r="A149" t="s">
        <v>213</v>
      </c>
      <c r="D149" s="3" t="s">
        <v>817</v>
      </c>
      <c r="E149" s="3" t="s">
        <v>818</v>
      </c>
      <c r="H149" t="s">
        <v>19</v>
      </c>
      <c r="I149" s="5" t="s">
        <v>1339</v>
      </c>
      <c r="J149" s="8" t="s">
        <v>1303</v>
      </c>
      <c r="Q149" s="9"/>
      <c r="T149" s="8">
        <f>0-0</f>
        <v>0</v>
      </c>
      <c r="U149" s="8">
        <f t="shared" ca="1" si="6"/>
        <v>0</v>
      </c>
      <c r="V149" s="8">
        <f t="shared" ca="1" si="7"/>
        <v>0</v>
      </c>
      <c r="AB149" s="8" t="s">
        <v>19</v>
      </c>
    </row>
    <row r="150" spans="1:28">
      <c r="A150" t="s">
        <v>213</v>
      </c>
      <c r="D150" s="3" t="s">
        <v>214</v>
      </c>
      <c r="E150" s="3" t="s">
        <v>214</v>
      </c>
      <c r="F150" t="s">
        <v>35</v>
      </c>
      <c r="I150" t="s">
        <v>819</v>
      </c>
      <c r="Q150" s="9"/>
      <c r="U150" s="8" t="str">
        <f t="shared" ca="1" si="6"/>
        <v/>
      </c>
      <c r="V150" s="8" t="str">
        <f t="shared" ca="1" si="7"/>
        <v/>
      </c>
      <c r="AB150" s="8" t="s">
        <v>1371</v>
      </c>
    </row>
    <row r="151" spans="1:28">
      <c r="A151" t="s">
        <v>215</v>
      </c>
      <c r="D151" s="3" t="s">
        <v>820</v>
      </c>
      <c r="E151" s="3" t="s">
        <v>820</v>
      </c>
      <c r="F151" t="s">
        <v>35</v>
      </c>
      <c r="I151" t="s">
        <v>821</v>
      </c>
      <c r="Q151" s="9"/>
      <c r="U151" s="8" t="str">
        <f t="shared" ca="1" si="6"/>
        <v/>
      </c>
      <c r="V151" s="8" t="str">
        <f t="shared" ca="1" si="7"/>
        <v/>
      </c>
      <c r="AB151" s="8" t="s">
        <v>1371</v>
      </c>
    </row>
    <row r="152" spans="1:28" ht="29">
      <c r="A152" t="s">
        <v>215</v>
      </c>
      <c r="D152" s="3" t="s">
        <v>823</v>
      </c>
      <c r="E152" s="3" t="s">
        <v>822</v>
      </c>
      <c r="H152" t="s">
        <v>19</v>
      </c>
      <c r="I152" t="s">
        <v>1341</v>
      </c>
      <c r="J152" s="8" t="s">
        <v>25</v>
      </c>
      <c r="K152" s="8">
        <v>0</v>
      </c>
      <c r="L152" s="8">
        <v>1</v>
      </c>
      <c r="M152" s="8">
        <v>7</v>
      </c>
      <c r="N152" s="8" t="s">
        <v>1278</v>
      </c>
      <c r="O152" s="8" t="s">
        <v>1258</v>
      </c>
      <c r="P152" s="8" t="s">
        <v>1340</v>
      </c>
      <c r="Q152" s="9" t="s">
        <v>1336</v>
      </c>
      <c r="S152" s="8">
        <v>0</v>
      </c>
      <c r="U152" s="8" t="str">
        <f t="shared" ca="1" si="6"/>
        <v/>
      </c>
      <c r="V152" s="8" t="str">
        <f t="shared" ca="1" si="7"/>
        <v/>
      </c>
      <c r="AB152" s="8" t="s">
        <v>19</v>
      </c>
    </row>
    <row r="153" spans="1:28">
      <c r="A153" t="s">
        <v>216</v>
      </c>
      <c r="D153" s="3" t="s">
        <v>824</v>
      </c>
      <c r="E153" s="3" t="s">
        <v>824</v>
      </c>
      <c r="F153" t="s">
        <v>35</v>
      </c>
      <c r="I153" t="s">
        <v>825</v>
      </c>
      <c r="Q153" s="9"/>
      <c r="U153" s="8" t="str">
        <f t="shared" ca="1" si="6"/>
        <v/>
      </c>
      <c r="V153" s="8" t="str">
        <f t="shared" ca="1" si="7"/>
        <v/>
      </c>
      <c r="AB153" s="8" t="s">
        <v>1371</v>
      </c>
    </row>
    <row r="154" spans="1:28">
      <c r="A154" t="s">
        <v>216</v>
      </c>
      <c r="D154" s="3" t="s">
        <v>826</v>
      </c>
      <c r="E154" s="3" t="s">
        <v>827</v>
      </c>
      <c r="H154" t="s">
        <v>19</v>
      </c>
      <c r="I154" t="s">
        <v>1342</v>
      </c>
      <c r="J154" s="8" t="s">
        <v>25</v>
      </c>
      <c r="K154" s="8">
        <v>0</v>
      </c>
      <c r="L154" s="8">
        <v>1</v>
      </c>
      <c r="M154" s="8">
        <v>6</v>
      </c>
      <c r="N154" s="8" t="s">
        <v>1272</v>
      </c>
      <c r="O154" s="8" t="s">
        <v>1258</v>
      </c>
      <c r="P154" s="8" t="s">
        <v>1340</v>
      </c>
      <c r="Q154" s="9" t="s">
        <v>1336</v>
      </c>
      <c r="S154" s="8">
        <v>0</v>
      </c>
      <c r="U154" s="8" t="str">
        <f t="shared" ca="1" si="6"/>
        <v/>
      </c>
      <c r="V154" s="8" t="str">
        <f t="shared" ca="1" si="7"/>
        <v/>
      </c>
      <c r="AB154" s="8" t="s">
        <v>19</v>
      </c>
    </row>
    <row r="155" spans="1:28" ht="29">
      <c r="A155" t="s">
        <v>216</v>
      </c>
      <c r="D155" s="3" t="s">
        <v>829</v>
      </c>
      <c r="E155" s="3" t="s">
        <v>828</v>
      </c>
      <c r="H155" t="s">
        <v>19</v>
      </c>
      <c r="J155" s="8" t="s">
        <v>25</v>
      </c>
      <c r="K155" s="8">
        <v>0</v>
      </c>
      <c r="L155" s="8">
        <v>1</v>
      </c>
      <c r="M155" s="8">
        <v>3</v>
      </c>
      <c r="N155" s="8" t="s">
        <v>1268</v>
      </c>
      <c r="O155" s="8" t="s">
        <v>1263</v>
      </c>
      <c r="Q155" s="9"/>
      <c r="S155" s="8">
        <v>1700</v>
      </c>
      <c r="U155" s="8" t="str">
        <f t="shared" ca="1" si="6"/>
        <v/>
      </c>
      <c r="V155" s="8" t="str">
        <f t="shared" ca="1" si="7"/>
        <v/>
      </c>
      <c r="AB155" s="8" t="s">
        <v>19</v>
      </c>
    </row>
    <row r="156" spans="1:28" ht="29">
      <c r="A156" t="s">
        <v>216</v>
      </c>
      <c r="D156" s="3" t="s">
        <v>830</v>
      </c>
      <c r="E156" s="3" t="s">
        <v>831</v>
      </c>
      <c r="F156" t="s">
        <v>35</v>
      </c>
      <c r="I156" t="s">
        <v>832</v>
      </c>
      <c r="Q156" s="9"/>
      <c r="U156" s="8" t="str">
        <f t="shared" ca="1" si="6"/>
        <v/>
      </c>
      <c r="V156" s="8" t="str">
        <f t="shared" ca="1" si="7"/>
        <v/>
      </c>
      <c r="AB156" s="8" t="s">
        <v>1371</v>
      </c>
    </row>
    <row r="157" spans="1:28" ht="29">
      <c r="A157" t="s">
        <v>217</v>
      </c>
      <c r="D157" s="3" t="s">
        <v>1343</v>
      </c>
      <c r="E157" s="3" t="s">
        <v>1344</v>
      </c>
      <c r="H157" t="s">
        <v>19</v>
      </c>
      <c r="J157" s="8" t="s">
        <v>25</v>
      </c>
      <c r="K157" s="8">
        <v>0</v>
      </c>
      <c r="L157" s="8">
        <v>1</v>
      </c>
      <c r="M157" s="8">
        <v>5</v>
      </c>
      <c r="N157" s="8" t="s">
        <v>1274</v>
      </c>
      <c r="O157" s="8" t="s">
        <v>1263</v>
      </c>
      <c r="Q157" s="9"/>
      <c r="S157" s="8">
        <v>829</v>
      </c>
      <c r="U157" s="8" t="str">
        <f t="shared" ca="1" si="6"/>
        <v/>
      </c>
      <c r="V157" s="8" t="str">
        <f t="shared" ca="1" si="7"/>
        <v/>
      </c>
      <c r="AB157" s="8" t="s">
        <v>19</v>
      </c>
    </row>
    <row r="158" spans="1:28">
      <c r="A158" t="s">
        <v>218</v>
      </c>
      <c r="D158" s="3" t="s">
        <v>219</v>
      </c>
      <c r="E158" s="3" t="s">
        <v>219</v>
      </c>
      <c r="F158" t="s">
        <v>35</v>
      </c>
      <c r="I158" t="s">
        <v>833</v>
      </c>
      <c r="Q158" s="9"/>
      <c r="U158" s="8" t="str">
        <f t="shared" ca="1" si="6"/>
        <v/>
      </c>
      <c r="V158" s="8" t="str">
        <f t="shared" ca="1" si="7"/>
        <v/>
      </c>
      <c r="AB158" s="8" t="s">
        <v>1371</v>
      </c>
    </row>
    <row r="159" spans="1:28" ht="29">
      <c r="A159" t="s">
        <v>218</v>
      </c>
      <c r="D159" s="3" t="s">
        <v>835</v>
      </c>
      <c r="E159" s="3" t="s">
        <v>834</v>
      </c>
      <c r="J159" s="8" t="s">
        <v>25</v>
      </c>
      <c r="K159" s="8">
        <v>0</v>
      </c>
      <c r="L159" s="8">
        <v>1</v>
      </c>
      <c r="M159" s="8">
        <v>6</v>
      </c>
      <c r="N159" s="8" t="s">
        <v>1272</v>
      </c>
      <c r="O159" s="8" t="s">
        <v>1263</v>
      </c>
      <c r="Q159" s="9"/>
      <c r="S159" s="8">
        <v>6</v>
      </c>
      <c r="U159" s="8" t="str">
        <f t="shared" ca="1" si="6"/>
        <v/>
      </c>
      <c r="V159" s="8" t="str">
        <f t="shared" ca="1" si="7"/>
        <v/>
      </c>
      <c r="AB159" s="8" t="s">
        <v>19</v>
      </c>
    </row>
    <row r="160" spans="1:28" ht="29">
      <c r="A160" t="s">
        <v>218</v>
      </c>
      <c r="D160" s="3" t="s">
        <v>836</v>
      </c>
      <c r="E160" s="3" t="s">
        <v>837</v>
      </c>
      <c r="F160" t="s">
        <v>35</v>
      </c>
      <c r="I160" t="s">
        <v>838</v>
      </c>
      <c r="Q160" s="9"/>
      <c r="U160" s="8" t="str">
        <f t="shared" ca="1" si="6"/>
        <v/>
      </c>
      <c r="V160" s="8" t="str">
        <f t="shared" ca="1" si="7"/>
        <v/>
      </c>
      <c r="AB160" s="8" t="s">
        <v>1371</v>
      </c>
    </row>
    <row r="161" spans="1:32">
      <c r="A161" t="s">
        <v>220</v>
      </c>
      <c r="D161" s="3" t="s">
        <v>839</v>
      </c>
      <c r="E161" s="3" t="s">
        <v>840</v>
      </c>
      <c r="H161" t="s">
        <v>19</v>
      </c>
      <c r="J161" s="8" t="s">
        <v>24</v>
      </c>
      <c r="K161" s="8">
        <v>0</v>
      </c>
      <c r="L161" s="8">
        <v>1</v>
      </c>
      <c r="M161" s="8">
        <v>3</v>
      </c>
      <c r="N161" s="8" t="s">
        <v>1274</v>
      </c>
      <c r="O161" s="8" t="s">
        <v>1263</v>
      </c>
      <c r="Q161" s="9"/>
      <c r="S161" s="8">
        <v>743</v>
      </c>
      <c r="U161" s="8" t="str">
        <f t="shared" ca="1" si="6"/>
        <v/>
      </c>
      <c r="V161" s="8" t="str">
        <f t="shared" ca="1" si="7"/>
        <v/>
      </c>
      <c r="AB161" s="8" t="s">
        <v>19</v>
      </c>
      <c r="AF161" s="8" t="s">
        <v>1289</v>
      </c>
    </row>
    <row r="162" spans="1:32">
      <c r="A162" t="s">
        <v>221</v>
      </c>
      <c r="D162" s="3" t="s">
        <v>222</v>
      </c>
      <c r="E162" s="3" t="s">
        <v>222</v>
      </c>
      <c r="F162" t="s">
        <v>35</v>
      </c>
      <c r="I162" t="s">
        <v>841</v>
      </c>
      <c r="Q162" s="9"/>
      <c r="U162" s="8" t="str">
        <f t="shared" ca="1" si="6"/>
        <v/>
      </c>
      <c r="V162" s="8" t="str">
        <f t="shared" ca="1" si="7"/>
        <v/>
      </c>
      <c r="AB162" s="8" t="s">
        <v>1371</v>
      </c>
    </row>
    <row r="163" spans="1:32" ht="29">
      <c r="A163" t="s">
        <v>223</v>
      </c>
      <c r="D163" s="3" t="s">
        <v>842</v>
      </c>
      <c r="E163" s="3" t="s">
        <v>842</v>
      </c>
      <c r="F163" t="s">
        <v>35</v>
      </c>
      <c r="I163" t="s">
        <v>843</v>
      </c>
      <c r="Q163" s="9"/>
      <c r="U163" s="8" t="str">
        <f t="shared" ca="1" si="6"/>
        <v/>
      </c>
      <c r="V163" s="8" t="str">
        <f t="shared" ca="1" si="7"/>
        <v/>
      </c>
      <c r="AB163" s="8" t="s">
        <v>1371</v>
      </c>
    </row>
    <row r="164" spans="1:32">
      <c r="A164" t="s">
        <v>223</v>
      </c>
      <c r="D164" s="3" t="s">
        <v>224</v>
      </c>
      <c r="E164" s="3" t="s">
        <v>225</v>
      </c>
      <c r="J164" s="8" t="s">
        <v>1305</v>
      </c>
      <c r="Q164" s="9"/>
      <c r="U164" s="8" t="str">
        <f t="shared" ca="1" si="6"/>
        <v/>
      </c>
      <c r="V164" s="8" t="str">
        <f t="shared" ca="1" si="7"/>
        <v/>
      </c>
      <c r="AB164" s="8" t="s">
        <v>19</v>
      </c>
      <c r="AD164" s="8" t="s">
        <v>1329</v>
      </c>
      <c r="AE164" s="8" t="s">
        <v>19</v>
      </c>
      <c r="AF164" s="8" t="s">
        <v>1288</v>
      </c>
    </row>
    <row r="165" spans="1:32" ht="29">
      <c r="A165" t="s">
        <v>223</v>
      </c>
      <c r="D165" s="3" t="s">
        <v>844</v>
      </c>
      <c r="E165" s="3" t="s">
        <v>844</v>
      </c>
      <c r="F165" t="s">
        <v>35</v>
      </c>
      <c r="I165" t="s">
        <v>845</v>
      </c>
      <c r="Q165" s="9"/>
      <c r="U165" s="8" t="str">
        <f t="shared" ca="1" si="6"/>
        <v/>
      </c>
      <c r="V165" s="8" t="str">
        <f t="shared" ca="1" si="7"/>
        <v/>
      </c>
      <c r="AB165" s="8" t="s">
        <v>1371</v>
      </c>
    </row>
    <row r="166" spans="1:32">
      <c r="A166" t="s">
        <v>226</v>
      </c>
      <c r="D166" t="s">
        <v>846</v>
      </c>
      <c r="E166" t="s">
        <v>846</v>
      </c>
      <c r="F166" t="s">
        <v>35</v>
      </c>
      <c r="I166" t="s">
        <v>847</v>
      </c>
      <c r="Q166" s="9"/>
      <c r="U166" s="8" t="str">
        <f t="shared" ca="1" si="6"/>
        <v/>
      </c>
      <c r="V166" s="8" t="str">
        <f t="shared" ca="1" si="7"/>
        <v/>
      </c>
      <c r="AB166" s="8" t="s">
        <v>1371</v>
      </c>
    </row>
    <row r="167" spans="1:32">
      <c r="A167" t="s">
        <v>227</v>
      </c>
      <c r="D167" s="3" t="s">
        <v>228</v>
      </c>
      <c r="E167" s="3" t="s">
        <v>229</v>
      </c>
      <c r="J167" s="8" t="s">
        <v>1303</v>
      </c>
      <c r="Q167" s="9"/>
      <c r="T167" s="8" t="s">
        <v>1326</v>
      </c>
      <c r="U167" s="8" t="str">
        <f t="shared" ca="1" si="6"/>
        <v/>
      </c>
      <c r="V167" s="8" t="str">
        <f t="shared" ca="1" si="7"/>
        <v/>
      </c>
      <c r="AB167" s="8" t="s">
        <v>19</v>
      </c>
      <c r="AD167" s="8" t="s">
        <v>1331</v>
      </c>
      <c r="AE167" s="8" t="s">
        <v>19</v>
      </c>
      <c r="AF167" s="8" t="s">
        <v>1290</v>
      </c>
    </row>
    <row r="168" spans="1:32">
      <c r="A168" t="s">
        <v>230</v>
      </c>
      <c r="D168" s="3" t="s">
        <v>848</v>
      </c>
      <c r="E168" s="3" t="s">
        <v>848</v>
      </c>
      <c r="F168" t="s">
        <v>35</v>
      </c>
      <c r="I168" t="s">
        <v>849</v>
      </c>
      <c r="Q168" s="9"/>
      <c r="U168" s="8" t="str">
        <f t="shared" ca="1" si="6"/>
        <v/>
      </c>
      <c r="V168" s="8" t="str">
        <f t="shared" ca="1" si="7"/>
        <v/>
      </c>
      <c r="AB168" s="8" t="s">
        <v>1371</v>
      </c>
    </row>
    <row r="169" spans="1:32" ht="29">
      <c r="A169" t="s">
        <v>231</v>
      </c>
      <c r="D169" s="3" t="s">
        <v>851</v>
      </c>
      <c r="E169" s="3" t="s">
        <v>853</v>
      </c>
      <c r="J169" s="8" t="s">
        <v>1303</v>
      </c>
      <c r="Q169" s="9"/>
      <c r="T169" s="8" t="s">
        <v>1304</v>
      </c>
      <c r="U169" s="8" t="str">
        <f t="shared" ca="1" si="6"/>
        <v/>
      </c>
      <c r="V169" s="8" t="str">
        <f t="shared" ca="1" si="7"/>
        <v/>
      </c>
      <c r="AB169" s="8" t="s">
        <v>19</v>
      </c>
      <c r="AD169" s="8" t="s">
        <v>1331</v>
      </c>
      <c r="AE169" s="8" t="s">
        <v>19</v>
      </c>
      <c r="AF169" s="8" t="s">
        <v>1290</v>
      </c>
    </row>
    <row r="170" spans="1:32" ht="29">
      <c r="A170" t="s">
        <v>231</v>
      </c>
      <c r="D170" s="3" t="s">
        <v>852</v>
      </c>
      <c r="E170" s="6" t="s">
        <v>854</v>
      </c>
      <c r="F170" t="s">
        <v>17</v>
      </c>
      <c r="I170" t="s">
        <v>850</v>
      </c>
      <c r="Q170" s="9"/>
      <c r="U170" s="8" t="str">
        <f t="shared" ca="1" si="6"/>
        <v/>
      </c>
      <c r="V170" s="8" t="str">
        <f t="shared" ca="1" si="7"/>
        <v/>
      </c>
      <c r="AB170" s="8" t="s">
        <v>1371</v>
      </c>
    </row>
    <row r="171" spans="1:32" ht="29">
      <c r="A171" t="s">
        <v>231</v>
      </c>
      <c r="D171" s="3" t="s">
        <v>856</v>
      </c>
      <c r="E171" s="3" t="s">
        <v>855</v>
      </c>
      <c r="J171" s="8" t="s">
        <v>25</v>
      </c>
      <c r="K171" s="8">
        <v>0</v>
      </c>
      <c r="L171" s="8">
        <v>1</v>
      </c>
      <c r="M171" s="8">
        <v>2</v>
      </c>
      <c r="N171" s="8" t="s">
        <v>1262</v>
      </c>
      <c r="O171" s="8" t="s">
        <v>1304</v>
      </c>
      <c r="Q171" s="9"/>
      <c r="S171" s="8">
        <v>2475</v>
      </c>
      <c r="U171" s="8" t="str">
        <f t="shared" ca="1" si="6"/>
        <v/>
      </c>
      <c r="V171" s="8" t="str">
        <f t="shared" ca="1" si="7"/>
        <v/>
      </c>
      <c r="AB171" s="8" t="s">
        <v>19</v>
      </c>
    </row>
    <row r="172" spans="1:32">
      <c r="A172" t="s">
        <v>232</v>
      </c>
      <c r="D172" s="3" t="s">
        <v>233</v>
      </c>
      <c r="E172" s="3" t="s">
        <v>233</v>
      </c>
      <c r="F172" t="s">
        <v>35</v>
      </c>
      <c r="I172" t="s">
        <v>857</v>
      </c>
      <c r="Q172" s="9"/>
      <c r="U172" s="8" t="str">
        <f t="shared" ca="1" si="6"/>
        <v/>
      </c>
      <c r="V172" s="8" t="str">
        <f t="shared" ca="1" si="7"/>
        <v/>
      </c>
      <c r="AB172" s="8" t="s">
        <v>1371</v>
      </c>
    </row>
    <row r="173" spans="1:32">
      <c r="A173" t="s">
        <v>232</v>
      </c>
      <c r="D173" s="3" t="s">
        <v>858</v>
      </c>
      <c r="E173" s="3" t="s">
        <v>858</v>
      </c>
      <c r="F173" t="s">
        <v>35</v>
      </c>
      <c r="I173" t="s">
        <v>859</v>
      </c>
      <c r="Q173" s="9"/>
      <c r="U173" s="8" t="str">
        <f t="shared" ca="1" si="6"/>
        <v/>
      </c>
      <c r="V173" s="8" t="str">
        <f t="shared" ca="1" si="7"/>
        <v/>
      </c>
      <c r="AB173" s="8" t="s">
        <v>1371</v>
      </c>
    </row>
    <row r="174" spans="1:32" ht="29">
      <c r="A174" t="s">
        <v>234</v>
      </c>
      <c r="D174" s="3" t="s">
        <v>860</v>
      </c>
      <c r="E174" s="3" t="s">
        <v>861</v>
      </c>
      <c r="H174" t="s">
        <v>19</v>
      </c>
      <c r="J174" s="8" t="s">
        <v>24</v>
      </c>
      <c r="K174" s="8">
        <v>0</v>
      </c>
      <c r="L174" s="8">
        <v>1</v>
      </c>
      <c r="M174" s="8">
        <v>6</v>
      </c>
      <c r="N174" s="8" t="s">
        <v>1274</v>
      </c>
      <c r="O174" s="8" t="s">
        <v>1258</v>
      </c>
      <c r="P174" s="8" t="s">
        <v>1340</v>
      </c>
      <c r="Q174" s="9" t="s">
        <v>1338</v>
      </c>
      <c r="R174" s="8" t="s">
        <v>1259</v>
      </c>
      <c r="S174" s="8">
        <v>830</v>
      </c>
      <c r="U174" s="8" t="str">
        <f t="shared" ca="1" si="6"/>
        <v/>
      </c>
      <c r="V174" s="8" t="str">
        <f t="shared" ca="1" si="7"/>
        <v/>
      </c>
      <c r="AB174" s="8" t="s">
        <v>19</v>
      </c>
    </row>
    <row r="175" spans="1:32">
      <c r="A175" t="s">
        <v>235</v>
      </c>
      <c r="D175" s="3" t="s">
        <v>236</v>
      </c>
      <c r="E175" s="3" t="s">
        <v>237</v>
      </c>
      <c r="J175" s="8" t="s">
        <v>1303</v>
      </c>
      <c r="Q175" s="9"/>
      <c r="T175" s="8" t="s">
        <v>1304</v>
      </c>
      <c r="U175" s="8" t="str">
        <f t="shared" ca="1" si="6"/>
        <v/>
      </c>
      <c r="V175" s="8" t="str">
        <f t="shared" ca="1" si="7"/>
        <v/>
      </c>
      <c r="AB175" s="8" t="s">
        <v>19</v>
      </c>
      <c r="AF175" s="8" t="s">
        <v>1288</v>
      </c>
    </row>
    <row r="176" spans="1:32">
      <c r="A176" t="s">
        <v>238</v>
      </c>
      <c r="D176" s="3" t="s">
        <v>239</v>
      </c>
      <c r="E176" s="3" t="s">
        <v>862</v>
      </c>
      <c r="F176" t="s">
        <v>17</v>
      </c>
      <c r="I176" t="s">
        <v>863</v>
      </c>
      <c r="Q176" s="9"/>
      <c r="U176" s="8" t="str">
        <f t="shared" ca="1" si="6"/>
        <v/>
      </c>
      <c r="V176" s="8" t="str">
        <f t="shared" ca="1" si="7"/>
        <v/>
      </c>
      <c r="AB176" s="8" t="s">
        <v>1371</v>
      </c>
    </row>
    <row r="177" spans="1:32">
      <c r="A177" t="s">
        <v>240</v>
      </c>
      <c r="D177" s="3" t="s">
        <v>241</v>
      </c>
      <c r="E177" s="3" t="s">
        <v>241</v>
      </c>
      <c r="F177" t="s">
        <v>35</v>
      </c>
      <c r="I177" t="s">
        <v>864</v>
      </c>
      <c r="Q177" s="9"/>
      <c r="U177" s="8" t="str">
        <f t="shared" ca="1" si="6"/>
        <v/>
      </c>
      <c r="V177" s="8" t="str">
        <f t="shared" ca="1" si="7"/>
        <v/>
      </c>
      <c r="AB177" s="8" t="s">
        <v>1371</v>
      </c>
    </row>
    <row r="178" spans="1:32">
      <c r="A178" t="s">
        <v>242</v>
      </c>
      <c r="D178" s="3" t="s">
        <v>865</v>
      </c>
      <c r="E178" s="3" t="s">
        <v>865</v>
      </c>
      <c r="F178" t="s">
        <v>35</v>
      </c>
      <c r="I178" t="s">
        <v>866</v>
      </c>
      <c r="Q178" s="9"/>
      <c r="U178" s="8" t="str">
        <f t="shared" ca="1" si="6"/>
        <v/>
      </c>
      <c r="V178" s="8" t="str">
        <f t="shared" ca="1" si="7"/>
        <v/>
      </c>
      <c r="AB178" s="8" t="s">
        <v>1371</v>
      </c>
    </row>
    <row r="179" spans="1:32">
      <c r="A179" t="s">
        <v>243</v>
      </c>
      <c r="D179" s="3" t="s">
        <v>867</v>
      </c>
      <c r="E179" s="3" t="s">
        <v>867</v>
      </c>
      <c r="F179" t="s">
        <v>35</v>
      </c>
      <c r="I179" t="s">
        <v>868</v>
      </c>
      <c r="Q179" s="9"/>
      <c r="U179" s="8" t="str">
        <f t="shared" ca="1" si="6"/>
        <v/>
      </c>
      <c r="V179" s="8" t="str">
        <f t="shared" ca="1" si="7"/>
        <v/>
      </c>
      <c r="AB179" s="8" t="s">
        <v>1371</v>
      </c>
    </row>
    <row r="180" spans="1:32">
      <c r="A180" t="s">
        <v>244</v>
      </c>
      <c r="D180" s="3" t="s">
        <v>245</v>
      </c>
      <c r="E180" s="3" t="s">
        <v>246</v>
      </c>
      <c r="J180" s="8" t="s">
        <v>1305</v>
      </c>
      <c r="Q180" s="9"/>
      <c r="U180" s="8" t="str">
        <f t="shared" ca="1" si="6"/>
        <v/>
      </c>
      <c r="V180" s="8" t="str">
        <f t="shared" ca="1" si="7"/>
        <v/>
      </c>
      <c r="AB180" s="8" t="s">
        <v>19</v>
      </c>
      <c r="AF180" s="8" t="s">
        <v>1289</v>
      </c>
    </row>
    <row r="181" spans="1:32">
      <c r="A181" t="s">
        <v>247</v>
      </c>
      <c r="D181" s="3" t="s">
        <v>869</v>
      </c>
      <c r="E181" s="3" t="s">
        <v>869</v>
      </c>
      <c r="F181" t="s">
        <v>35</v>
      </c>
      <c r="I181" t="s">
        <v>870</v>
      </c>
      <c r="Q181" s="9"/>
      <c r="U181" s="8" t="str">
        <f t="shared" ca="1" si="6"/>
        <v/>
      </c>
      <c r="V181" s="8" t="str">
        <f t="shared" ca="1" si="7"/>
        <v/>
      </c>
      <c r="AB181" s="8" t="s">
        <v>1371</v>
      </c>
    </row>
    <row r="182" spans="1:32">
      <c r="A182" t="s">
        <v>248</v>
      </c>
      <c r="D182" s="3" t="s">
        <v>249</v>
      </c>
      <c r="E182" s="3" t="s">
        <v>250</v>
      </c>
      <c r="F182" t="s">
        <v>17</v>
      </c>
      <c r="Q182" s="9"/>
      <c r="U182" s="8" t="str">
        <f t="shared" ca="1" si="6"/>
        <v/>
      </c>
      <c r="V182" s="8" t="str">
        <f t="shared" ca="1" si="7"/>
        <v/>
      </c>
      <c r="AB182" s="8" t="s">
        <v>1371</v>
      </c>
    </row>
    <row r="183" spans="1:32" ht="29">
      <c r="A183" t="s">
        <v>251</v>
      </c>
      <c r="D183" s="3" t="s">
        <v>872</v>
      </c>
      <c r="E183" s="3" t="s">
        <v>871</v>
      </c>
      <c r="J183" s="8" t="s">
        <v>24</v>
      </c>
      <c r="K183" s="8">
        <v>0</v>
      </c>
      <c r="L183" s="8">
        <v>1</v>
      </c>
      <c r="M183" s="8">
        <v>3</v>
      </c>
      <c r="N183" s="8" t="s">
        <v>1262</v>
      </c>
      <c r="O183" s="8" t="s">
        <v>1258</v>
      </c>
      <c r="P183" s="8" t="s">
        <v>1340</v>
      </c>
      <c r="Q183" s="9" t="s">
        <v>1336</v>
      </c>
      <c r="R183" s="8" t="s">
        <v>1259</v>
      </c>
      <c r="S183" s="8">
        <v>2475</v>
      </c>
      <c r="U183" s="8" t="str">
        <f t="shared" ca="1" si="6"/>
        <v/>
      </c>
      <c r="V183" s="8" t="str">
        <f t="shared" ca="1" si="7"/>
        <v/>
      </c>
      <c r="AB183" s="8" t="s">
        <v>19</v>
      </c>
    </row>
    <row r="184" spans="1:32" ht="29">
      <c r="A184" t="s">
        <v>252</v>
      </c>
      <c r="D184" s="3" t="s">
        <v>873</v>
      </c>
      <c r="E184" s="3" t="s">
        <v>873</v>
      </c>
      <c r="F184" t="s">
        <v>35</v>
      </c>
      <c r="I184" t="s">
        <v>874</v>
      </c>
      <c r="Q184" s="9"/>
      <c r="U184" s="8" t="str">
        <f t="shared" ca="1" si="6"/>
        <v/>
      </c>
      <c r="V184" s="8" t="str">
        <f t="shared" ca="1" si="7"/>
        <v/>
      </c>
      <c r="AB184" s="8" t="s">
        <v>1371</v>
      </c>
    </row>
    <row r="185" spans="1:32">
      <c r="A185" t="s">
        <v>253</v>
      </c>
      <c r="D185" s="3" t="s">
        <v>222</v>
      </c>
      <c r="E185" s="3" t="s">
        <v>222</v>
      </c>
      <c r="F185" t="s">
        <v>35</v>
      </c>
      <c r="I185" t="s">
        <v>841</v>
      </c>
      <c r="Q185" s="9"/>
      <c r="U185" s="8" t="str">
        <f t="shared" ca="1" si="6"/>
        <v/>
      </c>
      <c r="V185" s="8" t="str">
        <f t="shared" ca="1" si="7"/>
        <v/>
      </c>
      <c r="AB185" s="8" t="s">
        <v>1371</v>
      </c>
    </row>
    <row r="186" spans="1:32" ht="29">
      <c r="A186" t="s">
        <v>254</v>
      </c>
      <c r="D186" s="3" t="s">
        <v>875</v>
      </c>
      <c r="E186" s="3" t="s">
        <v>1747</v>
      </c>
      <c r="G186" t="s">
        <v>19</v>
      </c>
      <c r="J186" s="8" t="s">
        <v>24</v>
      </c>
      <c r="K186" s="8">
        <v>0</v>
      </c>
      <c r="L186" s="8">
        <v>1</v>
      </c>
      <c r="M186" s="8">
        <v>5</v>
      </c>
      <c r="N186" s="8" t="s">
        <v>1272</v>
      </c>
      <c r="O186" s="8" t="s">
        <v>1263</v>
      </c>
      <c r="Q186" s="9"/>
      <c r="S186" s="8">
        <v>0</v>
      </c>
      <c r="AB186" s="8" t="s">
        <v>19</v>
      </c>
    </row>
    <row r="187" spans="1:32">
      <c r="A187" t="s">
        <v>254</v>
      </c>
      <c r="D187" s="3" t="s">
        <v>876</v>
      </c>
      <c r="E187" s="3" t="s">
        <v>876</v>
      </c>
      <c r="F187" t="s">
        <v>35</v>
      </c>
      <c r="I187" t="s">
        <v>877</v>
      </c>
      <c r="Q187" s="9"/>
      <c r="U187" s="8" t="str">
        <f t="shared" ca="1" si="6"/>
        <v/>
      </c>
      <c r="V187" s="8" t="str">
        <f t="shared" ca="1" si="7"/>
        <v/>
      </c>
      <c r="AB187" s="8" t="s">
        <v>1371</v>
      </c>
    </row>
    <row r="188" spans="1:32">
      <c r="A188" t="s">
        <v>255</v>
      </c>
      <c r="D188" s="3" t="s">
        <v>878</v>
      </c>
      <c r="E188" s="3" t="s">
        <v>878</v>
      </c>
      <c r="F188" t="s">
        <v>35</v>
      </c>
      <c r="I188" t="s">
        <v>874</v>
      </c>
      <c r="Q188" s="9"/>
      <c r="U188" s="8" t="str">
        <f t="shared" ca="1" si="6"/>
        <v/>
      </c>
      <c r="V188" s="8" t="str">
        <f t="shared" ca="1" si="7"/>
        <v/>
      </c>
      <c r="AB188" s="8" t="s">
        <v>1371</v>
      </c>
    </row>
    <row r="189" spans="1:32">
      <c r="A189" t="s">
        <v>256</v>
      </c>
      <c r="D189" s="3" t="s">
        <v>879</v>
      </c>
      <c r="E189" s="3" t="s">
        <v>880</v>
      </c>
      <c r="H189" t="s">
        <v>19</v>
      </c>
      <c r="J189" s="8" t="s">
        <v>1303</v>
      </c>
      <c r="Q189" s="9"/>
      <c r="T189" s="8" t="s">
        <v>1326</v>
      </c>
      <c r="U189" s="8" t="str">
        <f t="shared" ca="1" si="6"/>
        <v/>
      </c>
      <c r="V189" s="8" t="str">
        <f t="shared" ca="1" si="7"/>
        <v/>
      </c>
      <c r="AB189" s="8" t="s">
        <v>19</v>
      </c>
      <c r="AF189" s="8" t="s">
        <v>1288</v>
      </c>
    </row>
    <row r="190" spans="1:32">
      <c r="A190" t="s">
        <v>257</v>
      </c>
      <c r="D190" s="3" t="s">
        <v>881</v>
      </c>
      <c r="E190" s="3" t="s">
        <v>881</v>
      </c>
      <c r="F190" t="s">
        <v>35</v>
      </c>
      <c r="I190" t="s">
        <v>832</v>
      </c>
      <c r="Q190" s="9"/>
      <c r="U190" s="8" t="str">
        <f t="shared" ca="1" si="6"/>
        <v/>
      </c>
      <c r="V190" s="8" t="str">
        <f t="shared" ca="1" si="7"/>
        <v/>
      </c>
      <c r="AB190" s="8" t="s">
        <v>1371</v>
      </c>
    </row>
    <row r="191" spans="1:32">
      <c r="A191" t="s">
        <v>258</v>
      </c>
      <c r="D191" s="3" t="s">
        <v>882</v>
      </c>
      <c r="E191" s="3" t="s">
        <v>882</v>
      </c>
      <c r="F191" t="s">
        <v>35</v>
      </c>
      <c r="I191" t="s">
        <v>883</v>
      </c>
      <c r="Q191" s="9"/>
      <c r="U191" s="8" t="str">
        <f t="shared" ca="1" si="6"/>
        <v/>
      </c>
      <c r="V191" s="8" t="str">
        <f t="shared" ca="1" si="7"/>
        <v/>
      </c>
      <c r="AB191" s="8" t="s">
        <v>1371</v>
      </c>
    </row>
    <row r="192" spans="1:32">
      <c r="A192" t="s">
        <v>259</v>
      </c>
      <c r="D192" s="3" t="s">
        <v>885</v>
      </c>
      <c r="E192" s="3" t="s">
        <v>884</v>
      </c>
      <c r="J192" s="8" t="s">
        <v>1305</v>
      </c>
      <c r="Q192" s="9"/>
      <c r="U192" s="8" t="str">
        <f t="shared" ca="1" si="6"/>
        <v/>
      </c>
      <c r="V192" s="8" t="str">
        <f t="shared" ca="1" si="7"/>
        <v/>
      </c>
      <c r="AB192" s="8" t="s">
        <v>19</v>
      </c>
      <c r="AF192" s="8" t="s">
        <v>1289</v>
      </c>
    </row>
    <row r="193" spans="1:32">
      <c r="A193" t="s">
        <v>260</v>
      </c>
      <c r="D193" s="3" t="s">
        <v>886</v>
      </c>
      <c r="E193" s="3" t="s">
        <v>886</v>
      </c>
      <c r="F193" t="s">
        <v>35</v>
      </c>
      <c r="I193" t="s">
        <v>887</v>
      </c>
      <c r="Q193" s="9"/>
      <c r="U193" s="8" t="str">
        <f t="shared" ca="1" si="6"/>
        <v/>
      </c>
      <c r="V193" s="8" t="str">
        <f t="shared" ca="1" si="7"/>
        <v/>
      </c>
      <c r="AB193" s="8" t="s">
        <v>1371</v>
      </c>
    </row>
    <row r="194" spans="1:32">
      <c r="A194" t="s">
        <v>261</v>
      </c>
      <c r="D194" s="3" t="s">
        <v>262</v>
      </c>
      <c r="E194" s="3" t="s">
        <v>263</v>
      </c>
      <c r="H194" t="s">
        <v>19</v>
      </c>
      <c r="J194" s="8" t="s">
        <v>1305</v>
      </c>
      <c r="Q194" s="9"/>
      <c r="U194" s="8" t="str">
        <f t="shared" ca="1" si="6"/>
        <v/>
      </c>
      <c r="V194" s="8" t="str">
        <f t="shared" ca="1" si="7"/>
        <v/>
      </c>
      <c r="AB194" s="8" t="s">
        <v>19</v>
      </c>
    </row>
    <row r="195" spans="1:32" ht="43.5">
      <c r="A195" t="s">
        <v>264</v>
      </c>
      <c r="D195" s="3" t="s">
        <v>1749</v>
      </c>
      <c r="E195" s="3" t="s">
        <v>1748</v>
      </c>
      <c r="F195" t="s">
        <v>36</v>
      </c>
      <c r="H195" t="s">
        <v>19</v>
      </c>
      <c r="J195" s="8" t="s">
        <v>1305</v>
      </c>
      <c r="Q195" s="9"/>
      <c r="U195" s="8" t="str">
        <f t="shared" ref="U195:U258" ca="1" si="8">IF(ISNUMBER(T195),VALUE(MID(_xlfn.FORMULATEXT(T195),SEARCH("-",_xlfn.FORMULATEXT(T195))+1,LEN(_xlfn.FORMULATEXT(T195))-SEARCH("-",_xlfn.FORMULATEXT(T195)))), "")</f>
        <v/>
      </c>
      <c r="V195" s="8" t="str">
        <f t="shared" ref="V195:V258" ca="1" si="9">IF(ISNUMBER(T195), VALUE(MID(_xlfn.FORMULATEXT(T195), 2, SEARCH("-", _xlfn.FORMULATEXT(T195)) - 2)), "")</f>
        <v/>
      </c>
      <c r="AB195" s="8" t="s">
        <v>19</v>
      </c>
    </row>
    <row r="196" spans="1:32" ht="43.5">
      <c r="A196" t="s">
        <v>264</v>
      </c>
      <c r="D196" s="3" t="s">
        <v>1755</v>
      </c>
      <c r="E196" s="3" t="s">
        <v>1748</v>
      </c>
      <c r="F196" t="s">
        <v>36</v>
      </c>
      <c r="H196" t="s">
        <v>19</v>
      </c>
      <c r="J196" s="8" t="s">
        <v>25</v>
      </c>
      <c r="K196" s="8">
        <v>0</v>
      </c>
      <c r="L196" s="8">
        <v>5</v>
      </c>
      <c r="M196" s="8">
        <v>16</v>
      </c>
      <c r="O196" s="8" t="s">
        <v>1263</v>
      </c>
      <c r="Q196" s="9"/>
      <c r="U196" s="8" t="str">
        <f t="shared" ref="U196" ca="1" si="10">IF(ISNUMBER(T196),VALUE(MID(_xlfn.FORMULATEXT(T196),SEARCH("-",_xlfn.FORMULATEXT(T196))+1,LEN(_xlfn.FORMULATEXT(T196))-SEARCH("-",_xlfn.FORMULATEXT(T196)))), "")</f>
        <v/>
      </c>
      <c r="V196" s="8" t="str">
        <f t="shared" ref="V196" ca="1" si="11">IF(ISNUMBER(T196), VALUE(MID(_xlfn.FORMULATEXT(T196), 2, SEARCH("-", _xlfn.FORMULATEXT(T196)) - 2)), "")</f>
        <v/>
      </c>
      <c r="AB196" s="8" t="s">
        <v>19</v>
      </c>
      <c r="AF196" s="8" t="s">
        <v>1289</v>
      </c>
    </row>
    <row r="197" spans="1:32" ht="29">
      <c r="A197" t="s">
        <v>265</v>
      </c>
      <c r="D197" s="3" t="s">
        <v>888</v>
      </c>
      <c r="E197" s="3" t="s">
        <v>888</v>
      </c>
      <c r="F197" t="s">
        <v>35</v>
      </c>
      <c r="I197" t="s">
        <v>889</v>
      </c>
      <c r="Q197" s="9"/>
      <c r="U197" s="8" t="str">
        <f t="shared" ca="1" si="8"/>
        <v/>
      </c>
      <c r="V197" s="8" t="str">
        <f t="shared" ca="1" si="9"/>
        <v/>
      </c>
      <c r="AB197" s="8" t="s">
        <v>1371</v>
      </c>
    </row>
    <row r="198" spans="1:32">
      <c r="A198" t="s">
        <v>266</v>
      </c>
      <c r="D198" s="3" t="s">
        <v>890</v>
      </c>
      <c r="E198" s="3" t="s">
        <v>891</v>
      </c>
      <c r="F198" t="s">
        <v>35</v>
      </c>
      <c r="I198" t="s">
        <v>892</v>
      </c>
      <c r="Q198" s="9"/>
      <c r="U198" s="8" t="str">
        <f t="shared" ca="1" si="8"/>
        <v/>
      </c>
      <c r="V198" s="8" t="str">
        <f t="shared" ca="1" si="9"/>
        <v/>
      </c>
      <c r="AB198" s="8" t="s">
        <v>1371</v>
      </c>
    </row>
    <row r="199" spans="1:32">
      <c r="A199" t="s">
        <v>267</v>
      </c>
      <c r="D199" s="3" t="s">
        <v>894</v>
      </c>
      <c r="E199" s="3" t="s">
        <v>893</v>
      </c>
      <c r="J199" s="8" t="s">
        <v>1305</v>
      </c>
      <c r="Q199" s="9"/>
      <c r="U199" s="8" t="str">
        <f t="shared" ca="1" si="8"/>
        <v/>
      </c>
      <c r="V199" s="8" t="str">
        <f t="shared" ca="1" si="9"/>
        <v/>
      </c>
      <c r="AB199" s="8" t="s">
        <v>19</v>
      </c>
      <c r="AC199" s="8" t="s">
        <v>1374</v>
      </c>
      <c r="AE199" s="8" t="s">
        <v>19</v>
      </c>
    </row>
    <row r="200" spans="1:32">
      <c r="A200" t="s">
        <v>267</v>
      </c>
      <c r="D200" s="3" t="s">
        <v>268</v>
      </c>
      <c r="E200" s="3" t="s">
        <v>268</v>
      </c>
      <c r="F200" t="s">
        <v>35</v>
      </c>
      <c r="I200" t="s">
        <v>895</v>
      </c>
      <c r="Q200" s="9"/>
      <c r="U200" s="8" t="str">
        <f t="shared" ca="1" si="8"/>
        <v/>
      </c>
      <c r="V200" s="8" t="str">
        <f t="shared" ca="1" si="9"/>
        <v/>
      </c>
      <c r="AB200" s="8" t="s">
        <v>1371</v>
      </c>
    </row>
    <row r="201" spans="1:32">
      <c r="A201" t="s">
        <v>269</v>
      </c>
      <c r="D201" s="3" t="s">
        <v>896</v>
      </c>
      <c r="E201" s="3" t="s">
        <v>896</v>
      </c>
      <c r="F201" t="s">
        <v>35</v>
      </c>
      <c r="I201" t="s">
        <v>897</v>
      </c>
      <c r="Q201" s="9"/>
      <c r="U201" s="8" t="str">
        <f t="shared" ca="1" si="8"/>
        <v/>
      </c>
      <c r="V201" s="8" t="str">
        <f t="shared" ca="1" si="9"/>
        <v/>
      </c>
      <c r="AB201" s="8" t="s">
        <v>1371</v>
      </c>
    </row>
    <row r="202" spans="1:32">
      <c r="A202" t="s">
        <v>270</v>
      </c>
      <c r="D202" s="3" t="s">
        <v>898</v>
      </c>
      <c r="E202" s="3" t="s">
        <v>898</v>
      </c>
      <c r="F202" t="s">
        <v>35</v>
      </c>
      <c r="I202" t="s">
        <v>877</v>
      </c>
      <c r="Q202" s="9"/>
      <c r="U202" s="8" t="str">
        <f t="shared" ca="1" si="8"/>
        <v/>
      </c>
      <c r="V202" s="8" t="str">
        <f t="shared" ca="1" si="9"/>
        <v/>
      </c>
      <c r="AB202" s="8" t="s">
        <v>1371</v>
      </c>
    </row>
    <row r="203" spans="1:32">
      <c r="A203" t="s">
        <v>271</v>
      </c>
      <c r="D203" s="3" t="s">
        <v>899</v>
      </c>
      <c r="E203" s="3" t="s">
        <v>900</v>
      </c>
      <c r="H203" t="s">
        <v>19</v>
      </c>
      <c r="J203" s="8" t="s">
        <v>25</v>
      </c>
      <c r="K203" s="8">
        <v>0</v>
      </c>
      <c r="L203" s="8">
        <v>1</v>
      </c>
      <c r="M203" s="8">
        <v>2</v>
      </c>
      <c r="N203" s="8" t="s">
        <v>1262</v>
      </c>
      <c r="O203" s="8" t="s">
        <v>1304</v>
      </c>
      <c r="Q203" s="9"/>
      <c r="S203" s="8">
        <v>2474</v>
      </c>
      <c r="U203" s="8" t="str">
        <f t="shared" ca="1" si="8"/>
        <v/>
      </c>
      <c r="V203" s="8" t="str">
        <f t="shared" ca="1" si="9"/>
        <v/>
      </c>
      <c r="AB203" s="8" t="s">
        <v>19</v>
      </c>
    </row>
    <row r="204" spans="1:32" ht="29">
      <c r="A204" t="s">
        <v>272</v>
      </c>
      <c r="D204" s="3" t="s">
        <v>901</v>
      </c>
      <c r="E204" s="3" t="s">
        <v>901</v>
      </c>
      <c r="F204" t="s">
        <v>35</v>
      </c>
      <c r="I204" t="s">
        <v>903</v>
      </c>
      <c r="Q204" s="9"/>
      <c r="U204" s="8" t="str">
        <f t="shared" ca="1" si="8"/>
        <v/>
      </c>
      <c r="V204" s="8" t="str">
        <f t="shared" ca="1" si="9"/>
        <v/>
      </c>
      <c r="AB204" s="8" t="s">
        <v>1371</v>
      </c>
    </row>
    <row r="205" spans="1:32" ht="29">
      <c r="A205" t="s">
        <v>272</v>
      </c>
      <c r="D205" s="3" t="s">
        <v>902</v>
      </c>
      <c r="E205" s="3" t="s">
        <v>902</v>
      </c>
      <c r="F205" t="s">
        <v>35</v>
      </c>
      <c r="I205" t="s">
        <v>903</v>
      </c>
      <c r="Q205" s="9"/>
      <c r="U205" s="8" t="str">
        <f t="shared" ca="1" si="8"/>
        <v/>
      </c>
      <c r="V205" s="8" t="str">
        <f t="shared" ca="1" si="9"/>
        <v/>
      </c>
      <c r="AB205" s="8" t="s">
        <v>1371</v>
      </c>
    </row>
    <row r="206" spans="1:32">
      <c r="A206" t="s">
        <v>272</v>
      </c>
      <c r="D206" s="3" t="s">
        <v>273</v>
      </c>
      <c r="E206" s="3" t="s">
        <v>273</v>
      </c>
      <c r="F206" t="s">
        <v>35</v>
      </c>
      <c r="I206" t="s">
        <v>904</v>
      </c>
      <c r="Q206" s="9"/>
      <c r="U206" s="8" t="str">
        <f t="shared" ca="1" si="8"/>
        <v/>
      </c>
      <c r="V206" s="8" t="str">
        <f t="shared" ca="1" si="9"/>
        <v/>
      </c>
      <c r="AB206" s="8" t="s">
        <v>1371</v>
      </c>
    </row>
    <row r="207" spans="1:32" ht="29">
      <c r="A207" t="s">
        <v>274</v>
      </c>
      <c r="D207" s="3" t="s">
        <v>1346</v>
      </c>
      <c r="E207" s="3" t="s">
        <v>1347</v>
      </c>
      <c r="I207" t="s">
        <v>905</v>
      </c>
      <c r="J207" s="8" t="s">
        <v>25</v>
      </c>
      <c r="K207" s="8">
        <v>0</v>
      </c>
      <c r="L207" s="8">
        <v>1</v>
      </c>
      <c r="M207" s="8">
        <v>8</v>
      </c>
      <c r="N207" s="8" t="s">
        <v>1272</v>
      </c>
      <c r="O207" s="8" t="s">
        <v>1263</v>
      </c>
      <c r="Q207" s="9"/>
      <c r="S207" s="8">
        <v>2</v>
      </c>
      <c r="U207" s="8" t="str">
        <f t="shared" ca="1" si="8"/>
        <v/>
      </c>
      <c r="V207" s="8" t="str">
        <f t="shared" ca="1" si="9"/>
        <v/>
      </c>
      <c r="AB207" s="8" t="s">
        <v>19</v>
      </c>
      <c r="AF207" s="8" t="s">
        <v>1289</v>
      </c>
    </row>
    <row r="208" spans="1:32" ht="29">
      <c r="A208" t="s">
        <v>275</v>
      </c>
      <c r="D208" s="3" t="s">
        <v>906</v>
      </c>
      <c r="E208" s="3" t="s">
        <v>906</v>
      </c>
      <c r="F208" t="s">
        <v>35</v>
      </c>
      <c r="I208" t="s">
        <v>908</v>
      </c>
      <c r="Q208" s="9"/>
      <c r="U208" s="8" t="str">
        <f t="shared" ca="1" si="8"/>
        <v/>
      </c>
      <c r="V208" s="8" t="str">
        <f t="shared" ca="1" si="9"/>
        <v/>
      </c>
      <c r="AB208" s="8" t="s">
        <v>1371</v>
      </c>
    </row>
    <row r="209" spans="1:32" ht="29">
      <c r="A209" t="s">
        <v>275</v>
      </c>
      <c r="D209" s="3" t="s">
        <v>907</v>
      </c>
      <c r="E209" s="3" t="s">
        <v>907</v>
      </c>
      <c r="F209" t="s">
        <v>35</v>
      </c>
      <c r="I209" t="s">
        <v>909</v>
      </c>
      <c r="Q209" s="9"/>
      <c r="U209" s="8" t="str">
        <f t="shared" ca="1" si="8"/>
        <v/>
      </c>
      <c r="V209" s="8" t="str">
        <f t="shared" ca="1" si="9"/>
        <v/>
      </c>
      <c r="AB209" s="8" t="s">
        <v>1371</v>
      </c>
    </row>
    <row r="210" spans="1:32">
      <c r="A210" t="s">
        <v>276</v>
      </c>
      <c r="D210" s="3" t="s">
        <v>277</v>
      </c>
      <c r="E210" s="3" t="s">
        <v>277</v>
      </c>
      <c r="F210" t="s">
        <v>35</v>
      </c>
      <c r="I210" t="s">
        <v>910</v>
      </c>
      <c r="Q210" s="9"/>
      <c r="U210" s="8" t="str">
        <f t="shared" ca="1" si="8"/>
        <v/>
      </c>
      <c r="V210" s="8" t="str">
        <f t="shared" ca="1" si="9"/>
        <v/>
      </c>
      <c r="AB210" s="8" t="s">
        <v>1371</v>
      </c>
    </row>
    <row r="211" spans="1:32">
      <c r="A211" t="s">
        <v>276</v>
      </c>
      <c r="D211" s="3" t="s">
        <v>278</v>
      </c>
      <c r="E211" s="3" t="s">
        <v>278</v>
      </c>
      <c r="F211" t="s">
        <v>35</v>
      </c>
      <c r="I211" t="s">
        <v>911</v>
      </c>
      <c r="Q211" s="9"/>
      <c r="U211" s="8" t="str">
        <f t="shared" ca="1" si="8"/>
        <v/>
      </c>
      <c r="V211" s="8" t="str">
        <f t="shared" ca="1" si="9"/>
        <v/>
      </c>
      <c r="AB211" s="8" t="s">
        <v>1371</v>
      </c>
    </row>
    <row r="212" spans="1:32">
      <c r="A212" t="s">
        <v>279</v>
      </c>
      <c r="D212" s="3" t="s">
        <v>268</v>
      </c>
      <c r="E212" s="3" t="s">
        <v>268</v>
      </c>
      <c r="F212" t="s">
        <v>35</v>
      </c>
      <c r="I212" t="s">
        <v>895</v>
      </c>
      <c r="Q212" s="9"/>
      <c r="U212" s="8" t="str">
        <f t="shared" ca="1" si="8"/>
        <v/>
      </c>
      <c r="V212" s="8" t="str">
        <f t="shared" ca="1" si="9"/>
        <v/>
      </c>
      <c r="AB212" s="8" t="s">
        <v>1371</v>
      </c>
    </row>
    <row r="213" spans="1:32">
      <c r="A213" t="s">
        <v>280</v>
      </c>
      <c r="D213" s="3" t="s">
        <v>268</v>
      </c>
      <c r="E213" s="3" t="s">
        <v>268</v>
      </c>
      <c r="F213" t="s">
        <v>35</v>
      </c>
      <c r="I213" t="s">
        <v>895</v>
      </c>
      <c r="Q213" s="9"/>
      <c r="U213" s="8" t="str">
        <f t="shared" ca="1" si="8"/>
        <v/>
      </c>
      <c r="V213" s="8" t="str">
        <f t="shared" ca="1" si="9"/>
        <v/>
      </c>
      <c r="AB213" s="8" t="s">
        <v>1371</v>
      </c>
    </row>
    <row r="214" spans="1:32">
      <c r="A214" t="s">
        <v>281</v>
      </c>
      <c r="D214" s="3" t="s">
        <v>912</v>
      </c>
      <c r="E214" s="3" t="s">
        <v>912</v>
      </c>
      <c r="F214" t="s">
        <v>35</v>
      </c>
      <c r="I214" t="s">
        <v>913</v>
      </c>
      <c r="Q214" s="9"/>
      <c r="U214" s="8" t="str">
        <f t="shared" ca="1" si="8"/>
        <v/>
      </c>
      <c r="V214" s="8" t="str">
        <f t="shared" ca="1" si="9"/>
        <v/>
      </c>
      <c r="AB214" s="8" t="s">
        <v>1371</v>
      </c>
    </row>
    <row r="215" spans="1:32">
      <c r="A215" t="s">
        <v>281</v>
      </c>
      <c r="D215" s="3" t="s">
        <v>282</v>
      </c>
      <c r="E215" s="3" t="s">
        <v>282</v>
      </c>
      <c r="F215" t="s">
        <v>35</v>
      </c>
      <c r="I215" t="s">
        <v>914</v>
      </c>
      <c r="Q215" s="9"/>
      <c r="U215" s="8" t="str">
        <f t="shared" ca="1" si="8"/>
        <v/>
      </c>
      <c r="V215" s="8" t="str">
        <f t="shared" ca="1" si="9"/>
        <v/>
      </c>
      <c r="AB215" s="8" t="s">
        <v>1371</v>
      </c>
    </row>
    <row r="216" spans="1:32" ht="29">
      <c r="A216" t="s">
        <v>283</v>
      </c>
      <c r="D216" s="3" t="s">
        <v>915</v>
      </c>
      <c r="E216" s="3" t="s">
        <v>916</v>
      </c>
      <c r="J216" s="8" t="s">
        <v>1305</v>
      </c>
      <c r="Q216" s="9"/>
      <c r="U216" s="8" t="str">
        <f t="shared" ca="1" si="8"/>
        <v/>
      </c>
      <c r="V216" s="8" t="str">
        <f t="shared" ca="1" si="9"/>
        <v/>
      </c>
      <c r="AB216" s="8" t="s">
        <v>19</v>
      </c>
      <c r="AF216" s="8" t="s">
        <v>1289</v>
      </c>
    </row>
    <row r="217" spans="1:32" ht="29">
      <c r="A217" t="s">
        <v>283</v>
      </c>
      <c r="D217" s="3" t="s">
        <v>917</v>
      </c>
      <c r="E217" s="3" t="s">
        <v>918</v>
      </c>
      <c r="F217" t="s">
        <v>35</v>
      </c>
      <c r="I217" t="s">
        <v>923</v>
      </c>
      <c r="Q217" s="9"/>
      <c r="U217" s="8" t="str">
        <f t="shared" ca="1" si="8"/>
        <v/>
      </c>
      <c r="V217" s="8" t="str">
        <f t="shared" ca="1" si="9"/>
        <v/>
      </c>
      <c r="AB217" s="8" t="s">
        <v>1371</v>
      </c>
    </row>
    <row r="218" spans="1:32" ht="29">
      <c r="A218" t="s">
        <v>283</v>
      </c>
      <c r="D218" s="3" t="s">
        <v>919</v>
      </c>
      <c r="E218" s="3" t="s">
        <v>920</v>
      </c>
      <c r="F218" t="s">
        <v>35</v>
      </c>
      <c r="I218" t="s">
        <v>924</v>
      </c>
      <c r="Q218" s="9"/>
      <c r="U218" s="8" t="str">
        <f t="shared" ca="1" si="8"/>
        <v/>
      </c>
      <c r="V218" s="8" t="str">
        <f t="shared" ca="1" si="9"/>
        <v/>
      </c>
      <c r="AB218" s="8" t="s">
        <v>1371</v>
      </c>
    </row>
    <row r="219" spans="1:32" ht="29">
      <c r="A219" t="s">
        <v>283</v>
      </c>
      <c r="D219" s="3" t="s">
        <v>921</v>
      </c>
      <c r="E219" s="3" t="s">
        <v>922</v>
      </c>
      <c r="J219" s="8" t="s">
        <v>1303</v>
      </c>
      <c r="Q219" s="9"/>
      <c r="T219" s="8">
        <f>0-34</f>
        <v>-34</v>
      </c>
      <c r="U219" s="8">
        <f t="shared" ca="1" si="8"/>
        <v>34</v>
      </c>
      <c r="V219" s="8">
        <f t="shared" ca="1" si="9"/>
        <v>0</v>
      </c>
      <c r="AB219" s="8" t="s">
        <v>19</v>
      </c>
    </row>
    <row r="220" spans="1:32" ht="29">
      <c r="A220" t="s">
        <v>283</v>
      </c>
      <c r="D220" s="3" t="s">
        <v>925</v>
      </c>
      <c r="E220" s="3" t="s">
        <v>925</v>
      </c>
      <c r="F220" t="s">
        <v>35</v>
      </c>
      <c r="I220" t="s">
        <v>926</v>
      </c>
      <c r="Q220" s="9"/>
      <c r="U220" s="8" t="str">
        <f t="shared" ca="1" si="8"/>
        <v/>
      </c>
      <c r="V220" s="8" t="str">
        <f t="shared" ca="1" si="9"/>
        <v/>
      </c>
      <c r="AB220" s="8" t="s">
        <v>1371</v>
      </c>
    </row>
    <row r="221" spans="1:32">
      <c r="A221" t="s">
        <v>283</v>
      </c>
      <c r="D221" s="3" t="s">
        <v>284</v>
      </c>
      <c r="E221" s="3" t="s">
        <v>284</v>
      </c>
      <c r="F221" t="s">
        <v>35</v>
      </c>
      <c r="I221" t="s">
        <v>927</v>
      </c>
      <c r="Q221" s="9"/>
      <c r="U221" s="8" t="str">
        <f t="shared" ca="1" si="8"/>
        <v/>
      </c>
      <c r="V221" s="8" t="str">
        <f t="shared" ca="1" si="9"/>
        <v/>
      </c>
      <c r="AB221" s="8" t="s">
        <v>1371</v>
      </c>
    </row>
    <row r="222" spans="1:32">
      <c r="A222" t="s">
        <v>285</v>
      </c>
      <c r="D222" s="3" t="s">
        <v>928</v>
      </c>
      <c r="E222" s="3" t="s">
        <v>928</v>
      </c>
      <c r="F222" t="s">
        <v>35</v>
      </c>
      <c r="I222" t="s">
        <v>930</v>
      </c>
      <c r="Q222" s="9"/>
      <c r="U222" s="8" t="str">
        <f t="shared" ca="1" si="8"/>
        <v/>
      </c>
      <c r="V222" s="8" t="str">
        <f t="shared" ca="1" si="9"/>
        <v/>
      </c>
      <c r="AB222" s="8" t="s">
        <v>1371</v>
      </c>
    </row>
    <row r="223" spans="1:32">
      <c r="A223" t="s">
        <v>285</v>
      </c>
      <c r="D223" s="3" t="s">
        <v>929</v>
      </c>
      <c r="E223" s="3" t="s">
        <v>929</v>
      </c>
      <c r="F223" t="s">
        <v>35</v>
      </c>
      <c r="I223" t="s">
        <v>930</v>
      </c>
      <c r="Q223" s="9"/>
      <c r="U223" s="8" t="str">
        <f t="shared" ca="1" si="8"/>
        <v/>
      </c>
      <c r="V223" s="8" t="str">
        <f t="shared" ca="1" si="9"/>
        <v/>
      </c>
      <c r="AB223" s="8" t="s">
        <v>1371</v>
      </c>
    </row>
    <row r="224" spans="1:32">
      <c r="A224" t="s">
        <v>286</v>
      </c>
      <c r="D224" s="3" t="s">
        <v>932</v>
      </c>
      <c r="E224" s="3" t="s">
        <v>931</v>
      </c>
      <c r="H224" t="s">
        <v>19</v>
      </c>
      <c r="J224" s="8" t="s">
        <v>24</v>
      </c>
      <c r="K224" s="8">
        <v>0</v>
      </c>
      <c r="L224" s="8">
        <v>1</v>
      </c>
      <c r="M224" s="8">
        <v>1</v>
      </c>
      <c r="N224" s="8" t="s">
        <v>1262</v>
      </c>
      <c r="O224" s="8" t="s">
        <v>1304</v>
      </c>
      <c r="Q224" s="9"/>
      <c r="R224" s="8" t="s">
        <v>1259</v>
      </c>
      <c r="S224" s="8">
        <v>2475</v>
      </c>
      <c r="U224" s="8" t="str">
        <f t="shared" ca="1" si="8"/>
        <v/>
      </c>
      <c r="V224" s="8" t="str">
        <f t="shared" ca="1" si="9"/>
        <v/>
      </c>
      <c r="AB224" s="8" t="s">
        <v>19</v>
      </c>
    </row>
    <row r="225" spans="1:32">
      <c r="A225" t="s">
        <v>287</v>
      </c>
      <c r="D225" s="3" t="s">
        <v>933</v>
      </c>
      <c r="E225" s="3" t="s">
        <v>933</v>
      </c>
      <c r="F225" t="s">
        <v>35</v>
      </c>
      <c r="I225" t="s">
        <v>934</v>
      </c>
      <c r="Q225" s="9"/>
      <c r="U225" s="8" t="str">
        <f t="shared" ca="1" si="8"/>
        <v/>
      </c>
      <c r="V225" s="8" t="str">
        <f t="shared" ca="1" si="9"/>
        <v/>
      </c>
      <c r="AB225" s="8" t="s">
        <v>1371</v>
      </c>
    </row>
    <row r="226" spans="1:32">
      <c r="A226" t="s">
        <v>288</v>
      </c>
      <c r="D226" s="3" t="s">
        <v>289</v>
      </c>
      <c r="E226" s="3" t="s">
        <v>289</v>
      </c>
      <c r="F226" t="s">
        <v>35</v>
      </c>
      <c r="I226" t="s">
        <v>935</v>
      </c>
      <c r="Q226" s="9"/>
      <c r="U226" s="8" t="str">
        <f t="shared" ca="1" si="8"/>
        <v/>
      </c>
      <c r="V226" s="8" t="str">
        <f t="shared" ca="1" si="9"/>
        <v/>
      </c>
      <c r="AB226" s="8" t="s">
        <v>1371</v>
      </c>
    </row>
    <row r="227" spans="1:32" ht="29">
      <c r="A227" t="s">
        <v>290</v>
      </c>
      <c r="D227" s="3" t="s">
        <v>936</v>
      </c>
      <c r="E227" s="3" t="s">
        <v>937</v>
      </c>
      <c r="H227" t="s">
        <v>19</v>
      </c>
      <c r="J227" s="8" t="s">
        <v>24</v>
      </c>
      <c r="K227" s="8">
        <v>0</v>
      </c>
      <c r="L227" s="8">
        <v>1</v>
      </c>
      <c r="M227" s="8">
        <v>5</v>
      </c>
      <c r="N227" s="8" t="s">
        <v>1272</v>
      </c>
      <c r="O227" s="8" t="s">
        <v>1258</v>
      </c>
      <c r="P227" s="8" t="s">
        <v>1340</v>
      </c>
      <c r="Q227" s="9" t="s">
        <v>1337</v>
      </c>
      <c r="R227" s="8" t="s">
        <v>1259</v>
      </c>
      <c r="S227" s="8">
        <v>98</v>
      </c>
      <c r="U227" s="8" t="str">
        <f t="shared" ca="1" si="8"/>
        <v/>
      </c>
      <c r="V227" s="8" t="str">
        <f t="shared" ca="1" si="9"/>
        <v/>
      </c>
      <c r="AB227" s="8" t="s">
        <v>19</v>
      </c>
    </row>
    <row r="228" spans="1:32">
      <c r="A228" t="s">
        <v>290</v>
      </c>
      <c r="D228" s="3" t="s">
        <v>291</v>
      </c>
      <c r="E228" s="3" t="s">
        <v>291</v>
      </c>
      <c r="F228" t="s">
        <v>35</v>
      </c>
      <c r="I228" t="s">
        <v>938</v>
      </c>
      <c r="Q228" s="9"/>
      <c r="U228" s="8" t="str">
        <f t="shared" ca="1" si="8"/>
        <v/>
      </c>
      <c r="V228" s="8" t="str">
        <f t="shared" ca="1" si="9"/>
        <v/>
      </c>
      <c r="AB228" s="8" t="s">
        <v>1371</v>
      </c>
    </row>
    <row r="229" spans="1:32">
      <c r="A229" t="s">
        <v>292</v>
      </c>
      <c r="D229" s="3" t="s">
        <v>293</v>
      </c>
      <c r="E229" s="3" t="s">
        <v>293</v>
      </c>
      <c r="F229" t="s">
        <v>35</v>
      </c>
      <c r="I229" t="s">
        <v>939</v>
      </c>
      <c r="Q229" s="9"/>
      <c r="U229" s="8" t="str">
        <f t="shared" ca="1" si="8"/>
        <v/>
      </c>
      <c r="V229" s="8" t="str">
        <f t="shared" ca="1" si="9"/>
        <v/>
      </c>
      <c r="AB229" s="8" t="s">
        <v>1371</v>
      </c>
    </row>
    <row r="230" spans="1:32" ht="29">
      <c r="A230" t="s">
        <v>294</v>
      </c>
      <c r="D230" s="3" t="s">
        <v>1348</v>
      </c>
      <c r="E230" s="3" t="s">
        <v>1349</v>
      </c>
      <c r="J230" s="8" t="s">
        <v>1305</v>
      </c>
      <c r="Q230" s="9"/>
      <c r="U230" s="8" t="str">
        <f t="shared" ca="1" si="8"/>
        <v/>
      </c>
      <c r="V230" s="8" t="str">
        <f t="shared" ca="1" si="9"/>
        <v/>
      </c>
      <c r="AB230" s="8" t="s">
        <v>19</v>
      </c>
      <c r="AF230" s="8" t="s">
        <v>1289</v>
      </c>
    </row>
    <row r="231" spans="1:32">
      <c r="A231" t="s">
        <v>295</v>
      </c>
      <c r="D231" s="3" t="s">
        <v>940</v>
      </c>
      <c r="E231" s="3" t="s">
        <v>940</v>
      </c>
      <c r="F231" t="s">
        <v>35</v>
      </c>
      <c r="I231" t="s">
        <v>941</v>
      </c>
      <c r="Q231" s="9"/>
      <c r="U231" s="8" t="str">
        <f t="shared" ca="1" si="8"/>
        <v/>
      </c>
      <c r="V231" s="8" t="str">
        <f t="shared" ca="1" si="9"/>
        <v/>
      </c>
      <c r="AB231" s="8" t="s">
        <v>1371</v>
      </c>
    </row>
    <row r="232" spans="1:32">
      <c r="A232" t="s">
        <v>296</v>
      </c>
      <c r="D232" s="3" t="s">
        <v>297</v>
      </c>
      <c r="E232" s="3" t="s">
        <v>297</v>
      </c>
      <c r="F232" t="s">
        <v>35</v>
      </c>
      <c r="I232" t="s">
        <v>1750</v>
      </c>
      <c r="J232" s="8" t="s">
        <v>1303</v>
      </c>
      <c r="Q232" s="9"/>
      <c r="T232" s="8" t="s">
        <v>1326</v>
      </c>
      <c r="U232" s="8" t="str">
        <f t="shared" ca="1" si="8"/>
        <v/>
      </c>
      <c r="V232" s="8" t="str">
        <f t="shared" ca="1" si="9"/>
        <v/>
      </c>
      <c r="AB232" s="8" t="s">
        <v>19</v>
      </c>
      <c r="AD232" s="8" t="s">
        <v>1350</v>
      </c>
      <c r="AE232" s="8" t="s">
        <v>19</v>
      </c>
      <c r="AF232" s="8" t="s">
        <v>1290</v>
      </c>
    </row>
    <row r="233" spans="1:32" ht="29">
      <c r="A233" t="s">
        <v>296</v>
      </c>
      <c r="D233" s="3" t="s">
        <v>942</v>
      </c>
      <c r="E233" s="3" t="s">
        <v>1751</v>
      </c>
      <c r="H233" t="s">
        <v>23</v>
      </c>
      <c r="I233" t="s">
        <v>1752</v>
      </c>
      <c r="J233" s="8" t="s">
        <v>1303</v>
      </c>
      <c r="Q233" s="9"/>
      <c r="T233" s="8" t="s">
        <v>1304</v>
      </c>
      <c r="U233" s="8" t="str">
        <f t="shared" ca="1" si="8"/>
        <v/>
      </c>
      <c r="V233" s="8" t="str">
        <f t="shared" ca="1" si="9"/>
        <v/>
      </c>
      <c r="AB233" s="8" t="s">
        <v>1371</v>
      </c>
      <c r="AF233" s="8" t="s">
        <v>1288</v>
      </c>
    </row>
    <row r="234" spans="1:32">
      <c r="A234" t="s">
        <v>298</v>
      </c>
      <c r="D234" s="3" t="s">
        <v>943</v>
      </c>
      <c r="E234" s="3" t="s">
        <v>943</v>
      </c>
      <c r="F234" t="s">
        <v>35</v>
      </c>
      <c r="I234" t="s">
        <v>785</v>
      </c>
      <c r="Q234" s="9"/>
      <c r="U234" s="8" t="str">
        <f t="shared" ca="1" si="8"/>
        <v/>
      </c>
      <c r="V234" s="8" t="str">
        <f t="shared" ca="1" si="9"/>
        <v/>
      </c>
      <c r="AB234" s="8" t="s">
        <v>1371</v>
      </c>
    </row>
    <row r="235" spans="1:32" ht="29">
      <c r="A235" t="s">
        <v>298</v>
      </c>
      <c r="D235" s="3" t="s">
        <v>944</v>
      </c>
      <c r="E235" s="3" t="s">
        <v>945</v>
      </c>
      <c r="J235" s="8" t="s">
        <v>1305</v>
      </c>
      <c r="Q235" s="9"/>
      <c r="U235" s="8" t="str">
        <f t="shared" ca="1" si="8"/>
        <v/>
      </c>
      <c r="V235" s="8" t="str">
        <f t="shared" ca="1" si="9"/>
        <v/>
      </c>
      <c r="AB235" s="8" t="s">
        <v>19</v>
      </c>
    </row>
    <row r="236" spans="1:32" ht="29">
      <c r="A236" t="s">
        <v>298</v>
      </c>
      <c r="D236" s="3" t="s">
        <v>947</v>
      </c>
      <c r="E236" s="3" t="s">
        <v>946</v>
      </c>
      <c r="J236" s="8" t="s">
        <v>1305</v>
      </c>
      <c r="Q236" s="9"/>
      <c r="U236" s="8" t="str">
        <f t="shared" ca="1" si="8"/>
        <v/>
      </c>
      <c r="V236" s="8" t="str">
        <f t="shared" ca="1" si="9"/>
        <v/>
      </c>
      <c r="AB236" s="8" t="s">
        <v>19</v>
      </c>
    </row>
    <row r="237" spans="1:32">
      <c r="A237" t="s">
        <v>299</v>
      </c>
      <c r="D237" s="3" t="s">
        <v>300</v>
      </c>
      <c r="E237" s="3" t="s">
        <v>301</v>
      </c>
      <c r="H237" t="s">
        <v>19</v>
      </c>
      <c r="J237" s="8" t="s">
        <v>1303</v>
      </c>
      <c r="Q237" s="9"/>
      <c r="T237" s="8" t="s">
        <v>1326</v>
      </c>
      <c r="U237" s="8" t="str">
        <f t="shared" ca="1" si="8"/>
        <v/>
      </c>
      <c r="V237" s="8" t="str">
        <f t="shared" ca="1" si="9"/>
        <v/>
      </c>
      <c r="AB237" s="8" t="s">
        <v>19</v>
      </c>
      <c r="AF237" s="8" t="s">
        <v>1288</v>
      </c>
    </row>
    <row r="238" spans="1:32">
      <c r="A238" t="s">
        <v>302</v>
      </c>
      <c r="D238" s="3" t="s">
        <v>948</v>
      </c>
      <c r="E238" s="3" t="s">
        <v>948</v>
      </c>
      <c r="F238" t="s">
        <v>35</v>
      </c>
      <c r="I238" t="s">
        <v>949</v>
      </c>
      <c r="Q238" s="9"/>
      <c r="U238" s="8" t="str">
        <f t="shared" ca="1" si="8"/>
        <v/>
      </c>
      <c r="V238" s="8" t="str">
        <f t="shared" ca="1" si="9"/>
        <v/>
      </c>
      <c r="AB238" s="8" t="s">
        <v>1371</v>
      </c>
    </row>
    <row r="239" spans="1:32">
      <c r="A239" t="s">
        <v>302</v>
      </c>
      <c r="D239" s="3" t="s">
        <v>303</v>
      </c>
      <c r="E239" s="3" t="s">
        <v>303</v>
      </c>
      <c r="F239" t="s">
        <v>35</v>
      </c>
      <c r="I239" t="s">
        <v>950</v>
      </c>
      <c r="Q239" s="9"/>
      <c r="U239" s="8" t="str">
        <f t="shared" ca="1" si="8"/>
        <v/>
      </c>
      <c r="V239" s="8" t="str">
        <f t="shared" ca="1" si="9"/>
        <v/>
      </c>
      <c r="AB239" s="8" t="s">
        <v>1371</v>
      </c>
    </row>
    <row r="240" spans="1:32">
      <c r="A240" t="s">
        <v>304</v>
      </c>
      <c r="D240" s="3" t="s">
        <v>305</v>
      </c>
      <c r="E240" s="3" t="s">
        <v>305</v>
      </c>
      <c r="F240" t="s">
        <v>35</v>
      </c>
      <c r="I240" t="s">
        <v>951</v>
      </c>
      <c r="Q240" s="9"/>
      <c r="U240" s="8" t="str">
        <f t="shared" ca="1" si="8"/>
        <v/>
      </c>
      <c r="V240" s="8" t="str">
        <f t="shared" ca="1" si="9"/>
        <v/>
      </c>
      <c r="AB240" s="8" t="s">
        <v>1371</v>
      </c>
    </row>
    <row r="241" spans="1:31">
      <c r="A241" t="s">
        <v>306</v>
      </c>
      <c r="D241" s="3" t="s">
        <v>307</v>
      </c>
      <c r="E241" s="3" t="s">
        <v>308</v>
      </c>
      <c r="J241" s="8" t="s">
        <v>1303</v>
      </c>
      <c r="Q241" s="9"/>
      <c r="T241" s="8" t="s">
        <v>1326</v>
      </c>
      <c r="U241" s="8" t="str">
        <f t="shared" ca="1" si="8"/>
        <v/>
      </c>
      <c r="V241" s="8" t="str">
        <f t="shared" ca="1" si="9"/>
        <v/>
      </c>
      <c r="AB241" s="8" t="s">
        <v>19</v>
      </c>
      <c r="AD241" s="8" t="s">
        <v>1350</v>
      </c>
      <c r="AE241" s="8" t="s">
        <v>19</v>
      </c>
    </row>
    <row r="242" spans="1:31">
      <c r="A242" t="s">
        <v>309</v>
      </c>
      <c r="D242" s="3" t="s">
        <v>307</v>
      </c>
      <c r="E242" s="3" t="s">
        <v>308</v>
      </c>
      <c r="J242" s="8" t="s">
        <v>1303</v>
      </c>
      <c r="Q242" s="9"/>
      <c r="T242" s="8" t="s">
        <v>1326</v>
      </c>
      <c r="U242" s="8" t="str">
        <f t="shared" ca="1" si="8"/>
        <v/>
      </c>
      <c r="V242" s="8" t="str">
        <f t="shared" ca="1" si="9"/>
        <v/>
      </c>
      <c r="AB242" s="8" t="s">
        <v>19</v>
      </c>
      <c r="AD242" s="8" t="s">
        <v>1350</v>
      </c>
      <c r="AE242" s="8" t="s">
        <v>19</v>
      </c>
    </row>
    <row r="243" spans="1:31">
      <c r="A243" t="s">
        <v>310</v>
      </c>
      <c r="D243" s="3" t="s">
        <v>307</v>
      </c>
      <c r="E243" s="3" t="s">
        <v>308</v>
      </c>
      <c r="J243" s="8" t="s">
        <v>1303</v>
      </c>
      <c r="Q243" s="9"/>
      <c r="T243" s="8" t="s">
        <v>1326</v>
      </c>
      <c r="U243" s="8" t="str">
        <f t="shared" ca="1" si="8"/>
        <v/>
      </c>
      <c r="V243" s="8" t="str">
        <f t="shared" ca="1" si="9"/>
        <v/>
      </c>
      <c r="AB243" s="8" t="s">
        <v>19</v>
      </c>
      <c r="AD243" s="8" t="s">
        <v>1350</v>
      </c>
      <c r="AE243" s="8" t="s">
        <v>19</v>
      </c>
    </row>
    <row r="244" spans="1:31">
      <c r="A244" t="s">
        <v>311</v>
      </c>
      <c r="D244" s="3" t="s">
        <v>312</v>
      </c>
      <c r="E244" s="3" t="s">
        <v>313</v>
      </c>
      <c r="J244" s="8" t="s">
        <v>1303</v>
      </c>
      <c r="Q244" s="9"/>
      <c r="T244" s="8" t="s">
        <v>1326</v>
      </c>
      <c r="U244" s="8" t="str">
        <f t="shared" ca="1" si="8"/>
        <v/>
      </c>
      <c r="V244" s="8" t="str">
        <f t="shared" ca="1" si="9"/>
        <v/>
      </c>
      <c r="AB244" s="8" t="s">
        <v>19</v>
      </c>
      <c r="AD244" s="8" t="s">
        <v>1350</v>
      </c>
      <c r="AE244" s="8" t="s">
        <v>19</v>
      </c>
    </row>
    <row r="245" spans="1:31">
      <c r="A245" t="s">
        <v>314</v>
      </c>
      <c r="D245" s="3" t="s">
        <v>307</v>
      </c>
      <c r="E245" s="3" t="s">
        <v>308</v>
      </c>
      <c r="J245" s="8" t="s">
        <v>1303</v>
      </c>
      <c r="Q245" s="9"/>
      <c r="T245" s="8" t="s">
        <v>1326</v>
      </c>
      <c r="U245" s="8" t="str">
        <f t="shared" ca="1" si="8"/>
        <v/>
      </c>
      <c r="V245" s="8" t="str">
        <f t="shared" ca="1" si="9"/>
        <v/>
      </c>
      <c r="AB245" s="8" t="s">
        <v>19</v>
      </c>
      <c r="AD245" s="8" t="s">
        <v>1350</v>
      </c>
      <c r="AE245" s="8" t="s">
        <v>19</v>
      </c>
    </row>
    <row r="246" spans="1:31">
      <c r="A246" t="s">
        <v>315</v>
      </c>
      <c r="D246" s="3" t="s">
        <v>316</v>
      </c>
      <c r="E246" s="3" t="s">
        <v>316</v>
      </c>
      <c r="F246" t="s">
        <v>35</v>
      </c>
      <c r="I246" t="s">
        <v>952</v>
      </c>
      <c r="Q246" s="9"/>
      <c r="U246" s="8" t="str">
        <f t="shared" ca="1" si="8"/>
        <v/>
      </c>
      <c r="V246" s="8" t="str">
        <f t="shared" ca="1" si="9"/>
        <v/>
      </c>
      <c r="AB246" s="8" t="s">
        <v>1371</v>
      </c>
    </row>
    <row r="247" spans="1:31">
      <c r="A247" t="s">
        <v>315</v>
      </c>
      <c r="D247" s="3" t="s">
        <v>953</v>
      </c>
      <c r="E247" s="3" t="s">
        <v>953</v>
      </c>
      <c r="F247" t="s">
        <v>35</v>
      </c>
      <c r="I247" t="s">
        <v>954</v>
      </c>
      <c r="Q247" s="9"/>
      <c r="U247" s="8" t="str">
        <f t="shared" ca="1" si="8"/>
        <v/>
      </c>
      <c r="V247" s="8" t="str">
        <f t="shared" ca="1" si="9"/>
        <v/>
      </c>
      <c r="AB247" s="8" t="s">
        <v>1371</v>
      </c>
    </row>
    <row r="248" spans="1:31" ht="29">
      <c r="A248" t="s">
        <v>317</v>
      </c>
      <c r="D248" s="3" t="s">
        <v>955</v>
      </c>
      <c r="E248" s="3" t="s">
        <v>955</v>
      </c>
      <c r="F248" t="s">
        <v>35</v>
      </c>
      <c r="I248" t="s">
        <v>956</v>
      </c>
      <c r="Q248" s="9"/>
      <c r="U248" s="8" t="str">
        <f t="shared" ca="1" si="8"/>
        <v/>
      </c>
      <c r="V248" s="8" t="str">
        <f t="shared" ca="1" si="9"/>
        <v/>
      </c>
      <c r="AB248" s="8" t="s">
        <v>1371</v>
      </c>
    </row>
    <row r="249" spans="1:31">
      <c r="A249" t="s">
        <v>318</v>
      </c>
      <c r="D249" s="3" t="s">
        <v>957</v>
      </c>
      <c r="E249" s="3" t="s">
        <v>957</v>
      </c>
      <c r="F249" t="s">
        <v>35</v>
      </c>
      <c r="I249" t="s">
        <v>958</v>
      </c>
      <c r="Q249" s="9"/>
      <c r="U249" s="8" t="str">
        <f t="shared" ca="1" si="8"/>
        <v/>
      </c>
      <c r="V249" s="8" t="str">
        <f t="shared" ca="1" si="9"/>
        <v/>
      </c>
      <c r="AB249" s="8" t="s">
        <v>1371</v>
      </c>
    </row>
    <row r="250" spans="1:31">
      <c r="A250" t="s">
        <v>319</v>
      </c>
      <c r="D250" s="3" t="s">
        <v>320</v>
      </c>
      <c r="E250" s="3" t="s">
        <v>320</v>
      </c>
      <c r="F250" t="s">
        <v>35</v>
      </c>
      <c r="I250" t="s">
        <v>959</v>
      </c>
      <c r="Q250" s="9"/>
      <c r="U250" s="8" t="str">
        <f t="shared" ca="1" si="8"/>
        <v/>
      </c>
      <c r="V250" s="8" t="str">
        <f t="shared" ca="1" si="9"/>
        <v/>
      </c>
      <c r="AB250" s="8" t="s">
        <v>1371</v>
      </c>
    </row>
    <row r="251" spans="1:31">
      <c r="A251" t="s">
        <v>321</v>
      </c>
      <c r="D251" s="3" t="s">
        <v>960</v>
      </c>
      <c r="E251" s="3" t="s">
        <v>960</v>
      </c>
      <c r="F251" t="s">
        <v>35</v>
      </c>
      <c r="I251" t="s">
        <v>961</v>
      </c>
      <c r="Q251" s="9"/>
      <c r="U251" s="8" t="str">
        <f t="shared" ca="1" si="8"/>
        <v/>
      </c>
      <c r="V251" s="8" t="str">
        <f t="shared" ca="1" si="9"/>
        <v/>
      </c>
      <c r="AB251" s="8" t="s">
        <v>1371</v>
      </c>
    </row>
    <row r="252" spans="1:31" ht="43.5">
      <c r="A252" t="s">
        <v>322</v>
      </c>
      <c r="D252" s="3" t="s">
        <v>964</v>
      </c>
      <c r="E252" s="3" t="s">
        <v>964</v>
      </c>
      <c r="F252" t="s">
        <v>35</v>
      </c>
      <c r="I252" t="s">
        <v>966</v>
      </c>
      <c r="Q252" s="9"/>
      <c r="U252" s="8" t="str">
        <f t="shared" ca="1" si="8"/>
        <v/>
      </c>
      <c r="V252" s="8" t="str">
        <f t="shared" ca="1" si="9"/>
        <v/>
      </c>
      <c r="AB252" s="8" t="s">
        <v>1371</v>
      </c>
    </row>
    <row r="253" spans="1:31" ht="43.5">
      <c r="A253" t="s">
        <v>322</v>
      </c>
      <c r="D253" s="3" t="s">
        <v>965</v>
      </c>
      <c r="E253" s="3" t="s">
        <v>965</v>
      </c>
      <c r="F253" t="s">
        <v>35</v>
      </c>
      <c r="I253" t="s">
        <v>967</v>
      </c>
      <c r="Q253" s="9"/>
      <c r="U253" s="8" t="str">
        <f t="shared" ca="1" si="8"/>
        <v/>
      </c>
      <c r="V253" s="8" t="str">
        <f t="shared" ca="1" si="9"/>
        <v/>
      </c>
      <c r="AB253" s="8" t="s">
        <v>1371</v>
      </c>
    </row>
    <row r="254" spans="1:31" ht="29">
      <c r="A254" t="s">
        <v>323</v>
      </c>
      <c r="D254" s="3" t="s">
        <v>963</v>
      </c>
      <c r="E254" s="3" t="s">
        <v>962</v>
      </c>
      <c r="H254" t="s">
        <v>19</v>
      </c>
      <c r="J254" s="8" t="s">
        <v>1306</v>
      </c>
      <c r="Q254" s="9"/>
      <c r="T254" s="8">
        <f>38-34</f>
        <v>4</v>
      </c>
      <c r="U254" s="8">
        <f t="shared" ca="1" si="8"/>
        <v>34</v>
      </c>
      <c r="V254" s="8">
        <f t="shared" ca="1" si="9"/>
        <v>38</v>
      </c>
      <c r="AB254" s="8" t="s">
        <v>19</v>
      </c>
    </row>
    <row r="255" spans="1:31">
      <c r="A255" t="s">
        <v>324</v>
      </c>
      <c r="D255" s="3" t="s">
        <v>968</v>
      </c>
      <c r="E255" s="3" t="s">
        <v>968</v>
      </c>
      <c r="F255" t="s">
        <v>35</v>
      </c>
      <c r="I255" t="s">
        <v>969</v>
      </c>
      <c r="Q255" s="9"/>
      <c r="U255" s="8" t="str">
        <f t="shared" ca="1" si="8"/>
        <v/>
      </c>
      <c r="V255" s="8" t="str">
        <f t="shared" ca="1" si="9"/>
        <v/>
      </c>
      <c r="AB255" s="8" t="s">
        <v>1371</v>
      </c>
    </row>
    <row r="256" spans="1:31">
      <c r="A256" t="s">
        <v>325</v>
      </c>
      <c r="D256" s="3" t="s">
        <v>970</v>
      </c>
      <c r="E256" s="3" t="s">
        <v>970</v>
      </c>
      <c r="F256" t="s">
        <v>35</v>
      </c>
      <c r="I256" t="s">
        <v>971</v>
      </c>
      <c r="Q256" s="9"/>
      <c r="U256" s="8" t="str">
        <f t="shared" ca="1" si="8"/>
        <v/>
      </c>
      <c r="V256" s="8" t="str">
        <f t="shared" ca="1" si="9"/>
        <v/>
      </c>
      <c r="AB256" s="8" t="s">
        <v>1371</v>
      </c>
    </row>
    <row r="257" spans="1:33">
      <c r="A257" t="s">
        <v>326</v>
      </c>
      <c r="D257" s="3" t="s">
        <v>972</v>
      </c>
      <c r="E257" s="3" t="s">
        <v>972</v>
      </c>
      <c r="F257" t="s">
        <v>35</v>
      </c>
      <c r="I257" t="s">
        <v>973</v>
      </c>
      <c r="Q257" s="9"/>
      <c r="U257" s="8" t="str">
        <f t="shared" ca="1" si="8"/>
        <v/>
      </c>
      <c r="V257" s="8" t="str">
        <f t="shared" ca="1" si="9"/>
        <v/>
      </c>
      <c r="AB257" s="8" t="s">
        <v>1371</v>
      </c>
    </row>
    <row r="258" spans="1:33">
      <c r="A258" t="s">
        <v>327</v>
      </c>
      <c r="D258" s="3" t="s">
        <v>328</v>
      </c>
      <c r="E258" s="3" t="s">
        <v>1753</v>
      </c>
      <c r="J258" s="8" t="s">
        <v>1303</v>
      </c>
      <c r="Q258" s="9"/>
      <c r="T258" s="8" t="s">
        <v>1304</v>
      </c>
      <c r="U258" s="8" t="str">
        <f t="shared" ca="1" si="8"/>
        <v/>
      </c>
      <c r="V258" s="8" t="str">
        <f t="shared" ca="1" si="9"/>
        <v/>
      </c>
      <c r="AB258" s="8" t="s">
        <v>19</v>
      </c>
      <c r="AD258" s="8" t="s">
        <v>1330</v>
      </c>
      <c r="AE258" s="8" t="s">
        <v>19</v>
      </c>
    </row>
    <row r="259" spans="1:33">
      <c r="A259" t="s">
        <v>329</v>
      </c>
      <c r="D259" s="3" t="s">
        <v>974</v>
      </c>
      <c r="E259" s="3" t="s">
        <v>975</v>
      </c>
      <c r="H259" t="s">
        <v>19</v>
      </c>
      <c r="J259" s="8" t="s">
        <v>24</v>
      </c>
      <c r="K259" s="8">
        <v>0</v>
      </c>
      <c r="L259" s="8">
        <v>1</v>
      </c>
      <c r="M259" s="8">
        <v>1</v>
      </c>
      <c r="N259" s="8" t="s">
        <v>1274</v>
      </c>
      <c r="O259" s="8" t="s">
        <v>1304</v>
      </c>
      <c r="Q259" s="9"/>
      <c r="S259" s="8">
        <v>99</v>
      </c>
      <c r="U259" s="8" t="str">
        <f t="shared" ref="U259:U322" ca="1" si="12">IF(ISNUMBER(T259),VALUE(MID(_xlfn.FORMULATEXT(T259),SEARCH("-",_xlfn.FORMULATEXT(T259))+1,LEN(_xlfn.FORMULATEXT(T259))-SEARCH("-",_xlfn.FORMULATEXT(T259)))), "")</f>
        <v/>
      </c>
      <c r="V259" s="8" t="str">
        <f t="shared" ref="V259:V322" ca="1" si="13">IF(ISNUMBER(T259), VALUE(MID(_xlfn.FORMULATEXT(T259), 2, SEARCH("-", _xlfn.FORMULATEXT(T259)) - 2)), "")</f>
        <v/>
      </c>
      <c r="AB259" s="8" t="s">
        <v>19</v>
      </c>
    </row>
    <row r="260" spans="1:33">
      <c r="A260" t="s">
        <v>329</v>
      </c>
      <c r="D260" s="3" t="s">
        <v>330</v>
      </c>
      <c r="E260" s="3" t="s">
        <v>330</v>
      </c>
      <c r="F260" t="s">
        <v>35</v>
      </c>
      <c r="I260" t="s">
        <v>976</v>
      </c>
      <c r="Q260" s="9"/>
      <c r="U260" s="8" t="str">
        <f t="shared" ca="1" si="12"/>
        <v/>
      </c>
      <c r="V260" s="8" t="str">
        <f t="shared" ca="1" si="13"/>
        <v/>
      </c>
      <c r="AB260" s="8" t="s">
        <v>1371</v>
      </c>
    </row>
    <row r="261" spans="1:33">
      <c r="A261" t="s">
        <v>331</v>
      </c>
      <c r="D261" s="3" t="s">
        <v>332</v>
      </c>
      <c r="E261" s="3" t="s">
        <v>333</v>
      </c>
      <c r="J261" s="8" t="s">
        <v>1303</v>
      </c>
      <c r="Q261" s="9"/>
      <c r="T261" s="8" t="s">
        <v>1326</v>
      </c>
      <c r="U261" s="8" t="str">
        <f t="shared" ca="1" si="12"/>
        <v/>
      </c>
      <c r="V261" s="8" t="str">
        <f t="shared" ca="1" si="13"/>
        <v/>
      </c>
      <c r="AB261" s="8" t="s">
        <v>19</v>
      </c>
      <c r="AD261" s="8" t="s">
        <v>1350</v>
      </c>
      <c r="AE261" s="8" t="s">
        <v>19</v>
      </c>
      <c r="AF261" s="8" t="s">
        <v>1290</v>
      </c>
    </row>
    <row r="262" spans="1:33">
      <c r="A262" t="s">
        <v>334</v>
      </c>
      <c r="D262" s="3" t="s">
        <v>977</v>
      </c>
      <c r="E262" s="3" t="s">
        <v>977</v>
      </c>
      <c r="F262" t="s">
        <v>35</v>
      </c>
      <c r="I262" t="s">
        <v>978</v>
      </c>
      <c r="Q262" s="9"/>
      <c r="U262" s="8" t="str">
        <f t="shared" ca="1" si="12"/>
        <v/>
      </c>
      <c r="V262" s="8" t="str">
        <f t="shared" ca="1" si="13"/>
        <v/>
      </c>
      <c r="AB262" s="8" t="s">
        <v>1371</v>
      </c>
    </row>
    <row r="263" spans="1:33" ht="43.5">
      <c r="A263" t="s">
        <v>335</v>
      </c>
      <c r="D263" s="3" t="s">
        <v>1352</v>
      </c>
      <c r="E263" s="3" t="s">
        <v>1351</v>
      </c>
      <c r="J263" s="8" t="s">
        <v>1305</v>
      </c>
      <c r="Q263" s="9"/>
      <c r="U263" s="8" t="str">
        <f t="shared" ca="1" si="12"/>
        <v/>
      </c>
      <c r="V263" s="8" t="str">
        <f t="shared" ca="1" si="13"/>
        <v/>
      </c>
      <c r="AB263" s="8" t="s">
        <v>19</v>
      </c>
      <c r="AG263" s="8" t="s">
        <v>19</v>
      </c>
    </row>
    <row r="264" spans="1:33">
      <c r="A264" t="s">
        <v>336</v>
      </c>
      <c r="D264" s="3" t="s">
        <v>979</v>
      </c>
      <c r="E264" s="3" t="s">
        <v>979</v>
      </c>
      <c r="F264" t="s">
        <v>35</v>
      </c>
      <c r="I264" t="s">
        <v>832</v>
      </c>
      <c r="Q264" s="9"/>
      <c r="U264" s="8" t="str">
        <f t="shared" ca="1" si="12"/>
        <v/>
      </c>
      <c r="V264" s="8" t="str">
        <f t="shared" ca="1" si="13"/>
        <v/>
      </c>
      <c r="AB264" s="8" t="s">
        <v>1371</v>
      </c>
    </row>
    <row r="265" spans="1:33">
      <c r="A265" t="s">
        <v>337</v>
      </c>
      <c r="D265" s="3" t="s">
        <v>980</v>
      </c>
      <c r="E265" s="3" t="s">
        <v>980</v>
      </c>
      <c r="F265" t="s">
        <v>35</v>
      </c>
      <c r="I265" t="s">
        <v>981</v>
      </c>
      <c r="Q265" s="9"/>
      <c r="U265" s="8" t="str">
        <f t="shared" ca="1" si="12"/>
        <v/>
      </c>
      <c r="V265" s="8" t="str">
        <f t="shared" ca="1" si="13"/>
        <v/>
      </c>
      <c r="AB265" s="8" t="s">
        <v>1371</v>
      </c>
    </row>
    <row r="266" spans="1:33">
      <c r="A266" t="s">
        <v>338</v>
      </c>
      <c r="D266" s="3" t="s">
        <v>339</v>
      </c>
      <c r="E266" s="3" t="s">
        <v>339</v>
      </c>
      <c r="F266" t="s">
        <v>35</v>
      </c>
      <c r="I266" t="s">
        <v>982</v>
      </c>
      <c r="Q266" s="9"/>
      <c r="U266" s="8" t="str">
        <f t="shared" ca="1" si="12"/>
        <v/>
      </c>
      <c r="V266" s="8" t="str">
        <f t="shared" ca="1" si="13"/>
        <v/>
      </c>
      <c r="AB266" s="8" t="s">
        <v>1371</v>
      </c>
    </row>
    <row r="267" spans="1:33">
      <c r="A267" t="s">
        <v>340</v>
      </c>
      <c r="D267" s="3" t="s">
        <v>341</v>
      </c>
      <c r="E267" s="3" t="s">
        <v>341</v>
      </c>
      <c r="F267" t="s">
        <v>35</v>
      </c>
      <c r="I267" t="s">
        <v>983</v>
      </c>
      <c r="Q267" s="9"/>
      <c r="U267" s="8" t="str">
        <f t="shared" ca="1" si="12"/>
        <v/>
      </c>
      <c r="V267" s="8" t="str">
        <f t="shared" ca="1" si="13"/>
        <v/>
      </c>
      <c r="AB267" s="8" t="s">
        <v>1371</v>
      </c>
    </row>
    <row r="268" spans="1:33">
      <c r="A268" t="s">
        <v>342</v>
      </c>
      <c r="D268" s="3" t="s">
        <v>343</v>
      </c>
      <c r="E268" s="3" t="s">
        <v>343</v>
      </c>
      <c r="F268" t="s">
        <v>35</v>
      </c>
      <c r="I268" t="s">
        <v>984</v>
      </c>
      <c r="Q268" s="9"/>
      <c r="U268" s="8" t="str">
        <f t="shared" ca="1" si="12"/>
        <v/>
      </c>
      <c r="V268" s="8" t="str">
        <f t="shared" ca="1" si="13"/>
        <v/>
      </c>
      <c r="AB268" s="8" t="s">
        <v>1371</v>
      </c>
    </row>
    <row r="269" spans="1:33">
      <c r="A269" t="s">
        <v>344</v>
      </c>
      <c r="D269" s="3" t="s">
        <v>985</v>
      </c>
      <c r="E269" s="3" t="s">
        <v>985</v>
      </c>
      <c r="F269" t="s">
        <v>35</v>
      </c>
      <c r="I269" t="s">
        <v>986</v>
      </c>
      <c r="Q269" s="9"/>
      <c r="U269" s="8" t="str">
        <f t="shared" ca="1" si="12"/>
        <v/>
      </c>
      <c r="V269" s="8" t="str">
        <f t="shared" ca="1" si="13"/>
        <v/>
      </c>
      <c r="AB269" s="8" t="s">
        <v>1371</v>
      </c>
    </row>
    <row r="270" spans="1:33">
      <c r="A270" t="s">
        <v>345</v>
      </c>
      <c r="D270" s="3" t="s">
        <v>346</v>
      </c>
      <c r="E270" s="3" t="s">
        <v>205</v>
      </c>
      <c r="J270" s="8" t="s">
        <v>1305</v>
      </c>
      <c r="Q270" s="9"/>
      <c r="U270" s="8" t="str">
        <f t="shared" ca="1" si="12"/>
        <v/>
      </c>
      <c r="V270" s="8" t="str">
        <f t="shared" ca="1" si="13"/>
        <v/>
      </c>
      <c r="AB270" s="8" t="s">
        <v>19</v>
      </c>
      <c r="AD270" s="8" t="s">
        <v>1353</v>
      </c>
      <c r="AE270" s="8" t="s">
        <v>19</v>
      </c>
      <c r="AG270" s="8" t="s">
        <v>19</v>
      </c>
    </row>
    <row r="271" spans="1:33">
      <c r="A271" t="s">
        <v>347</v>
      </c>
      <c r="D271" s="3" t="s">
        <v>348</v>
      </c>
      <c r="E271" s="3" t="s">
        <v>348</v>
      </c>
      <c r="F271" t="s">
        <v>35</v>
      </c>
      <c r="I271" t="s">
        <v>987</v>
      </c>
      <c r="Q271" s="9"/>
      <c r="U271" s="8" t="str">
        <f t="shared" ca="1" si="12"/>
        <v/>
      </c>
      <c r="V271" s="8" t="str">
        <f t="shared" ca="1" si="13"/>
        <v/>
      </c>
      <c r="AB271" s="8" t="s">
        <v>1371</v>
      </c>
    </row>
    <row r="272" spans="1:33">
      <c r="A272" t="s">
        <v>347</v>
      </c>
      <c r="D272" s="3" t="s">
        <v>349</v>
      </c>
      <c r="E272" s="3" t="s">
        <v>350</v>
      </c>
      <c r="J272" s="8" t="s">
        <v>1305</v>
      </c>
      <c r="Q272" s="9"/>
      <c r="U272" s="8" t="str">
        <f t="shared" ca="1" si="12"/>
        <v/>
      </c>
      <c r="V272" s="8" t="str">
        <f t="shared" ca="1" si="13"/>
        <v/>
      </c>
      <c r="AB272" s="8" t="s">
        <v>19</v>
      </c>
      <c r="AD272" s="8" t="s">
        <v>1354</v>
      </c>
      <c r="AE272" s="8" t="s">
        <v>19</v>
      </c>
      <c r="AF272" s="8" t="s">
        <v>1288</v>
      </c>
    </row>
    <row r="273" spans="1:32">
      <c r="A273" t="s">
        <v>351</v>
      </c>
      <c r="D273" s="3" t="s">
        <v>988</v>
      </c>
      <c r="E273" s="3" t="s">
        <v>988</v>
      </c>
      <c r="F273" t="s">
        <v>35</v>
      </c>
      <c r="I273" t="s">
        <v>989</v>
      </c>
      <c r="Q273" s="9"/>
      <c r="U273" s="8" t="str">
        <f t="shared" ca="1" si="12"/>
        <v/>
      </c>
      <c r="V273" s="8" t="str">
        <f t="shared" ca="1" si="13"/>
        <v/>
      </c>
      <c r="AB273" s="8" t="s">
        <v>1371</v>
      </c>
    </row>
    <row r="274" spans="1:32">
      <c r="A274" t="s">
        <v>352</v>
      </c>
      <c r="D274" s="3" t="s">
        <v>990</v>
      </c>
      <c r="E274" s="3" t="s">
        <v>991</v>
      </c>
      <c r="J274" s="8" t="s">
        <v>1303</v>
      </c>
      <c r="Q274" s="9"/>
      <c r="T274" s="8">
        <f>6-0</f>
        <v>6</v>
      </c>
      <c r="U274" s="8">
        <f t="shared" ca="1" si="12"/>
        <v>0</v>
      </c>
      <c r="V274" s="8">
        <f t="shared" ca="1" si="13"/>
        <v>6</v>
      </c>
      <c r="AB274" s="8" t="s">
        <v>19</v>
      </c>
    </row>
    <row r="275" spans="1:32">
      <c r="A275" t="s">
        <v>353</v>
      </c>
      <c r="D275" s="3" t="s">
        <v>992</v>
      </c>
      <c r="E275" s="3" t="s">
        <v>992</v>
      </c>
      <c r="F275" t="s">
        <v>35</v>
      </c>
      <c r="I275" t="s">
        <v>993</v>
      </c>
      <c r="Q275" s="9"/>
      <c r="U275" s="8" t="str">
        <f t="shared" ca="1" si="12"/>
        <v/>
      </c>
      <c r="V275" s="8" t="str">
        <f t="shared" ca="1" si="13"/>
        <v/>
      </c>
      <c r="AB275" s="8" t="s">
        <v>1371</v>
      </c>
    </row>
    <row r="276" spans="1:32">
      <c r="A276" t="s">
        <v>354</v>
      </c>
      <c r="D276" s="2" t="s">
        <v>994</v>
      </c>
      <c r="E276" s="2" t="s">
        <v>994</v>
      </c>
      <c r="F276" t="s">
        <v>35</v>
      </c>
      <c r="I276" t="s">
        <v>996</v>
      </c>
      <c r="Q276" s="9"/>
      <c r="U276" s="8" t="str">
        <f t="shared" ca="1" si="12"/>
        <v/>
      </c>
      <c r="V276" s="8" t="str">
        <f t="shared" ca="1" si="13"/>
        <v/>
      </c>
      <c r="AB276" s="8" t="s">
        <v>1371</v>
      </c>
    </row>
    <row r="277" spans="1:32">
      <c r="A277" t="s">
        <v>354</v>
      </c>
      <c r="D277" s="3" t="s">
        <v>995</v>
      </c>
      <c r="E277" s="3" t="s">
        <v>995</v>
      </c>
      <c r="F277" t="s">
        <v>35</v>
      </c>
      <c r="I277" t="s">
        <v>997</v>
      </c>
      <c r="Q277" s="9"/>
      <c r="U277" s="8" t="str">
        <f t="shared" ca="1" si="12"/>
        <v/>
      </c>
      <c r="V277" s="8" t="str">
        <f t="shared" ca="1" si="13"/>
        <v/>
      </c>
      <c r="AB277" s="8" t="s">
        <v>1371</v>
      </c>
    </row>
    <row r="278" spans="1:32">
      <c r="A278" t="s">
        <v>355</v>
      </c>
      <c r="D278" s="3" t="s">
        <v>356</v>
      </c>
      <c r="E278" s="3" t="s">
        <v>357</v>
      </c>
      <c r="J278" s="8" t="s">
        <v>1305</v>
      </c>
      <c r="Q278" s="9"/>
      <c r="U278" s="8" t="str">
        <f t="shared" ca="1" si="12"/>
        <v/>
      </c>
      <c r="V278" s="8" t="str">
        <f t="shared" ca="1" si="13"/>
        <v/>
      </c>
      <c r="AB278" s="8" t="s">
        <v>19</v>
      </c>
      <c r="AF278" s="8" t="s">
        <v>1288</v>
      </c>
    </row>
    <row r="279" spans="1:32">
      <c r="A279" t="s">
        <v>358</v>
      </c>
      <c r="D279" s="3" t="s">
        <v>359</v>
      </c>
      <c r="E279" s="3" t="s">
        <v>360</v>
      </c>
      <c r="H279" t="s">
        <v>19</v>
      </c>
      <c r="I279" t="s">
        <v>1355</v>
      </c>
      <c r="J279" s="8" t="s">
        <v>1305</v>
      </c>
      <c r="Q279" s="9"/>
      <c r="U279" s="8" t="str">
        <f t="shared" ca="1" si="12"/>
        <v/>
      </c>
      <c r="V279" s="8" t="str">
        <f t="shared" ca="1" si="13"/>
        <v/>
      </c>
      <c r="AB279" s="8" t="s">
        <v>19</v>
      </c>
      <c r="AF279" s="8" t="s">
        <v>1288</v>
      </c>
    </row>
    <row r="280" spans="1:32" ht="29">
      <c r="A280" t="s">
        <v>361</v>
      </c>
      <c r="D280" s="3" t="s">
        <v>998</v>
      </c>
      <c r="E280" s="3" t="s">
        <v>999</v>
      </c>
      <c r="H280" t="s">
        <v>19</v>
      </c>
      <c r="J280" s="8" t="s">
        <v>1305</v>
      </c>
      <c r="Q280" s="9"/>
      <c r="U280" s="8" t="str">
        <f t="shared" ca="1" si="12"/>
        <v/>
      </c>
      <c r="V280" s="8" t="str">
        <f t="shared" ca="1" si="13"/>
        <v/>
      </c>
      <c r="AB280" s="8" t="s">
        <v>19</v>
      </c>
    </row>
    <row r="281" spans="1:32">
      <c r="A281" t="s">
        <v>362</v>
      </c>
      <c r="D281" s="3" t="s">
        <v>1000</v>
      </c>
      <c r="E281" s="3" t="s">
        <v>1001</v>
      </c>
      <c r="J281" s="8" t="s">
        <v>1305</v>
      </c>
      <c r="Q281" s="9"/>
      <c r="U281" s="8" t="str">
        <f t="shared" ca="1" si="12"/>
        <v/>
      </c>
      <c r="V281" s="8" t="str">
        <f t="shared" ca="1" si="13"/>
        <v/>
      </c>
      <c r="AB281" s="8" t="s">
        <v>19</v>
      </c>
      <c r="AF281" s="8" t="s">
        <v>1288</v>
      </c>
    </row>
    <row r="282" spans="1:32">
      <c r="A282" t="s">
        <v>362</v>
      </c>
      <c r="D282" s="3" t="s">
        <v>363</v>
      </c>
      <c r="E282" s="3" t="s">
        <v>1002</v>
      </c>
      <c r="G282" t="s">
        <v>19</v>
      </c>
      <c r="J282" s="8" t="s">
        <v>1305</v>
      </c>
      <c r="Q282" s="9"/>
      <c r="U282" s="8" t="str">
        <f t="shared" ca="1" si="12"/>
        <v/>
      </c>
      <c r="V282" s="8" t="str">
        <f t="shared" ca="1" si="13"/>
        <v/>
      </c>
      <c r="AB282" s="8" t="s">
        <v>19</v>
      </c>
      <c r="AF282" s="8" t="s">
        <v>1291</v>
      </c>
    </row>
    <row r="283" spans="1:32">
      <c r="A283" t="s">
        <v>364</v>
      </c>
      <c r="D283" s="3" t="s">
        <v>365</v>
      </c>
      <c r="E283" s="3" t="s">
        <v>366</v>
      </c>
      <c r="H283" t="s">
        <v>19</v>
      </c>
      <c r="J283" s="8" t="s">
        <v>1303</v>
      </c>
      <c r="Q283" s="9"/>
      <c r="R283" s="8" t="s">
        <v>1259</v>
      </c>
      <c r="T283" s="8" t="s">
        <v>1326</v>
      </c>
      <c r="U283" s="8" t="str">
        <f t="shared" ca="1" si="12"/>
        <v/>
      </c>
      <c r="V283" s="8" t="str">
        <f t="shared" ca="1" si="13"/>
        <v/>
      </c>
      <c r="AB283" s="8" t="s">
        <v>19</v>
      </c>
      <c r="AD283" s="8" t="s">
        <v>1373</v>
      </c>
      <c r="AE283" s="8" t="s">
        <v>19</v>
      </c>
      <c r="AF283" s="8" t="s">
        <v>1288</v>
      </c>
    </row>
    <row r="284" spans="1:32">
      <c r="A284" t="s">
        <v>367</v>
      </c>
      <c r="D284" s="3" t="s">
        <v>368</v>
      </c>
      <c r="E284" s="3" t="s">
        <v>369</v>
      </c>
      <c r="H284" t="s">
        <v>19</v>
      </c>
      <c r="J284" s="8" t="s">
        <v>1305</v>
      </c>
      <c r="Q284" s="9"/>
      <c r="U284" s="8" t="str">
        <f t="shared" ca="1" si="12"/>
        <v/>
      </c>
      <c r="V284" s="8" t="str">
        <f t="shared" ca="1" si="13"/>
        <v/>
      </c>
      <c r="AB284" s="8" t="s">
        <v>19</v>
      </c>
      <c r="AD284" s="8" t="s">
        <v>1353</v>
      </c>
      <c r="AE284" s="8" t="s">
        <v>19</v>
      </c>
      <c r="AF284" s="8" t="s">
        <v>1288</v>
      </c>
    </row>
    <row r="285" spans="1:32">
      <c r="A285" t="s">
        <v>367</v>
      </c>
      <c r="D285" s="3" t="s">
        <v>1003</v>
      </c>
      <c r="E285" s="3" t="s">
        <v>1003</v>
      </c>
      <c r="F285" t="s">
        <v>35</v>
      </c>
      <c r="I285" t="s">
        <v>1004</v>
      </c>
      <c r="Q285" s="9"/>
      <c r="U285" s="8" t="str">
        <f t="shared" ca="1" si="12"/>
        <v/>
      </c>
      <c r="V285" s="8" t="str">
        <f t="shared" ca="1" si="13"/>
        <v/>
      </c>
      <c r="AB285" s="8" t="s">
        <v>1371</v>
      </c>
    </row>
    <row r="286" spans="1:32">
      <c r="A286" t="s">
        <v>370</v>
      </c>
      <c r="D286" s="3" t="s">
        <v>1005</v>
      </c>
      <c r="E286" s="3" t="s">
        <v>1005</v>
      </c>
      <c r="F286" t="s">
        <v>35</v>
      </c>
      <c r="I286" t="s">
        <v>1006</v>
      </c>
      <c r="Q286" s="9"/>
      <c r="U286" s="8" t="str">
        <f t="shared" ca="1" si="12"/>
        <v/>
      </c>
      <c r="V286" s="8" t="str">
        <f t="shared" ca="1" si="13"/>
        <v/>
      </c>
      <c r="AB286" s="8" t="s">
        <v>1371</v>
      </c>
    </row>
    <row r="287" spans="1:32">
      <c r="A287" t="s">
        <v>370</v>
      </c>
      <c r="D287" s="3" t="s">
        <v>372</v>
      </c>
      <c r="E287" s="3" t="s">
        <v>371</v>
      </c>
      <c r="J287" s="8" t="s">
        <v>1305</v>
      </c>
      <c r="Q287" s="9"/>
      <c r="U287" s="8" t="str">
        <f t="shared" ca="1" si="12"/>
        <v/>
      </c>
      <c r="V287" s="8" t="str">
        <f t="shared" ca="1" si="13"/>
        <v/>
      </c>
      <c r="AB287" s="8" t="s">
        <v>19</v>
      </c>
    </row>
    <row r="288" spans="1:32">
      <c r="A288" t="s">
        <v>373</v>
      </c>
      <c r="D288" s="3" t="s">
        <v>374</v>
      </c>
      <c r="E288" s="3" t="s">
        <v>374</v>
      </c>
      <c r="F288" t="s">
        <v>35</v>
      </c>
      <c r="I288" t="s">
        <v>1007</v>
      </c>
      <c r="Q288" s="9"/>
      <c r="U288" s="8" t="str">
        <f t="shared" ca="1" si="12"/>
        <v/>
      </c>
      <c r="V288" s="8" t="str">
        <f t="shared" ca="1" si="13"/>
        <v/>
      </c>
      <c r="AB288" s="8" t="s">
        <v>1371</v>
      </c>
    </row>
    <row r="289" spans="1:32">
      <c r="A289" t="s">
        <v>373</v>
      </c>
      <c r="D289" s="3" t="s">
        <v>375</v>
      </c>
      <c r="E289" s="3" t="s">
        <v>376</v>
      </c>
      <c r="J289" s="8" t="s">
        <v>1305</v>
      </c>
      <c r="Q289" s="9"/>
      <c r="U289" s="8" t="str">
        <f t="shared" ca="1" si="12"/>
        <v/>
      </c>
      <c r="V289" s="8" t="str">
        <f t="shared" ca="1" si="13"/>
        <v/>
      </c>
      <c r="AB289" s="8" t="s">
        <v>19</v>
      </c>
      <c r="AD289" s="8" t="s">
        <v>1329</v>
      </c>
      <c r="AE289" s="8" t="s">
        <v>19</v>
      </c>
    </row>
    <row r="290" spans="1:32">
      <c r="A290" t="s">
        <v>373</v>
      </c>
      <c r="D290" s="3" t="s">
        <v>377</v>
      </c>
      <c r="E290" s="3" t="s">
        <v>378</v>
      </c>
      <c r="H290" t="s">
        <v>19</v>
      </c>
      <c r="J290" s="8" t="s">
        <v>1303</v>
      </c>
      <c r="Q290" s="9"/>
      <c r="T290" s="8">
        <f>5-5</f>
        <v>0</v>
      </c>
      <c r="U290" s="8">
        <f t="shared" ca="1" si="12"/>
        <v>5</v>
      </c>
      <c r="V290" s="8">
        <f t="shared" ca="1" si="13"/>
        <v>5</v>
      </c>
      <c r="AB290" s="8" t="s">
        <v>19</v>
      </c>
    </row>
    <row r="291" spans="1:32">
      <c r="A291" t="s">
        <v>379</v>
      </c>
      <c r="D291" s="3" t="s">
        <v>380</v>
      </c>
      <c r="E291" s="3" t="s">
        <v>381</v>
      </c>
      <c r="H291" t="s">
        <v>23</v>
      </c>
      <c r="I291" t="s">
        <v>1757</v>
      </c>
      <c r="J291" s="8" t="s">
        <v>1303</v>
      </c>
      <c r="Q291" s="9"/>
      <c r="T291" s="8" t="s">
        <v>1326</v>
      </c>
      <c r="U291" s="8" t="str">
        <f t="shared" ca="1" si="12"/>
        <v/>
      </c>
      <c r="V291" s="8" t="str">
        <f t="shared" ca="1" si="13"/>
        <v/>
      </c>
      <c r="AB291" s="8" t="s">
        <v>19</v>
      </c>
      <c r="AD291" s="8" t="s">
        <v>1373</v>
      </c>
      <c r="AE291" s="8" t="s">
        <v>19</v>
      </c>
    </row>
    <row r="292" spans="1:32">
      <c r="A292" t="s">
        <v>382</v>
      </c>
      <c r="D292" s="3" t="s">
        <v>1009</v>
      </c>
      <c r="E292" s="3" t="s">
        <v>1008</v>
      </c>
      <c r="G292" t="s">
        <v>19</v>
      </c>
      <c r="J292" s="8" t="s">
        <v>24</v>
      </c>
      <c r="K292" s="8">
        <v>0</v>
      </c>
      <c r="L292" s="8">
        <v>1</v>
      </c>
      <c r="M292" s="8">
        <v>2</v>
      </c>
      <c r="N292" s="8" t="s">
        <v>1308</v>
      </c>
      <c r="O292" s="8" t="s">
        <v>1304</v>
      </c>
      <c r="Q292" s="9"/>
      <c r="S292" s="8">
        <v>124</v>
      </c>
      <c r="U292" s="8" t="str">
        <f t="shared" ca="1" si="12"/>
        <v/>
      </c>
      <c r="V292" s="8" t="str">
        <f t="shared" ca="1" si="13"/>
        <v/>
      </c>
      <c r="AB292" s="8" t="s">
        <v>19</v>
      </c>
    </row>
    <row r="293" spans="1:32">
      <c r="A293" t="s">
        <v>383</v>
      </c>
      <c r="D293" s="3" t="s">
        <v>384</v>
      </c>
      <c r="E293" s="3" t="s">
        <v>385</v>
      </c>
      <c r="J293" s="8" t="s">
        <v>1305</v>
      </c>
      <c r="Q293" s="9"/>
      <c r="U293" s="8" t="str">
        <f t="shared" ca="1" si="12"/>
        <v/>
      </c>
      <c r="V293" s="8" t="str">
        <f t="shared" ca="1" si="13"/>
        <v/>
      </c>
      <c r="AB293" s="8" t="s">
        <v>19</v>
      </c>
    </row>
    <row r="294" spans="1:32">
      <c r="A294" t="s">
        <v>386</v>
      </c>
      <c r="D294" s="3" t="s">
        <v>1010</v>
      </c>
      <c r="E294" s="3" t="s">
        <v>1010</v>
      </c>
      <c r="F294" t="s">
        <v>35</v>
      </c>
      <c r="I294" t="s">
        <v>1011</v>
      </c>
      <c r="Q294" s="9"/>
      <c r="U294" s="8" t="str">
        <f t="shared" ca="1" si="12"/>
        <v/>
      </c>
      <c r="V294" s="8" t="str">
        <f t="shared" ca="1" si="13"/>
        <v/>
      </c>
      <c r="AB294" s="8" t="s">
        <v>1371</v>
      </c>
    </row>
    <row r="295" spans="1:32" ht="29">
      <c r="A295" t="s">
        <v>387</v>
      </c>
      <c r="D295" s="3" t="s">
        <v>1012</v>
      </c>
      <c r="E295" s="3" t="s">
        <v>1013</v>
      </c>
      <c r="H295" t="s">
        <v>19</v>
      </c>
      <c r="J295" s="8" t="s">
        <v>1305</v>
      </c>
      <c r="Q295" s="9"/>
      <c r="U295" s="8" t="str">
        <f t="shared" ca="1" si="12"/>
        <v/>
      </c>
      <c r="V295" s="8" t="str">
        <f t="shared" ca="1" si="13"/>
        <v/>
      </c>
      <c r="AB295" s="8" t="s">
        <v>19</v>
      </c>
      <c r="AD295" s="8" t="s">
        <v>1353</v>
      </c>
      <c r="AE295" s="8" t="s">
        <v>19</v>
      </c>
    </row>
    <row r="296" spans="1:32">
      <c r="A296" t="s">
        <v>388</v>
      </c>
      <c r="D296" s="3" t="s">
        <v>389</v>
      </c>
      <c r="E296" s="3" t="s">
        <v>389</v>
      </c>
      <c r="F296" t="s">
        <v>35</v>
      </c>
      <c r="I296" t="s">
        <v>1014</v>
      </c>
      <c r="Q296" s="9"/>
      <c r="U296" s="8" t="str">
        <f t="shared" ca="1" si="12"/>
        <v/>
      </c>
      <c r="V296" s="8" t="str">
        <f t="shared" ca="1" si="13"/>
        <v/>
      </c>
      <c r="AB296" s="8" t="s">
        <v>1371</v>
      </c>
    </row>
    <row r="297" spans="1:32">
      <c r="A297" t="s">
        <v>390</v>
      </c>
      <c r="D297" s="3" t="s">
        <v>1015</v>
      </c>
      <c r="E297" s="3" t="s">
        <v>1015</v>
      </c>
      <c r="F297" t="s">
        <v>35</v>
      </c>
      <c r="I297" t="s">
        <v>1016</v>
      </c>
      <c r="Q297" s="9"/>
      <c r="U297" s="8" t="str">
        <f t="shared" ca="1" si="12"/>
        <v/>
      </c>
      <c r="V297" s="8" t="str">
        <f t="shared" ca="1" si="13"/>
        <v/>
      </c>
      <c r="AB297" s="8" t="s">
        <v>1371</v>
      </c>
    </row>
    <row r="298" spans="1:32">
      <c r="A298" t="s">
        <v>391</v>
      </c>
      <c r="D298" s="3" t="s">
        <v>1018</v>
      </c>
      <c r="E298" s="3" t="s">
        <v>1018</v>
      </c>
      <c r="F298" t="s">
        <v>35</v>
      </c>
      <c r="I298" t="s">
        <v>1017</v>
      </c>
      <c r="Q298" s="9"/>
      <c r="U298" s="8" t="str">
        <f t="shared" ca="1" si="12"/>
        <v/>
      </c>
      <c r="V298" s="8" t="str">
        <f t="shared" ca="1" si="13"/>
        <v/>
      </c>
      <c r="AB298" s="8" t="s">
        <v>1371</v>
      </c>
    </row>
    <row r="299" spans="1:32">
      <c r="A299" t="s">
        <v>391</v>
      </c>
      <c r="D299" s="3" t="s">
        <v>1019</v>
      </c>
      <c r="E299" s="3" t="s">
        <v>1019</v>
      </c>
      <c r="F299" t="s">
        <v>35</v>
      </c>
      <c r="I299" t="s">
        <v>1020</v>
      </c>
      <c r="Q299" s="9"/>
      <c r="U299" s="8" t="str">
        <f t="shared" ca="1" si="12"/>
        <v/>
      </c>
      <c r="V299" s="8" t="str">
        <f t="shared" ca="1" si="13"/>
        <v/>
      </c>
      <c r="AB299" s="8" t="s">
        <v>1371</v>
      </c>
    </row>
    <row r="300" spans="1:32">
      <c r="A300" t="s">
        <v>391</v>
      </c>
      <c r="D300" s="3" t="s">
        <v>392</v>
      </c>
      <c r="E300" s="3" t="s">
        <v>393</v>
      </c>
      <c r="F300" t="s">
        <v>11</v>
      </c>
      <c r="Q300" s="9"/>
      <c r="U300" s="8" t="str">
        <f t="shared" ca="1" si="12"/>
        <v/>
      </c>
      <c r="V300" s="8" t="str">
        <f t="shared" ca="1" si="13"/>
        <v/>
      </c>
      <c r="AB300" s="8" t="s">
        <v>1371</v>
      </c>
    </row>
    <row r="301" spans="1:32">
      <c r="A301" t="s">
        <v>394</v>
      </c>
      <c r="D301" s="3" t="s">
        <v>395</v>
      </c>
      <c r="E301" s="3" t="s">
        <v>396</v>
      </c>
      <c r="J301" s="8" t="s">
        <v>1303</v>
      </c>
      <c r="Q301" s="9"/>
      <c r="T301" s="8" t="s">
        <v>1326</v>
      </c>
      <c r="U301" s="8" t="str">
        <f t="shared" ca="1" si="12"/>
        <v/>
      </c>
      <c r="V301" s="8" t="str">
        <f t="shared" ca="1" si="13"/>
        <v/>
      </c>
      <c r="AB301" s="8" t="s">
        <v>19</v>
      </c>
      <c r="AF301" s="8" t="s">
        <v>1288</v>
      </c>
    </row>
    <row r="302" spans="1:32">
      <c r="A302" t="s">
        <v>397</v>
      </c>
      <c r="D302" s="3" t="s">
        <v>1021</v>
      </c>
      <c r="E302" s="3" t="s">
        <v>1021</v>
      </c>
      <c r="F302" t="s">
        <v>35</v>
      </c>
      <c r="I302" t="s">
        <v>1022</v>
      </c>
      <c r="Q302" s="9"/>
      <c r="U302" s="8" t="str">
        <f t="shared" ca="1" si="12"/>
        <v/>
      </c>
      <c r="V302" s="8" t="str">
        <f t="shared" ca="1" si="13"/>
        <v/>
      </c>
      <c r="AB302" s="8" t="s">
        <v>1371</v>
      </c>
    </row>
    <row r="303" spans="1:32">
      <c r="A303" t="s">
        <v>397</v>
      </c>
      <c r="D303" s="3" t="s">
        <v>1023</v>
      </c>
      <c r="E303" s="3" t="s">
        <v>1023</v>
      </c>
      <c r="F303" t="s">
        <v>35</v>
      </c>
      <c r="I303" t="s">
        <v>1024</v>
      </c>
      <c r="Q303" s="9"/>
      <c r="U303" s="8" t="str">
        <f t="shared" ca="1" si="12"/>
        <v/>
      </c>
      <c r="V303" s="8" t="str">
        <f t="shared" ca="1" si="13"/>
        <v/>
      </c>
      <c r="AB303" s="8" t="s">
        <v>1371</v>
      </c>
    </row>
    <row r="304" spans="1:32" ht="29">
      <c r="A304" t="s">
        <v>398</v>
      </c>
      <c r="D304" s="3" t="s">
        <v>1025</v>
      </c>
      <c r="E304" s="3" t="s">
        <v>1026</v>
      </c>
      <c r="H304" t="s">
        <v>19</v>
      </c>
      <c r="J304" s="8" t="s">
        <v>24</v>
      </c>
      <c r="K304" s="8">
        <v>0</v>
      </c>
      <c r="L304" s="8">
        <v>1</v>
      </c>
      <c r="M304" s="8">
        <v>1</v>
      </c>
      <c r="N304" s="8" t="s">
        <v>1274</v>
      </c>
      <c r="O304" s="8" t="s">
        <v>1304</v>
      </c>
      <c r="Q304" s="9"/>
      <c r="S304" s="8">
        <v>99</v>
      </c>
      <c r="U304" s="8" t="str">
        <f t="shared" ca="1" si="12"/>
        <v/>
      </c>
      <c r="V304" s="8" t="str">
        <f t="shared" ca="1" si="13"/>
        <v/>
      </c>
      <c r="AB304" s="8" t="s">
        <v>19</v>
      </c>
      <c r="AF304" s="8" t="s">
        <v>1289</v>
      </c>
    </row>
    <row r="305" spans="1:32" ht="29">
      <c r="A305" t="s">
        <v>398</v>
      </c>
      <c r="D305" s="3" t="s">
        <v>1027</v>
      </c>
      <c r="E305" s="3" t="s">
        <v>1028</v>
      </c>
      <c r="F305" t="s">
        <v>35</v>
      </c>
      <c r="I305" t="s">
        <v>1029</v>
      </c>
      <c r="Q305" s="9"/>
      <c r="U305" s="8" t="str">
        <f t="shared" ca="1" si="12"/>
        <v/>
      </c>
      <c r="V305" s="8" t="str">
        <f t="shared" ca="1" si="13"/>
        <v/>
      </c>
      <c r="AB305" s="8" t="s">
        <v>1371</v>
      </c>
    </row>
    <row r="306" spans="1:32">
      <c r="A306" t="s">
        <v>398</v>
      </c>
      <c r="D306" s="3" t="s">
        <v>1030</v>
      </c>
      <c r="E306" s="3" t="s">
        <v>1030</v>
      </c>
      <c r="F306" t="s">
        <v>35</v>
      </c>
      <c r="I306" t="s">
        <v>1031</v>
      </c>
      <c r="Q306" s="9"/>
      <c r="U306" s="8" t="str">
        <f t="shared" ca="1" si="12"/>
        <v/>
      </c>
      <c r="V306" s="8" t="str">
        <f t="shared" ca="1" si="13"/>
        <v/>
      </c>
      <c r="AB306" s="8" t="s">
        <v>1371</v>
      </c>
    </row>
    <row r="307" spans="1:32">
      <c r="A307" t="s">
        <v>398</v>
      </c>
      <c r="D307" s="3" t="s">
        <v>1032</v>
      </c>
      <c r="E307" s="3" t="s">
        <v>1032</v>
      </c>
      <c r="F307" t="s">
        <v>35</v>
      </c>
      <c r="I307" t="s">
        <v>1033</v>
      </c>
      <c r="Q307" s="9"/>
      <c r="U307" s="8" t="str">
        <f t="shared" ca="1" si="12"/>
        <v/>
      </c>
      <c r="V307" s="8" t="str">
        <f t="shared" ca="1" si="13"/>
        <v/>
      </c>
      <c r="AB307" s="8" t="s">
        <v>1371</v>
      </c>
    </row>
    <row r="308" spans="1:32">
      <c r="A308" t="s">
        <v>399</v>
      </c>
      <c r="D308" s="3" t="s">
        <v>400</v>
      </c>
      <c r="E308" s="3" t="s">
        <v>401</v>
      </c>
      <c r="H308" t="s">
        <v>19</v>
      </c>
      <c r="J308" s="8" t="s">
        <v>1303</v>
      </c>
      <c r="Q308" s="9"/>
      <c r="T308" s="8" t="s">
        <v>1326</v>
      </c>
      <c r="U308" s="8" t="str">
        <f t="shared" ca="1" si="12"/>
        <v/>
      </c>
      <c r="V308" s="8" t="str">
        <f t="shared" ca="1" si="13"/>
        <v/>
      </c>
      <c r="AB308" s="8" t="s">
        <v>19</v>
      </c>
      <c r="AF308" s="8" t="s">
        <v>1288</v>
      </c>
    </row>
    <row r="309" spans="1:32">
      <c r="A309" t="s">
        <v>402</v>
      </c>
      <c r="D309" s="3" t="s">
        <v>1034</v>
      </c>
      <c r="E309" s="3" t="s">
        <v>1035</v>
      </c>
      <c r="G309" t="s">
        <v>19</v>
      </c>
      <c r="J309" s="8" t="s">
        <v>24</v>
      </c>
      <c r="K309" s="8">
        <v>0</v>
      </c>
      <c r="L309" s="8">
        <v>1</v>
      </c>
      <c r="M309" s="8">
        <v>1</v>
      </c>
      <c r="N309" s="8" t="s">
        <v>1262</v>
      </c>
      <c r="O309" s="8" t="s">
        <v>1304</v>
      </c>
      <c r="Q309" s="9"/>
      <c r="S309" s="8">
        <v>2474</v>
      </c>
      <c r="U309" s="8" t="str">
        <f t="shared" ca="1" si="12"/>
        <v/>
      </c>
      <c r="V309" s="8" t="str">
        <f t="shared" ca="1" si="13"/>
        <v/>
      </c>
      <c r="AB309" s="8" t="s">
        <v>19</v>
      </c>
    </row>
    <row r="310" spans="1:32">
      <c r="A310" t="s">
        <v>403</v>
      </c>
      <c r="D310" t="s">
        <v>1037</v>
      </c>
      <c r="E310" s="3" t="s">
        <v>1036</v>
      </c>
      <c r="J310" s="8" t="s">
        <v>1305</v>
      </c>
      <c r="Q310" s="9"/>
      <c r="U310" s="8" t="str">
        <f t="shared" ca="1" si="12"/>
        <v/>
      </c>
      <c r="V310" s="8" t="str">
        <f t="shared" ca="1" si="13"/>
        <v/>
      </c>
      <c r="AB310" s="8" t="s">
        <v>19</v>
      </c>
    </row>
    <row r="311" spans="1:32">
      <c r="A311" t="s">
        <v>404</v>
      </c>
      <c r="D311" s="3" t="s">
        <v>1039</v>
      </c>
      <c r="E311" s="3" t="s">
        <v>1038</v>
      </c>
      <c r="H311" t="s">
        <v>19</v>
      </c>
      <c r="I311" t="s">
        <v>1356</v>
      </c>
      <c r="J311" s="8" t="s">
        <v>24</v>
      </c>
      <c r="K311" s="8">
        <v>0</v>
      </c>
      <c r="L311" s="8">
        <v>1</v>
      </c>
      <c r="M311" s="8">
        <v>1</v>
      </c>
      <c r="N311" s="8" t="s">
        <v>1257</v>
      </c>
      <c r="O311" s="8" t="s">
        <v>1304</v>
      </c>
      <c r="Q311" s="9"/>
      <c r="S311" s="8">
        <v>5</v>
      </c>
      <c r="U311" s="8" t="str">
        <f t="shared" ca="1" si="12"/>
        <v/>
      </c>
      <c r="V311" s="8" t="str">
        <f t="shared" ca="1" si="13"/>
        <v/>
      </c>
      <c r="AB311" s="8" t="s">
        <v>19</v>
      </c>
      <c r="AF311" s="8" t="s">
        <v>1289</v>
      </c>
    </row>
    <row r="312" spans="1:32">
      <c r="A312" t="s">
        <v>405</v>
      </c>
      <c r="D312" s="3" t="s">
        <v>406</v>
      </c>
      <c r="E312" s="3" t="s">
        <v>407</v>
      </c>
      <c r="F312" t="s">
        <v>17</v>
      </c>
      <c r="Q312" s="9"/>
      <c r="U312" s="8" t="str">
        <f t="shared" ca="1" si="12"/>
        <v/>
      </c>
      <c r="V312" s="8" t="str">
        <f t="shared" ca="1" si="13"/>
        <v/>
      </c>
      <c r="AB312" s="8" t="s">
        <v>1371</v>
      </c>
    </row>
    <row r="313" spans="1:32">
      <c r="A313" t="s">
        <v>408</v>
      </c>
      <c r="D313" s="3" t="s">
        <v>1040</v>
      </c>
      <c r="E313" s="3" t="s">
        <v>1041</v>
      </c>
      <c r="H313" t="s">
        <v>19</v>
      </c>
      <c r="I313" t="s">
        <v>1357</v>
      </c>
      <c r="J313" s="8" t="s">
        <v>1303</v>
      </c>
      <c r="Q313" s="9"/>
      <c r="T313" s="8">
        <f>3-3</f>
        <v>0</v>
      </c>
      <c r="U313" s="8">
        <f t="shared" ca="1" si="12"/>
        <v>3</v>
      </c>
      <c r="V313" s="8">
        <f t="shared" ca="1" si="13"/>
        <v>3</v>
      </c>
      <c r="AB313" s="8" t="s">
        <v>19</v>
      </c>
    </row>
    <row r="314" spans="1:32">
      <c r="A314" t="s">
        <v>409</v>
      </c>
      <c r="D314" s="3" t="s">
        <v>410</v>
      </c>
      <c r="E314" s="3" t="s">
        <v>411</v>
      </c>
      <c r="H314" t="s">
        <v>19</v>
      </c>
      <c r="J314" s="8" t="s">
        <v>1303</v>
      </c>
      <c r="Q314" s="9"/>
      <c r="T314" s="8" t="s">
        <v>1326</v>
      </c>
      <c r="U314" s="8" t="str">
        <f t="shared" ca="1" si="12"/>
        <v/>
      </c>
      <c r="V314" s="8" t="str">
        <f t="shared" ca="1" si="13"/>
        <v/>
      </c>
      <c r="AB314" s="8" t="s">
        <v>19</v>
      </c>
      <c r="AF314" s="8" t="s">
        <v>1288</v>
      </c>
    </row>
    <row r="315" spans="1:32">
      <c r="A315" t="s">
        <v>412</v>
      </c>
      <c r="D315" s="3" t="s">
        <v>1042</v>
      </c>
      <c r="E315" s="3" t="s">
        <v>1043</v>
      </c>
      <c r="H315" t="s">
        <v>19</v>
      </c>
      <c r="I315" t="s">
        <v>1358</v>
      </c>
      <c r="J315" s="8" t="s">
        <v>24</v>
      </c>
      <c r="K315" s="8">
        <v>0</v>
      </c>
      <c r="L315" s="8">
        <v>1</v>
      </c>
      <c r="M315" s="8">
        <v>1</v>
      </c>
      <c r="N315" s="8" t="s">
        <v>1257</v>
      </c>
      <c r="O315" s="8" t="s">
        <v>1304</v>
      </c>
      <c r="Q315" s="9"/>
      <c r="S315" s="8">
        <v>5</v>
      </c>
      <c r="U315" s="8" t="str">
        <f t="shared" ca="1" si="12"/>
        <v/>
      </c>
      <c r="V315" s="8" t="str">
        <f t="shared" ca="1" si="13"/>
        <v/>
      </c>
      <c r="AB315" s="8" t="s">
        <v>19</v>
      </c>
      <c r="AF315" s="8" t="s">
        <v>1289</v>
      </c>
    </row>
    <row r="316" spans="1:32">
      <c r="A316" t="s">
        <v>413</v>
      </c>
      <c r="D316" s="3" t="s">
        <v>1044</v>
      </c>
      <c r="E316" s="3" t="s">
        <v>1044</v>
      </c>
      <c r="F316" t="s">
        <v>35</v>
      </c>
      <c r="I316" t="s">
        <v>1045</v>
      </c>
      <c r="Q316" s="9"/>
      <c r="U316" s="8" t="str">
        <f t="shared" ca="1" si="12"/>
        <v/>
      </c>
      <c r="V316" s="8" t="str">
        <f t="shared" ca="1" si="13"/>
        <v/>
      </c>
      <c r="AB316" s="8" t="s">
        <v>1371</v>
      </c>
    </row>
    <row r="317" spans="1:32">
      <c r="A317" t="s">
        <v>414</v>
      </c>
      <c r="D317" s="3" t="s">
        <v>1046</v>
      </c>
      <c r="E317" s="3" t="s">
        <v>1046</v>
      </c>
      <c r="F317" t="s">
        <v>35</v>
      </c>
      <c r="I317" t="s">
        <v>908</v>
      </c>
      <c r="Q317" s="9"/>
      <c r="U317" s="8" t="str">
        <f t="shared" ca="1" si="12"/>
        <v/>
      </c>
      <c r="V317" s="8" t="str">
        <f t="shared" ca="1" si="13"/>
        <v/>
      </c>
      <c r="AB317" s="8" t="s">
        <v>1371</v>
      </c>
    </row>
    <row r="318" spans="1:32">
      <c r="A318" t="s">
        <v>414</v>
      </c>
      <c r="D318" s="3" t="s">
        <v>1047</v>
      </c>
      <c r="E318" s="3" t="s">
        <v>1048</v>
      </c>
      <c r="H318" t="s">
        <v>19</v>
      </c>
      <c r="I318" t="s">
        <v>1359</v>
      </c>
      <c r="J318" s="8" t="s">
        <v>24</v>
      </c>
      <c r="K318" s="8">
        <v>0</v>
      </c>
      <c r="L318" s="8">
        <v>1</v>
      </c>
      <c r="M318" s="8">
        <v>1</v>
      </c>
      <c r="N318" s="8" t="s">
        <v>1257</v>
      </c>
      <c r="O318" s="8" t="s">
        <v>1304</v>
      </c>
      <c r="Q318" s="9"/>
      <c r="S318" s="8">
        <v>0</v>
      </c>
      <c r="U318" s="8" t="str">
        <f t="shared" ca="1" si="12"/>
        <v/>
      </c>
      <c r="V318" s="8" t="str">
        <f t="shared" ca="1" si="13"/>
        <v/>
      </c>
      <c r="AB318" s="8" t="s">
        <v>19</v>
      </c>
      <c r="AF318" s="8" t="s">
        <v>1289</v>
      </c>
    </row>
    <row r="319" spans="1:32">
      <c r="A319" t="s">
        <v>415</v>
      </c>
      <c r="D319" s="3" t="s">
        <v>1049</v>
      </c>
      <c r="E319" s="3" t="s">
        <v>1050</v>
      </c>
      <c r="H319" t="s">
        <v>19</v>
      </c>
      <c r="J319" s="8" t="s">
        <v>24</v>
      </c>
      <c r="K319" s="8">
        <v>0</v>
      </c>
      <c r="L319" s="8">
        <v>1</v>
      </c>
      <c r="M319" s="8">
        <v>3</v>
      </c>
      <c r="N319" s="8" t="s">
        <v>1268</v>
      </c>
      <c r="O319" s="8" t="s">
        <v>1263</v>
      </c>
      <c r="Q319" s="9"/>
      <c r="S319" s="8">
        <v>1701</v>
      </c>
      <c r="U319" s="8" t="str">
        <f t="shared" ca="1" si="12"/>
        <v/>
      </c>
      <c r="V319" s="8" t="str">
        <f t="shared" ca="1" si="13"/>
        <v/>
      </c>
      <c r="AB319" s="8" t="s">
        <v>19</v>
      </c>
    </row>
    <row r="320" spans="1:32">
      <c r="A320" t="s">
        <v>416</v>
      </c>
      <c r="D320" s="3" t="s">
        <v>1051</v>
      </c>
      <c r="E320" s="3" t="s">
        <v>1052</v>
      </c>
      <c r="J320" s="8" t="s">
        <v>25</v>
      </c>
      <c r="K320" s="8">
        <v>0</v>
      </c>
      <c r="L320" s="8">
        <v>1</v>
      </c>
      <c r="M320" s="8">
        <v>3</v>
      </c>
      <c r="N320" s="8" t="s">
        <v>1308</v>
      </c>
      <c r="O320" s="8" t="s">
        <v>1263</v>
      </c>
      <c r="Q320" s="9"/>
      <c r="S320" s="8">
        <v>204</v>
      </c>
      <c r="U320" s="8" t="str">
        <f t="shared" ca="1" si="12"/>
        <v/>
      </c>
      <c r="V320" s="8" t="str">
        <f t="shared" ca="1" si="13"/>
        <v/>
      </c>
      <c r="AB320" s="8" t="s">
        <v>19</v>
      </c>
    </row>
    <row r="321" spans="1:32">
      <c r="A321" t="s">
        <v>417</v>
      </c>
      <c r="D321" s="3" t="s">
        <v>1053</v>
      </c>
      <c r="E321" s="3" t="s">
        <v>1053</v>
      </c>
      <c r="F321" t="s">
        <v>35</v>
      </c>
      <c r="I321" t="s">
        <v>1054</v>
      </c>
      <c r="Q321" s="9"/>
      <c r="U321" s="8" t="str">
        <f t="shared" ca="1" si="12"/>
        <v/>
      </c>
      <c r="V321" s="8" t="str">
        <f t="shared" ca="1" si="13"/>
        <v/>
      </c>
      <c r="AB321" s="8" t="s">
        <v>1371</v>
      </c>
    </row>
    <row r="322" spans="1:32">
      <c r="A322" t="s">
        <v>417</v>
      </c>
      <c r="D322" s="3" t="s">
        <v>418</v>
      </c>
      <c r="E322" s="3" t="s">
        <v>418</v>
      </c>
      <c r="F322" t="s">
        <v>35</v>
      </c>
      <c r="I322" t="s">
        <v>1055</v>
      </c>
      <c r="Q322" s="9"/>
      <c r="U322" s="8" t="str">
        <f t="shared" ca="1" si="12"/>
        <v/>
      </c>
      <c r="V322" s="8" t="str">
        <f t="shared" ca="1" si="13"/>
        <v/>
      </c>
      <c r="AB322" s="8" t="s">
        <v>1371</v>
      </c>
    </row>
    <row r="323" spans="1:32">
      <c r="A323" t="s">
        <v>417</v>
      </c>
      <c r="D323" s="3" t="s">
        <v>419</v>
      </c>
      <c r="E323" s="3" t="s">
        <v>1056</v>
      </c>
      <c r="H323" t="s">
        <v>19</v>
      </c>
      <c r="J323" s="8" t="s">
        <v>1303</v>
      </c>
      <c r="Q323" s="9"/>
      <c r="R323" s="8" t="s">
        <v>1259</v>
      </c>
      <c r="T323" s="8" t="s">
        <v>1304</v>
      </c>
      <c r="U323" s="8" t="str">
        <f t="shared" ref="U323:U385" ca="1" si="14">IF(ISNUMBER(T323),VALUE(MID(_xlfn.FORMULATEXT(T323),SEARCH("-",_xlfn.FORMULATEXT(T323))+1,LEN(_xlfn.FORMULATEXT(T323))-SEARCH("-",_xlfn.FORMULATEXT(T323)))), "")</f>
        <v/>
      </c>
      <c r="V323" s="8" t="str">
        <f t="shared" ref="V323:V385" ca="1" si="15">IF(ISNUMBER(T323), VALUE(MID(_xlfn.FORMULATEXT(T323), 2, SEARCH("-", _xlfn.FORMULATEXT(T323)) - 2)), "")</f>
        <v/>
      </c>
      <c r="AB323" s="8" t="s">
        <v>19</v>
      </c>
      <c r="AF323" s="8" t="s">
        <v>1288</v>
      </c>
    </row>
    <row r="324" spans="1:32" ht="29">
      <c r="A324" t="s">
        <v>420</v>
      </c>
      <c r="D324" s="3" t="s">
        <v>1057</v>
      </c>
      <c r="E324" s="3" t="s">
        <v>1058</v>
      </c>
      <c r="G324" t="s">
        <v>19</v>
      </c>
      <c r="H324" t="s">
        <v>23</v>
      </c>
      <c r="I324" t="s">
        <v>1061</v>
      </c>
      <c r="J324" s="8" t="s">
        <v>1305</v>
      </c>
      <c r="Q324" s="9"/>
      <c r="U324" s="8" t="str">
        <f t="shared" ca="1" si="14"/>
        <v/>
      </c>
      <c r="V324" s="8" t="str">
        <f t="shared" ca="1" si="15"/>
        <v/>
      </c>
      <c r="AB324" s="8" t="s">
        <v>19</v>
      </c>
      <c r="AF324" s="8" t="s">
        <v>1288</v>
      </c>
    </row>
    <row r="325" spans="1:32" ht="29">
      <c r="A325" t="s">
        <v>420</v>
      </c>
      <c r="D325" s="3" t="s">
        <v>1059</v>
      </c>
      <c r="E325" s="3" t="s">
        <v>1060</v>
      </c>
      <c r="F325" t="s">
        <v>35</v>
      </c>
      <c r="I325" t="s">
        <v>1062</v>
      </c>
      <c r="Q325" s="9"/>
      <c r="U325" s="8" t="str">
        <f t="shared" ca="1" si="14"/>
        <v/>
      </c>
      <c r="V325" s="8" t="str">
        <f t="shared" ca="1" si="15"/>
        <v/>
      </c>
      <c r="AB325" s="8" t="s">
        <v>1371</v>
      </c>
    </row>
    <row r="326" spans="1:32" ht="29">
      <c r="A326" t="s">
        <v>421</v>
      </c>
      <c r="D326" s="3" t="s">
        <v>1063</v>
      </c>
      <c r="E326" s="3" t="s">
        <v>1064</v>
      </c>
      <c r="H326" t="s">
        <v>19</v>
      </c>
      <c r="J326" s="8" t="s">
        <v>24</v>
      </c>
      <c r="K326" s="8">
        <v>0</v>
      </c>
      <c r="L326" s="8">
        <v>1</v>
      </c>
      <c r="M326" s="8">
        <v>4</v>
      </c>
      <c r="N326" s="8" t="s">
        <v>1262</v>
      </c>
      <c r="O326" s="8" t="s">
        <v>1258</v>
      </c>
      <c r="P326" s="8" t="s">
        <v>1340</v>
      </c>
      <c r="Q326" s="9" t="s">
        <v>1360</v>
      </c>
      <c r="R326" s="8" t="s">
        <v>1259</v>
      </c>
      <c r="S326" s="8">
        <v>2475</v>
      </c>
      <c r="U326" s="8" t="str">
        <f t="shared" ca="1" si="14"/>
        <v/>
      </c>
      <c r="V326" s="8" t="str">
        <f t="shared" ca="1" si="15"/>
        <v/>
      </c>
      <c r="AB326" s="8" t="s">
        <v>19</v>
      </c>
      <c r="AF326" s="8" t="s">
        <v>1289</v>
      </c>
    </row>
    <row r="327" spans="1:32">
      <c r="A327" t="s">
        <v>422</v>
      </c>
      <c r="D327" s="3" t="s">
        <v>423</v>
      </c>
      <c r="E327" s="3" t="s">
        <v>423</v>
      </c>
      <c r="F327" t="s">
        <v>35</v>
      </c>
      <c r="I327" t="s">
        <v>1065</v>
      </c>
      <c r="Q327" s="9"/>
      <c r="U327" s="8" t="str">
        <f t="shared" ca="1" si="14"/>
        <v/>
      </c>
      <c r="V327" s="8" t="str">
        <f t="shared" ca="1" si="15"/>
        <v/>
      </c>
      <c r="AB327" s="8" t="s">
        <v>1371</v>
      </c>
    </row>
    <row r="328" spans="1:32" ht="58">
      <c r="A328" t="s">
        <v>424</v>
      </c>
      <c r="D328" s="3" t="s">
        <v>1066</v>
      </c>
      <c r="E328" s="3" t="s">
        <v>1066</v>
      </c>
      <c r="F328" t="s">
        <v>35</v>
      </c>
      <c r="I328" t="s">
        <v>1067</v>
      </c>
      <c r="Q328" s="9"/>
      <c r="U328" s="8" t="str">
        <f t="shared" ca="1" si="14"/>
        <v/>
      </c>
      <c r="V328" s="8" t="str">
        <f t="shared" ca="1" si="15"/>
        <v/>
      </c>
      <c r="AB328" s="8" t="s">
        <v>1371</v>
      </c>
    </row>
    <row r="329" spans="1:32">
      <c r="A329" t="s">
        <v>425</v>
      </c>
      <c r="D329" s="3" t="s">
        <v>426</v>
      </c>
      <c r="E329" s="3" t="s">
        <v>426</v>
      </c>
      <c r="F329" t="s">
        <v>35</v>
      </c>
      <c r="I329" t="s">
        <v>1068</v>
      </c>
      <c r="Q329" s="9"/>
      <c r="U329" s="8" t="str">
        <f t="shared" ca="1" si="14"/>
        <v/>
      </c>
      <c r="V329" s="8" t="str">
        <f t="shared" ca="1" si="15"/>
        <v/>
      </c>
      <c r="AB329" s="8" t="s">
        <v>1371</v>
      </c>
    </row>
    <row r="330" spans="1:32">
      <c r="A330" t="s">
        <v>427</v>
      </c>
      <c r="D330" s="3" t="s">
        <v>1069</v>
      </c>
      <c r="E330" s="3" t="s">
        <v>1070</v>
      </c>
      <c r="H330" t="s">
        <v>19</v>
      </c>
      <c r="J330" s="8" t="s">
        <v>24</v>
      </c>
      <c r="K330" s="8">
        <v>0</v>
      </c>
      <c r="L330" s="8">
        <v>1</v>
      </c>
      <c r="M330" s="8">
        <v>2</v>
      </c>
      <c r="N330" s="8" t="s">
        <v>1308</v>
      </c>
      <c r="O330" s="8" t="s">
        <v>1304</v>
      </c>
      <c r="Q330" s="9"/>
      <c r="R330" s="8" t="s">
        <v>1259</v>
      </c>
      <c r="S330" s="8" t="s">
        <v>1304</v>
      </c>
      <c r="U330" s="8" t="str">
        <f t="shared" ca="1" si="14"/>
        <v/>
      </c>
      <c r="V330" s="8" t="str">
        <f t="shared" ca="1" si="15"/>
        <v/>
      </c>
      <c r="AB330" s="8" t="s">
        <v>19</v>
      </c>
      <c r="AF330" s="8" t="s">
        <v>1288</v>
      </c>
    </row>
    <row r="331" spans="1:32">
      <c r="A331" t="s">
        <v>428</v>
      </c>
      <c r="D331" s="3" t="s">
        <v>429</v>
      </c>
      <c r="E331" s="3" t="s">
        <v>430</v>
      </c>
      <c r="J331" s="8" t="s">
        <v>1303</v>
      </c>
      <c r="Q331" s="9"/>
      <c r="T331" s="8" t="s">
        <v>1326</v>
      </c>
      <c r="U331" s="8" t="str">
        <f t="shared" ca="1" si="14"/>
        <v/>
      </c>
      <c r="V331" s="8" t="str">
        <f t="shared" ca="1" si="15"/>
        <v/>
      </c>
      <c r="AB331" s="8" t="s">
        <v>19</v>
      </c>
      <c r="AF331" s="8" t="s">
        <v>1290</v>
      </c>
    </row>
    <row r="332" spans="1:32">
      <c r="A332" t="s">
        <v>428</v>
      </c>
      <c r="D332" s="3" t="s">
        <v>1071</v>
      </c>
      <c r="E332" s="3" t="s">
        <v>1071</v>
      </c>
      <c r="F332" t="s">
        <v>35</v>
      </c>
      <c r="I332" t="s">
        <v>1072</v>
      </c>
      <c r="Q332" s="9"/>
      <c r="U332" s="8" t="str">
        <f t="shared" ca="1" si="14"/>
        <v/>
      </c>
      <c r="V332" s="8" t="str">
        <f t="shared" ca="1" si="15"/>
        <v/>
      </c>
      <c r="AB332" s="8" t="s">
        <v>1371</v>
      </c>
    </row>
    <row r="333" spans="1:32">
      <c r="A333" t="s">
        <v>431</v>
      </c>
      <c r="D333" s="3" t="s">
        <v>1073</v>
      </c>
      <c r="E333" s="3" t="s">
        <v>1074</v>
      </c>
      <c r="H333" t="s">
        <v>19</v>
      </c>
      <c r="J333" s="8" t="s">
        <v>1303</v>
      </c>
      <c r="Q333" s="9"/>
      <c r="T333" s="8">
        <f>99-129</f>
        <v>-30</v>
      </c>
      <c r="U333" s="8">
        <f t="shared" ca="1" si="14"/>
        <v>129</v>
      </c>
      <c r="V333" s="8">
        <f t="shared" ca="1" si="15"/>
        <v>99</v>
      </c>
      <c r="AB333" s="8" t="s">
        <v>19</v>
      </c>
      <c r="AD333" s="8" t="s">
        <v>1354</v>
      </c>
      <c r="AE333" s="8" t="s">
        <v>19</v>
      </c>
      <c r="AF333" s="8" t="s">
        <v>1289</v>
      </c>
    </row>
    <row r="334" spans="1:32">
      <c r="A334" t="s">
        <v>431</v>
      </c>
      <c r="D334" s="3" t="s">
        <v>1075</v>
      </c>
      <c r="E334" s="3" t="s">
        <v>1075</v>
      </c>
      <c r="F334" t="s">
        <v>35</v>
      </c>
      <c r="I334" t="s">
        <v>1076</v>
      </c>
      <c r="Q334" s="9"/>
      <c r="U334" s="8" t="str">
        <f t="shared" ca="1" si="14"/>
        <v/>
      </c>
      <c r="V334" s="8" t="str">
        <f t="shared" ca="1" si="15"/>
        <v/>
      </c>
      <c r="AB334" s="8" t="s">
        <v>1371</v>
      </c>
    </row>
    <row r="335" spans="1:32" ht="29">
      <c r="A335" t="s">
        <v>432</v>
      </c>
      <c r="D335" s="3" t="s">
        <v>1077</v>
      </c>
      <c r="E335" s="3" t="s">
        <v>1078</v>
      </c>
      <c r="H335" t="s">
        <v>19</v>
      </c>
      <c r="J335" s="8" t="s">
        <v>24</v>
      </c>
      <c r="K335" s="8">
        <v>0</v>
      </c>
      <c r="L335" s="8">
        <v>1</v>
      </c>
      <c r="M335" s="8">
        <v>6</v>
      </c>
      <c r="N335" s="8" t="s">
        <v>1257</v>
      </c>
      <c r="O335" s="8" t="s">
        <v>1258</v>
      </c>
      <c r="P335" s="8" t="s">
        <v>1335</v>
      </c>
      <c r="Q335" s="9" t="s">
        <v>1318</v>
      </c>
      <c r="S335" s="8" t="s">
        <v>1326</v>
      </c>
      <c r="U335" s="8" t="str">
        <f t="shared" ca="1" si="14"/>
        <v/>
      </c>
      <c r="V335" s="8" t="str">
        <f t="shared" ca="1" si="15"/>
        <v/>
      </c>
      <c r="AB335" s="8" t="s">
        <v>19</v>
      </c>
      <c r="AF335" s="8" t="s">
        <v>1288</v>
      </c>
    </row>
    <row r="336" spans="1:32">
      <c r="A336" t="s">
        <v>432</v>
      </c>
      <c r="D336" s="3" t="s">
        <v>1080</v>
      </c>
      <c r="E336" s="3" t="s">
        <v>1079</v>
      </c>
      <c r="G336" t="s">
        <v>19</v>
      </c>
      <c r="J336" s="8" t="s">
        <v>1303</v>
      </c>
      <c r="Q336" s="9"/>
      <c r="T336" s="8">
        <f>1-830</f>
        <v>-829</v>
      </c>
      <c r="U336" s="8">
        <f t="shared" ca="1" si="14"/>
        <v>830</v>
      </c>
      <c r="V336" s="8">
        <f t="shared" ca="1" si="15"/>
        <v>1</v>
      </c>
      <c r="AB336" s="8" t="s">
        <v>19</v>
      </c>
    </row>
    <row r="337" spans="1:32">
      <c r="A337" t="s">
        <v>433</v>
      </c>
      <c r="D337" s="3" t="s">
        <v>1081</v>
      </c>
      <c r="E337" s="3" t="s">
        <v>1081</v>
      </c>
      <c r="F337" t="s">
        <v>35</v>
      </c>
      <c r="I337" t="s">
        <v>1082</v>
      </c>
      <c r="Q337" s="9"/>
      <c r="U337" s="8" t="str">
        <f t="shared" ca="1" si="14"/>
        <v/>
      </c>
      <c r="V337" s="8" t="str">
        <f t="shared" ca="1" si="15"/>
        <v/>
      </c>
      <c r="AB337" s="8" t="s">
        <v>1371</v>
      </c>
    </row>
    <row r="338" spans="1:32">
      <c r="A338" t="s">
        <v>434</v>
      </c>
      <c r="D338" s="3" t="s">
        <v>435</v>
      </c>
      <c r="E338" s="3" t="s">
        <v>435</v>
      </c>
      <c r="F338" t="s">
        <v>35</v>
      </c>
      <c r="I338" t="s">
        <v>1083</v>
      </c>
      <c r="Q338" s="9"/>
      <c r="U338" s="8" t="str">
        <f t="shared" ca="1" si="14"/>
        <v/>
      </c>
      <c r="V338" s="8" t="str">
        <f t="shared" ca="1" si="15"/>
        <v/>
      </c>
      <c r="AB338" s="8" t="s">
        <v>1371</v>
      </c>
    </row>
    <row r="339" spans="1:32">
      <c r="A339" t="s">
        <v>434</v>
      </c>
      <c r="D339" s="3" t="s">
        <v>436</v>
      </c>
      <c r="E339" s="3" t="s">
        <v>436</v>
      </c>
      <c r="F339" t="s">
        <v>35</v>
      </c>
      <c r="I339" t="s">
        <v>1084</v>
      </c>
      <c r="Q339" s="9"/>
      <c r="U339" s="8" t="str">
        <f t="shared" ca="1" si="14"/>
        <v/>
      </c>
      <c r="V339" s="8" t="str">
        <f t="shared" ca="1" si="15"/>
        <v/>
      </c>
      <c r="AB339" s="8" t="s">
        <v>1371</v>
      </c>
    </row>
    <row r="340" spans="1:32">
      <c r="A340" t="s">
        <v>437</v>
      </c>
      <c r="D340" s="3" t="s">
        <v>438</v>
      </c>
      <c r="E340" s="3" t="s">
        <v>438</v>
      </c>
      <c r="F340" t="s">
        <v>35</v>
      </c>
      <c r="I340" t="s">
        <v>1085</v>
      </c>
      <c r="Q340" s="9"/>
      <c r="U340" s="8" t="str">
        <f t="shared" ca="1" si="14"/>
        <v/>
      </c>
      <c r="V340" s="8" t="str">
        <f t="shared" ca="1" si="15"/>
        <v/>
      </c>
      <c r="AB340" s="8" t="s">
        <v>1371</v>
      </c>
    </row>
    <row r="341" spans="1:32">
      <c r="A341" t="s">
        <v>439</v>
      </c>
      <c r="D341" s="3" t="s">
        <v>1086</v>
      </c>
      <c r="E341" s="3" t="s">
        <v>1086</v>
      </c>
      <c r="F341" t="s">
        <v>35</v>
      </c>
      <c r="I341" t="s">
        <v>1087</v>
      </c>
      <c r="Q341" s="9"/>
      <c r="U341" s="8" t="str">
        <f t="shared" ca="1" si="14"/>
        <v/>
      </c>
      <c r="V341" s="8" t="str">
        <f t="shared" ca="1" si="15"/>
        <v/>
      </c>
      <c r="AB341" s="8" t="s">
        <v>1371</v>
      </c>
    </row>
    <row r="342" spans="1:32">
      <c r="A342" t="s">
        <v>440</v>
      </c>
      <c r="D342" s="3" t="s">
        <v>1088</v>
      </c>
      <c r="E342" s="3" t="s">
        <v>1089</v>
      </c>
      <c r="H342" t="s">
        <v>19</v>
      </c>
      <c r="J342" s="8" t="s">
        <v>24</v>
      </c>
      <c r="K342" s="8">
        <v>0</v>
      </c>
      <c r="L342" s="8">
        <v>1</v>
      </c>
      <c r="M342" s="8">
        <v>3</v>
      </c>
      <c r="N342" s="8" t="s">
        <v>1308</v>
      </c>
      <c r="O342" s="8" t="s">
        <v>1263</v>
      </c>
      <c r="Q342" s="9"/>
      <c r="S342" s="8">
        <v>14</v>
      </c>
      <c r="U342" s="8" t="str">
        <f t="shared" ca="1" si="14"/>
        <v/>
      </c>
      <c r="V342" s="8" t="str">
        <f t="shared" ca="1" si="15"/>
        <v/>
      </c>
      <c r="AB342" s="8" t="s">
        <v>19</v>
      </c>
    </row>
    <row r="343" spans="1:32">
      <c r="A343" t="s">
        <v>441</v>
      </c>
      <c r="D343" s="3" t="s">
        <v>442</v>
      </c>
      <c r="E343" s="3" t="s">
        <v>442</v>
      </c>
      <c r="F343" t="s">
        <v>35</v>
      </c>
      <c r="I343" t="s">
        <v>1090</v>
      </c>
      <c r="Q343" s="9"/>
      <c r="U343" s="8" t="str">
        <f t="shared" ca="1" si="14"/>
        <v/>
      </c>
      <c r="V343" s="8" t="str">
        <f t="shared" ca="1" si="15"/>
        <v/>
      </c>
      <c r="AB343" s="8" t="s">
        <v>1371</v>
      </c>
    </row>
    <row r="344" spans="1:32">
      <c r="A344" t="s">
        <v>443</v>
      </c>
      <c r="D344" s="3" t="s">
        <v>1091</v>
      </c>
      <c r="E344" s="3" t="s">
        <v>1092</v>
      </c>
      <c r="J344" s="8" t="s">
        <v>1303</v>
      </c>
      <c r="Q344" s="9"/>
      <c r="T344" s="8">
        <f>250-132</f>
        <v>118</v>
      </c>
      <c r="U344" s="8">
        <f t="shared" ca="1" si="14"/>
        <v>132</v>
      </c>
      <c r="V344" s="8">
        <f t="shared" ca="1" si="15"/>
        <v>250</v>
      </c>
      <c r="AB344" s="8" t="s">
        <v>19</v>
      </c>
    </row>
    <row r="345" spans="1:32">
      <c r="A345" t="s">
        <v>444</v>
      </c>
      <c r="D345" s="3" t="s">
        <v>1093</v>
      </c>
      <c r="E345" s="3" t="s">
        <v>1093</v>
      </c>
      <c r="F345" t="s">
        <v>35</v>
      </c>
      <c r="I345" t="s">
        <v>1094</v>
      </c>
      <c r="Q345" s="9"/>
      <c r="U345" s="8" t="str">
        <f t="shared" ca="1" si="14"/>
        <v/>
      </c>
      <c r="V345" s="8" t="str">
        <f t="shared" ca="1" si="15"/>
        <v/>
      </c>
      <c r="AB345" s="8" t="s">
        <v>1371</v>
      </c>
    </row>
    <row r="346" spans="1:32">
      <c r="A346" t="s">
        <v>444</v>
      </c>
      <c r="D346" s="3" t="s">
        <v>1095</v>
      </c>
      <c r="E346" s="3" t="s">
        <v>1096</v>
      </c>
      <c r="J346" s="8" t="s">
        <v>1303</v>
      </c>
      <c r="Q346" s="9"/>
      <c r="T346" s="8">
        <f>132-250</f>
        <v>-118</v>
      </c>
      <c r="U346" s="8">
        <f t="shared" ca="1" si="14"/>
        <v>250</v>
      </c>
      <c r="V346" s="8">
        <f t="shared" ca="1" si="15"/>
        <v>132</v>
      </c>
      <c r="AB346" s="8" t="s">
        <v>19</v>
      </c>
    </row>
    <row r="347" spans="1:32">
      <c r="A347" t="s">
        <v>445</v>
      </c>
      <c r="D347" s="3" t="s">
        <v>1097</v>
      </c>
      <c r="E347" s="3" t="s">
        <v>1097</v>
      </c>
      <c r="F347" t="s">
        <v>35</v>
      </c>
      <c r="I347" t="s">
        <v>1098</v>
      </c>
      <c r="Q347" s="9"/>
      <c r="U347" s="8" t="str">
        <f t="shared" ca="1" si="14"/>
        <v/>
      </c>
      <c r="V347" s="8" t="str">
        <f t="shared" ca="1" si="15"/>
        <v/>
      </c>
      <c r="AB347" s="8" t="s">
        <v>1371</v>
      </c>
    </row>
    <row r="348" spans="1:32">
      <c r="A348" t="s">
        <v>446</v>
      </c>
      <c r="D348" s="3" t="s">
        <v>603</v>
      </c>
      <c r="E348" s="3" t="s">
        <v>447</v>
      </c>
      <c r="J348" s="8" t="s">
        <v>1305</v>
      </c>
      <c r="Q348" s="9"/>
      <c r="U348" s="8" t="str">
        <f t="shared" ca="1" si="14"/>
        <v/>
      </c>
      <c r="V348" s="8" t="str">
        <f t="shared" ca="1" si="15"/>
        <v/>
      </c>
      <c r="AB348" s="8" t="s">
        <v>19</v>
      </c>
      <c r="AF348" s="8" t="s">
        <v>1288</v>
      </c>
    </row>
    <row r="349" spans="1:32">
      <c r="A349" t="s">
        <v>446</v>
      </c>
      <c r="D349" s="3" t="s">
        <v>1099</v>
      </c>
      <c r="E349" s="3" t="s">
        <v>1100</v>
      </c>
      <c r="H349" t="s">
        <v>19</v>
      </c>
      <c r="J349" s="8" t="s">
        <v>24</v>
      </c>
      <c r="K349" s="8">
        <v>0</v>
      </c>
      <c r="L349" s="8">
        <v>1</v>
      </c>
      <c r="M349" s="8">
        <v>3</v>
      </c>
      <c r="N349" s="8" t="s">
        <v>1308</v>
      </c>
      <c r="O349" s="8" t="s">
        <v>1263</v>
      </c>
      <c r="Q349" s="9"/>
      <c r="S349" s="8" t="s">
        <v>1326</v>
      </c>
      <c r="U349" s="8" t="str">
        <f t="shared" ca="1" si="14"/>
        <v/>
      </c>
      <c r="V349" s="8" t="str">
        <f t="shared" ca="1" si="15"/>
        <v/>
      </c>
      <c r="AB349" s="8" t="s">
        <v>19</v>
      </c>
      <c r="AF349" s="8" t="s">
        <v>1288</v>
      </c>
    </row>
    <row r="350" spans="1:32">
      <c r="A350" t="s">
        <v>448</v>
      </c>
      <c r="D350" s="3" t="s">
        <v>449</v>
      </c>
      <c r="E350" s="3" t="s">
        <v>449</v>
      </c>
      <c r="F350" t="s">
        <v>35</v>
      </c>
      <c r="I350" t="s">
        <v>1101</v>
      </c>
      <c r="Q350" s="9"/>
      <c r="U350" s="8" t="str">
        <f t="shared" ca="1" si="14"/>
        <v/>
      </c>
      <c r="V350" s="8" t="str">
        <f t="shared" ca="1" si="15"/>
        <v/>
      </c>
      <c r="AB350" s="8" t="s">
        <v>1371</v>
      </c>
    </row>
    <row r="351" spans="1:32">
      <c r="A351" t="s">
        <v>450</v>
      </c>
      <c r="D351" s="3" t="s">
        <v>451</v>
      </c>
      <c r="E351" s="3" t="s">
        <v>452</v>
      </c>
      <c r="J351" s="8" t="s">
        <v>1303</v>
      </c>
      <c r="Q351" s="9"/>
      <c r="T351" s="8" t="s">
        <v>1326</v>
      </c>
      <c r="U351" s="8" t="str">
        <f t="shared" ca="1" si="14"/>
        <v/>
      </c>
      <c r="V351" s="8" t="str">
        <f t="shared" ca="1" si="15"/>
        <v/>
      </c>
      <c r="AB351" s="8" t="s">
        <v>19</v>
      </c>
      <c r="AF351" s="8" t="s">
        <v>1290</v>
      </c>
    </row>
    <row r="352" spans="1:32">
      <c r="A352" t="s">
        <v>453</v>
      </c>
      <c r="D352" s="3" t="s">
        <v>454</v>
      </c>
      <c r="E352" s="3" t="s">
        <v>454</v>
      </c>
      <c r="F352" t="s">
        <v>35</v>
      </c>
      <c r="I352" t="s">
        <v>1102</v>
      </c>
      <c r="Q352" s="9"/>
      <c r="U352" s="8" t="str">
        <f t="shared" ca="1" si="14"/>
        <v/>
      </c>
      <c r="V352" s="8" t="str">
        <f t="shared" ca="1" si="15"/>
        <v/>
      </c>
      <c r="AB352" s="8" t="s">
        <v>1371</v>
      </c>
    </row>
    <row r="353" spans="1:32">
      <c r="A353" t="s">
        <v>455</v>
      </c>
      <c r="D353" s="3" t="s">
        <v>456</v>
      </c>
      <c r="E353" s="3" t="s">
        <v>456</v>
      </c>
      <c r="F353" t="s">
        <v>35</v>
      </c>
      <c r="I353" t="s">
        <v>1103</v>
      </c>
      <c r="Q353" s="9"/>
      <c r="U353" s="8" t="str">
        <f t="shared" ca="1" si="14"/>
        <v/>
      </c>
      <c r="V353" s="8" t="str">
        <f t="shared" ca="1" si="15"/>
        <v/>
      </c>
      <c r="AB353" s="8" t="s">
        <v>1371</v>
      </c>
    </row>
    <row r="354" spans="1:32" ht="29">
      <c r="A354" t="s">
        <v>457</v>
      </c>
      <c r="D354" s="3" t="s">
        <v>1104</v>
      </c>
      <c r="E354" s="3" t="s">
        <v>1105</v>
      </c>
      <c r="H354" t="s">
        <v>19</v>
      </c>
      <c r="J354" s="8" t="s">
        <v>24</v>
      </c>
      <c r="K354" s="8">
        <v>0</v>
      </c>
      <c r="L354" s="8">
        <v>1</v>
      </c>
      <c r="M354" s="8">
        <v>3</v>
      </c>
      <c r="N354" s="8" t="s">
        <v>1268</v>
      </c>
      <c r="O354" s="8" t="s">
        <v>1258</v>
      </c>
      <c r="P354" s="8" t="s">
        <v>1340</v>
      </c>
      <c r="Q354" s="9" t="s">
        <v>1336</v>
      </c>
      <c r="R354" s="8" t="s">
        <v>1259</v>
      </c>
      <c r="S354" s="8">
        <v>1701</v>
      </c>
      <c r="U354" s="8" t="str">
        <f t="shared" ca="1" si="14"/>
        <v/>
      </c>
      <c r="V354" s="8" t="str">
        <f t="shared" ca="1" si="15"/>
        <v/>
      </c>
      <c r="AB354" s="8" t="s">
        <v>19</v>
      </c>
      <c r="AF354" s="8" t="s">
        <v>1289</v>
      </c>
    </row>
    <row r="355" spans="1:32">
      <c r="A355" t="s">
        <v>458</v>
      </c>
      <c r="D355" s="3" t="s">
        <v>1106</v>
      </c>
      <c r="E355" s="3" t="s">
        <v>1107</v>
      </c>
      <c r="F355" t="s">
        <v>35</v>
      </c>
      <c r="I355" t="s">
        <v>1108</v>
      </c>
      <c r="Q355" s="9"/>
      <c r="U355" s="8" t="str">
        <f t="shared" ca="1" si="14"/>
        <v/>
      </c>
      <c r="V355" s="8" t="str">
        <f t="shared" ca="1" si="15"/>
        <v/>
      </c>
      <c r="AB355" s="8" t="s">
        <v>1371</v>
      </c>
    </row>
    <row r="356" spans="1:32" ht="29">
      <c r="A356" t="s">
        <v>459</v>
      </c>
      <c r="D356" s="3" t="s">
        <v>1109</v>
      </c>
      <c r="E356" s="3" t="s">
        <v>1109</v>
      </c>
      <c r="F356" t="s">
        <v>35</v>
      </c>
      <c r="I356" t="s">
        <v>1110</v>
      </c>
      <c r="Q356" s="9"/>
      <c r="U356" s="8" t="str">
        <f t="shared" ca="1" si="14"/>
        <v/>
      </c>
      <c r="V356" s="8" t="str">
        <f t="shared" ca="1" si="15"/>
        <v/>
      </c>
      <c r="AB356" s="8" t="s">
        <v>1371</v>
      </c>
    </row>
    <row r="357" spans="1:32">
      <c r="A357" t="s">
        <v>460</v>
      </c>
      <c r="D357" t="s">
        <v>461</v>
      </c>
      <c r="E357" t="s">
        <v>461</v>
      </c>
      <c r="F357" t="s">
        <v>35</v>
      </c>
      <c r="I357" t="s">
        <v>1111</v>
      </c>
      <c r="Q357" s="9"/>
      <c r="U357" s="8" t="str">
        <f t="shared" ca="1" si="14"/>
        <v/>
      </c>
      <c r="V357" s="8" t="str">
        <f t="shared" ca="1" si="15"/>
        <v/>
      </c>
      <c r="AB357" s="8" t="s">
        <v>1371</v>
      </c>
    </row>
    <row r="358" spans="1:32">
      <c r="A358" t="s">
        <v>460</v>
      </c>
      <c r="D358" s="3" t="s">
        <v>1112</v>
      </c>
      <c r="E358" s="3" t="s">
        <v>1113</v>
      </c>
      <c r="H358" t="s">
        <v>19</v>
      </c>
      <c r="I358" t="s">
        <v>1361</v>
      </c>
      <c r="J358" s="8" t="s">
        <v>24</v>
      </c>
      <c r="K358" s="8">
        <v>0</v>
      </c>
      <c r="L358" s="8">
        <v>1</v>
      </c>
      <c r="M358" s="8">
        <v>1</v>
      </c>
      <c r="N358" s="8" t="s">
        <v>1257</v>
      </c>
      <c r="O358" s="8" t="s">
        <v>1304</v>
      </c>
      <c r="Q358" s="9"/>
      <c r="S358" s="8">
        <v>1</v>
      </c>
      <c r="U358" s="8" t="str">
        <f t="shared" ca="1" si="14"/>
        <v/>
      </c>
      <c r="V358" s="8" t="str">
        <f t="shared" ca="1" si="15"/>
        <v/>
      </c>
      <c r="AB358" s="8" t="s">
        <v>19</v>
      </c>
      <c r="AF358" s="8" t="s">
        <v>1289</v>
      </c>
    </row>
    <row r="359" spans="1:32">
      <c r="A359" t="s">
        <v>462</v>
      </c>
      <c r="D359" s="3" t="s">
        <v>1114</v>
      </c>
      <c r="E359" s="3" t="s">
        <v>1115</v>
      </c>
      <c r="H359" t="s">
        <v>19</v>
      </c>
      <c r="I359" t="s">
        <v>1363</v>
      </c>
      <c r="J359" s="8" t="s">
        <v>24</v>
      </c>
      <c r="K359" s="8">
        <v>0</v>
      </c>
      <c r="L359" s="8">
        <v>1</v>
      </c>
      <c r="M359" s="8">
        <v>1</v>
      </c>
      <c r="N359" s="8" t="s">
        <v>1257</v>
      </c>
      <c r="O359" s="8" t="s">
        <v>1304</v>
      </c>
      <c r="Q359" s="9"/>
      <c r="S359" s="8">
        <v>44</v>
      </c>
      <c r="U359" s="8" t="str">
        <f t="shared" ca="1" si="14"/>
        <v/>
      </c>
      <c r="V359" s="8" t="str">
        <f t="shared" ca="1" si="15"/>
        <v/>
      </c>
      <c r="AB359" s="8" t="s">
        <v>19</v>
      </c>
      <c r="AF359" s="8" t="s">
        <v>1289</v>
      </c>
    </row>
    <row r="360" spans="1:32">
      <c r="A360" t="s">
        <v>463</v>
      </c>
      <c r="D360" s="3" t="s">
        <v>1116</v>
      </c>
      <c r="E360" s="3" t="s">
        <v>1116</v>
      </c>
      <c r="F360" t="s">
        <v>35</v>
      </c>
      <c r="I360" t="s">
        <v>1117</v>
      </c>
      <c r="Q360" s="9"/>
      <c r="U360" s="8" t="str">
        <f t="shared" ca="1" si="14"/>
        <v/>
      </c>
      <c r="V360" s="8" t="str">
        <f t="shared" ca="1" si="15"/>
        <v/>
      </c>
      <c r="AB360" s="8" t="s">
        <v>1371</v>
      </c>
    </row>
    <row r="361" spans="1:32">
      <c r="A361" t="s">
        <v>464</v>
      </c>
      <c r="D361" s="3" t="s">
        <v>1118</v>
      </c>
      <c r="E361" s="3" t="s">
        <v>1119</v>
      </c>
      <c r="F361" t="s">
        <v>11</v>
      </c>
      <c r="G361" t="s">
        <v>19</v>
      </c>
      <c r="I361" t="s">
        <v>1120</v>
      </c>
      <c r="Q361" s="9"/>
      <c r="U361" s="8" t="str">
        <f t="shared" ca="1" si="14"/>
        <v/>
      </c>
      <c r="V361" s="8" t="str">
        <f t="shared" ca="1" si="15"/>
        <v/>
      </c>
      <c r="AB361" s="8" t="s">
        <v>1371</v>
      </c>
    </row>
    <row r="362" spans="1:32">
      <c r="A362" t="s">
        <v>465</v>
      </c>
      <c r="D362" s="3" t="s">
        <v>1121</v>
      </c>
      <c r="E362" s="3" t="s">
        <v>1122</v>
      </c>
      <c r="G362" t="s">
        <v>19</v>
      </c>
      <c r="J362" s="8" t="s">
        <v>1305</v>
      </c>
      <c r="Q362" s="9"/>
      <c r="U362" s="8" t="str">
        <f t="shared" ca="1" si="14"/>
        <v/>
      </c>
      <c r="V362" s="8" t="str">
        <f t="shared" ca="1" si="15"/>
        <v/>
      </c>
      <c r="AB362" s="8" t="s">
        <v>19</v>
      </c>
      <c r="AF362" s="8" t="s">
        <v>1290</v>
      </c>
    </row>
    <row r="363" spans="1:32">
      <c r="A363" t="s">
        <v>466</v>
      </c>
      <c r="D363" s="3" t="s">
        <v>1123</v>
      </c>
      <c r="E363" s="3" t="s">
        <v>1124</v>
      </c>
      <c r="H363" t="s">
        <v>19</v>
      </c>
      <c r="I363" t="s">
        <v>1362</v>
      </c>
      <c r="J363" s="8" t="s">
        <v>24</v>
      </c>
      <c r="K363" s="8">
        <v>0</v>
      </c>
      <c r="L363" s="8">
        <v>1</v>
      </c>
      <c r="M363" s="8">
        <v>1</v>
      </c>
      <c r="N363" s="8" t="s">
        <v>1257</v>
      </c>
      <c r="O363" s="8" t="s">
        <v>1304</v>
      </c>
      <c r="Q363" s="9"/>
      <c r="S363" s="8">
        <v>5</v>
      </c>
      <c r="U363" s="8" t="str">
        <f t="shared" ca="1" si="14"/>
        <v/>
      </c>
      <c r="V363" s="8" t="str">
        <f t="shared" ca="1" si="15"/>
        <v/>
      </c>
      <c r="AB363" s="8" t="s">
        <v>19</v>
      </c>
      <c r="AF363" s="8" t="s">
        <v>1289</v>
      </c>
    </row>
    <row r="364" spans="1:32">
      <c r="A364" t="s">
        <v>467</v>
      </c>
      <c r="D364" s="3" t="s">
        <v>1125</v>
      </c>
      <c r="E364" s="3" t="s">
        <v>1125</v>
      </c>
      <c r="F364" t="s">
        <v>35</v>
      </c>
      <c r="I364" t="s">
        <v>751</v>
      </c>
      <c r="Q364" s="9"/>
      <c r="U364" s="8" t="str">
        <f t="shared" ca="1" si="14"/>
        <v/>
      </c>
      <c r="V364" s="8" t="str">
        <f t="shared" ca="1" si="15"/>
        <v/>
      </c>
      <c r="AB364" s="8" t="s">
        <v>1371</v>
      </c>
    </row>
    <row r="365" spans="1:32">
      <c r="A365" t="s">
        <v>468</v>
      </c>
      <c r="D365" s="3" t="s">
        <v>469</v>
      </c>
      <c r="E365" s="3" t="s">
        <v>469</v>
      </c>
      <c r="F365" t="s">
        <v>35</v>
      </c>
      <c r="I365" t="s">
        <v>1126</v>
      </c>
      <c r="Q365" s="9"/>
      <c r="U365" s="8" t="str">
        <f t="shared" ca="1" si="14"/>
        <v/>
      </c>
      <c r="V365" s="8" t="str">
        <f t="shared" ca="1" si="15"/>
        <v/>
      </c>
      <c r="AB365" s="8" t="s">
        <v>1371</v>
      </c>
    </row>
    <row r="366" spans="1:32">
      <c r="A366" t="s">
        <v>468</v>
      </c>
      <c r="D366" s="3" t="s">
        <v>470</v>
      </c>
      <c r="E366" s="3" t="s">
        <v>470</v>
      </c>
      <c r="F366" t="s">
        <v>35</v>
      </c>
      <c r="I366" t="s">
        <v>1127</v>
      </c>
      <c r="Q366" s="9"/>
      <c r="U366" s="8" t="str">
        <f t="shared" ca="1" si="14"/>
        <v/>
      </c>
      <c r="V366" s="8" t="str">
        <f t="shared" ca="1" si="15"/>
        <v/>
      </c>
      <c r="AB366" s="8" t="s">
        <v>1371</v>
      </c>
    </row>
    <row r="367" spans="1:32">
      <c r="A367" t="s">
        <v>471</v>
      </c>
      <c r="D367" s="3" t="s">
        <v>1128</v>
      </c>
      <c r="E367" s="3" t="s">
        <v>1128</v>
      </c>
      <c r="F367" t="s">
        <v>35</v>
      </c>
      <c r="I367" t="s">
        <v>1129</v>
      </c>
      <c r="Q367" s="9"/>
      <c r="U367" s="8" t="str">
        <f t="shared" ca="1" si="14"/>
        <v/>
      </c>
      <c r="V367" s="8" t="str">
        <f t="shared" ca="1" si="15"/>
        <v/>
      </c>
      <c r="AB367" s="8" t="s">
        <v>1371</v>
      </c>
    </row>
    <row r="368" spans="1:32">
      <c r="A368" t="s">
        <v>471</v>
      </c>
      <c r="D368" s="3" t="s">
        <v>472</v>
      </c>
      <c r="E368" s="3" t="s">
        <v>472</v>
      </c>
      <c r="F368" t="s">
        <v>35</v>
      </c>
      <c r="I368" t="s">
        <v>1130</v>
      </c>
      <c r="Q368" s="9"/>
      <c r="U368" s="8" t="str">
        <f t="shared" ca="1" si="14"/>
        <v/>
      </c>
      <c r="V368" s="8" t="str">
        <f t="shared" ca="1" si="15"/>
        <v/>
      </c>
      <c r="AB368" s="8" t="s">
        <v>1371</v>
      </c>
    </row>
    <row r="369" spans="1:33">
      <c r="A369" t="s">
        <v>471</v>
      </c>
      <c r="D369" s="3" t="s">
        <v>1131</v>
      </c>
      <c r="E369" s="3" t="s">
        <v>1132</v>
      </c>
      <c r="J369" s="8" t="s">
        <v>1305</v>
      </c>
      <c r="Q369" s="9"/>
      <c r="U369" s="8" t="str">
        <f t="shared" ca="1" si="14"/>
        <v/>
      </c>
      <c r="V369" s="8" t="str">
        <f t="shared" ca="1" si="15"/>
        <v/>
      </c>
      <c r="AB369" s="8" t="s">
        <v>19</v>
      </c>
      <c r="AF369" s="8" t="s">
        <v>1290</v>
      </c>
      <c r="AG369" s="8" t="s">
        <v>19</v>
      </c>
    </row>
    <row r="370" spans="1:33">
      <c r="A370" t="s">
        <v>473</v>
      </c>
      <c r="D370" s="3" t="s">
        <v>1133</v>
      </c>
      <c r="E370" s="3" t="s">
        <v>1133</v>
      </c>
      <c r="F370" t="s">
        <v>35</v>
      </c>
      <c r="I370" t="s">
        <v>1134</v>
      </c>
      <c r="Q370" s="9"/>
      <c r="U370" s="8" t="str">
        <f t="shared" ca="1" si="14"/>
        <v/>
      </c>
      <c r="V370" s="8" t="str">
        <f t="shared" ca="1" si="15"/>
        <v/>
      </c>
      <c r="AB370" s="8" t="s">
        <v>1371</v>
      </c>
    </row>
    <row r="371" spans="1:33">
      <c r="A371" t="s">
        <v>475</v>
      </c>
      <c r="D371" s="3" t="s">
        <v>1135</v>
      </c>
      <c r="E371" s="3" t="s">
        <v>1135</v>
      </c>
      <c r="F371" t="s">
        <v>35</v>
      </c>
      <c r="I371" t="s">
        <v>874</v>
      </c>
      <c r="Q371" s="9"/>
      <c r="U371" s="8" t="str">
        <f t="shared" ca="1" si="14"/>
        <v/>
      </c>
      <c r="V371" s="8" t="str">
        <f t="shared" ca="1" si="15"/>
        <v/>
      </c>
      <c r="AB371" s="8" t="s">
        <v>1371</v>
      </c>
    </row>
    <row r="372" spans="1:33">
      <c r="A372" t="s">
        <v>476</v>
      </c>
      <c r="D372" s="3" t="s">
        <v>477</v>
      </c>
      <c r="E372" s="3" t="s">
        <v>477</v>
      </c>
      <c r="F372" t="s">
        <v>35</v>
      </c>
      <c r="I372" t="s">
        <v>1754</v>
      </c>
      <c r="Q372" s="9"/>
      <c r="U372" s="8" t="str">
        <f t="shared" ca="1" si="14"/>
        <v/>
      </c>
      <c r="V372" s="8" t="str">
        <f t="shared" ca="1" si="15"/>
        <v/>
      </c>
      <c r="AB372" s="8" t="s">
        <v>1371</v>
      </c>
    </row>
    <row r="373" spans="1:33">
      <c r="A373" t="s">
        <v>478</v>
      </c>
      <c r="D373" s="3" t="s">
        <v>1137</v>
      </c>
      <c r="E373" s="3" t="s">
        <v>1136</v>
      </c>
      <c r="J373" s="8" t="s">
        <v>1305</v>
      </c>
      <c r="Q373" s="9"/>
      <c r="U373" s="8" t="str">
        <f t="shared" ca="1" si="14"/>
        <v/>
      </c>
      <c r="V373" s="8" t="str">
        <f t="shared" ca="1" si="15"/>
        <v/>
      </c>
      <c r="AB373" s="8" t="s">
        <v>19</v>
      </c>
      <c r="AF373" s="8" t="s">
        <v>1289</v>
      </c>
    </row>
    <row r="374" spans="1:33">
      <c r="A374" t="s">
        <v>479</v>
      </c>
      <c r="D374" s="3" t="s">
        <v>1051</v>
      </c>
      <c r="E374" s="3" t="s">
        <v>1052</v>
      </c>
      <c r="H374" t="s">
        <v>19</v>
      </c>
      <c r="J374" s="8" t="s">
        <v>25</v>
      </c>
      <c r="K374" s="8">
        <v>0</v>
      </c>
      <c r="L374" s="8">
        <v>1</v>
      </c>
      <c r="M374" s="8">
        <v>3</v>
      </c>
      <c r="N374" s="8" t="s">
        <v>1308</v>
      </c>
      <c r="O374" s="8" t="s">
        <v>1263</v>
      </c>
      <c r="Q374" s="9"/>
      <c r="S374" s="8">
        <v>204</v>
      </c>
      <c r="U374" s="8" t="str">
        <f t="shared" ca="1" si="14"/>
        <v/>
      </c>
      <c r="V374" s="8" t="str">
        <f t="shared" ca="1" si="15"/>
        <v/>
      </c>
      <c r="AB374" s="8" t="s">
        <v>19</v>
      </c>
    </row>
    <row r="375" spans="1:33" ht="29">
      <c r="A375" t="s">
        <v>480</v>
      </c>
      <c r="D375" s="3" t="s">
        <v>1138</v>
      </c>
      <c r="E375" s="3" t="s">
        <v>1138</v>
      </c>
      <c r="F375" t="s">
        <v>35</v>
      </c>
      <c r="I375" t="s">
        <v>1140</v>
      </c>
      <c r="Q375" s="9"/>
      <c r="U375" s="8" t="str">
        <f t="shared" ca="1" si="14"/>
        <v/>
      </c>
      <c r="V375" s="8" t="str">
        <f t="shared" ca="1" si="15"/>
        <v/>
      </c>
      <c r="AB375" s="8" t="s">
        <v>1371</v>
      </c>
    </row>
    <row r="376" spans="1:33" ht="29">
      <c r="A376" t="s">
        <v>480</v>
      </c>
      <c r="D376" s="3" t="s">
        <v>1139</v>
      </c>
      <c r="E376" s="3" t="s">
        <v>1139</v>
      </c>
      <c r="F376" t="s">
        <v>35</v>
      </c>
      <c r="I376" t="s">
        <v>1141</v>
      </c>
      <c r="Q376" s="9"/>
      <c r="U376" s="8" t="str">
        <f t="shared" ca="1" si="14"/>
        <v/>
      </c>
      <c r="V376" s="8" t="str">
        <f t="shared" ca="1" si="15"/>
        <v/>
      </c>
      <c r="AB376" s="8" t="s">
        <v>1371</v>
      </c>
    </row>
    <row r="377" spans="1:33">
      <c r="A377" t="s">
        <v>481</v>
      </c>
      <c r="D377" s="3" t="s">
        <v>1142</v>
      </c>
      <c r="E377" s="3" t="s">
        <v>1142</v>
      </c>
      <c r="F377" t="s">
        <v>35</v>
      </c>
      <c r="I377" t="s">
        <v>1143</v>
      </c>
      <c r="Q377" s="9"/>
      <c r="U377" s="8" t="str">
        <f t="shared" ca="1" si="14"/>
        <v/>
      </c>
      <c r="V377" s="8" t="str">
        <f t="shared" ca="1" si="15"/>
        <v/>
      </c>
      <c r="AB377" s="8" t="s">
        <v>1371</v>
      </c>
    </row>
    <row r="378" spans="1:33">
      <c r="A378" t="s">
        <v>482</v>
      </c>
      <c r="D378" s="3" t="s">
        <v>1144</v>
      </c>
      <c r="E378" s="3" t="s">
        <v>1145</v>
      </c>
      <c r="H378" t="s">
        <v>19</v>
      </c>
      <c r="J378" s="8" t="s">
        <v>1305</v>
      </c>
      <c r="Q378" s="9"/>
      <c r="U378" s="8" t="str">
        <f t="shared" ca="1" si="14"/>
        <v/>
      </c>
      <c r="V378" s="8" t="str">
        <f t="shared" ca="1" si="15"/>
        <v/>
      </c>
      <c r="AB378" s="8" t="s">
        <v>19</v>
      </c>
      <c r="AF378" s="8" t="s">
        <v>1289</v>
      </c>
    </row>
    <row r="379" spans="1:33">
      <c r="A379" t="s">
        <v>483</v>
      </c>
      <c r="D379" s="3" t="s">
        <v>1146</v>
      </c>
      <c r="E379" s="3" t="s">
        <v>1146</v>
      </c>
      <c r="F379" t="s">
        <v>35</v>
      </c>
      <c r="I379" t="s">
        <v>1147</v>
      </c>
      <c r="Q379" s="9"/>
      <c r="U379" s="8" t="str">
        <f t="shared" ca="1" si="14"/>
        <v/>
      </c>
      <c r="V379" s="8" t="str">
        <f t="shared" ca="1" si="15"/>
        <v/>
      </c>
      <c r="AB379" s="8" t="s">
        <v>1371</v>
      </c>
    </row>
    <row r="380" spans="1:33">
      <c r="A380" t="s">
        <v>484</v>
      </c>
      <c r="D380" s="3" t="s">
        <v>1148</v>
      </c>
      <c r="E380" s="3" t="s">
        <v>1149</v>
      </c>
      <c r="H380" t="s">
        <v>19</v>
      </c>
      <c r="J380" s="8" t="s">
        <v>1305</v>
      </c>
      <c r="Q380" s="9"/>
      <c r="U380" s="8" t="str">
        <f t="shared" ca="1" si="14"/>
        <v/>
      </c>
      <c r="V380" s="8" t="str">
        <f t="shared" ca="1" si="15"/>
        <v/>
      </c>
      <c r="AB380" s="8" t="s">
        <v>19</v>
      </c>
      <c r="AF380" s="8" t="s">
        <v>1288</v>
      </c>
    </row>
    <row r="381" spans="1:33">
      <c r="A381" t="s">
        <v>485</v>
      </c>
      <c r="D381" s="3" t="s">
        <v>1150</v>
      </c>
      <c r="E381" s="3" t="s">
        <v>1151</v>
      </c>
      <c r="H381" t="s">
        <v>19</v>
      </c>
      <c r="J381" s="8" t="s">
        <v>1305</v>
      </c>
      <c r="Q381" s="9"/>
      <c r="U381" s="8" t="str">
        <f t="shared" ca="1" si="14"/>
        <v/>
      </c>
      <c r="V381" s="8" t="str">
        <f t="shared" ca="1" si="15"/>
        <v/>
      </c>
      <c r="AB381" s="8" t="s">
        <v>19</v>
      </c>
      <c r="AF381" s="8" t="s">
        <v>1289</v>
      </c>
    </row>
    <row r="382" spans="1:33">
      <c r="A382" t="s">
        <v>486</v>
      </c>
      <c r="D382" s="3" t="s">
        <v>1152</v>
      </c>
      <c r="E382" s="3" t="s">
        <v>1152</v>
      </c>
      <c r="F382" t="s">
        <v>35</v>
      </c>
      <c r="I382" t="s">
        <v>1153</v>
      </c>
      <c r="Q382" s="9"/>
      <c r="U382" s="8" t="str">
        <f t="shared" ca="1" si="14"/>
        <v/>
      </c>
      <c r="V382" s="8" t="str">
        <f t="shared" ca="1" si="15"/>
        <v/>
      </c>
      <c r="AB382" s="8" t="s">
        <v>1371</v>
      </c>
    </row>
    <row r="383" spans="1:33">
      <c r="A383" t="s">
        <v>487</v>
      </c>
      <c r="D383" s="3" t="s">
        <v>1154</v>
      </c>
      <c r="E383" s="3" t="s">
        <v>1155</v>
      </c>
      <c r="H383" t="s">
        <v>19</v>
      </c>
      <c r="J383" s="8" t="s">
        <v>1303</v>
      </c>
      <c r="Q383" s="9"/>
      <c r="T383" s="8" t="s">
        <v>1326</v>
      </c>
      <c r="U383" s="8" t="str">
        <f t="shared" ca="1" si="14"/>
        <v/>
      </c>
      <c r="V383" s="8" t="str">
        <f t="shared" ca="1" si="15"/>
        <v/>
      </c>
      <c r="AB383" s="8" t="s">
        <v>19</v>
      </c>
      <c r="AF383" s="8" t="s">
        <v>1288</v>
      </c>
    </row>
    <row r="384" spans="1:33" ht="29">
      <c r="A384" t="s">
        <v>487</v>
      </c>
      <c r="D384" s="3" t="s">
        <v>1157</v>
      </c>
      <c r="E384" s="3" t="s">
        <v>1157</v>
      </c>
      <c r="F384" t="s">
        <v>35</v>
      </c>
      <c r="I384" t="s">
        <v>1156</v>
      </c>
      <c r="Q384" s="9"/>
      <c r="U384" s="8" t="str">
        <f t="shared" ca="1" si="14"/>
        <v/>
      </c>
      <c r="V384" s="8" t="str">
        <f t="shared" ca="1" si="15"/>
        <v/>
      </c>
      <c r="AB384" s="8" t="s">
        <v>1371</v>
      </c>
    </row>
    <row r="385" spans="1:32" ht="29">
      <c r="A385" t="s">
        <v>488</v>
      </c>
      <c r="D385" s="3" t="s">
        <v>1158</v>
      </c>
      <c r="E385" s="3" t="s">
        <v>1158</v>
      </c>
      <c r="F385" t="s">
        <v>35</v>
      </c>
      <c r="I385" t="s">
        <v>1159</v>
      </c>
      <c r="Q385" s="9"/>
      <c r="U385" s="8" t="str">
        <f t="shared" ca="1" si="14"/>
        <v/>
      </c>
      <c r="V385" s="8" t="str">
        <f t="shared" ca="1" si="15"/>
        <v/>
      </c>
      <c r="AB385" s="8" t="s">
        <v>1371</v>
      </c>
    </row>
    <row r="386" spans="1:32">
      <c r="A386" t="s">
        <v>489</v>
      </c>
      <c r="D386" s="3" t="s">
        <v>490</v>
      </c>
      <c r="E386" s="3" t="s">
        <v>490</v>
      </c>
      <c r="F386" t="s">
        <v>35</v>
      </c>
      <c r="I386" t="s">
        <v>1160</v>
      </c>
      <c r="Q386" s="9"/>
      <c r="U386" s="8" t="str">
        <f t="shared" ref="U386:U449" ca="1" si="16">IF(ISNUMBER(T386),VALUE(MID(_xlfn.FORMULATEXT(T386),SEARCH("-",_xlfn.FORMULATEXT(T386))+1,LEN(_xlfn.FORMULATEXT(T386))-SEARCH("-",_xlfn.FORMULATEXT(T386)))), "")</f>
        <v/>
      </c>
      <c r="V386" s="8" t="str">
        <f t="shared" ref="V386:V449" ca="1" si="17">IF(ISNUMBER(T386), VALUE(MID(_xlfn.FORMULATEXT(T386), 2, SEARCH("-", _xlfn.FORMULATEXT(T386)) - 2)), "")</f>
        <v/>
      </c>
      <c r="AB386" s="8" t="s">
        <v>1371</v>
      </c>
    </row>
    <row r="387" spans="1:32" ht="29">
      <c r="A387" t="s">
        <v>491</v>
      </c>
      <c r="D387" s="3" t="s">
        <v>1161</v>
      </c>
      <c r="E387" s="3" t="s">
        <v>1161</v>
      </c>
      <c r="F387" t="s">
        <v>35</v>
      </c>
      <c r="I387" t="s">
        <v>1162</v>
      </c>
      <c r="Q387" s="9"/>
      <c r="U387" s="8" t="str">
        <f t="shared" ca="1" si="16"/>
        <v/>
      </c>
      <c r="V387" s="8" t="str">
        <f t="shared" ca="1" si="17"/>
        <v/>
      </c>
      <c r="AB387" s="8" t="s">
        <v>1371</v>
      </c>
    </row>
    <row r="388" spans="1:32">
      <c r="A388" t="s">
        <v>492</v>
      </c>
      <c r="D388" s="3" t="s">
        <v>493</v>
      </c>
      <c r="E388" s="3" t="s">
        <v>494</v>
      </c>
      <c r="J388" s="8" t="s">
        <v>1305</v>
      </c>
      <c r="Q388" s="9"/>
      <c r="U388" s="8" t="str">
        <f t="shared" ca="1" si="16"/>
        <v/>
      </c>
      <c r="V388" s="8" t="str">
        <f t="shared" ca="1" si="17"/>
        <v/>
      </c>
      <c r="AB388" s="8" t="s">
        <v>19</v>
      </c>
      <c r="AD388" s="8" t="s">
        <v>1331</v>
      </c>
      <c r="AE388" s="8" t="s">
        <v>19</v>
      </c>
      <c r="AF388" s="8" t="s">
        <v>1290</v>
      </c>
    </row>
    <row r="389" spans="1:32">
      <c r="A389" t="s">
        <v>495</v>
      </c>
      <c r="D389" s="3" t="s">
        <v>496</v>
      </c>
      <c r="E389" s="3" t="s">
        <v>496</v>
      </c>
      <c r="F389" t="s">
        <v>35</v>
      </c>
      <c r="I389" t="s">
        <v>1163</v>
      </c>
      <c r="Q389" s="9"/>
      <c r="U389" s="8" t="str">
        <f t="shared" ca="1" si="16"/>
        <v/>
      </c>
      <c r="V389" s="8" t="str">
        <f t="shared" ca="1" si="17"/>
        <v/>
      </c>
      <c r="AB389" s="8" t="s">
        <v>1371</v>
      </c>
    </row>
    <row r="390" spans="1:32">
      <c r="A390" t="s">
        <v>497</v>
      </c>
      <c r="D390" s="3" t="s">
        <v>498</v>
      </c>
      <c r="E390" s="3" t="s">
        <v>499</v>
      </c>
      <c r="H390" t="s">
        <v>19</v>
      </c>
      <c r="J390" s="8" t="s">
        <v>1305</v>
      </c>
      <c r="Q390" s="9"/>
      <c r="U390" s="8" t="str">
        <f t="shared" ca="1" si="16"/>
        <v/>
      </c>
      <c r="V390" s="8" t="str">
        <f t="shared" ca="1" si="17"/>
        <v/>
      </c>
      <c r="AB390" s="8" t="s">
        <v>19</v>
      </c>
    </row>
    <row r="391" spans="1:32">
      <c r="A391" t="s">
        <v>500</v>
      </c>
      <c r="D391" s="3" t="s">
        <v>501</v>
      </c>
      <c r="E391" s="3" t="s">
        <v>501</v>
      </c>
      <c r="F391" t="s">
        <v>35</v>
      </c>
      <c r="I391" t="s">
        <v>1164</v>
      </c>
      <c r="Q391" s="9"/>
      <c r="U391" s="8" t="str">
        <f t="shared" ca="1" si="16"/>
        <v/>
      </c>
      <c r="V391" s="8" t="str">
        <f t="shared" ca="1" si="17"/>
        <v/>
      </c>
      <c r="AB391" s="8" t="s">
        <v>1371</v>
      </c>
    </row>
    <row r="392" spans="1:32">
      <c r="A392" t="s">
        <v>502</v>
      </c>
      <c r="D392" s="3" t="s">
        <v>503</v>
      </c>
      <c r="E392" s="3" t="s">
        <v>504</v>
      </c>
      <c r="J392" s="8" t="s">
        <v>1305</v>
      </c>
      <c r="Q392" s="9"/>
      <c r="U392" s="8" t="str">
        <f t="shared" ca="1" si="16"/>
        <v/>
      </c>
      <c r="V392" s="8" t="str">
        <f t="shared" ca="1" si="17"/>
        <v/>
      </c>
      <c r="AB392" s="8" t="s">
        <v>19</v>
      </c>
      <c r="AF392" s="8" t="s">
        <v>1288</v>
      </c>
    </row>
    <row r="393" spans="1:32">
      <c r="A393" t="s">
        <v>505</v>
      </c>
      <c r="D393" s="3" t="s">
        <v>1165</v>
      </c>
      <c r="E393" s="3" t="s">
        <v>1166</v>
      </c>
      <c r="H393" t="s">
        <v>19</v>
      </c>
      <c r="J393" s="8" t="s">
        <v>24</v>
      </c>
      <c r="K393" s="8">
        <v>0</v>
      </c>
      <c r="L393" s="8">
        <v>1</v>
      </c>
      <c r="M393" s="8">
        <v>4</v>
      </c>
      <c r="N393" s="8" t="s">
        <v>1315</v>
      </c>
      <c r="O393" s="8" t="s">
        <v>1258</v>
      </c>
      <c r="P393" s="8" t="s">
        <v>1335</v>
      </c>
      <c r="Q393" s="9" t="s">
        <v>1336</v>
      </c>
      <c r="S393" s="8">
        <v>295</v>
      </c>
      <c r="U393" s="8" t="str">
        <f t="shared" ca="1" si="16"/>
        <v/>
      </c>
      <c r="V393" s="8" t="str">
        <f t="shared" ca="1" si="17"/>
        <v/>
      </c>
      <c r="AB393" s="8" t="s">
        <v>19</v>
      </c>
      <c r="AF393" s="8" t="s">
        <v>1289</v>
      </c>
    </row>
    <row r="394" spans="1:32">
      <c r="A394" t="s">
        <v>506</v>
      </c>
      <c r="D394" s="3" t="s">
        <v>501</v>
      </c>
      <c r="E394" s="3" t="s">
        <v>501</v>
      </c>
      <c r="F394" t="s">
        <v>35</v>
      </c>
      <c r="I394" t="s">
        <v>1164</v>
      </c>
      <c r="Q394" s="9"/>
      <c r="U394" s="8" t="str">
        <f t="shared" ca="1" si="16"/>
        <v/>
      </c>
      <c r="V394" s="8" t="str">
        <f t="shared" ca="1" si="17"/>
        <v/>
      </c>
      <c r="AB394" s="8" t="s">
        <v>1371</v>
      </c>
    </row>
    <row r="395" spans="1:32">
      <c r="A395" t="s">
        <v>507</v>
      </c>
      <c r="D395" s="3" t="s">
        <v>1168</v>
      </c>
      <c r="E395" s="3" t="s">
        <v>1167</v>
      </c>
      <c r="J395" s="8" t="s">
        <v>1305</v>
      </c>
      <c r="Q395" s="9"/>
      <c r="U395" s="8" t="str">
        <f t="shared" ca="1" si="16"/>
        <v/>
      </c>
      <c r="V395" s="8" t="str">
        <f t="shared" ca="1" si="17"/>
        <v/>
      </c>
      <c r="AB395" s="8" t="s">
        <v>19</v>
      </c>
      <c r="AF395" s="8" t="s">
        <v>1291</v>
      </c>
    </row>
    <row r="396" spans="1:32">
      <c r="A396" t="s">
        <v>508</v>
      </c>
      <c r="D396" s="3" t="s">
        <v>1169</v>
      </c>
      <c r="E396" s="3" t="s">
        <v>1169</v>
      </c>
      <c r="F396" t="s">
        <v>35</v>
      </c>
      <c r="I396" t="s">
        <v>1170</v>
      </c>
      <c r="Q396" s="9"/>
      <c r="U396" s="8" t="str">
        <f t="shared" ca="1" si="16"/>
        <v/>
      </c>
      <c r="V396" s="8" t="str">
        <f t="shared" ca="1" si="17"/>
        <v/>
      </c>
      <c r="AB396" s="8" t="s">
        <v>1371</v>
      </c>
    </row>
    <row r="397" spans="1:32">
      <c r="A397" t="s">
        <v>509</v>
      </c>
      <c r="D397" s="3" t="s">
        <v>474</v>
      </c>
      <c r="E397" s="3" t="s">
        <v>474</v>
      </c>
      <c r="F397" t="s">
        <v>35</v>
      </c>
      <c r="I397" t="s">
        <v>1171</v>
      </c>
      <c r="Q397" s="9"/>
      <c r="U397" s="8" t="str">
        <f t="shared" ca="1" si="16"/>
        <v/>
      </c>
      <c r="V397" s="8" t="str">
        <f t="shared" ca="1" si="17"/>
        <v/>
      </c>
      <c r="AB397" s="8" t="s">
        <v>1371</v>
      </c>
    </row>
    <row r="398" spans="1:32">
      <c r="A398" t="s">
        <v>510</v>
      </c>
      <c r="D398" s="3" t="s">
        <v>1172</v>
      </c>
      <c r="E398" s="3" t="s">
        <v>1173</v>
      </c>
      <c r="H398" t="s">
        <v>19</v>
      </c>
      <c r="I398" t="s">
        <v>1364</v>
      </c>
      <c r="J398" s="8" t="s">
        <v>25</v>
      </c>
      <c r="K398" s="8">
        <v>0</v>
      </c>
      <c r="L398" s="8">
        <v>1</v>
      </c>
      <c r="M398" s="8">
        <v>3</v>
      </c>
      <c r="N398" s="8" t="s">
        <v>1276</v>
      </c>
      <c r="O398" s="8" t="s">
        <v>1263</v>
      </c>
      <c r="Q398" s="9"/>
      <c r="S398" s="8">
        <v>210</v>
      </c>
      <c r="U398" s="8" t="str">
        <f t="shared" ca="1" si="16"/>
        <v/>
      </c>
      <c r="V398" s="8" t="str">
        <f t="shared" ca="1" si="17"/>
        <v/>
      </c>
      <c r="AB398" s="8" t="s">
        <v>19</v>
      </c>
    </row>
    <row r="399" spans="1:32">
      <c r="A399" t="s">
        <v>511</v>
      </c>
      <c r="D399" s="3" t="s">
        <v>1174</v>
      </c>
      <c r="E399" s="3" t="s">
        <v>1174</v>
      </c>
      <c r="F399" t="s">
        <v>35</v>
      </c>
      <c r="I399" t="s">
        <v>1175</v>
      </c>
      <c r="Q399" s="9"/>
      <c r="U399" s="8" t="str">
        <f t="shared" ca="1" si="16"/>
        <v/>
      </c>
      <c r="V399" s="8" t="str">
        <f t="shared" ca="1" si="17"/>
        <v/>
      </c>
      <c r="AB399" s="8" t="s">
        <v>1371</v>
      </c>
    </row>
    <row r="400" spans="1:32">
      <c r="A400" t="s">
        <v>512</v>
      </c>
      <c r="D400" s="3" t="s">
        <v>513</v>
      </c>
      <c r="E400" s="3" t="s">
        <v>513</v>
      </c>
      <c r="F400" t="s">
        <v>35</v>
      </c>
      <c r="I400" t="s">
        <v>1176</v>
      </c>
      <c r="Q400" s="9"/>
      <c r="U400" s="8" t="str">
        <f t="shared" ca="1" si="16"/>
        <v/>
      </c>
      <c r="V400" s="8" t="str">
        <f t="shared" ca="1" si="17"/>
        <v/>
      </c>
      <c r="AB400" s="8" t="s">
        <v>1371</v>
      </c>
    </row>
    <row r="401" spans="1:32">
      <c r="A401" t="s">
        <v>514</v>
      </c>
      <c r="D401" s="3" t="s">
        <v>1177</v>
      </c>
      <c r="E401" s="3" t="s">
        <v>1177</v>
      </c>
      <c r="F401" t="s">
        <v>35</v>
      </c>
      <c r="I401" t="s">
        <v>1178</v>
      </c>
      <c r="Q401" s="9"/>
      <c r="U401" s="8" t="str">
        <f t="shared" ca="1" si="16"/>
        <v/>
      </c>
      <c r="V401" s="8" t="str">
        <f t="shared" ca="1" si="17"/>
        <v/>
      </c>
      <c r="AB401" s="8" t="s">
        <v>1371</v>
      </c>
    </row>
    <row r="402" spans="1:32">
      <c r="A402" t="s">
        <v>514</v>
      </c>
      <c r="D402" s="3" t="s">
        <v>1179</v>
      </c>
      <c r="E402" s="3" t="s">
        <v>1179</v>
      </c>
      <c r="F402" t="s">
        <v>35</v>
      </c>
      <c r="I402" t="s">
        <v>1180</v>
      </c>
      <c r="Q402" s="9"/>
      <c r="U402" s="8" t="str">
        <f t="shared" ca="1" si="16"/>
        <v/>
      </c>
      <c r="V402" s="8" t="str">
        <f t="shared" ca="1" si="17"/>
        <v/>
      </c>
      <c r="AB402" s="8" t="s">
        <v>1371</v>
      </c>
    </row>
    <row r="403" spans="1:32">
      <c r="A403" t="s">
        <v>515</v>
      </c>
      <c r="D403" s="3" t="s">
        <v>516</v>
      </c>
      <c r="E403" s="3" t="s">
        <v>516</v>
      </c>
      <c r="F403" t="s">
        <v>35</v>
      </c>
      <c r="I403" t="s">
        <v>1181</v>
      </c>
      <c r="Q403" s="9"/>
      <c r="U403" s="8" t="str">
        <f t="shared" ca="1" si="16"/>
        <v/>
      </c>
      <c r="V403" s="8" t="str">
        <f t="shared" ca="1" si="17"/>
        <v/>
      </c>
      <c r="AB403" s="8" t="s">
        <v>1371</v>
      </c>
    </row>
    <row r="404" spans="1:32">
      <c r="A404" t="s">
        <v>515</v>
      </c>
      <c r="D404" s="3" t="s">
        <v>517</v>
      </c>
      <c r="E404" s="3" t="s">
        <v>517</v>
      </c>
      <c r="F404" t="s">
        <v>35</v>
      </c>
      <c r="I404" t="s">
        <v>1182</v>
      </c>
      <c r="Q404" s="9"/>
      <c r="U404" s="8" t="str">
        <f t="shared" ca="1" si="16"/>
        <v/>
      </c>
      <c r="V404" s="8" t="str">
        <f t="shared" ca="1" si="17"/>
        <v/>
      </c>
      <c r="AB404" s="8" t="s">
        <v>1371</v>
      </c>
    </row>
    <row r="405" spans="1:32">
      <c r="A405" t="s">
        <v>518</v>
      </c>
      <c r="D405" s="3" t="s">
        <v>519</v>
      </c>
      <c r="E405" s="3" t="s">
        <v>519</v>
      </c>
      <c r="F405" t="s">
        <v>35</v>
      </c>
      <c r="I405" t="s">
        <v>1183</v>
      </c>
      <c r="Q405" s="9"/>
      <c r="U405" s="8" t="str">
        <f t="shared" ca="1" si="16"/>
        <v/>
      </c>
      <c r="V405" s="8" t="str">
        <f t="shared" ca="1" si="17"/>
        <v/>
      </c>
      <c r="AB405" s="8" t="s">
        <v>1371</v>
      </c>
    </row>
    <row r="406" spans="1:32">
      <c r="A406" t="s">
        <v>520</v>
      </c>
      <c r="D406" s="3" t="s">
        <v>521</v>
      </c>
      <c r="E406" s="3" t="s">
        <v>521</v>
      </c>
      <c r="F406" t="s">
        <v>35</v>
      </c>
      <c r="I406" t="s">
        <v>1184</v>
      </c>
      <c r="Q406" s="9"/>
      <c r="U406" s="8" t="str">
        <f t="shared" ca="1" si="16"/>
        <v/>
      </c>
      <c r="V406" s="8" t="str">
        <f t="shared" ca="1" si="17"/>
        <v/>
      </c>
      <c r="AB406" s="8" t="s">
        <v>1371</v>
      </c>
    </row>
    <row r="407" spans="1:32">
      <c r="A407" t="s">
        <v>522</v>
      </c>
      <c r="D407" s="3" t="s">
        <v>523</v>
      </c>
      <c r="E407" s="3" t="s">
        <v>523</v>
      </c>
      <c r="F407" t="s">
        <v>35</v>
      </c>
      <c r="I407" t="s">
        <v>1185</v>
      </c>
      <c r="Q407" s="9"/>
      <c r="U407" s="8" t="str">
        <f t="shared" ca="1" si="16"/>
        <v/>
      </c>
      <c r="V407" s="8" t="str">
        <f t="shared" ca="1" si="17"/>
        <v/>
      </c>
      <c r="AB407" s="8" t="s">
        <v>1371</v>
      </c>
    </row>
    <row r="408" spans="1:32">
      <c r="A408" t="s">
        <v>522</v>
      </c>
      <c r="D408" s="3" t="s">
        <v>524</v>
      </c>
      <c r="E408" s="3" t="s">
        <v>524</v>
      </c>
      <c r="F408" t="s">
        <v>35</v>
      </c>
      <c r="I408" t="s">
        <v>1186</v>
      </c>
      <c r="Q408" s="9"/>
      <c r="U408" s="8" t="str">
        <f t="shared" ca="1" si="16"/>
        <v/>
      </c>
      <c r="V408" s="8" t="str">
        <f t="shared" ca="1" si="17"/>
        <v/>
      </c>
      <c r="AB408" s="8" t="s">
        <v>1371</v>
      </c>
    </row>
    <row r="409" spans="1:32">
      <c r="A409" t="s">
        <v>525</v>
      </c>
      <c r="D409" s="3" t="s">
        <v>1187</v>
      </c>
      <c r="E409" s="3" t="s">
        <v>1188</v>
      </c>
      <c r="H409" t="s">
        <v>19</v>
      </c>
      <c r="J409" s="8" t="s">
        <v>1303</v>
      </c>
      <c r="Q409" s="9"/>
      <c r="T409" s="8">
        <f>743-830</f>
        <v>-87</v>
      </c>
      <c r="U409" s="8">
        <f t="shared" ca="1" si="16"/>
        <v>830</v>
      </c>
      <c r="V409" s="8">
        <f t="shared" ca="1" si="17"/>
        <v>743</v>
      </c>
      <c r="AB409" s="8" t="s">
        <v>19</v>
      </c>
    </row>
    <row r="410" spans="1:32">
      <c r="A410" t="s">
        <v>526</v>
      </c>
      <c r="D410" s="3" t="s">
        <v>527</v>
      </c>
      <c r="E410" s="3" t="s">
        <v>528</v>
      </c>
      <c r="J410" s="8" t="s">
        <v>1303</v>
      </c>
      <c r="Q410" s="9"/>
      <c r="T410" s="8" t="s">
        <v>1304</v>
      </c>
      <c r="U410" s="8" t="str">
        <f t="shared" ca="1" si="16"/>
        <v/>
      </c>
      <c r="V410" s="8" t="str">
        <f t="shared" ca="1" si="17"/>
        <v/>
      </c>
      <c r="AB410" s="8" t="s">
        <v>19</v>
      </c>
      <c r="AD410" s="8" t="s">
        <v>1354</v>
      </c>
      <c r="AE410" s="8" t="s">
        <v>19</v>
      </c>
      <c r="AF410" s="8" t="s">
        <v>1290</v>
      </c>
    </row>
    <row r="411" spans="1:32">
      <c r="A411" t="s">
        <v>529</v>
      </c>
      <c r="D411" s="3" t="s">
        <v>530</v>
      </c>
      <c r="E411" s="3" t="s">
        <v>530</v>
      </c>
      <c r="F411" t="s">
        <v>35</v>
      </c>
      <c r="I411" t="s">
        <v>1189</v>
      </c>
      <c r="Q411" s="9"/>
      <c r="U411" s="8" t="str">
        <f t="shared" ca="1" si="16"/>
        <v/>
      </c>
      <c r="V411" s="8" t="str">
        <f t="shared" ca="1" si="17"/>
        <v/>
      </c>
      <c r="AB411" s="8" t="s">
        <v>1371</v>
      </c>
    </row>
    <row r="412" spans="1:32">
      <c r="A412" t="s">
        <v>531</v>
      </c>
      <c r="D412" t="s">
        <v>1190</v>
      </c>
      <c r="E412" t="s">
        <v>1190</v>
      </c>
      <c r="F412" t="s">
        <v>35</v>
      </c>
      <c r="I412" t="s">
        <v>1076</v>
      </c>
      <c r="Q412" s="9"/>
      <c r="U412" s="8" t="str">
        <f t="shared" ca="1" si="16"/>
        <v/>
      </c>
      <c r="V412" s="8" t="str">
        <f t="shared" ca="1" si="17"/>
        <v/>
      </c>
      <c r="AB412" s="8" t="s">
        <v>1371</v>
      </c>
    </row>
    <row r="413" spans="1:32">
      <c r="A413" t="s">
        <v>532</v>
      </c>
      <c r="D413" t="s">
        <v>1191</v>
      </c>
      <c r="E413" t="s">
        <v>1192</v>
      </c>
      <c r="H413" t="s">
        <v>19</v>
      </c>
      <c r="J413" s="8" t="s">
        <v>1305</v>
      </c>
      <c r="Q413" s="9"/>
      <c r="U413" s="8" t="str">
        <f t="shared" ca="1" si="16"/>
        <v/>
      </c>
      <c r="V413" s="8" t="str">
        <f t="shared" ca="1" si="17"/>
        <v/>
      </c>
      <c r="AB413" s="8" t="s">
        <v>19</v>
      </c>
      <c r="AF413" s="8" t="s">
        <v>1289</v>
      </c>
    </row>
    <row r="414" spans="1:32">
      <c r="A414" t="s">
        <v>533</v>
      </c>
      <c r="D414" s="3" t="s">
        <v>1193</v>
      </c>
      <c r="E414" s="3" t="s">
        <v>1193</v>
      </c>
      <c r="F414" t="s">
        <v>35</v>
      </c>
      <c r="I414" t="s">
        <v>1194</v>
      </c>
      <c r="Q414" s="9"/>
      <c r="U414" s="8" t="str">
        <f t="shared" ca="1" si="16"/>
        <v/>
      </c>
      <c r="V414" s="8" t="str">
        <f t="shared" ca="1" si="17"/>
        <v/>
      </c>
      <c r="AB414" s="8" t="s">
        <v>1371</v>
      </c>
    </row>
    <row r="415" spans="1:32">
      <c r="A415" t="s">
        <v>534</v>
      </c>
      <c r="D415" s="3" t="s">
        <v>1195</v>
      </c>
      <c r="E415" t="s">
        <v>1195</v>
      </c>
      <c r="F415" t="s">
        <v>35</v>
      </c>
      <c r="I415" t="s">
        <v>1196</v>
      </c>
      <c r="Q415" s="9"/>
      <c r="U415" s="8" t="str">
        <f t="shared" ca="1" si="16"/>
        <v/>
      </c>
      <c r="V415" s="8" t="str">
        <f t="shared" ca="1" si="17"/>
        <v/>
      </c>
      <c r="AB415" s="8" t="s">
        <v>1371</v>
      </c>
    </row>
    <row r="416" spans="1:32">
      <c r="A416" t="s">
        <v>535</v>
      </c>
      <c r="D416" s="3" t="s">
        <v>536</v>
      </c>
      <c r="E416" s="3" t="s">
        <v>537</v>
      </c>
      <c r="H416" t="s">
        <v>19</v>
      </c>
      <c r="J416" s="8" t="s">
        <v>1305</v>
      </c>
      <c r="Q416" s="9"/>
      <c r="U416" s="8" t="str">
        <f t="shared" ca="1" si="16"/>
        <v/>
      </c>
      <c r="V416" s="8" t="str">
        <f t="shared" ca="1" si="17"/>
        <v/>
      </c>
      <c r="AB416" s="8" t="s">
        <v>19</v>
      </c>
      <c r="AF416" s="8" t="s">
        <v>1288</v>
      </c>
    </row>
    <row r="417" spans="1:32">
      <c r="A417" t="s">
        <v>538</v>
      </c>
      <c r="D417" s="6" t="s">
        <v>1197</v>
      </c>
      <c r="E417" s="3" t="s">
        <v>1745</v>
      </c>
      <c r="F417" t="s">
        <v>11</v>
      </c>
      <c r="I417" s="5"/>
      <c r="Q417" s="9"/>
      <c r="U417" s="8" t="str">
        <f t="shared" ca="1" si="16"/>
        <v/>
      </c>
      <c r="V417" s="8" t="str">
        <f t="shared" ca="1" si="17"/>
        <v/>
      </c>
      <c r="AB417" s="8" t="s">
        <v>1371</v>
      </c>
    </row>
    <row r="418" spans="1:32">
      <c r="A418" t="s">
        <v>539</v>
      </c>
      <c r="D418" s="3" t="s">
        <v>1198</v>
      </c>
      <c r="E418" s="3" t="s">
        <v>1198</v>
      </c>
      <c r="F418" t="s">
        <v>35</v>
      </c>
      <c r="I418" t="s">
        <v>1199</v>
      </c>
      <c r="Q418" s="9"/>
      <c r="U418" s="8" t="str">
        <f t="shared" ca="1" si="16"/>
        <v/>
      </c>
      <c r="V418" s="8" t="str">
        <f t="shared" ca="1" si="17"/>
        <v/>
      </c>
      <c r="AB418" s="8" t="s">
        <v>1371</v>
      </c>
    </row>
    <row r="419" spans="1:32">
      <c r="A419" t="s">
        <v>540</v>
      </c>
      <c r="D419" s="3" t="s">
        <v>541</v>
      </c>
      <c r="E419" s="3" t="s">
        <v>541</v>
      </c>
      <c r="F419" t="s">
        <v>35</v>
      </c>
      <c r="I419" t="s">
        <v>1200</v>
      </c>
      <c r="Q419" s="9"/>
      <c r="U419" s="8" t="str">
        <f t="shared" ca="1" si="16"/>
        <v/>
      </c>
      <c r="V419" s="8" t="str">
        <f t="shared" ca="1" si="17"/>
        <v/>
      </c>
      <c r="AB419" s="8" t="s">
        <v>1371</v>
      </c>
    </row>
    <row r="420" spans="1:32">
      <c r="A420" t="s">
        <v>542</v>
      </c>
      <c r="D420" s="3" t="s">
        <v>543</v>
      </c>
      <c r="E420" s="3" t="s">
        <v>543</v>
      </c>
      <c r="F420" t="s">
        <v>35</v>
      </c>
      <c r="I420" t="s">
        <v>1201</v>
      </c>
      <c r="Q420" s="9"/>
      <c r="U420" s="8" t="str">
        <f t="shared" ca="1" si="16"/>
        <v/>
      </c>
      <c r="V420" s="8" t="str">
        <f t="shared" ca="1" si="17"/>
        <v/>
      </c>
      <c r="AB420" s="8" t="s">
        <v>1371</v>
      </c>
    </row>
    <row r="421" spans="1:32">
      <c r="A421" t="s">
        <v>544</v>
      </c>
      <c r="D421" s="3" t="s">
        <v>545</v>
      </c>
      <c r="E421" s="3" t="s">
        <v>545</v>
      </c>
      <c r="F421" t="s">
        <v>35</v>
      </c>
      <c r="I421" t="s">
        <v>1202</v>
      </c>
      <c r="Q421" s="9"/>
      <c r="U421" s="8" t="str">
        <f t="shared" ca="1" si="16"/>
        <v/>
      </c>
      <c r="V421" s="8" t="str">
        <f t="shared" ca="1" si="17"/>
        <v/>
      </c>
      <c r="AB421" s="8" t="s">
        <v>1371</v>
      </c>
    </row>
    <row r="422" spans="1:32">
      <c r="A422" t="s">
        <v>546</v>
      </c>
      <c r="D422" s="3" t="s">
        <v>547</v>
      </c>
      <c r="E422" s="3" t="s">
        <v>548</v>
      </c>
      <c r="J422" s="8" t="s">
        <v>1303</v>
      </c>
      <c r="Q422" s="9"/>
      <c r="T422" s="8" t="s">
        <v>1304</v>
      </c>
      <c r="U422" s="8" t="str">
        <f t="shared" ca="1" si="16"/>
        <v/>
      </c>
      <c r="V422" s="8" t="str">
        <f t="shared" ca="1" si="17"/>
        <v/>
      </c>
      <c r="AB422" s="8" t="s">
        <v>19</v>
      </c>
      <c r="AF422" s="8" t="s">
        <v>1290</v>
      </c>
    </row>
    <row r="423" spans="1:32">
      <c r="A423" t="s">
        <v>549</v>
      </c>
      <c r="D423" s="3" t="s">
        <v>1203</v>
      </c>
      <c r="E423" s="3" t="s">
        <v>1204</v>
      </c>
      <c r="F423" t="s">
        <v>17</v>
      </c>
      <c r="H423" t="s">
        <v>19</v>
      </c>
      <c r="Q423" s="9"/>
      <c r="U423" s="8" t="str">
        <f t="shared" ca="1" si="16"/>
        <v/>
      </c>
      <c r="V423" s="8" t="str">
        <f t="shared" ca="1" si="17"/>
        <v/>
      </c>
      <c r="AB423" s="8" t="s">
        <v>1371</v>
      </c>
    </row>
    <row r="424" spans="1:32" ht="29">
      <c r="A424" t="s">
        <v>550</v>
      </c>
      <c r="D424" s="3" t="s">
        <v>1205</v>
      </c>
      <c r="E424" s="3" t="s">
        <v>1206</v>
      </c>
      <c r="H424" t="s">
        <v>19</v>
      </c>
      <c r="J424" s="8" t="s">
        <v>25</v>
      </c>
      <c r="K424" s="8">
        <v>0</v>
      </c>
      <c r="L424" s="8">
        <v>1</v>
      </c>
      <c r="M424" s="8">
        <v>5</v>
      </c>
      <c r="N424" s="8" t="s">
        <v>1274</v>
      </c>
      <c r="O424" s="8" t="s">
        <v>1263</v>
      </c>
      <c r="Q424" s="9"/>
      <c r="S424" s="8">
        <v>830</v>
      </c>
      <c r="U424" s="8" t="str">
        <f t="shared" ca="1" si="16"/>
        <v/>
      </c>
      <c r="V424" s="8" t="str">
        <f t="shared" ca="1" si="17"/>
        <v/>
      </c>
      <c r="AB424" s="8" t="s">
        <v>19</v>
      </c>
    </row>
    <row r="425" spans="1:32">
      <c r="A425" t="s">
        <v>550</v>
      </c>
      <c r="D425" s="3" t="s">
        <v>551</v>
      </c>
      <c r="E425" s="3" t="s">
        <v>552</v>
      </c>
      <c r="J425" s="8" t="s">
        <v>1303</v>
      </c>
      <c r="Q425" s="9"/>
      <c r="T425" s="8" t="s">
        <v>1326</v>
      </c>
      <c r="U425" s="8" t="str">
        <f t="shared" ca="1" si="16"/>
        <v/>
      </c>
      <c r="V425" s="8" t="str">
        <f t="shared" ca="1" si="17"/>
        <v/>
      </c>
      <c r="AB425" s="8" t="s">
        <v>19</v>
      </c>
      <c r="AD425" s="8" t="s">
        <v>1353</v>
      </c>
      <c r="AE425" s="8" t="s">
        <v>19</v>
      </c>
      <c r="AF425" s="8" t="s">
        <v>1290</v>
      </c>
    </row>
    <row r="426" spans="1:32">
      <c r="A426" t="s">
        <v>553</v>
      </c>
      <c r="D426" s="3" t="s">
        <v>554</v>
      </c>
      <c r="E426" s="3" t="s">
        <v>554</v>
      </c>
      <c r="F426" t="s">
        <v>35</v>
      </c>
      <c r="I426" t="s">
        <v>1207</v>
      </c>
      <c r="Q426" s="9"/>
      <c r="U426" s="8" t="str">
        <f t="shared" ca="1" si="16"/>
        <v/>
      </c>
      <c r="V426" s="8" t="str">
        <f t="shared" ca="1" si="17"/>
        <v/>
      </c>
      <c r="AB426" s="8" t="s">
        <v>1371</v>
      </c>
    </row>
    <row r="427" spans="1:32">
      <c r="A427" t="s">
        <v>555</v>
      </c>
      <c r="D427" s="3" t="s">
        <v>556</v>
      </c>
      <c r="E427" s="3" t="s">
        <v>556</v>
      </c>
      <c r="F427" t="s">
        <v>35</v>
      </c>
      <c r="I427" t="s">
        <v>1208</v>
      </c>
      <c r="Q427" s="9"/>
      <c r="U427" s="8" t="str">
        <f t="shared" ca="1" si="16"/>
        <v/>
      </c>
      <c r="V427" s="8" t="str">
        <f t="shared" ca="1" si="17"/>
        <v/>
      </c>
      <c r="AB427" s="8" t="s">
        <v>1371</v>
      </c>
    </row>
    <row r="428" spans="1:32">
      <c r="A428" t="s">
        <v>555</v>
      </c>
      <c r="D428" s="3" t="s">
        <v>1210</v>
      </c>
      <c r="E428" s="3" t="s">
        <v>1209</v>
      </c>
      <c r="J428" s="8" t="s">
        <v>25</v>
      </c>
      <c r="K428" s="8">
        <v>0</v>
      </c>
      <c r="L428" s="8">
        <v>1</v>
      </c>
      <c r="M428" s="8">
        <v>3</v>
      </c>
      <c r="N428" s="8" t="s">
        <v>1274</v>
      </c>
      <c r="O428" s="8" t="s">
        <v>1263</v>
      </c>
      <c r="Q428" s="9"/>
      <c r="S428" s="8">
        <v>312</v>
      </c>
      <c r="U428" s="8" t="str">
        <f t="shared" ca="1" si="16"/>
        <v/>
      </c>
      <c r="V428" s="8" t="str">
        <f t="shared" ca="1" si="17"/>
        <v/>
      </c>
      <c r="AB428" s="8" t="s">
        <v>19</v>
      </c>
    </row>
    <row r="429" spans="1:32">
      <c r="A429" t="s">
        <v>557</v>
      </c>
      <c r="D429" s="3" t="s">
        <v>1211</v>
      </c>
      <c r="E429" s="3" t="s">
        <v>1212</v>
      </c>
      <c r="H429" t="s">
        <v>19</v>
      </c>
      <c r="J429" s="8" t="s">
        <v>25</v>
      </c>
      <c r="K429" s="8">
        <v>0</v>
      </c>
      <c r="L429" s="8">
        <v>1</v>
      </c>
      <c r="M429" s="8">
        <v>3</v>
      </c>
      <c r="N429" s="8" t="s">
        <v>1262</v>
      </c>
      <c r="O429" s="8" t="s">
        <v>1263</v>
      </c>
      <c r="Q429" s="9"/>
      <c r="S429" s="8">
        <v>2475</v>
      </c>
      <c r="U429" s="8" t="str">
        <f t="shared" ca="1" si="16"/>
        <v/>
      </c>
      <c r="V429" s="8" t="str">
        <f t="shared" ca="1" si="17"/>
        <v/>
      </c>
      <c r="AB429" s="8" t="s">
        <v>19</v>
      </c>
    </row>
    <row r="430" spans="1:32">
      <c r="A430" t="s">
        <v>558</v>
      </c>
      <c r="D430" s="3" t="s">
        <v>1213</v>
      </c>
      <c r="E430" s="3" t="s">
        <v>1214</v>
      </c>
      <c r="F430" t="s">
        <v>35</v>
      </c>
      <c r="I430" t="s">
        <v>1217</v>
      </c>
      <c r="Q430" s="9"/>
      <c r="U430" s="8" t="str">
        <f t="shared" ca="1" si="16"/>
        <v/>
      </c>
      <c r="V430" s="8" t="str">
        <f t="shared" ca="1" si="17"/>
        <v/>
      </c>
      <c r="AB430" s="8" t="s">
        <v>1371</v>
      </c>
    </row>
    <row r="431" spans="1:32">
      <c r="A431" t="s">
        <v>558</v>
      </c>
      <c r="D431" s="3" t="s">
        <v>1215</v>
      </c>
      <c r="E431" s="3" t="s">
        <v>1216</v>
      </c>
      <c r="J431" s="8" t="s">
        <v>1303</v>
      </c>
      <c r="Q431" s="9"/>
      <c r="T431" s="8">
        <f>0-1</f>
        <v>-1</v>
      </c>
      <c r="U431" s="8">
        <f t="shared" ca="1" si="16"/>
        <v>1</v>
      </c>
      <c r="V431" s="8">
        <f t="shared" ca="1" si="17"/>
        <v>0</v>
      </c>
      <c r="AB431" s="8" t="s">
        <v>19</v>
      </c>
    </row>
    <row r="432" spans="1:32">
      <c r="A432" t="s">
        <v>559</v>
      </c>
      <c r="D432" s="3" t="s">
        <v>560</v>
      </c>
      <c r="E432" s="3" t="s">
        <v>560</v>
      </c>
      <c r="F432" t="s">
        <v>35</v>
      </c>
      <c r="I432" t="s">
        <v>1218</v>
      </c>
      <c r="Q432" s="9"/>
      <c r="U432" s="8" t="str">
        <f t="shared" ca="1" si="16"/>
        <v/>
      </c>
      <c r="V432" s="8" t="str">
        <f t="shared" ca="1" si="17"/>
        <v/>
      </c>
      <c r="AB432" s="8" t="s">
        <v>1371</v>
      </c>
    </row>
    <row r="433" spans="1:32">
      <c r="A433" t="s">
        <v>561</v>
      </c>
      <c r="D433" s="3" t="s">
        <v>1219</v>
      </c>
      <c r="E433" s="3" t="s">
        <v>1219</v>
      </c>
      <c r="F433" t="s">
        <v>35</v>
      </c>
      <c r="I433" t="s">
        <v>1220</v>
      </c>
      <c r="Q433" s="9"/>
      <c r="U433" s="8" t="str">
        <f t="shared" ca="1" si="16"/>
        <v/>
      </c>
      <c r="V433" s="8" t="str">
        <f t="shared" ca="1" si="17"/>
        <v/>
      </c>
      <c r="AB433" s="8" t="s">
        <v>1371</v>
      </c>
    </row>
    <row r="434" spans="1:32">
      <c r="A434" t="s">
        <v>562</v>
      </c>
      <c r="D434" s="3" t="s">
        <v>563</v>
      </c>
      <c r="E434" s="3" t="s">
        <v>563</v>
      </c>
      <c r="F434" t="s">
        <v>35</v>
      </c>
      <c r="I434" t="s">
        <v>1221</v>
      </c>
      <c r="Q434" s="9"/>
      <c r="U434" s="8" t="str">
        <f t="shared" ca="1" si="16"/>
        <v/>
      </c>
      <c r="V434" s="8" t="str">
        <f t="shared" ca="1" si="17"/>
        <v/>
      </c>
      <c r="AB434" s="8" t="s">
        <v>1371</v>
      </c>
    </row>
    <row r="435" spans="1:32">
      <c r="A435" t="s">
        <v>562</v>
      </c>
      <c r="D435" s="3" t="s">
        <v>564</v>
      </c>
      <c r="E435" s="3" t="s">
        <v>564</v>
      </c>
      <c r="F435" t="s">
        <v>35</v>
      </c>
      <c r="I435" t="s">
        <v>1222</v>
      </c>
      <c r="Q435" s="9"/>
      <c r="U435" s="8" t="str">
        <f t="shared" ca="1" si="16"/>
        <v/>
      </c>
      <c r="V435" s="8" t="str">
        <f t="shared" ca="1" si="17"/>
        <v/>
      </c>
      <c r="AB435" s="8" t="s">
        <v>1371</v>
      </c>
    </row>
    <row r="436" spans="1:32">
      <c r="A436" t="s">
        <v>562</v>
      </c>
      <c r="D436" s="3" t="s">
        <v>565</v>
      </c>
      <c r="E436" s="3" t="s">
        <v>565</v>
      </c>
      <c r="F436" t="s">
        <v>35</v>
      </c>
      <c r="I436" t="s">
        <v>1223</v>
      </c>
      <c r="Q436" s="9"/>
      <c r="U436" s="8" t="str">
        <f t="shared" ca="1" si="16"/>
        <v/>
      </c>
      <c r="V436" s="8" t="str">
        <f t="shared" ca="1" si="17"/>
        <v/>
      </c>
      <c r="AB436" s="8" t="s">
        <v>1371</v>
      </c>
    </row>
    <row r="437" spans="1:32">
      <c r="A437" t="s">
        <v>562</v>
      </c>
      <c r="D437" s="3" t="s">
        <v>566</v>
      </c>
      <c r="E437" s="3" t="s">
        <v>566</v>
      </c>
      <c r="F437" t="s">
        <v>35</v>
      </c>
      <c r="I437" t="s">
        <v>1224</v>
      </c>
      <c r="Q437" s="9"/>
      <c r="U437" s="8" t="str">
        <f t="shared" ca="1" si="16"/>
        <v/>
      </c>
      <c r="V437" s="8" t="str">
        <f t="shared" ca="1" si="17"/>
        <v/>
      </c>
      <c r="AB437" s="8" t="s">
        <v>1371</v>
      </c>
    </row>
    <row r="438" spans="1:32">
      <c r="A438" t="s">
        <v>562</v>
      </c>
      <c r="D438" s="3" t="s">
        <v>567</v>
      </c>
      <c r="E438" s="3" t="s">
        <v>567</v>
      </c>
      <c r="F438" t="s">
        <v>35</v>
      </c>
      <c r="I438" t="s">
        <v>1225</v>
      </c>
      <c r="Q438" s="9"/>
      <c r="U438" s="8" t="str">
        <f t="shared" ca="1" si="16"/>
        <v/>
      </c>
      <c r="V438" s="8" t="str">
        <f t="shared" ca="1" si="17"/>
        <v/>
      </c>
      <c r="AB438" s="8" t="s">
        <v>1371</v>
      </c>
    </row>
    <row r="439" spans="1:32">
      <c r="A439" t="s">
        <v>562</v>
      </c>
      <c r="D439" s="3" t="s">
        <v>568</v>
      </c>
      <c r="E439" s="3" t="s">
        <v>568</v>
      </c>
      <c r="F439" t="s">
        <v>35</v>
      </c>
      <c r="I439" t="s">
        <v>1226</v>
      </c>
      <c r="Q439" s="9"/>
      <c r="U439" s="8" t="str">
        <f t="shared" ca="1" si="16"/>
        <v/>
      </c>
      <c r="V439" s="8" t="str">
        <f t="shared" ca="1" si="17"/>
        <v/>
      </c>
      <c r="AB439" s="8" t="s">
        <v>1371</v>
      </c>
    </row>
    <row r="440" spans="1:32">
      <c r="A440" t="s">
        <v>569</v>
      </c>
      <c r="D440" s="3" t="s">
        <v>570</v>
      </c>
      <c r="E440" s="3" t="s">
        <v>571</v>
      </c>
      <c r="H440" t="s">
        <v>19</v>
      </c>
      <c r="J440" s="8" t="s">
        <v>1303</v>
      </c>
      <c r="Q440" s="9"/>
      <c r="T440" s="8" t="s">
        <v>1304</v>
      </c>
      <c r="U440" s="8" t="str">
        <f t="shared" ca="1" si="16"/>
        <v/>
      </c>
      <c r="V440" s="8" t="str">
        <f t="shared" ca="1" si="17"/>
        <v/>
      </c>
      <c r="AB440" s="8" t="s">
        <v>19</v>
      </c>
      <c r="AF440" s="8" t="s">
        <v>1288</v>
      </c>
    </row>
    <row r="441" spans="1:32">
      <c r="A441" t="s">
        <v>572</v>
      </c>
      <c r="D441" s="3" t="s">
        <v>570</v>
      </c>
      <c r="E441" s="3" t="s">
        <v>571</v>
      </c>
      <c r="H441" t="s">
        <v>19</v>
      </c>
      <c r="J441" s="8" t="s">
        <v>1303</v>
      </c>
      <c r="Q441" s="9"/>
      <c r="T441" s="8" t="s">
        <v>1304</v>
      </c>
      <c r="U441" s="8" t="str">
        <f t="shared" ca="1" si="16"/>
        <v/>
      </c>
      <c r="V441" s="8" t="str">
        <f t="shared" ca="1" si="17"/>
        <v/>
      </c>
      <c r="AB441" s="8" t="s">
        <v>19</v>
      </c>
      <c r="AF441" s="8" t="s">
        <v>1288</v>
      </c>
    </row>
    <row r="442" spans="1:32">
      <c r="A442" t="s">
        <v>573</v>
      </c>
      <c r="D442" s="3" t="s">
        <v>1227</v>
      </c>
      <c r="E442" s="3" t="s">
        <v>1227</v>
      </c>
      <c r="F442" t="s">
        <v>35</v>
      </c>
      <c r="I442" t="s">
        <v>1228</v>
      </c>
      <c r="Q442" s="9"/>
      <c r="U442" s="8" t="str">
        <f t="shared" ca="1" si="16"/>
        <v/>
      </c>
      <c r="V442" s="8" t="str">
        <f t="shared" ca="1" si="17"/>
        <v/>
      </c>
      <c r="AB442" s="8" t="s">
        <v>1371</v>
      </c>
    </row>
    <row r="443" spans="1:32">
      <c r="A443" t="s">
        <v>574</v>
      </c>
      <c r="D443" s="3" t="s">
        <v>1229</v>
      </c>
      <c r="E443" s="3" t="s">
        <v>1230</v>
      </c>
      <c r="H443" t="s">
        <v>19</v>
      </c>
      <c r="J443" s="8" t="s">
        <v>1303</v>
      </c>
      <c r="Q443" s="9"/>
      <c r="T443" s="8">
        <f>1701-186</f>
        <v>1515</v>
      </c>
      <c r="U443" s="8">
        <f t="shared" ca="1" si="16"/>
        <v>186</v>
      </c>
      <c r="V443" s="8">
        <f t="shared" ca="1" si="17"/>
        <v>1701</v>
      </c>
      <c r="AB443" s="8" t="s">
        <v>19</v>
      </c>
    </row>
    <row r="444" spans="1:32">
      <c r="A444" t="s">
        <v>574</v>
      </c>
      <c r="D444" s="3" t="s">
        <v>575</v>
      </c>
      <c r="E444" s="3" t="s">
        <v>576</v>
      </c>
      <c r="J444" s="8" t="s">
        <v>1303</v>
      </c>
      <c r="Q444" s="9"/>
      <c r="T444" s="8" t="s">
        <v>1326</v>
      </c>
      <c r="U444" s="8" t="str">
        <f t="shared" ca="1" si="16"/>
        <v/>
      </c>
      <c r="V444" s="8" t="str">
        <f t="shared" ca="1" si="17"/>
        <v/>
      </c>
      <c r="AB444" s="8" t="s">
        <v>19</v>
      </c>
      <c r="AF444" s="8" t="s">
        <v>1288</v>
      </c>
    </row>
    <row r="445" spans="1:32">
      <c r="A445" t="s">
        <v>577</v>
      </c>
      <c r="D445" s="3" t="s">
        <v>1231</v>
      </c>
      <c r="E445" s="3" t="s">
        <v>1231</v>
      </c>
      <c r="F445" t="s">
        <v>35</v>
      </c>
      <c r="I445" t="s">
        <v>1232</v>
      </c>
      <c r="Q445" s="9"/>
      <c r="U445" s="8" t="str">
        <f t="shared" ca="1" si="16"/>
        <v/>
      </c>
      <c r="V445" s="8" t="str">
        <f t="shared" ca="1" si="17"/>
        <v/>
      </c>
      <c r="AB445" s="8" t="s">
        <v>1371</v>
      </c>
    </row>
    <row r="446" spans="1:32">
      <c r="A446" t="s">
        <v>578</v>
      </c>
      <c r="D446" s="3" t="s">
        <v>1233</v>
      </c>
      <c r="E446" s="3" t="s">
        <v>1233</v>
      </c>
      <c r="F446" t="s">
        <v>35</v>
      </c>
      <c r="I446" t="s">
        <v>1235</v>
      </c>
      <c r="Q446" s="9"/>
      <c r="U446" s="8" t="str">
        <f t="shared" ca="1" si="16"/>
        <v/>
      </c>
      <c r="V446" s="8" t="str">
        <f t="shared" ca="1" si="17"/>
        <v/>
      </c>
      <c r="AB446" s="8" t="s">
        <v>1371</v>
      </c>
    </row>
    <row r="447" spans="1:32">
      <c r="A447" t="s">
        <v>578</v>
      </c>
      <c r="D447" s="3" t="s">
        <v>1234</v>
      </c>
      <c r="E447" s="3" t="s">
        <v>1234</v>
      </c>
      <c r="F447" t="s">
        <v>35</v>
      </c>
      <c r="I447" t="s">
        <v>1236</v>
      </c>
      <c r="Q447" s="9"/>
      <c r="U447" s="8" t="str">
        <f t="shared" ca="1" si="16"/>
        <v/>
      </c>
      <c r="V447" s="8" t="str">
        <f t="shared" ca="1" si="17"/>
        <v/>
      </c>
      <c r="AB447" s="8" t="s">
        <v>1371</v>
      </c>
    </row>
    <row r="448" spans="1:32">
      <c r="A448" t="s">
        <v>579</v>
      </c>
      <c r="D448" s="3" t="s">
        <v>580</v>
      </c>
      <c r="E448" s="3" t="s">
        <v>581</v>
      </c>
      <c r="H448" t="s">
        <v>19</v>
      </c>
      <c r="J448" s="8" t="s">
        <v>1303</v>
      </c>
      <c r="Q448" s="9"/>
      <c r="T448" s="8" t="s">
        <v>1326</v>
      </c>
      <c r="U448" s="8" t="str">
        <f t="shared" ca="1" si="16"/>
        <v/>
      </c>
      <c r="V448" s="8" t="str">
        <f t="shared" ca="1" si="17"/>
        <v/>
      </c>
      <c r="AB448" s="8" t="s">
        <v>19</v>
      </c>
      <c r="AF448" s="8" t="s">
        <v>1288</v>
      </c>
    </row>
    <row r="449" spans="1:33">
      <c r="A449" t="s">
        <v>579</v>
      </c>
      <c r="D449" s="3" t="s">
        <v>1237</v>
      </c>
      <c r="E449" s="3" t="s">
        <v>1237</v>
      </c>
      <c r="F449" t="s">
        <v>35</v>
      </c>
      <c r="I449" t="s">
        <v>877</v>
      </c>
      <c r="Q449" s="9"/>
      <c r="U449" s="8" t="str">
        <f t="shared" ca="1" si="16"/>
        <v/>
      </c>
      <c r="V449" s="8" t="str">
        <f t="shared" ca="1" si="17"/>
        <v/>
      </c>
      <c r="AB449" s="8" t="s">
        <v>1371</v>
      </c>
    </row>
    <row r="450" spans="1:33">
      <c r="A450" t="s">
        <v>582</v>
      </c>
      <c r="D450" s="3" t="s">
        <v>1238</v>
      </c>
      <c r="E450" s="3" t="s">
        <v>1238</v>
      </c>
      <c r="F450" t="s">
        <v>35</v>
      </c>
      <c r="I450" t="s">
        <v>1147</v>
      </c>
      <c r="Q450" s="9"/>
      <c r="U450" s="8" t="str">
        <f t="shared" ref="U450:U463" ca="1" si="18">IF(ISNUMBER(T450),VALUE(MID(_xlfn.FORMULATEXT(T450),SEARCH("-",_xlfn.FORMULATEXT(T450))+1,LEN(_xlfn.FORMULATEXT(T450))-SEARCH("-",_xlfn.FORMULATEXT(T450)))), "")</f>
        <v/>
      </c>
      <c r="V450" s="8" t="str">
        <f t="shared" ref="V450:V463" ca="1" si="19">IF(ISNUMBER(T450), VALUE(MID(_xlfn.FORMULATEXT(T450), 2, SEARCH("-", _xlfn.FORMULATEXT(T450)) - 2)), "")</f>
        <v/>
      </c>
      <c r="AB450" s="8" t="s">
        <v>1371</v>
      </c>
    </row>
    <row r="451" spans="1:33">
      <c r="A451" t="s">
        <v>582</v>
      </c>
      <c r="D451" s="3" t="s">
        <v>583</v>
      </c>
      <c r="E451" s="3" t="s">
        <v>584</v>
      </c>
      <c r="J451" s="8" t="s">
        <v>1303</v>
      </c>
      <c r="Q451" s="9"/>
      <c r="T451" s="8" t="s">
        <v>1326</v>
      </c>
      <c r="U451" s="8" t="str">
        <f t="shared" ca="1" si="18"/>
        <v/>
      </c>
      <c r="V451" s="8" t="str">
        <f t="shared" ca="1" si="19"/>
        <v/>
      </c>
      <c r="AB451" s="8" t="s">
        <v>19</v>
      </c>
      <c r="AD451" s="8" t="s">
        <v>1331</v>
      </c>
      <c r="AE451" s="8" t="s">
        <v>19</v>
      </c>
      <c r="AF451" s="8" t="s">
        <v>1290</v>
      </c>
    </row>
    <row r="452" spans="1:33">
      <c r="A452" t="s">
        <v>585</v>
      </c>
      <c r="D452" s="3" t="s">
        <v>586</v>
      </c>
      <c r="E452" s="3" t="s">
        <v>587</v>
      </c>
      <c r="H452" t="s">
        <v>19</v>
      </c>
      <c r="J452" s="8" t="s">
        <v>1305</v>
      </c>
      <c r="Q452" s="9"/>
      <c r="U452" s="8" t="str">
        <f t="shared" ca="1" si="18"/>
        <v/>
      </c>
      <c r="V452" s="8" t="str">
        <f t="shared" ca="1" si="19"/>
        <v/>
      </c>
      <c r="AB452" s="8" t="s">
        <v>19</v>
      </c>
      <c r="AF452" s="8" t="s">
        <v>1288</v>
      </c>
      <c r="AG452" s="8" t="s">
        <v>19</v>
      </c>
    </row>
    <row r="453" spans="1:33">
      <c r="A453" t="s">
        <v>585</v>
      </c>
      <c r="D453" s="3" t="s">
        <v>588</v>
      </c>
      <c r="E453" s="3" t="s">
        <v>588</v>
      </c>
      <c r="F453" t="s">
        <v>35</v>
      </c>
      <c r="I453" t="s">
        <v>1239</v>
      </c>
      <c r="Q453" s="9"/>
      <c r="U453" s="8" t="str">
        <f t="shared" ca="1" si="18"/>
        <v/>
      </c>
      <c r="V453" s="8" t="str">
        <f t="shared" ca="1" si="19"/>
        <v/>
      </c>
      <c r="AB453" s="8" t="s">
        <v>1371</v>
      </c>
    </row>
    <row r="454" spans="1:33">
      <c r="A454" t="s">
        <v>589</v>
      </c>
      <c r="D454" s="3" t="s">
        <v>590</v>
      </c>
      <c r="E454" s="3" t="s">
        <v>590</v>
      </c>
      <c r="F454" t="s">
        <v>35</v>
      </c>
      <c r="I454" t="s">
        <v>1240</v>
      </c>
      <c r="Q454" s="9"/>
      <c r="U454" s="8" t="str">
        <f t="shared" ca="1" si="18"/>
        <v/>
      </c>
      <c r="V454" s="8" t="str">
        <f t="shared" ca="1" si="19"/>
        <v/>
      </c>
      <c r="AB454" s="8" t="s">
        <v>1371</v>
      </c>
    </row>
    <row r="455" spans="1:33">
      <c r="A455" t="s">
        <v>589</v>
      </c>
      <c r="D455" s="3" t="s">
        <v>591</v>
      </c>
      <c r="E455" s="3" t="s">
        <v>592</v>
      </c>
      <c r="J455" s="8" t="s">
        <v>1303</v>
      </c>
      <c r="Q455" s="9"/>
      <c r="T455" s="8" t="s">
        <v>1326</v>
      </c>
      <c r="U455" s="8" t="str">
        <f t="shared" ca="1" si="18"/>
        <v/>
      </c>
      <c r="V455" s="8" t="str">
        <f t="shared" ca="1" si="19"/>
        <v/>
      </c>
      <c r="AB455" s="8" t="s">
        <v>19</v>
      </c>
      <c r="AD455" s="8" t="s">
        <v>1365</v>
      </c>
      <c r="AE455" s="8" t="s">
        <v>19</v>
      </c>
      <c r="AF455" s="8" t="s">
        <v>1288</v>
      </c>
    </row>
    <row r="456" spans="1:33">
      <c r="A456" t="s">
        <v>589</v>
      </c>
      <c r="D456" s="3" t="s">
        <v>593</v>
      </c>
      <c r="E456" s="3" t="s">
        <v>594</v>
      </c>
      <c r="H456" t="s">
        <v>19</v>
      </c>
      <c r="J456" s="8" t="s">
        <v>1303</v>
      </c>
      <c r="Q456" s="9"/>
      <c r="T456" s="8" t="s">
        <v>1326</v>
      </c>
      <c r="U456" s="8" t="str">
        <f t="shared" ca="1" si="18"/>
        <v/>
      </c>
      <c r="V456" s="8" t="str">
        <f t="shared" ca="1" si="19"/>
        <v/>
      </c>
      <c r="AB456" s="8" t="s">
        <v>19</v>
      </c>
      <c r="AD456" s="8" t="s">
        <v>1373</v>
      </c>
      <c r="AE456" s="8" t="s">
        <v>19</v>
      </c>
      <c r="AF456" s="8" t="s">
        <v>1288</v>
      </c>
    </row>
    <row r="457" spans="1:33">
      <c r="A457" t="s">
        <v>595</v>
      </c>
      <c r="D457" s="3" t="s">
        <v>596</v>
      </c>
      <c r="E457" s="3" t="s">
        <v>1242</v>
      </c>
      <c r="F457" t="s">
        <v>35</v>
      </c>
      <c r="I457" t="s">
        <v>1241</v>
      </c>
      <c r="Q457" s="9"/>
      <c r="U457" s="8" t="str">
        <f t="shared" ca="1" si="18"/>
        <v/>
      </c>
      <c r="V457" s="8" t="str">
        <f t="shared" ca="1" si="19"/>
        <v/>
      </c>
      <c r="AB457" s="8" t="s">
        <v>1371</v>
      </c>
    </row>
    <row r="458" spans="1:33">
      <c r="A458" t="s">
        <v>595</v>
      </c>
      <c r="D458" s="3" t="s">
        <v>597</v>
      </c>
      <c r="E458" s="3" t="s">
        <v>1243</v>
      </c>
      <c r="G458" t="s">
        <v>19</v>
      </c>
      <c r="J458" s="8" t="s">
        <v>1305</v>
      </c>
      <c r="Q458" s="9"/>
      <c r="U458" s="8" t="str">
        <f t="shared" ca="1" si="18"/>
        <v/>
      </c>
      <c r="V458" s="8" t="str">
        <f t="shared" ca="1" si="19"/>
        <v/>
      </c>
      <c r="AB458" s="8" t="s">
        <v>19</v>
      </c>
    </row>
    <row r="459" spans="1:33">
      <c r="A459" t="s">
        <v>598</v>
      </c>
      <c r="D459" s="3" t="s">
        <v>1244</v>
      </c>
      <c r="E459" s="3" t="s">
        <v>599</v>
      </c>
      <c r="H459" t="s">
        <v>19</v>
      </c>
      <c r="J459" s="8" t="s">
        <v>1303</v>
      </c>
      <c r="Q459" s="9"/>
      <c r="T459" s="8" t="s">
        <v>1326</v>
      </c>
      <c r="U459" s="8" t="str">
        <f t="shared" ca="1" si="18"/>
        <v/>
      </c>
      <c r="V459" s="8" t="str">
        <f t="shared" ca="1" si="19"/>
        <v/>
      </c>
      <c r="AB459" s="8" t="s">
        <v>19</v>
      </c>
      <c r="AF459" s="8" t="s">
        <v>1288</v>
      </c>
    </row>
    <row r="460" spans="1:33">
      <c r="A460" t="s">
        <v>598</v>
      </c>
      <c r="D460" s="3" t="s">
        <v>1190</v>
      </c>
      <c r="E460" s="3" t="s">
        <v>1245</v>
      </c>
      <c r="F460" t="s">
        <v>11</v>
      </c>
      <c r="H460" t="s">
        <v>19</v>
      </c>
      <c r="Q460" s="9"/>
      <c r="U460" s="8" t="str">
        <f t="shared" ca="1" si="18"/>
        <v/>
      </c>
      <c r="V460" s="8" t="str">
        <f t="shared" ca="1" si="19"/>
        <v/>
      </c>
      <c r="AB460" s="8" t="s">
        <v>1371</v>
      </c>
    </row>
    <row r="461" spans="1:33">
      <c r="A461" t="s">
        <v>600</v>
      </c>
      <c r="D461" s="3" t="s">
        <v>1246</v>
      </c>
      <c r="E461" s="3" t="s">
        <v>1247</v>
      </c>
      <c r="F461" t="s">
        <v>17</v>
      </c>
      <c r="H461" t="s">
        <v>19</v>
      </c>
      <c r="Q461" s="9"/>
      <c r="U461" s="8" t="str">
        <f t="shared" ca="1" si="18"/>
        <v/>
      </c>
      <c r="V461" s="8" t="str">
        <f t="shared" ca="1" si="19"/>
        <v/>
      </c>
      <c r="AB461" s="8" t="s">
        <v>1371</v>
      </c>
    </row>
    <row r="462" spans="1:33">
      <c r="A462" t="s">
        <v>601</v>
      </c>
      <c r="D462" s="3" t="s">
        <v>1248</v>
      </c>
      <c r="E462" s="3" t="s">
        <v>1249</v>
      </c>
      <c r="H462" t="s">
        <v>19</v>
      </c>
      <c r="J462" s="8" t="s">
        <v>25</v>
      </c>
      <c r="K462" s="8">
        <v>0</v>
      </c>
      <c r="L462" s="8">
        <v>1</v>
      </c>
      <c r="M462" s="8">
        <v>2</v>
      </c>
      <c r="N462" s="8" t="s">
        <v>1266</v>
      </c>
      <c r="O462" s="8" t="s">
        <v>1304</v>
      </c>
      <c r="Q462" s="9"/>
      <c r="S462" s="8">
        <v>129</v>
      </c>
      <c r="U462" s="8" t="str">
        <f t="shared" ca="1" si="18"/>
        <v/>
      </c>
      <c r="V462" s="8" t="str">
        <f t="shared" ca="1" si="19"/>
        <v/>
      </c>
      <c r="AB462" s="8" t="s">
        <v>19</v>
      </c>
    </row>
    <row r="463" spans="1:33">
      <c r="A463" t="s">
        <v>602</v>
      </c>
      <c r="D463" s="3" t="s">
        <v>332</v>
      </c>
      <c r="E463" s="3" t="s">
        <v>332</v>
      </c>
      <c r="F463" t="s">
        <v>35</v>
      </c>
      <c r="I463" t="s">
        <v>1250</v>
      </c>
      <c r="Q463" s="9"/>
      <c r="U463" s="8" t="str">
        <f t="shared" ca="1" si="18"/>
        <v/>
      </c>
      <c r="V463" s="8" t="str">
        <f t="shared" ca="1" si="19"/>
        <v/>
      </c>
    </row>
    <row r="464" spans="1:33">
      <c r="Q464" s="9"/>
    </row>
    <row r="465" spans="4:17">
      <c r="Q465" s="9"/>
    </row>
    <row r="468" spans="4:17">
      <c r="D468" s="3" t="s">
        <v>1309</v>
      </c>
      <c r="E468" s="3">
        <f>SUBTOTAL(3,A2:A463)</f>
        <v>462</v>
      </c>
    </row>
    <row r="469" spans="4:17">
      <c r="D469" s="3" t="s">
        <v>1310</v>
      </c>
      <c r="E469" s="3">
        <f>COUNTA(A2:A463)</f>
        <v>462</v>
      </c>
    </row>
    <row r="472" spans="4:17">
      <c r="E472">
        <f>COUNTIF(F:F, "Autograph transcript error, but still a variant") + COUNTIF(F:F, "Apograph transcript error, but still a variant") + COUNTIF(F:F, "Not a variant: autograph transcript error") + COUNTIF(F:F, "Not a variant: apograph transcript error")</f>
        <v>2</v>
      </c>
    </row>
  </sheetData>
  <autoFilter ref="A1:AG1" xr:uid="{78D9498E-60FE-47CE-98CB-DF81F2BD960C}"/>
  <conditionalFormatting sqref="J2:J1048576">
    <cfRule type="expression" dxfId="260" priority="37">
      <formula>$J2&lt;&gt;""</formula>
    </cfRule>
    <cfRule type="expression" dxfId="259" priority="38">
      <formula>$J2=""</formula>
    </cfRule>
  </conditionalFormatting>
  <conditionalFormatting sqref="K2:O465 R2:S465">
    <cfRule type="expression" dxfId="258" priority="35">
      <formula>AND(OR($J2="Addition",$J2="Omission"), K2="")</formula>
    </cfRule>
    <cfRule type="expression" dxfId="257" priority="36">
      <formula>AND($J2&lt;&gt;"Addition",$J2&lt;&gt;"Omission",$J2&lt;&gt;"Substitution - Word")</formula>
    </cfRule>
  </conditionalFormatting>
  <conditionalFormatting sqref="K2:S1048576">
    <cfRule type="expression" dxfId="256" priority="34">
      <formula>AND(OR($J2="Addition",$J2="Omission"), K2&lt;&gt;"")</formula>
    </cfRule>
  </conditionalFormatting>
  <conditionalFormatting sqref="N2:N1048576">
    <cfRule type="expression" dxfId="255" priority="29">
      <formula>AND($L2&lt;&gt;"",$L2&gt;1)</formula>
    </cfRule>
  </conditionalFormatting>
  <conditionalFormatting sqref="P2:Q465">
    <cfRule type="expression" dxfId="254" priority="27">
      <formula>AND(OR($J2="Addition",$J2="Omission"), P2="")</formula>
    </cfRule>
    <cfRule type="expression" dxfId="253" priority="28">
      <formula>AND($J2&lt;&gt;"Addition",$J2&lt;&gt;"Omission")</formula>
    </cfRule>
  </conditionalFormatting>
  <conditionalFormatting sqref="P2:Q1048576">
    <cfRule type="expression" dxfId="252" priority="25">
      <formula>$O2="Absent"</formula>
    </cfRule>
    <cfRule type="expression" dxfId="251" priority="26">
      <formula>$O2="NA"</formula>
    </cfRule>
  </conditionalFormatting>
  <conditionalFormatting sqref="R2:R465">
    <cfRule type="expression" dxfId="250" priority="30">
      <formula>OR($J2="Addition",$J2="Omission",$J2 = "Substitution - Word")</formula>
    </cfRule>
  </conditionalFormatting>
  <conditionalFormatting sqref="T2 T3:V1048576">
    <cfRule type="expression" dxfId="249" priority="32">
      <formula>AND(AND(LEFT($J2,3)="Sub", RIGHT($J2,4)&lt;&gt;"Form"),$T2="")</formula>
    </cfRule>
    <cfRule type="expression" dxfId="248" priority="33">
      <formula>"&lt;&gt;AND(LEFT($J2,3)=""Sub"", RIGHT($J2,4)&lt;&gt;""Form"")"</formula>
    </cfRule>
  </conditionalFormatting>
  <conditionalFormatting sqref="T3:V1048576 T2">
    <cfRule type="expression" dxfId="247" priority="31">
      <formula>AND(AND(LEFT($J2,3)="Sub", RIGHT($J2,4)&lt;&gt;"Form"),$T2&lt;&gt;"")</formula>
    </cfRule>
  </conditionalFormatting>
  <conditionalFormatting sqref="U2:V463">
    <cfRule type="expression" dxfId="246" priority="1">
      <formula>AND(AND(LEFT($J2,3)="Sub", RIGHT($J2,4)&lt;&gt;"Form"),$T2&lt;&gt;"")</formula>
    </cfRule>
    <cfRule type="expression" dxfId="245" priority="2">
      <formula>AND(AND(LEFT($J2,3)="Sub", RIGHT($J2,4)&lt;&gt;"Form"),$T2="")</formula>
    </cfRule>
    <cfRule type="expression" dxfId="244" priority="3">
      <formula>"&lt;&gt;AND(LEFT($J2,3)=""Sub"", RIGHT($J2,4)&lt;&gt;""Form"")"</formula>
    </cfRule>
  </conditionalFormatting>
  <conditionalFormatting sqref="W2:W465">
    <cfRule type="expression" dxfId="243" priority="17">
      <formula>AND($J2&lt;&gt;"",$J2&lt;&gt;"Unclear due to correction")</formula>
    </cfRule>
    <cfRule type="expression" dxfId="242" priority="20">
      <formula>OR($J2="",$J2="Unclear due to correction")</formula>
    </cfRule>
    <cfRule type="expression" dxfId="241" priority="21">
      <formula>AND($AE2&lt;&gt;"Yes",$AF2="")</formula>
    </cfRule>
  </conditionalFormatting>
  <conditionalFormatting sqref="W2:W1048576">
    <cfRule type="expression" dxfId="240" priority="15">
      <formula>AND($W2&lt;&gt;"",OR($AE2="Yes",$AF2&lt;&gt;""))</formula>
    </cfRule>
    <cfRule type="expression" dxfId="239" priority="16">
      <formula>OR($AE2="Yes",$AF2&lt;&gt;"")</formula>
    </cfRule>
  </conditionalFormatting>
  <conditionalFormatting sqref="X2:X1048576">
    <cfRule type="expression" dxfId="238" priority="12">
      <formula>AND($J2&lt;&gt;"",$J2&lt;&gt;"Unclear due to correction",$X2="")</formula>
    </cfRule>
  </conditionalFormatting>
  <conditionalFormatting sqref="X2:AG196 X197:Y465 AC197:AG465 Z197:AB1048576">
    <cfRule type="expression" dxfId="237" priority="50">
      <formula>AND($J2&lt;&gt;"",$J2&lt;&gt;"Unclear due to correction")</formula>
    </cfRule>
    <cfRule type="expression" dxfId="236" priority="51">
      <formula>OR($J2="",$J2="Unclear due to correction")</formula>
    </cfRule>
  </conditionalFormatting>
  <conditionalFormatting sqref="Y2:Y1048576">
    <cfRule type="expression" dxfId="235" priority="18">
      <formula>AND($X2="Yes",$Y2="")</formula>
    </cfRule>
    <cfRule type="expression" dxfId="234" priority="19">
      <formula>$X2=""</formula>
    </cfRule>
  </conditionalFormatting>
  <conditionalFormatting sqref="Z2:Z1048576">
    <cfRule type="expression" dxfId="233" priority="6">
      <formula>$Z2&lt;&gt;""</formula>
    </cfRule>
  </conditionalFormatting>
  <conditionalFormatting sqref="AA2:AB1048576">
    <cfRule type="expression" dxfId="232" priority="4">
      <formula>AND($Z2&lt;&gt;"",AA2&lt;&gt;"")</formula>
    </cfRule>
    <cfRule type="expression" dxfId="231" priority="5">
      <formula>$Z2&lt;&gt;""</formula>
    </cfRule>
  </conditionalFormatting>
  <conditionalFormatting sqref="AE2:AE1048576">
    <cfRule type="expression" dxfId="230" priority="9">
      <formula>AND(OR($AC2&lt;&gt;"",$AD2&lt;&gt;""),$AE2="")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8CC3826A-4B3F-4EFE-A3E1-939C9FC7D3D3}">
          <x14:formula1>
            <xm:f>'Data Regularization'!$C$2:$C$25</xm:f>
          </x14:formula1>
          <xm:sqref>H2:H343 H345:H463</xm:sqref>
        </x14:dataValidation>
        <x14:dataValidation type="list" allowBlank="1" showInputMessage="1" showErrorMessage="1" xr:uid="{8447FAD6-3962-48D4-987A-19054937DE63}">
          <x14:formula1>
            <xm:f>'Data Regularization'!$A$2:$A$1048576</xm:f>
          </x14:formula1>
          <xm:sqref>F2:F343 F345:F463</xm:sqref>
        </x14:dataValidation>
        <x14:dataValidation type="list" allowBlank="1" showInputMessage="1" showErrorMessage="1" xr:uid="{4059AA3D-A909-4EC7-BCC6-E8CD6EB147FE}">
          <x14:formula1>
            <xm:f>'Data Regularization'!$B$2:$B$1048576</xm:f>
          </x14:formula1>
          <xm:sqref>G2:G343 G345:G463</xm:sqref>
        </x14:dataValidation>
        <x14:dataValidation type="list" allowBlank="1" showInputMessage="1" showErrorMessage="1" xr:uid="{B6703EA5-F20D-4C96-9DA9-4E9B3A79C89F}">
          <x14:formula1>
            <xm:f>'Data Regularization'!$D$2:$D$1048576</xm:f>
          </x14:formula1>
          <xm:sqref>AA2:AA1048576 J2:J1048576</xm:sqref>
        </x14:dataValidation>
        <x14:dataValidation type="list" allowBlank="1" showInputMessage="1" showErrorMessage="1" xr:uid="{0EB7B524-1783-4976-9660-859AEC2CC402}">
          <x14:formula1>
            <xm:f>'Data Regularization'!$E$2:$E$1048576</xm:f>
          </x14:formula1>
          <xm:sqref>N2:N1048576</xm:sqref>
        </x14:dataValidation>
        <x14:dataValidation type="list" allowBlank="1" showInputMessage="1" showErrorMessage="1" xr:uid="{0E996A28-C6B9-46F4-8683-C35CCA715D6A}">
          <x14:formula1>
            <xm:f>'Data Regularization'!$F$2:$F$1048576</xm:f>
          </x14:formula1>
          <xm:sqref>O2:O1048576</xm:sqref>
        </x14:dataValidation>
        <x14:dataValidation type="list" allowBlank="1" showInputMessage="1" showErrorMessage="1" xr:uid="{7963ECC6-884E-43AF-BCAE-C041155709B1}">
          <x14:formula1>
            <xm:f>'Data Regularization'!$G$2:$G$1048576</xm:f>
          </x14:formula1>
          <xm:sqref>R2:R1048576</xm:sqref>
        </x14:dataValidation>
        <x14:dataValidation type="list" allowBlank="1" showInputMessage="1" showErrorMessage="1" xr:uid="{BDBC94BB-0935-4E4D-BF05-3218B740D4AC}">
          <x14:formula1>
            <xm:f>'Data Regularization'!$K$2:$K$1048576</xm:f>
          </x14:formula1>
          <xm:sqref>Y2:Y1048576</xm:sqref>
        </x14:dataValidation>
        <x14:dataValidation type="list" allowBlank="1" showInputMessage="1" showErrorMessage="1" xr:uid="{9C3F007B-B84E-4757-939A-5D39224F9052}">
          <x14:formula1>
            <xm:f>'Data Regularization'!$L$2:$L$1048576</xm:f>
          </x14:formula1>
          <xm:sqref>Z2:Z1048576</xm:sqref>
        </x14:dataValidation>
        <x14:dataValidation type="list" allowBlank="1" showInputMessage="1" showErrorMessage="1" xr:uid="{6BBEB5DD-C77E-4457-ADEF-F36180610EDB}">
          <x14:formula1>
            <xm:f>'Data Regularization'!$N$2:$N$1048576</xm:f>
          </x14:formula1>
          <xm:sqref>AB2:AB1048576</xm:sqref>
        </x14:dataValidation>
        <x14:dataValidation type="list" allowBlank="1" showInputMessage="1" showErrorMessage="1" xr:uid="{22D620FF-210B-41FE-A8BA-131DA6954B22}">
          <x14:formula1>
            <xm:f>'Data Regularization'!$O$2:$O$1048576</xm:f>
          </x14:formula1>
          <xm:sqref>AC2:AC1048576</xm:sqref>
        </x14:dataValidation>
        <x14:dataValidation type="list" allowBlank="1" showInputMessage="1" showErrorMessage="1" xr:uid="{F66DCEE2-3A26-4614-AC36-2793AA6109C7}">
          <x14:formula1>
            <xm:f>'Data Regularization'!$P$2:$P$1048576</xm:f>
          </x14:formula1>
          <xm:sqref>AE2:AE1048576</xm:sqref>
        </x14:dataValidation>
        <x14:dataValidation type="list" allowBlank="1" showInputMessage="1" showErrorMessage="1" xr:uid="{F63AE059-CC41-4390-B1B4-A864F439BBA5}">
          <x14:formula1>
            <xm:f>'Data Regularization'!$Q$2:$Q$1048576</xm:f>
          </x14:formula1>
          <xm:sqref>AF2:AF1048576</xm:sqref>
        </x14:dataValidation>
        <x14:dataValidation type="list" allowBlank="1" showInputMessage="1" showErrorMessage="1" xr:uid="{1348A373-8D2D-4355-8F3D-51B206739F6A}">
          <x14:formula1>
            <xm:f>'Data Regularization'!$H$2:$H$1048576</xm:f>
          </x14:formula1>
          <xm:sqref>W2:W1048576</xm:sqref>
        </x14:dataValidation>
        <x14:dataValidation type="list" allowBlank="1" showInputMessage="1" xr:uid="{34555A80-3A38-45B9-AFFC-A8843A01BB4B}">
          <x14:formula1>
            <xm:f>'Data Regularization'!$J$2:$J$1048576</xm:f>
          </x14:formula1>
          <xm:sqref>X2:X1048576</xm:sqref>
        </x14:dataValidation>
        <x14:dataValidation type="list" allowBlank="1" showInputMessage="1" showErrorMessage="1" xr:uid="{FB0DAC2D-7531-4898-BC5E-18DB4A6F6D75}">
          <x14:formula1>
            <xm:f>'Data Regularization'!$R$2:$R$1048576</xm:f>
          </x14:formula1>
          <xm:sqref>AG2:AG1048576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2213B-1077-4CD5-951C-F8F67FA80674}">
  <dimension ref="A1:AE74"/>
  <sheetViews>
    <sheetView workbookViewId="0">
      <pane xSplit="3" ySplit="1" topLeftCell="D44" activePane="bottomRight" state="frozen"/>
      <selection pane="topRight" activeCell="D1" sqref="D1"/>
      <selection pane="bottomLeft" activeCell="A2" sqref="A2"/>
      <selection pane="bottomRight" sqref="A1:XFD1"/>
    </sheetView>
  </sheetViews>
  <sheetFormatPr defaultRowHeight="14.5"/>
  <cols>
    <col min="1" max="1" width="10.453125" bestFit="1" customWidth="1"/>
    <col min="4" max="6" width="8.90625" customWidth="1"/>
    <col min="8" max="30" width="8.90625" customWidth="1"/>
  </cols>
  <sheetData>
    <row r="1" spans="1:31" s="1" customFormat="1">
      <c r="A1" s="1" t="s">
        <v>0</v>
      </c>
      <c r="B1" s="1" t="s">
        <v>5</v>
      </c>
      <c r="C1" s="1" t="s">
        <v>6</v>
      </c>
      <c r="D1" s="1" t="s">
        <v>1292</v>
      </c>
      <c r="E1" s="1" t="s">
        <v>1293</v>
      </c>
      <c r="F1" s="1" t="s">
        <v>1294</v>
      </c>
      <c r="G1" s="1" t="s">
        <v>3</v>
      </c>
      <c r="H1" s="1" t="s">
        <v>1280</v>
      </c>
      <c r="I1" s="1" t="s">
        <v>1281</v>
      </c>
      <c r="J1" s="1" t="s">
        <v>1282</v>
      </c>
      <c r="K1" s="1" t="s">
        <v>1295</v>
      </c>
      <c r="L1" s="1" t="s">
        <v>1252</v>
      </c>
      <c r="M1" s="1" t="s">
        <v>1283</v>
      </c>
      <c r="N1" s="7" t="s">
        <v>1284</v>
      </c>
      <c r="O1" s="1" t="s">
        <v>1253</v>
      </c>
      <c r="P1" s="1" t="s">
        <v>1285</v>
      </c>
      <c r="Q1" s="1" t="s">
        <v>1286</v>
      </c>
      <c r="R1" s="1" t="s">
        <v>1408</v>
      </c>
      <c r="S1" s="1" t="s">
        <v>1409</v>
      </c>
      <c r="T1" s="1" t="s">
        <v>1297</v>
      </c>
      <c r="U1" s="1" t="s">
        <v>1298</v>
      </c>
      <c r="V1" s="1" t="s">
        <v>1299</v>
      </c>
      <c r="W1" s="1" t="s">
        <v>1254</v>
      </c>
      <c r="X1" s="1" t="s">
        <v>1372</v>
      </c>
      <c r="Y1" s="1" t="s">
        <v>1255</v>
      </c>
      <c r="Z1" s="1" t="s">
        <v>1256</v>
      </c>
      <c r="AA1" s="1" t="s">
        <v>1296</v>
      </c>
      <c r="AB1" s="1" t="s">
        <v>1300</v>
      </c>
      <c r="AC1" s="1" t="s">
        <v>1287</v>
      </c>
      <c r="AD1" s="1" t="s">
        <v>1301</v>
      </c>
      <c r="AE1" s="1" t="s">
        <v>1740</v>
      </c>
    </row>
    <row r="2" spans="1:31" ht="87">
      <c r="A2" t="s">
        <v>38</v>
      </c>
      <c r="B2" s="3" t="s">
        <v>1313</v>
      </c>
      <c r="C2" s="3" t="s">
        <v>1314</v>
      </c>
      <c r="F2" t="s">
        <v>19</v>
      </c>
      <c r="G2" s="8" t="s">
        <v>25</v>
      </c>
      <c r="H2" s="8">
        <v>0</v>
      </c>
      <c r="I2" s="8">
        <v>3</v>
      </c>
      <c r="J2" s="8">
        <v>8</v>
      </c>
      <c r="K2" s="8"/>
      <c r="L2" s="8" t="s">
        <v>1263</v>
      </c>
      <c r="M2" s="8"/>
      <c r="N2" s="9"/>
      <c r="O2" s="8"/>
      <c r="P2" s="8">
        <v>146</v>
      </c>
      <c r="Q2" s="8"/>
      <c r="R2" s="8" t="s">
        <v>1371</v>
      </c>
      <c r="S2" s="8" t="s">
        <v>1371</v>
      </c>
      <c r="T2" s="8"/>
      <c r="U2" s="8"/>
      <c r="V2" s="8"/>
      <c r="W2" s="8"/>
      <c r="X2" s="8"/>
      <c r="Y2" s="8" t="s">
        <v>19</v>
      </c>
      <c r="Z2" s="8"/>
      <c r="AA2" s="8"/>
      <c r="AB2" s="8"/>
      <c r="AC2" s="8"/>
      <c r="AD2" s="8"/>
    </row>
    <row r="3" spans="1:31" ht="43.5">
      <c r="A3" t="s">
        <v>39</v>
      </c>
      <c r="B3" s="3" t="s">
        <v>604</v>
      </c>
      <c r="C3" s="3" t="s">
        <v>605</v>
      </c>
      <c r="G3" s="8" t="s">
        <v>1305</v>
      </c>
      <c r="H3" s="8"/>
      <c r="I3" s="8"/>
      <c r="J3" s="8"/>
      <c r="K3" s="8"/>
      <c r="L3" s="8"/>
      <c r="M3" s="8"/>
      <c r="N3" s="9"/>
      <c r="O3" s="8"/>
      <c r="P3" s="8"/>
      <c r="Q3" s="8"/>
      <c r="R3" s="8" t="s">
        <v>1371</v>
      </c>
      <c r="S3" s="8" t="s">
        <v>1371</v>
      </c>
      <c r="T3" s="8"/>
      <c r="U3" s="8"/>
      <c r="V3" s="8"/>
      <c r="W3" s="8"/>
      <c r="X3" s="8"/>
      <c r="Y3" s="8" t="s">
        <v>19</v>
      </c>
      <c r="Z3" s="8"/>
      <c r="AA3" s="8"/>
      <c r="AB3" s="8"/>
      <c r="AC3" s="8"/>
      <c r="AD3" s="8"/>
    </row>
    <row r="4" spans="1:31" ht="58">
      <c r="A4" t="s">
        <v>43</v>
      </c>
      <c r="B4" s="3" t="s">
        <v>606</v>
      </c>
      <c r="C4" s="3" t="s">
        <v>607</v>
      </c>
      <c r="F4" t="s">
        <v>19</v>
      </c>
      <c r="G4" s="8" t="s">
        <v>24</v>
      </c>
      <c r="H4" s="8">
        <v>0</v>
      </c>
      <c r="I4" s="8">
        <v>1</v>
      </c>
      <c r="J4" s="8">
        <v>4</v>
      </c>
      <c r="K4" s="8" t="s">
        <v>1315</v>
      </c>
      <c r="L4" s="8" t="s">
        <v>1258</v>
      </c>
      <c r="M4" s="8" t="s">
        <v>1316</v>
      </c>
      <c r="N4" s="9" t="s">
        <v>1317</v>
      </c>
      <c r="O4" s="8"/>
      <c r="P4" s="8">
        <v>0</v>
      </c>
      <c r="Q4" s="8"/>
      <c r="R4" s="8" t="s">
        <v>1371</v>
      </c>
      <c r="S4" s="8" t="s">
        <v>1371</v>
      </c>
      <c r="T4" s="8"/>
      <c r="U4" s="8"/>
      <c r="V4" s="8"/>
      <c r="W4" s="8"/>
      <c r="X4" s="8"/>
      <c r="Y4" s="8" t="s">
        <v>19</v>
      </c>
      <c r="Z4" s="8"/>
      <c r="AA4" s="8"/>
      <c r="AB4" s="8"/>
      <c r="AC4" s="8"/>
      <c r="AD4" s="8"/>
    </row>
    <row r="5" spans="1:31" ht="43.5">
      <c r="A5" t="s">
        <v>47</v>
      </c>
      <c r="B5" s="3" t="s">
        <v>1321</v>
      </c>
      <c r="C5" s="3" t="s">
        <v>1320</v>
      </c>
      <c r="G5" s="8" t="s">
        <v>1305</v>
      </c>
      <c r="H5" s="8"/>
      <c r="I5" s="8"/>
      <c r="J5" s="8"/>
      <c r="K5" s="8"/>
      <c r="L5" s="8"/>
      <c r="M5" s="8"/>
      <c r="N5" s="9"/>
      <c r="O5" s="8"/>
      <c r="P5" s="8"/>
      <c r="Q5" s="8"/>
      <c r="R5" s="8" t="s">
        <v>1371</v>
      </c>
      <c r="S5" s="8" t="s">
        <v>1371</v>
      </c>
      <c r="T5" s="8" t="s">
        <v>1302</v>
      </c>
      <c r="U5" s="8"/>
      <c r="V5" s="8"/>
      <c r="W5" s="8"/>
      <c r="X5" s="8"/>
      <c r="Y5" s="8" t="s">
        <v>19</v>
      </c>
      <c r="Z5" s="8"/>
      <c r="AA5" s="8"/>
      <c r="AB5" s="8"/>
      <c r="AC5" s="8"/>
      <c r="AD5" s="8"/>
    </row>
    <row r="6" spans="1:31">
      <c r="A6" t="s">
        <v>53</v>
      </c>
      <c r="B6" s="3" t="s">
        <v>54</v>
      </c>
      <c r="C6" s="3" t="s">
        <v>55</v>
      </c>
      <c r="F6" t="s">
        <v>19</v>
      </c>
      <c r="G6" s="8" t="s">
        <v>1303</v>
      </c>
      <c r="H6" s="8"/>
      <c r="I6" s="8"/>
      <c r="J6" s="8"/>
      <c r="K6" s="8"/>
      <c r="L6" s="8"/>
      <c r="M6" s="8"/>
      <c r="N6" s="9"/>
      <c r="O6" s="8"/>
      <c r="P6" s="8"/>
      <c r="Q6" s="8">
        <v>-4</v>
      </c>
      <c r="R6" s="8">
        <v>4</v>
      </c>
      <c r="S6" s="8">
        <v>0</v>
      </c>
      <c r="T6" s="8"/>
      <c r="U6" s="8"/>
      <c r="V6" s="8"/>
      <c r="W6" s="8"/>
      <c r="X6" s="8"/>
      <c r="Y6" s="8" t="s">
        <v>19</v>
      </c>
      <c r="Z6" s="8"/>
      <c r="AA6" s="8"/>
      <c r="AB6" s="8"/>
      <c r="AC6" s="8"/>
      <c r="AD6" s="8"/>
    </row>
    <row r="7" spans="1:31" ht="29">
      <c r="A7" t="s">
        <v>56</v>
      </c>
      <c r="B7" s="3" t="s">
        <v>618</v>
      </c>
      <c r="C7" s="3" t="s">
        <v>619</v>
      </c>
      <c r="F7" t="s">
        <v>19</v>
      </c>
      <c r="G7" s="8" t="s">
        <v>25</v>
      </c>
      <c r="H7" s="8">
        <v>0</v>
      </c>
      <c r="I7" s="8">
        <v>1</v>
      </c>
      <c r="J7" s="8">
        <v>1</v>
      </c>
      <c r="K7" s="8" t="s">
        <v>1262</v>
      </c>
      <c r="L7" s="8" t="s">
        <v>1304</v>
      </c>
      <c r="M7" s="8"/>
      <c r="N7" s="9"/>
      <c r="O7" s="8"/>
      <c r="P7" s="8">
        <v>2475</v>
      </c>
      <c r="Q7" s="8"/>
      <c r="R7" s="8" t="s">
        <v>1371</v>
      </c>
      <c r="S7" s="8" t="s">
        <v>1371</v>
      </c>
      <c r="T7" s="8"/>
      <c r="U7" s="8"/>
      <c r="V7" s="8"/>
      <c r="W7" s="8"/>
      <c r="X7" s="8"/>
      <c r="Y7" s="8" t="s">
        <v>19</v>
      </c>
      <c r="Z7" s="8"/>
      <c r="AA7" s="8"/>
      <c r="AB7" s="8"/>
      <c r="AC7" s="8"/>
      <c r="AD7" s="8"/>
    </row>
    <row r="8" spans="1:31" ht="43.5">
      <c r="A8" t="s">
        <v>64</v>
      </c>
      <c r="B8" s="3" t="s">
        <v>625</v>
      </c>
      <c r="C8" s="3" t="s">
        <v>626</v>
      </c>
      <c r="G8" s="8" t="s">
        <v>25</v>
      </c>
      <c r="H8" s="8">
        <v>0</v>
      </c>
      <c r="I8" s="8">
        <v>1</v>
      </c>
      <c r="J8" s="8">
        <v>8</v>
      </c>
      <c r="K8" s="8" t="s">
        <v>1315</v>
      </c>
      <c r="L8" s="8" t="s">
        <v>1263</v>
      </c>
      <c r="M8" s="8"/>
      <c r="N8" s="9"/>
      <c r="O8" s="8"/>
      <c r="P8" s="8">
        <v>3</v>
      </c>
      <c r="Q8" s="8"/>
      <c r="R8" s="8" t="s">
        <v>1371</v>
      </c>
      <c r="S8" s="8" t="s">
        <v>1371</v>
      </c>
      <c r="T8" s="8"/>
      <c r="U8" s="8"/>
      <c r="V8" s="8"/>
      <c r="W8" s="8"/>
      <c r="X8" s="8"/>
      <c r="Y8" s="8" t="s">
        <v>19</v>
      </c>
      <c r="Z8" s="8"/>
      <c r="AA8" s="8"/>
      <c r="AB8" s="8"/>
      <c r="AC8" s="8"/>
      <c r="AD8" s="8"/>
    </row>
    <row r="9" spans="1:31" ht="29">
      <c r="A9" t="s">
        <v>75</v>
      </c>
      <c r="B9" s="3" t="s">
        <v>634</v>
      </c>
      <c r="C9" s="3" t="s">
        <v>1746</v>
      </c>
      <c r="F9" t="s">
        <v>19</v>
      </c>
      <c r="G9" s="8" t="s">
        <v>1303</v>
      </c>
      <c r="H9" s="8"/>
      <c r="I9" s="8"/>
      <c r="J9" s="8"/>
      <c r="K9" s="8"/>
      <c r="L9" s="8"/>
      <c r="M9" s="8"/>
      <c r="N9" s="9"/>
      <c r="O9" s="8"/>
      <c r="P9" s="8"/>
      <c r="Q9" s="8">
        <v>-2271</v>
      </c>
      <c r="R9" s="8">
        <v>2475</v>
      </c>
      <c r="S9" s="8">
        <v>204</v>
      </c>
      <c r="T9" s="8"/>
      <c r="U9" s="8"/>
      <c r="V9" s="8"/>
      <c r="W9" s="8"/>
      <c r="X9" s="8"/>
      <c r="Y9" s="8" t="s">
        <v>19</v>
      </c>
      <c r="Z9" s="8"/>
      <c r="AA9" s="8"/>
      <c r="AB9" s="8"/>
      <c r="AC9" s="8"/>
      <c r="AD9" s="8"/>
    </row>
    <row r="10" spans="1:31">
      <c r="A10" t="s">
        <v>77</v>
      </c>
      <c r="B10" s="3" t="s">
        <v>78</v>
      </c>
      <c r="C10" s="3" t="s">
        <v>79</v>
      </c>
      <c r="F10" t="s">
        <v>19</v>
      </c>
      <c r="G10" s="8" t="s">
        <v>1305</v>
      </c>
      <c r="H10" s="8"/>
      <c r="I10" s="8"/>
      <c r="J10" s="8"/>
      <c r="K10" s="8"/>
      <c r="L10" s="8"/>
      <c r="M10" s="8"/>
      <c r="N10" s="9"/>
      <c r="O10" s="8"/>
      <c r="P10" s="8"/>
      <c r="Q10" s="8"/>
      <c r="R10" s="8" t="s">
        <v>1371</v>
      </c>
      <c r="S10" s="8" t="s">
        <v>1371</v>
      </c>
      <c r="T10" s="8"/>
      <c r="U10" s="8"/>
      <c r="V10" s="8"/>
      <c r="W10" s="8"/>
      <c r="X10" s="8"/>
      <c r="Y10" s="8" t="s">
        <v>19</v>
      </c>
      <c r="Z10" s="8"/>
      <c r="AA10" s="8"/>
      <c r="AB10" s="8"/>
      <c r="AC10" s="8"/>
      <c r="AD10" s="8"/>
    </row>
    <row r="11" spans="1:31" ht="29">
      <c r="A11" t="s">
        <v>80</v>
      </c>
      <c r="B11" s="3" t="s">
        <v>82</v>
      </c>
      <c r="C11" s="3" t="s">
        <v>83</v>
      </c>
      <c r="F11" t="s">
        <v>19</v>
      </c>
      <c r="G11" s="8" t="s">
        <v>1305</v>
      </c>
      <c r="H11" s="8"/>
      <c r="I11" s="8"/>
      <c r="J11" s="8"/>
      <c r="K11" s="8"/>
      <c r="L11" s="8"/>
      <c r="M11" s="8"/>
      <c r="N11" s="9"/>
      <c r="O11" s="8"/>
      <c r="P11" s="8"/>
      <c r="Q11" s="8"/>
      <c r="R11" s="8" t="s">
        <v>1371</v>
      </c>
      <c r="S11" s="8" t="s">
        <v>1371</v>
      </c>
      <c r="T11" s="8"/>
      <c r="U11" s="8"/>
      <c r="V11" s="8"/>
      <c r="W11" s="8"/>
      <c r="X11" s="8"/>
      <c r="Y11" s="8" t="s">
        <v>19</v>
      </c>
      <c r="Z11" s="8"/>
      <c r="AA11" s="8"/>
      <c r="AB11" s="8"/>
      <c r="AC11" s="8"/>
      <c r="AD11" s="8"/>
    </row>
    <row r="12" spans="1:31" ht="58">
      <c r="A12" t="s">
        <v>97</v>
      </c>
      <c r="B12" s="3" t="s">
        <v>666</v>
      </c>
      <c r="C12" s="3" t="s">
        <v>667</v>
      </c>
      <c r="F12" t="s">
        <v>19</v>
      </c>
      <c r="G12" s="8" t="s">
        <v>1303</v>
      </c>
      <c r="H12" s="8"/>
      <c r="I12" s="8"/>
      <c r="J12" s="8"/>
      <c r="K12" s="8"/>
      <c r="L12" s="8"/>
      <c r="M12" s="8"/>
      <c r="N12" s="9"/>
      <c r="O12" s="8"/>
      <c r="P12" s="8"/>
      <c r="Q12" s="8">
        <v>3</v>
      </c>
      <c r="R12" s="8">
        <v>3</v>
      </c>
      <c r="S12" s="8">
        <v>6</v>
      </c>
      <c r="T12" s="8"/>
      <c r="U12" s="8"/>
      <c r="V12" s="8"/>
      <c r="W12" s="8"/>
      <c r="X12" s="8"/>
      <c r="Y12" s="8" t="s">
        <v>19</v>
      </c>
      <c r="Z12" s="8"/>
      <c r="AA12" s="8"/>
      <c r="AB12" s="8"/>
      <c r="AC12" s="8"/>
      <c r="AD12" s="8"/>
    </row>
    <row r="13" spans="1:31" ht="43.5">
      <c r="A13" t="s">
        <v>99</v>
      </c>
      <c r="B13" s="3" t="s">
        <v>671</v>
      </c>
      <c r="C13" s="3" t="s">
        <v>670</v>
      </c>
      <c r="G13" s="8" t="s">
        <v>25</v>
      </c>
      <c r="H13" s="8">
        <v>0</v>
      </c>
      <c r="I13" s="8">
        <v>1</v>
      </c>
      <c r="J13" s="8">
        <v>3</v>
      </c>
      <c r="K13" s="8" t="s">
        <v>1262</v>
      </c>
      <c r="L13" s="8" t="s">
        <v>1263</v>
      </c>
      <c r="M13" s="8"/>
      <c r="N13" s="9"/>
      <c r="O13" s="8"/>
      <c r="P13" s="8">
        <v>2475</v>
      </c>
      <c r="Q13" s="8"/>
      <c r="R13" s="8" t="s">
        <v>1371</v>
      </c>
      <c r="S13" s="8" t="s">
        <v>1371</v>
      </c>
      <c r="T13" s="8"/>
      <c r="U13" s="8"/>
      <c r="V13" s="8"/>
      <c r="W13" s="8"/>
      <c r="X13" s="8"/>
      <c r="Y13" s="8" t="s">
        <v>19</v>
      </c>
      <c r="Z13" s="8"/>
      <c r="AA13" s="8"/>
      <c r="AB13" s="8"/>
      <c r="AC13" s="8"/>
      <c r="AD13" s="8"/>
    </row>
    <row r="14" spans="1:31" ht="29">
      <c r="A14" t="s">
        <v>111</v>
      </c>
      <c r="B14" s="3" t="s">
        <v>110</v>
      </c>
      <c r="C14" s="3" t="s">
        <v>112</v>
      </c>
      <c r="G14" s="8" t="s">
        <v>1303</v>
      </c>
      <c r="H14" s="8"/>
      <c r="I14" s="8"/>
      <c r="J14" s="8"/>
      <c r="K14" s="8"/>
      <c r="L14" s="8"/>
      <c r="M14" s="8"/>
      <c r="N14" s="9"/>
      <c r="O14" s="8"/>
      <c r="P14" s="8"/>
      <c r="Q14" s="8">
        <v>-2</v>
      </c>
      <c r="R14" s="8">
        <v>2</v>
      </c>
      <c r="S14" s="8">
        <v>0</v>
      </c>
      <c r="T14" s="8"/>
      <c r="U14" s="8"/>
      <c r="V14" s="8"/>
      <c r="W14" s="8"/>
      <c r="X14" s="8"/>
      <c r="Y14" s="8" t="s">
        <v>19</v>
      </c>
      <c r="Z14" s="8"/>
      <c r="AA14" s="8"/>
      <c r="AB14" s="8"/>
      <c r="AC14" s="8"/>
      <c r="AD14" s="8"/>
    </row>
    <row r="15" spans="1:31">
      <c r="A15" t="s">
        <v>125</v>
      </c>
      <c r="B15" t="s">
        <v>702</v>
      </c>
      <c r="C15" t="s">
        <v>701</v>
      </c>
      <c r="G15" s="8" t="s">
        <v>25</v>
      </c>
      <c r="H15" s="8">
        <v>0</v>
      </c>
      <c r="I15" s="8">
        <v>1</v>
      </c>
      <c r="J15" s="8">
        <v>1</v>
      </c>
      <c r="K15" s="8" t="s">
        <v>1262</v>
      </c>
      <c r="L15" s="8" t="s">
        <v>1304</v>
      </c>
      <c r="M15" s="8"/>
      <c r="N15" s="9"/>
      <c r="O15" s="8"/>
      <c r="P15" s="8">
        <v>2475</v>
      </c>
      <c r="Q15" s="8"/>
      <c r="R15" s="8" t="s">
        <v>1371</v>
      </c>
      <c r="S15" s="8" t="s">
        <v>1371</v>
      </c>
      <c r="T15" s="8"/>
      <c r="U15" s="8"/>
      <c r="V15" s="8"/>
      <c r="W15" s="8"/>
      <c r="X15" s="8"/>
      <c r="Y15" s="8" t="s">
        <v>19</v>
      </c>
      <c r="Z15" s="8"/>
      <c r="AA15" s="8"/>
      <c r="AB15" s="8"/>
      <c r="AC15" s="8"/>
      <c r="AD15" s="8"/>
    </row>
    <row r="16" spans="1:31" ht="43.5">
      <c r="A16" t="s">
        <v>127</v>
      </c>
      <c r="B16" s="3" t="s">
        <v>707</v>
      </c>
      <c r="C16" s="3" t="s">
        <v>708</v>
      </c>
      <c r="F16" t="s">
        <v>19</v>
      </c>
      <c r="G16" s="8" t="s">
        <v>1305</v>
      </c>
      <c r="H16" s="8"/>
      <c r="I16" s="8"/>
      <c r="J16" s="8"/>
      <c r="K16" s="8"/>
      <c r="L16" s="8"/>
      <c r="M16" s="8"/>
      <c r="N16" s="9"/>
      <c r="O16" s="8"/>
      <c r="P16" s="8"/>
      <c r="Q16" s="8"/>
      <c r="R16" s="8" t="s">
        <v>1371</v>
      </c>
      <c r="S16" s="8" t="s">
        <v>1371</v>
      </c>
      <c r="T16" s="8"/>
      <c r="U16" s="8"/>
      <c r="V16" s="8"/>
      <c r="W16" s="8"/>
      <c r="X16" s="8"/>
      <c r="Y16" s="8" t="s">
        <v>19</v>
      </c>
      <c r="Z16" s="8"/>
      <c r="AA16" s="8"/>
      <c r="AB16" s="8"/>
      <c r="AC16" s="8"/>
      <c r="AD16" s="8"/>
    </row>
    <row r="17" spans="1:30" ht="43.5">
      <c r="A17" t="s">
        <v>128</v>
      </c>
      <c r="B17" s="3" t="s">
        <v>709</v>
      </c>
      <c r="C17" s="3" t="s">
        <v>710</v>
      </c>
      <c r="F17" t="s">
        <v>19</v>
      </c>
      <c r="G17" s="8" t="s">
        <v>1305</v>
      </c>
      <c r="H17" s="8"/>
      <c r="I17" s="8"/>
      <c r="J17" s="8"/>
      <c r="K17" s="8"/>
      <c r="L17" s="8"/>
      <c r="M17" s="8"/>
      <c r="N17" s="9"/>
      <c r="O17" s="8"/>
      <c r="P17" s="8"/>
      <c r="Q17" s="8"/>
      <c r="R17" s="8" t="s">
        <v>1371</v>
      </c>
      <c r="S17" s="8" t="s">
        <v>1371</v>
      </c>
      <c r="T17" s="8"/>
      <c r="U17" s="8"/>
      <c r="V17" s="8"/>
      <c r="W17" s="8"/>
      <c r="X17" s="8"/>
      <c r="Y17" s="8" t="s">
        <v>19</v>
      </c>
      <c r="Z17" s="8"/>
      <c r="AA17" s="8"/>
      <c r="AB17" s="8"/>
      <c r="AC17" s="8"/>
      <c r="AD17" s="8"/>
    </row>
    <row r="18" spans="1:30" ht="43.5">
      <c r="A18" t="s">
        <v>136</v>
      </c>
      <c r="B18" s="3" t="s">
        <v>716</v>
      </c>
      <c r="C18" s="3" t="s">
        <v>717</v>
      </c>
      <c r="F18" t="s">
        <v>19</v>
      </c>
      <c r="G18" s="8" t="s">
        <v>1303</v>
      </c>
      <c r="H18" s="8"/>
      <c r="I18" s="8"/>
      <c r="J18" s="8"/>
      <c r="K18" s="8"/>
      <c r="L18" s="8"/>
      <c r="M18" s="8"/>
      <c r="N18" s="9"/>
      <c r="O18" s="8"/>
      <c r="P18" s="8"/>
      <c r="Q18" s="8">
        <v>-28</v>
      </c>
      <c r="R18" s="8">
        <v>31</v>
      </c>
      <c r="S18" s="8">
        <v>3</v>
      </c>
      <c r="T18" s="8"/>
      <c r="U18" s="8"/>
      <c r="V18" s="8"/>
      <c r="W18" s="8"/>
      <c r="X18" s="8"/>
      <c r="Y18" s="8" t="s">
        <v>19</v>
      </c>
      <c r="Z18" s="8"/>
      <c r="AA18" s="8"/>
      <c r="AB18" s="8"/>
      <c r="AC18" s="8"/>
      <c r="AD18" s="8"/>
    </row>
    <row r="19" spans="1:30" ht="58">
      <c r="A19" t="s">
        <v>184</v>
      </c>
      <c r="B19" s="3" t="s">
        <v>777</v>
      </c>
      <c r="C19" s="3" t="s">
        <v>778</v>
      </c>
      <c r="F19" t="s">
        <v>19</v>
      </c>
      <c r="G19" s="8" t="s">
        <v>24</v>
      </c>
      <c r="H19" s="8">
        <v>0</v>
      </c>
      <c r="I19" s="8">
        <v>1</v>
      </c>
      <c r="J19" s="8">
        <v>3</v>
      </c>
      <c r="K19" s="8" t="s">
        <v>1268</v>
      </c>
      <c r="L19" s="8" t="s">
        <v>1263</v>
      </c>
      <c r="M19" s="8"/>
      <c r="N19" s="9"/>
      <c r="O19" s="8"/>
      <c r="P19" s="8">
        <v>1701</v>
      </c>
      <c r="Q19" s="8"/>
      <c r="R19" s="8" t="s">
        <v>1371</v>
      </c>
      <c r="S19" s="8" t="s">
        <v>1371</v>
      </c>
      <c r="T19" s="8"/>
      <c r="U19" s="8"/>
      <c r="V19" s="8"/>
      <c r="W19" s="8"/>
      <c r="X19" s="8"/>
      <c r="Y19" s="8" t="s">
        <v>19</v>
      </c>
      <c r="Z19" s="8"/>
      <c r="AA19" s="8"/>
      <c r="AB19" s="8"/>
      <c r="AC19" s="8"/>
      <c r="AD19" s="8"/>
    </row>
    <row r="20" spans="1:30" ht="43.5">
      <c r="A20" t="s">
        <v>196</v>
      </c>
      <c r="B20" s="3" t="s">
        <v>1742</v>
      </c>
      <c r="C20" s="3" t="s">
        <v>790</v>
      </c>
      <c r="F20" t="s">
        <v>19</v>
      </c>
      <c r="G20" s="8" t="s">
        <v>1303</v>
      </c>
      <c r="H20" s="8"/>
      <c r="I20" s="8"/>
      <c r="J20" s="8"/>
      <c r="K20" s="8"/>
      <c r="L20" s="8"/>
      <c r="M20" s="8"/>
      <c r="N20" s="9"/>
      <c r="O20" s="8"/>
      <c r="P20" s="8"/>
      <c r="Q20" s="8">
        <v>0</v>
      </c>
      <c r="R20" s="8">
        <v>0</v>
      </c>
      <c r="S20" s="8">
        <v>0</v>
      </c>
      <c r="T20" s="8"/>
      <c r="U20" s="8"/>
      <c r="V20" s="8"/>
      <c r="W20" s="8"/>
      <c r="X20" s="8"/>
      <c r="Y20" s="8" t="s">
        <v>19</v>
      </c>
      <c r="Z20" s="8"/>
      <c r="AA20" s="8"/>
      <c r="AB20" s="8"/>
      <c r="AC20" s="8"/>
      <c r="AD20" s="8"/>
    </row>
    <row r="21" spans="1:30" ht="72.5">
      <c r="A21" t="s">
        <v>197</v>
      </c>
      <c r="B21" s="3" t="s">
        <v>1743</v>
      </c>
      <c r="C21" s="3" t="s">
        <v>1744</v>
      </c>
      <c r="F21" t="s">
        <v>19</v>
      </c>
      <c r="G21" s="8" t="s">
        <v>1305</v>
      </c>
      <c r="H21" s="8"/>
      <c r="I21" s="8"/>
      <c r="J21" s="8"/>
      <c r="K21" s="8"/>
      <c r="L21" s="8"/>
      <c r="M21" s="8"/>
      <c r="N21" s="9"/>
      <c r="O21" s="8"/>
      <c r="P21" s="8"/>
      <c r="Q21" s="8"/>
      <c r="R21" s="8" t="s">
        <v>1371</v>
      </c>
      <c r="S21" s="8" t="s">
        <v>1371</v>
      </c>
      <c r="T21" s="8"/>
      <c r="U21" s="8"/>
      <c r="V21" s="8"/>
      <c r="W21" s="8"/>
      <c r="X21" s="8"/>
      <c r="Y21" s="8" t="s">
        <v>19</v>
      </c>
      <c r="Z21" s="8"/>
      <c r="AA21" s="8"/>
      <c r="AB21" s="8"/>
      <c r="AC21" s="8"/>
      <c r="AD21" s="8"/>
    </row>
    <row r="22" spans="1:30" ht="43.5">
      <c r="A22" t="s">
        <v>208</v>
      </c>
      <c r="B22" s="3" t="s">
        <v>801</v>
      </c>
      <c r="C22" s="3" t="s">
        <v>802</v>
      </c>
      <c r="F22" t="s">
        <v>19</v>
      </c>
      <c r="G22" s="8" t="s">
        <v>24</v>
      </c>
      <c r="H22" s="8">
        <v>0</v>
      </c>
      <c r="I22" s="8">
        <v>1</v>
      </c>
      <c r="J22" s="8">
        <v>3</v>
      </c>
      <c r="K22" s="8" t="s">
        <v>1274</v>
      </c>
      <c r="L22" s="8" t="s">
        <v>1263</v>
      </c>
      <c r="M22" s="8"/>
      <c r="N22" s="9"/>
      <c r="O22" s="8"/>
      <c r="P22" s="8">
        <v>743</v>
      </c>
      <c r="Q22" s="8"/>
      <c r="R22" s="8" t="s">
        <v>1371</v>
      </c>
      <c r="S22" s="8" t="s">
        <v>1371</v>
      </c>
      <c r="T22" s="8"/>
      <c r="U22" s="8"/>
      <c r="V22" s="8"/>
      <c r="W22" s="8"/>
      <c r="X22" s="8"/>
      <c r="Y22" s="8" t="s">
        <v>19</v>
      </c>
      <c r="Z22" s="8"/>
      <c r="AA22" s="8"/>
      <c r="AB22" s="8"/>
      <c r="AC22" s="8"/>
      <c r="AD22" s="8"/>
    </row>
    <row r="23" spans="1:30" ht="72.5">
      <c r="A23" t="s">
        <v>213</v>
      </c>
      <c r="B23" s="3" t="s">
        <v>817</v>
      </c>
      <c r="C23" s="3" t="s">
        <v>818</v>
      </c>
      <c r="F23" t="s">
        <v>19</v>
      </c>
      <c r="G23" s="8" t="s">
        <v>1303</v>
      </c>
      <c r="H23" s="8"/>
      <c r="I23" s="8"/>
      <c r="J23" s="8"/>
      <c r="K23" s="8"/>
      <c r="L23" s="8"/>
      <c r="M23" s="8"/>
      <c r="N23" s="9"/>
      <c r="O23" s="8"/>
      <c r="P23" s="8"/>
      <c r="Q23" s="8">
        <v>0</v>
      </c>
      <c r="R23" s="8">
        <v>0</v>
      </c>
      <c r="S23" s="8">
        <v>0</v>
      </c>
      <c r="T23" s="8"/>
      <c r="U23" s="8"/>
      <c r="V23" s="8"/>
      <c r="W23" s="8"/>
      <c r="X23" s="8"/>
      <c r="Y23" s="8" t="s">
        <v>19</v>
      </c>
      <c r="Z23" s="8"/>
      <c r="AA23" s="8"/>
      <c r="AB23" s="8"/>
      <c r="AC23" s="8"/>
      <c r="AD23" s="8"/>
    </row>
    <row r="24" spans="1:30" ht="58">
      <c r="A24" t="s">
        <v>215</v>
      </c>
      <c r="B24" s="3" t="s">
        <v>823</v>
      </c>
      <c r="C24" s="3" t="s">
        <v>822</v>
      </c>
      <c r="F24" t="s">
        <v>19</v>
      </c>
      <c r="G24" s="8" t="s">
        <v>25</v>
      </c>
      <c r="H24" s="8">
        <v>0</v>
      </c>
      <c r="I24" s="8">
        <v>1</v>
      </c>
      <c r="J24" s="8">
        <v>7</v>
      </c>
      <c r="K24" s="8" t="s">
        <v>1278</v>
      </c>
      <c r="L24" s="8" t="s">
        <v>1258</v>
      </c>
      <c r="M24" s="8" t="s">
        <v>1340</v>
      </c>
      <c r="N24" s="9" t="s">
        <v>1336</v>
      </c>
      <c r="O24" s="8"/>
      <c r="P24" s="8">
        <v>0</v>
      </c>
      <c r="Q24" s="8"/>
      <c r="R24" s="8" t="s">
        <v>1371</v>
      </c>
      <c r="S24" s="8" t="s">
        <v>1371</v>
      </c>
      <c r="T24" s="8"/>
      <c r="U24" s="8"/>
      <c r="V24" s="8"/>
      <c r="W24" s="8"/>
      <c r="X24" s="8"/>
      <c r="Y24" s="8" t="s">
        <v>19</v>
      </c>
      <c r="Z24" s="8"/>
      <c r="AA24" s="8"/>
      <c r="AB24" s="8"/>
      <c r="AC24" s="8"/>
      <c r="AD24" s="8"/>
    </row>
    <row r="25" spans="1:30" ht="29">
      <c r="A25" t="s">
        <v>216</v>
      </c>
      <c r="B25" s="3" t="s">
        <v>826</v>
      </c>
      <c r="C25" s="3" t="s">
        <v>827</v>
      </c>
      <c r="F25" t="s">
        <v>19</v>
      </c>
      <c r="G25" s="8" t="s">
        <v>25</v>
      </c>
      <c r="H25" s="8">
        <v>0</v>
      </c>
      <c r="I25" s="8">
        <v>1</v>
      </c>
      <c r="J25" s="8">
        <v>6</v>
      </c>
      <c r="K25" s="8" t="s">
        <v>1272</v>
      </c>
      <c r="L25" s="8" t="s">
        <v>1258</v>
      </c>
      <c r="M25" s="8" t="s">
        <v>1340</v>
      </c>
      <c r="N25" s="9" t="s">
        <v>1336</v>
      </c>
      <c r="O25" s="8"/>
      <c r="P25" s="8">
        <v>0</v>
      </c>
      <c r="Q25" s="8"/>
      <c r="R25" s="8" t="s">
        <v>1371</v>
      </c>
      <c r="S25" s="8" t="s">
        <v>1371</v>
      </c>
      <c r="T25" s="8"/>
      <c r="U25" s="8"/>
      <c r="V25" s="8"/>
      <c r="W25" s="8"/>
      <c r="X25" s="8"/>
      <c r="Y25" s="8" t="s">
        <v>19</v>
      </c>
      <c r="Z25" s="8"/>
      <c r="AA25" s="8"/>
      <c r="AB25" s="8"/>
      <c r="AC25" s="8"/>
      <c r="AD25" s="8"/>
    </row>
    <row r="26" spans="1:30" ht="43.5">
      <c r="A26" t="s">
        <v>216</v>
      </c>
      <c r="B26" s="3" t="s">
        <v>829</v>
      </c>
      <c r="C26" s="3" t="s">
        <v>828</v>
      </c>
      <c r="F26" t="s">
        <v>19</v>
      </c>
      <c r="G26" s="8" t="s">
        <v>25</v>
      </c>
      <c r="H26" s="8">
        <v>0</v>
      </c>
      <c r="I26" s="8">
        <v>1</v>
      </c>
      <c r="J26" s="8">
        <v>3</v>
      </c>
      <c r="K26" s="8" t="s">
        <v>1268</v>
      </c>
      <c r="L26" s="8" t="s">
        <v>1263</v>
      </c>
      <c r="M26" s="8"/>
      <c r="N26" s="9"/>
      <c r="O26" s="8"/>
      <c r="P26" s="8">
        <v>1700</v>
      </c>
      <c r="Q26" s="8"/>
      <c r="R26" s="8" t="s">
        <v>1371</v>
      </c>
      <c r="S26" s="8" t="s">
        <v>1371</v>
      </c>
      <c r="T26" s="8"/>
      <c r="U26" s="8"/>
      <c r="V26" s="8"/>
      <c r="W26" s="8"/>
      <c r="X26" s="8"/>
      <c r="Y26" s="8" t="s">
        <v>19</v>
      </c>
      <c r="Z26" s="8"/>
      <c r="AA26" s="8"/>
      <c r="AB26" s="8"/>
      <c r="AC26" s="8"/>
      <c r="AD26" s="8"/>
    </row>
    <row r="27" spans="1:30" ht="87">
      <c r="A27" t="s">
        <v>217</v>
      </c>
      <c r="B27" s="3" t="s">
        <v>1343</v>
      </c>
      <c r="C27" s="3" t="s">
        <v>1344</v>
      </c>
      <c r="F27" t="s">
        <v>19</v>
      </c>
      <c r="G27" s="8" t="s">
        <v>25</v>
      </c>
      <c r="H27" s="8">
        <v>0</v>
      </c>
      <c r="I27" s="8">
        <v>1</v>
      </c>
      <c r="J27" s="8">
        <v>5</v>
      </c>
      <c r="K27" s="8" t="s">
        <v>1274</v>
      </c>
      <c r="L27" s="8" t="s">
        <v>1263</v>
      </c>
      <c r="M27" s="8"/>
      <c r="N27" s="9"/>
      <c r="O27" s="8"/>
      <c r="P27" s="8">
        <v>829</v>
      </c>
      <c r="Q27" s="8"/>
      <c r="R27" s="8" t="s">
        <v>1371</v>
      </c>
      <c r="S27" s="8" t="s">
        <v>1371</v>
      </c>
      <c r="T27" s="8"/>
      <c r="U27" s="8"/>
      <c r="V27" s="8"/>
      <c r="W27" s="8"/>
      <c r="X27" s="8"/>
      <c r="Y27" s="8" t="s">
        <v>19</v>
      </c>
      <c r="Z27" s="8"/>
      <c r="AA27" s="8"/>
      <c r="AB27" s="8"/>
      <c r="AC27" s="8"/>
      <c r="AD27" s="8"/>
    </row>
    <row r="28" spans="1:30" ht="72.5">
      <c r="A28" t="s">
        <v>218</v>
      </c>
      <c r="B28" s="3" t="s">
        <v>835</v>
      </c>
      <c r="C28" s="3" t="s">
        <v>834</v>
      </c>
      <c r="G28" s="8" t="s">
        <v>25</v>
      </c>
      <c r="H28" s="8">
        <v>0</v>
      </c>
      <c r="I28" s="8">
        <v>1</v>
      </c>
      <c r="J28" s="8">
        <v>6</v>
      </c>
      <c r="K28" s="8" t="s">
        <v>1272</v>
      </c>
      <c r="L28" s="8" t="s">
        <v>1263</v>
      </c>
      <c r="M28" s="8"/>
      <c r="N28" s="9"/>
      <c r="O28" s="8"/>
      <c r="P28" s="8">
        <v>6</v>
      </c>
      <c r="Q28" s="8"/>
      <c r="R28" s="8" t="s">
        <v>1371</v>
      </c>
      <c r="S28" s="8" t="s">
        <v>1371</v>
      </c>
      <c r="T28" s="8"/>
      <c r="U28" s="8"/>
      <c r="V28" s="8"/>
      <c r="W28" s="8"/>
      <c r="X28" s="8"/>
      <c r="Y28" s="8" t="s">
        <v>19</v>
      </c>
      <c r="Z28" s="8"/>
      <c r="AA28" s="8"/>
      <c r="AB28" s="8"/>
      <c r="AC28" s="8"/>
      <c r="AD28" s="8"/>
    </row>
    <row r="29" spans="1:30" ht="58">
      <c r="A29" t="s">
        <v>231</v>
      </c>
      <c r="B29" s="3" t="s">
        <v>856</v>
      </c>
      <c r="C29" s="3" t="s">
        <v>855</v>
      </c>
      <c r="G29" s="8" t="s">
        <v>25</v>
      </c>
      <c r="H29" s="8">
        <v>0</v>
      </c>
      <c r="I29" s="8">
        <v>1</v>
      </c>
      <c r="J29" s="8">
        <v>2</v>
      </c>
      <c r="K29" s="8" t="s">
        <v>1262</v>
      </c>
      <c r="L29" s="8" t="s">
        <v>1304</v>
      </c>
      <c r="M29" s="8"/>
      <c r="N29" s="9"/>
      <c r="O29" s="8"/>
      <c r="P29" s="8">
        <v>2475</v>
      </c>
      <c r="Q29" s="8"/>
      <c r="R29" s="8" t="s">
        <v>1371</v>
      </c>
      <c r="S29" s="8" t="s">
        <v>1371</v>
      </c>
      <c r="T29" s="8"/>
      <c r="U29" s="8"/>
      <c r="V29" s="8"/>
      <c r="W29" s="8"/>
      <c r="X29" s="8"/>
      <c r="Y29" s="8" t="s">
        <v>19</v>
      </c>
      <c r="Z29" s="8"/>
      <c r="AA29" s="8"/>
      <c r="AB29" s="8"/>
      <c r="AC29" s="8"/>
      <c r="AD29" s="8"/>
    </row>
    <row r="30" spans="1:30" ht="72.5">
      <c r="A30" t="s">
        <v>234</v>
      </c>
      <c r="B30" s="3" t="s">
        <v>860</v>
      </c>
      <c r="C30" s="3" t="s">
        <v>861</v>
      </c>
      <c r="F30" t="s">
        <v>19</v>
      </c>
      <c r="G30" s="8" t="s">
        <v>24</v>
      </c>
      <c r="H30" s="8">
        <v>0</v>
      </c>
      <c r="I30" s="8">
        <v>1</v>
      </c>
      <c r="J30" s="8">
        <v>6</v>
      </c>
      <c r="K30" s="8" t="s">
        <v>1274</v>
      </c>
      <c r="L30" s="8" t="s">
        <v>1258</v>
      </c>
      <c r="M30" s="8" t="s">
        <v>1340</v>
      </c>
      <c r="N30" s="9" t="s">
        <v>1338</v>
      </c>
      <c r="O30" s="8" t="s">
        <v>1259</v>
      </c>
      <c r="P30" s="8">
        <v>830</v>
      </c>
      <c r="Q30" s="8"/>
      <c r="R30" s="8" t="s">
        <v>1371</v>
      </c>
      <c r="S30" s="8" t="s">
        <v>1371</v>
      </c>
      <c r="T30" s="8"/>
      <c r="U30" s="8"/>
      <c r="V30" s="8"/>
      <c r="W30" s="8"/>
      <c r="X30" s="8"/>
      <c r="Y30" s="8" t="s">
        <v>19</v>
      </c>
      <c r="Z30" s="8"/>
      <c r="AA30" s="8"/>
      <c r="AB30" s="8"/>
      <c r="AC30" s="8"/>
      <c r="AD30" s="8"/>
    </row>
    <row r="31" spans="1:30" ht="72.5">
      <c r="A31" t="s">
        <v>251</v>
      </c>
      <c r="B31" s="3" t="s">
        <v>872</v>
      </c>
      <c r="C31" s="3" t="s">
        <v>871</v>
      </c>
      <c r="G31" s="8" t="s">
        <v>24</v>
      </c>
      <c r="H31" s="8">
        <v>0</v>
      </c>
      <c r="I31" s="8">
        <v>1</v>
      </c>
      <c r="J31" s="8">
        <v>3</v>
      </c>
      <c r="K31" s="8" t="s">
        <v>1262</v>
      </c>
      <c r="L31" s="8" t="s">
        <v>1258</v>
      </c>
      <c r="M31" s="8" t="s">
        <v>1340</v>
      </c>
      <c r="N31" s="9" t="s">
        <v>1336</v>
      </c>
      <c r="O31" s="8" t="s">
        <v>1259</v>
      </c>
      <c r="P31" s="8">
        <v>2475</v>
      </c>
      <c r="Q31" s="8"/>
      <c r="R31" s="8" t="s">
        <v>1371</v>
      </c>
      <c r="S31" s="8" t="s">
        <v>1371</v>
      </c>
      <c r="T31" s="8"/>
      <c r="U31" s="8"/>
      <c r="V31" s="8"/>
      <c r="W31" s="8"/>
      <c r="X31" s="8"/>
      <c r="Y31" s="8" t="s">
        <v>19</v>
      </c>
      <c r="Z31" s="8"/>
      <c r="AA31" s="8"/>
      <c r="AB31" s="8"/>
      <c r="AC31" s="8"/>
      <c r="AD31" s="8"/>
    </row>
    <row r="32" spans="1:30">
      <c r="A32" t="s">
        <v>261</v>
      </c>
      <c r="B32" s="3" t="s">
        <v>262</v>
      </c>
      <c r="C32" s="3" t="s">
        <v>263</v>
      </c>
      <c r="F32" t="s">
        <v>19</v>
      </c>
      <c r="G32" s="8" t="s">
        <v>1305</v>
      </c>
      <c r="H32" s="8"/>
      <c r="I32" s="8"/>
      <c r="J32" s="8"/>
      <c r="K32" s="8"/>
      <c r="L32" s="8"/>
      <c r="M32" s="8"/>
      <c r="N32" s="9"/>
      <c r="O32" s="8"/>
      <c r="P32" s="8"/>
      <c r="Q32" s="8"/>
      <c r="R32" s="8" t="s">
        <v>1371</v>
      </c>
      <c r="S32" s="8" t="s">
        <v>1371</v>
      </c>
      <c r="T32" s="8"/>
      <c r="U32" s="8"/>
      <c r="V32" s="8"/>
      <c r="W32" s="8"/>
      <c r="X32" s="8"/>
      <c r="Y32" s="8" t="s">
        <v>19</v>
      </c>
      <c r="Z32" s="8"/>
      <c r="AA32" s="8"/>
      <c r="AB32" s="8"/>
      <c r="AC32" s="8"/>
      <c r="AD32" s="8"/>
    </row>
    <row r="33" spans="1:30" ht="29">
      <c r="A33" t="s">
        <v>271</v>
      </c>
      <c r="B33" s="3" t="s">
        <v>899</v>
      </c>
      <c r="C33" s="3" t="s">
        <v>900</v>
      </c>
      <c r="F33" t="s">
        <v>19</v>
      </c>
      <c r="G33" s="8" t="s">
        <v>25</v>
      </c>
      <c r="H33" s="8">
        <v>0</v>
      </c>
      <c r="I33" s="8">
        <v>1</v>
      </c>
      <c r="J33" s="8">
        <v>2</v>
      </c>
      <c r="K33" s="8" t="s">
        <v>1262</v>
      </c>
      <c r="L33" s="8" t="s">
        <v>1304</v>
      </c>
      <c r="M33" s="8"/>
      <c r="N33" s="9"/>
      <c r="O33" s="8"/>
      <c r="P33" s="8">
        <v>2474</v>
      </c>
      <c r="Q33" s="8"/>
      <c r="R33" s="8" t="s">
        <v>1371</v>
      </c>
      <c r="S33" s="8" t="s">
        <v>1371</v>
      </c>
      <c r="T33" s="8"/>
      <c r="U33" s="8"/>
      <c r="V33" s="8"/>
      <c r="W33" s="8"/>
      <c r="X33" s="8"/>
      <c r="Y33" s="8" t="s">
        <v>19</v>
      </c>
      <c r="Z33" s="8"/>
      <c r="AA33" s="8"/>
      <c r="AB33" s="8"/>
      <c r="AC33" s="8"/>
      <c r="AD33" s="8"/>
    </row>
    <row r="34" spans="1:30" ht="72.5">
      <c r="A34" t="s">
        <v>283</v>
      </c>
      <c r="B34" s="3" t="s">
        <v>921</v>
      </c>
      <c r="C34" s="3" t="s">
        <v>922</v>
      </c>
      <c r="G34" s="8" t="s">
        <v>1303</v>
      </c>
      <c r="H34" s="8"/>
      <c r="I34" s="8"/>
      <c r="J34" s="8"/>
      <c r="K34" s="8"/>
      <c r="L34" s="8"/>
      <c r="M34" s="8"/>
      <c r="N34" s="9"/>
      <c r="O34" s="8"/>
      <c r="P34" s="8"/>
      <c r="Q34" s="8">
        <v>-34</v>
      </c>
      <c r="R34" s="8">
        <v>34</v>
      </c>
      <c r="S34" s="8">
        <v>0</v>
      </c>
      <c r="T34" s="8"/>
      <c r="U34" s="8"/>
      <c r="V34" s="8"/>
      <c r="W34" s="8"/>
      <c r="X34" s="8"/>
      <c r="Y34" s="8" t="s">
        <v>19</v>
      </c>
      <c r="Z34" s="8"/>
      <c r="AA34" s="8"/>
      <c r="AB34" s="8"/>
      <c r="AC34" s="8"/>
      <c r="AD34" s="8"/>
    </row>
    <row r="35" spans="1:30" ht="43.5">
      <c r="A35" t="s">
        <v>286</v>
      </c>
      <c r="B35" s="3" t="s">
        <v>932</v>
      </c>
      <c r="C35" s="3" t="s">
        <v>931</v>
      </c>
      <c r="F35" t="s">
        <v>19</v>
      </c>
      <c r="G35" s="8" t="s">
        <v>24</v>
      </c>
      <c r="H35" s="8">
        <v>0</v>
      </c>
      <c r="I35" s="8">
        <v>1</v>
      </c>
      <c r="J35" s="8">
        <v>1</v>
      </c>
      <c r="K35" s="8" t="s">
        <v>1262</v>
      </c>
      <c r="L35" s="8" t="s">
        <v>1304</v>
      </c>
      <c r="M35" s="8"/>
      <c r="N35" s="9"/>
      <c r="O35" s="8" t="s">
        <v>1259</v>
      </c>
      <c r="P35" s="8">
        <v>2475</v>
      </c>
      <c r="Q35" s="8"/>
      <c r="R35" s="8" t="s">
        <v>1371</v>
      </c>
      <c r="S35" s="8" t="s">
        <v>1371</v>
      </c>
      <c r="T35" s="8"/>
      <c r="U35" s="8"/>
      <c r="V35" s="8"/>
      <c r="W35" s="8"/>
      <c r="X35" s="8"/>
      <c r="Y35" s="8" t="s">
        <v>19</v>
      </c>
      <c r="Z35" s="8"/>
      <c r="AA35" s="8"/>
      <c r="AB35" s="8"/>
      <c r="AC35" s="8"/>
      <c r="AD35" s="8"/>
    </row>
    <row r="36" spans="1:30" ht="87">
      <c r="A36" t="s">
        <v>290</v>
      </c>
      <c r="B36" s="3" t="s">
        <v>936</v>
      </c>
      <c r="C36" s="3" t="s">
        <v>937</v>
      </c>
      <c r="F36" t="s">
        <v>19</v>
      </c>
      <c r="G36" s="8" t="s">
        <v>24</v>
      </c>
      <c r="H36" s="8">
        <v>0</v>
      </c>
      <c r="I36" s="8">
        <v>1</v>
      </c>
      <c r="J36" s="8">
        <v>5</v>
      </c>
      <c r="K36" s="8" t="s">
        <v>1272</v>
      </c>
      <c r="L36" s="8" t="s">
        <v>1258</v>
      </c>
      <c r="M36" s="8" t="s">
        <v>1340</v>
      </c>
      <c r="N36" s="9" t="s">
        <v>1337</v>
      </c>
      <c r="O36" s="8" t="s">
        <v>1259</v>
      </c>
      <c r="P36" s="8">
        <v>98</v>
      </c>
      <c r="Q36" s="8"/>
      <c r="R36" s="8" t="s">
        <v>1371</v>
      </c>
      <c r="S36" s="8" t="s">
        <v>1371</v>
      </c>
      <c r="T36" s="8"/>
      <c r="U36" s="8"/>
      <c r="V36" s="8"/>
      <c r="W36" s="8"/>
      <c r="X36" s="8"/>
      <c r="Y36" s="8" t="s">
        <v>19</v>
      </c>
      <c r="Z36" s="8"/>
      <c r="AA36" s="8"/>
      <c r="AB36" s="8"/>
      <c r="AC36" s="8"/>
      <c r="AD36" s="8"/>
    </row>
    <row r="37" spans="1:30" ht="58">
      <c r="A37" t="s">
        <v>298</v>
      </c>
      <c r="B37" s="3" t="s">
        <v>944</v>
      </c>
      <c r="C37" s="3" t="s">
        <v>945</v>
      </c>
      <c r="G37" s="8" t="s">
        <v>1305</v>
      </c>
      <c r="H37" s="8"/>
      <c r="I37" s="8"/>
      <c r="J37" s="8"/>
      <c r="K37" s="8"/>
      <c r="L37" s="8"/>
      <c r="M37" s="8"/>
      <c r="N37" s="9"/>
      <c r="O37" s="8"/>
      <c r="P37" s="8"/>
      <c r="Q37" s="8"/>
      <c r="R37" s="8" t="s">
        <v>1371</v>
      </c>
      <c r="S37" s="8" t="s">
        <v>1371</v>
      </c>
      <c r="T37" s="8"/>
      <c r="U37" s="8"/>
      <c r="V37" s="8"/>
      <c r="W37" s="8"/>
      <c r="X37" s="8"/>
      <c r="Y37" s="8" t="s">
        <v>19</v>
      </c>
      <c r="Z37" s="8"/>
      <c r="AA37" s="8"/>
      <c r="AB37" s="8"/>
      <c r="AC37" s="8"/>
      <c r="AD37" s="8"/>
    </row>
    <row r="38" spans="1:30" ht="58">
      <c r="A38" t="s">
        <v>298</v>
      </c>
      <c r="B38" s="3" t="s">
        <v>947</v>
      </c>
      <c r="C38" s="3" t="s">
        <v>946</v>
      </c>
      <c r="G38" s="8" t="s">
        <v>1305</v>
      </c>
      <c r="H38" s="8"/>
      <c r="I38" s="8"/>
      <c r="J38" s="8"/>
      <c r="K38" s="8"/>
      <c r="L38" s="8"/>
      <c r="M38" s="8"/>
      <c r="N38" s="9"/>
      <c r="O38" s="8"/>
      <c r="P38" s="8"/>
      <c r="Q38" s="8"/>
      <c r="R38" s="8" t="s">
        <v>1371</v>
      </c>
      <c r="S38" s="8" t="s">
        <v>1371</v>
      </c>
      <c r="T38" s="8"/>
      <c r="U38" s="8"/>
      <c r="V38" s="8"/>
      <c r="W38" s="8"/>
      <c r="X38" s="8"/>
      <c r="Y38" s="8" t="s">
        <v>19</v>
      </c>
      <c r="Z38" s="8"/>
      <c r="AA38" s="8"/>
      <c r="AB38" s="8"/>
      <c r="AC38" s="8"/>
      <c r="AD38" s="8"/>
    </row>
    <row r="39" spans="1:30" ht="58">
      <c r="A39" t="s">
        <v>323</v>
      </c>
      <c r="B39" s="3" t="s">
        <v>963</v>
      </c>
      <c r="C39" s="3" t="s">
        <v>962</v>
      </c>
      <c r="F39" t="s">
        <v>19</v>
      </c>
      <c r="G39" s="8" t="s">
        <v>1306</v>
      </c>
      <c r="H39" s="8"/>
      <c r="I39" s="8"/>
      <c r="J39" s="8"/>
      <c r="K39" s="8"/>
      <c r="L39" s="8"/>
      <c r="M39" s="8"/>
      <c r="N39" s="9"/>
      <c r="O39" s="8"/>
      <c r="P39" s="8"/>
      <c r="Q39" s="8">
        <v>4</v>
      </c>
      <c r="R39" s="8">
        <v>34</v>
      </c>
      <c r="S39" s="8">
        <v>38</v>
      </c>
      <c r="T39" s="8"/>
      <c r="U39" s="8"/>
      <c r="V39" s="8"/>
      <c r="W39" s="8"/>
      <c r="X39" s="8"/>
      <c r="Y39" s="8" t="s">
        <v>19</v>
      </c>
      <c r="Z39" s="8"/>
      <c r="AA39" s="8"/>
      <c r="AB39" s="8"/>
      <c r="AC39" s="8"/>
      <c r="AD39" s="8"/>
    </row>
    <row r="40" spans="1:30" ht="29">
      <c r="A40" t="s">
        <v>329</v>
      </c>
      <c r="B40" s="3" t="s">
        <v>974</v>
      </c>
      <c r="C40" s="3" t="s">
        <v>975</v>
      </c>
      <c r="F40" t="s">
        <v>19</v>
      </c>
      <c r="G40" s="8" t="s">
        <v>24</v>
      </c>
      <c r="H40" s="8">
        <v>0</v>
      </c>
      <c r="I40" s="8">
        <v>1</v>
      </c>
      <c r="J40" s="8">
        <v>1</v>
      </c>
      <c r="K40" s="8" t="s">
        <v>1274</v>
      </c>
      <c r="L40" s="8" t="s">
        <v>1304</v>
      </c>
      <c r="M40" s="8"/>
      <c r="N40" s="9"/>
      <c r="O40" s="8"/>
      <c r="P40" s="8">
        <v>99</v>
      </c>
      <c r="Q40" s="8"/>
      <c r="R40" s="8" t="s">
        <v>1371</v>
      </c>
      <c r="S40" s="8" t="s">
        <v>1371</v>
      </c>
      <c r="T40" s="8"/>
      <c r="U40" s="8"/>
      <c r="V40" s="8"/>
      <c r="W40" s="8"/>
      <c r="X40" s="8"/>
      <c r="Y40" s="8" t="s">
        <v>19</v>
      </c>
      <c r="Z40" s="8"/>
      <c r="AA40" s="8"/>
      <c r="AB40" s="8"/>
      <c r="AC40" s="8"/>
      <c r="AD40" s="8"/>
    </row>
    <row r="41" spans="1:30" ht="72.5">
      <c r="A41" t="s">
        <v>335</v>
      </c>
      <c r="B41" s="3" t="s">
        <v>1352</v>
      </c>
      <c r="C41" s="3" t="s">
        <v>1351</v>
      </c>
      <c r="G41" s="8" t="s">
        <v>1305</v>
      </c>
      <c r="H41" s="8"/>
      <c r="I41" s="8"/>
      <c r="J41" s="8"/>
      <c r="K41" s="8"/>
      <c r="L41" s="8"/>
      <c r="M41" s="8"/>
      <c r="N41" s="9"/>
      <c r="O41" s="8"/>
      <c r="P41" s="8"/>
      <c r="Q41" s="8"/>
      <c r="R41" s="8" t="s">
        <v>1371</v>
      </c>
      <c r="S41" s="8" t="s">
        <v>1371</v>
      </c>
      <c r="T41" s="8"/>
      <c r="U41" s="8"/>
      <c r="V41" s="8"/>
      <c r="W41" s="8"/>
      <c r="X41" s="8"/>
      <c r="Y41" s="8" t="s">
        <v>19</v>
      </c>
      <c r="Z41" s="8"/>
      <c r="AA41" s="8"/>
      <c r="AB41" s="8"/>
      <c r="AC41" s="8"/>
      <c r="AD41" s="8" t="s">
        <v>19</v>
      </c>
    </row>
    <row r="42" spans="1:30" ht="43.5">
      <c r="A42" t="s">
        <v>352</v>
      </c>
      <c r="B42" s="3" t="s">
        <v>990</v>
      </c>
      <c r="C42" s="3" t="s">
        <v>991</v>
      </c>
      <c r="G42" s="8" t="s">
        <v>1303</v>
      </c>
      <c r="H42" s="8"/>
      <c r="I42" s="8"/>
      <c r="J42" s="8"/>
      <c r="K42" s="8"/>
      <c r="L42" s="8"/>
      <c r="M42" s="8"/>
      <c r="N42" s="9"/>
      <c r="O42" s="8"/>
      <c r="P42" s="8"/>
      <c r="Q42" s="8">
        <v>6</v>
      </c>
      <c r="R42" s="8">
        <v>0</v>
      </c>
      <c r="S42" s="8">
        <v>6</v>
      </c>
      <c r="T42" s="8"/>
      <c r="U42" s="8"/>
      <c r="V42" s="8"/>
      <c r="W42" s="8"/>
      <c r="X42" s="8"/>
      <c r="Y42" s="8" t="s">
        <v>19</v>
      </c>
      <c r="Z42" s="8"/>
      <c r="AA42" s="8"/>
      <c r="AB42" s="8"/>
      <c r="AC42" s="8"/>
      <c r="AD42" s="8"/>
    </row>
    <row r="43" spans="1:30" ht="58">
      <c r="A43" t="s">
        <v>361</v>
      </c>
      <c r="B43" s="3" t="s">
        <v>998</v>
      </c>
      <c r="C43" s="3" t="s">
        <v>999</v>
      </c>
      <c r="F43" t="s">
        <v>19</v>
      </c>
      <c r="G43" s="8" t="s">
        <v>1305</v>
      </c>
      <c r="H43" s="8"/>
      <c r="I43" s="8"/>
      <c r="J43" s="8"/>
      <c r="K43" s="8"/>
      <c r="L43" s="8"/>
      <c r="M43" s="8"/>
      <c r="N43" s="9"/>
      <c r="O43" s="8"/>
      <c r="P43" s="8"/>
      <c r="Q43" s="8"/>
      <c r="R43" s="8" t="s">
        <v>1371</v>
      </c>
      <c r="S43" s="8" t="s">
        <v>1371</v>
      </c>
      <c r="T43" s="8"/>
      <c r="U43" s="8"/>
      <c r="V43" s="8"/>
      <c r="W43" s="8"/>
      <c r="X43" s="8"/>
      <c r="Y43" s="8" t="s">
        <v>19</v>
      </c>
      <c r="Z43" s="8"/>
      <c r="AA43" s="8"/>
      <c r="AB43" s="8"/>
      <c r="AC43" s="8"/>
      <c r="AD43" s="8"/>
    </row>
    <row r="44" spans="1:30" ht="29">
      <c r="A44" t="s">
        <v>370</v>
      </c>
      <c r="B44" s="3" t="s">
        <v>372</v>
      </c>
      <c r="C44" s="3" t="s">
        <v>371</v>
      </c>
      <c r="G44" s="8" t="s">
        <v>1305</v>
      </c>
      <c r="H44" s="8"/>
      <c r="I44" s="8"/>
      <c r="J44" s="8"/>
      <c r="K44" s="8"/>
      <c r="L44" s="8"/>
      <c r="M44" s="8"/>
      <c r="N44" s="9"/>
      <c r="O44" s="8"/>
      <c r="P44" s="8"/>
      <c r="Q44" s="8"/>
      <c r="R44" s="8" t="s">
        <v>1371</v>
      </c>
      <c r="S44" s="8" t="s">
        <v>1371</v>
      </c>
      <c r="T44" s="8"/>
      <c r="U44" s="8"/>
      <c r="V44" s="8"/>
      <c r="W44" s="8"/>
      <c r="X44" s="8"/>
      <c r="Y44" s="8" t="s">
        <v>19</v>
      </c>
      <c r="Z44" s="8"/>
      <c r="AA44" s="8"/>
      <c r="AB44" s="8"/>
      <c r="AC44" s="8"/>
      <c r="AD44" s="8"/>
    </row>
    <row r="45" spans="1:30" ht="29">
      <c r="A45" t="s">
        <v>373</v>
      </c>
      <c r="B45" s="3" t="s">
        <v>377</v>
      </c>
      <c r="C45" s="3" t="s">
        <v>378</v>
      </c>
      <c r="F45" t="s">
        <v>19</v>
      </c>
      <c r="G45" s="8" t="s">
        <v>1303</v>
      </c>
      <c r="H45" s="8"/>
      <c r="I45" s="8"/>
      <c r="J45" s="8"/>
      <c r="K45" s="8"/>
      <c r="L45" s="8"/>
      <c r="M45" s="8"/>
      <c r="N45" s="9"/>
      <c r="O45" s="8"/>
      <c r="P45" s="8"/>
      <c r="Q45" s="8">
        <v>0</v>
      </c>
      <c r="R45" s="8">
        <v>5</v>
      </c>
      <c r="S45" s="8">
        <v>5</v>
      </c>
      <c r="T45" s="8"/>
      <c r="U45" s="8"/>
      <c r="V45" s="8"/>
      <c r="W45" s="8"/>
      <c r="X45" s="8"/>
      <c r="Y45" s="8" t="s">
        <v>19</v>
      </c>
      <c r="Z45" s="8"/>
      <c r="AA45" s="8"/>
      <c r="AB45" s="8"/>
      <c r="AC45" s="8"/>
      <c r="AD45" s="8"/>
    </row>
    <row r="46" spans="1:30" ht="29">
      <c r="A46" t="s">
        <v>383</v>
      </c>
      <c r="B46" s="3" t="s">
        <v>384</v>
      </c>
      <c r="C46" s="3" t="s">
        <v>385</v>
      </c>
      <c r="G46" s="8" t="s">
        <v>1305</v>
      </c>
      <c r="H46" s="8"/>
      <c r="I46" s="8"/>
      <c r="J46" s="8"/>
      <c r="K46" s="8"/>
      <c r="L46" s="8"/>
      <c r="M46" s="8"/>
      <c r="N46" s="9"/>
      <c r="O46" s="8"/>
      <c r="P46" s="8"/>
      <c r="Q46" s="8"/>
      <c r="R46" s="8" t="s">
        <v>1371</v>
      </c>
      <c r="S46" s="8" t="s">
        <v>1371</v>
      </c>
      <c r="T46" s="8"/>
      <c r="U46" s="8"/>
      <c r="V46" s="8"/>
      <c r="W46" s="8"/>
      <c r="X46" s="8"/>
      <c r="Y46" s="8" t="s">
        <v>19</v>
      </c>
      <c r="Z46" s="8"/>
      <c r="AA46" s="8"/>
      <c r="AB46" s="8"/>
      <c r="AC46" s="8"/>
      <c r="AD46" s="8"/>
    </row>
    <row r="47" spans="1:30" ht="29">
      <c r="A47" t="s">
        <v>403</v>
      </c>
      <c r="B47" t="s">
        <v>1037</v>
      </c>
      <c r="C47" s="3" t="s">
        <v>1036</v>
      </c>
      <c r="G47" s="8" t="s">
        <v>1305</v>
      </c>
      <c r="H47" s="8"/>
      <c r="I47" s="8"/>
      <c r="J47" s="8"/>
      <c r="K47" s="8"/>
      <c r="L47" s="8"/>
      <c r="M47" s="8"/>
      <c r="N47" s="9"/>
      <c r="O47" s="8"/>
      <c r="P47" s="8"/>
      <c r="Q47" s="8"/>
      <c r="R47" s="8" t="s">
        <v>1371</v>
      </c>
      <c r="S47" s="8" t="s">
        <v>1371</v>
      </c>
      <c r="T47" s="8"/>
      <c r="U47" s="8"/>
      <c r="V47" s="8"/>
      <c r="W47" s="8"/>
      <c r="X47" s="8"/>
      <c r="Y47" s="8" t="s">
        <v>19</v>
      </c>
      <c r="Z47" s="8"/>
      <c r="AA47" s="8"/>
      <c r="AB47" s="8"/>
      <c r="AC47" s="8"/>
      <c r="AD47" s="8"/>
    </row>
    <row r="48" spans="1:30" ht="43.5">
      <c r="A48" t="s">
        <v>408</v>
      </c>
      <c r="B48" s="3" t="s">
        <v>1040</v>
      </c>
      <c r="C48" s="3" t="s">
        <v>1041</v>
      </c>
      <c r="F48" t="s">
        <v>19</v>
      </c>
      <c r="G48" s="8" t="s">
        <v>1303</v>
      </c>
      <c r="H48" s="8"/>
      <c r="I48" s="8"/>
      <c r="J48" s="8"/>
      <c r="K48" s="8"/>
      <c r="L48" s="8"/>
      <c r="M48" s="8"/>
      <c r="N48" s="9"/>
      <c r="O48" s="8"/>
      <c r="P48" s="8"/>
      <c r="Q48" s="8">
        <v>0</v>
      </c>
      <c r="R48" s="8">
        <v>3</v>
      </c>
      <c r="S48" s="8">
        <v>3</v>
      </c>
      <c r="T48" s="8"/>
      <c r="U48" s="8"/>
      <c r="V48" s="8"/>
      <c r="W48" s="8"/>
      <c r="X48" s="8"/>
      <c r="Y48" s="8" t="s">
        <v>19</v>
      </c>
      <c r="Z48" s="8"/>
      <c r="AA48" s="8"/>
      <c r="AB48" s="8"/>
      <c r="AC48" s="8"/>
      <c r="AD48" s="8"/>
    </row>
    <row r="49" spans="1:30" ht="43.5">
      <c r="A49" t="s">
        <v>415</v>
      </c>
      <c r="B49" s="3" t="s">
        <v>1049</v>
      </c>
      <c r="C49" s="3" t="s">
        <v>1050</v>
      </c>
      <c r="F49" t="s">
        <v>19</v>
      </c>
      <c r="G49" s="8" t="s">
        <v>24</v>
      </c>
      <c r="H49" s="8">
        <v>0</v>
      </c>
      <c r="I49" s="8">
        <v>1</v>
      </c>
      <c r="J49" s="8">
        <v>3</v>
      </c>
      <c r="K49" s="8" t="s">
        <v>1268</v>
      </c>
      <c r="L49" s="8" t="s">
        <v>1263</v>
      </c>
      <c r="M49" s="8"/>
      <c r="N49" s="9"/>
      <c r="O49" s="8"/>
      <c r="P49" s="8">
        <v>1701</v>
      </c>
      <c r="Q49" s="8"/>
      <c r="R49" s="8" t="s">
        <v>1371</v>
      </c>
      <c r="S49" s="8" t="s">
        <v>1371</v>
      </c>
      <c r="T49" s="8"/>
      <c r="U49" s="8"/>
      <c r="V49" s="8"/>
      <c r="W49" s="8"/>
      <c r="X49" s="8"/>
      <c r="Y49" s="8" t="s">
        <v>19</v>
      </c>
      <c r="Z49" s="8"/>
      <c r="AA49" s="8"/>
      <c r="AB49" s="8"/>
      <c r="AC49" s="8"/>
      <c r="AD49" s="8"/>
    </row>
    <row r="50" spans="1:30" ht="29">
      <c r="A50" t="s">
        <v>416</v>
      </c>
      <c r="B50" s="3" t="s">
        <v>1051</v>
      </c>
      <c r="C50" s="3" t="s">
        <v>1052</v>
      </c>
      <c r="G50" s="8" t="s">
        <v>25</v>
      </c>
      <c r="H50" s="8">
        <v>0</v>
      </c>
      <c r="I50" s="8">
        <v>1</v>
      </c>
      <c r="J50" s="8">
        <v>3</v>
      </c>
      <c r="K50" s="8" t="s">
        <v>1308</v>
      </c>
      <c r="L50" s="8" t="s">
        <v>1263</v>
      </c>
      <c r="M50" s="8"/>
      <c r="N50" s="9"/>
      <c r="O50" s="8"/>
      <c r="P50" s="8">
        <v>204</v>
      </c>
      <c r="Q50" s="8"/>
      <c r="R50" s="8" t="s">
        <v>1371</v>
      </c>
      <c r="S50" s="8" t="s">
        <v>1371</v>
      </c>
      <c r="T50" s="8"/>
      <c r="U50" s="8"/>
      <c r="V50" s="8"/>
      <c r="W50" s="8"/>
      <c r="X50" s="8"/>
      <c r="Y50" s="8" t="s">
        <v>19</v>
      </c>
      <c r="Z50" s="8"/>
      <c r="AA50" s="8"/>
      <c r="AB50" s="8"/>
      <c r="AC50" s="8"/>
      <c r="AD50" s="8"/>
    </row>
    <row r="51" spans="1:30" ht="43.5">
      <c r="A51" t="s">
        <v>440</v>
      </c>
      <c r="B51" s="3" t="s">
        <v>1088</v>
      </c>
      <c r="C51" s="3" t="s">
        <v>1089</v>
      </c>
      <c r="F51" t="s">
        <v>19</v>
      </c>
      <c r="G51" s="8" t="s">
        <v>24</v>
      </c>
      <c r="H51" s="8">
        <v>0</v>
      </c>
      <c r="I51" s="8">
        <v>1</v>
      </c>
      <c r="J51" s="8">
        <v>3</v>
      </c>
      <c r="K51" s="8" t="s">
        <v>1308</v>
      </c>
      <c r="L51" s="8" t="s">
        <v>1263</v>
      </c>
      <c r="M51" s="8"/>
      <c r="N51" s="9"/>
      <c r="O51" s="8"/>
      <c r="P51" s="8">
        <v>14</v>
      </c>
      <c r="Q51" s="8"/>
      <c r="R51" s="8" t="s">
        <v>1371</v>
      </c>
      <c r="S51" s="8" t="s">
        <v>1371</v>
      </c>
      <c r="T51" s="8"/>
      <c r="U51" s="8"/>
      <c r="V51" s="8"/>
      <c r="W51" s="8"/>
      <c r="X51" s="8"/>
      <c r="Y51" s="8" t="s">
        <v>19</v>
      </c>
      <c r="Z51" s="8"/>
      <c r="AA51" s="8"/>
      <c r="AB51" s="8"/>
      <c r="AC51" s="8"/>
      <c r="AD51" s="8"/>
    </row>
    <row r="52" spans="1:30" ht="43.5">
      <c r="A52" t="s">
        <v>443</v>
      </c>
      <c r="B52" s="3" t="s">
        <v>1091</v>
      </c>
      <c r="C52" s="3" t="s">
        <v>1092</v>
      </c>
      <c r="G52" s="8" t="s">
        <v>1303</v>
      </c>
      <c r="H52" s="8"/>
      <c r="I52" s="8"/>
      <c r="J52" s="8"/>
      <c r="K52" s="8"/>
      <c r="L52" s="8"/>
      <c r="M52" s="8"/>
      <c r="N52" s="9"/>
      <c r="O52" s="8"/>
      <c r="P52" s="8"/>
      <c r="Q52" s="8">
        <v>118</v>
      </c>
      <c r="R52" s="8">
        <v>132</v>
      </c>
      <c r="S52" s="8">
        <v>250</v>
      </c>
      <c r="T52" s="8"/>
      <c r="U52" s="8"/>
      <c r="V52" s="8"/>
      <c r="W52" s="8"/>
      <c r="X52" s="8"/>
      <c r="Y52" s="8" t="s">
        <v>19</v>
      </c>
      <c r="Z52" s="8"/>
      <c r="AA52" s="8"/>
      <c r="AB52" s="8"/>
      <c r="AC52" s="8"/>
      <c r="AD52" s="8"/>
    </row>
    <row r="53" spans="1:30" ht="29">
      <c r="A53" t="s">
        <v>444</v>
      </c>
      <c r="B53" s="3" t="s">
        <v>1095</v>
      </c>
      <c r="C53" s="3" t="s">
        <v>1096</v>
      </c>
      <c r="G53" s="8" t="s">
        <v>1303</v>
      </c>
      <c r="H53" s="8"/>
      <c r="I53" s="8"/>
      <c r="J53" s="8"/>
      <c r="K53" s="8"/>
      <c r="L53" s="8"/>
      <c r="M53" s="8"/>
      <c r="N53" s="9"/>
      <c r="O53" s="8"/>
      <c r="P53" s="8"/>
      <c r="Q53" s="8">
        <v>-118</v>
      </c>
      <c r="R53" s="8">
        <v>250</v>
      </c>
      <c r="S53" s="8">
        <v>132</v>
      </c>
      <c r="T53" s="8"/>
      <c r="U53" s="8"/>
      <c r="V53" s="8"/>
      <c r="W53" s="8"/>
      <c r="X53" s="8"/>
      <c r="Y53" s="8" t="s">
        <v>19</v>
      </c>
      <c r="Z53" s="8"/>
      <c r="AA53" s="8"/>
      <c r="AB53" s="8"/>
      <c r="AC53" s="8"/>
      <c r="AD53" s="8"/>
    </row>
    <row r="54" spans="1:30" ht="29">
      <c r="A54" t="s">
        <v>479</v>
      </c>
      <c r="B54" s="3" t="s">
        <v>1051</v>
      </c>
      <c r="C54" s="3" t="s">
        <v>1052</v>
      </c>
      <c r="F54" t="s">
        <v>19</v>
      </c>
      <c r="G54" s="8" t="s">
        <v>25</v>
      </c>
      <c r="H54" s="8">
        <v>0</v>
      </c>
      <c r="I54" s="8">
        <v>1</v>
      </c>
      <c r="J54" s="8">
        <v>3</v>
      </c>
      <c r="K54" s="8" t="s">
        <v>1308</v>
      </c>
      <c r="L54" s="8" t="s">
        <v>1263</v>
      </c>
      <c r="M54" s="8"/>
      <c r="N54" s="9"/>
      <c r="O54" s="8"/>
      <c r="P54" s="8">
        <v>204</v>
      </c>
      <c r="Q54" s="8"/>
      <c r="R54" s="8" t="s">
        <v>1371</v>
      </c>
      <c r="S54" s="8" t="s">
        <v>1371</v>
      </c>
      <c r="T54" s="8"/>
      <c r="U54" s="8"/>
      <c r="V54" s="8"/>
      <c r="W54" s="8"/>
      <c r="X54" s="8"/>
      <c r="Y54" s="8" t="s">
        <v>19</v>
      </c>
      <c r="Z54" s="8"/>
      <c r="AA54" s="8"/>
      <c r="AB54" s="8"/>
      <c r="AC54" s="8"/>
      <c r="AD54" s="8"/>
    </row>
    <row r="55" spans="1:30">
      <c r="A55" t="s">
        <v>497</v>
      </c>
      <c r="B55" s="3" t="s">
        <v>498</v>
      </c>
      <c r="C55" s="3" t="s">
        <v>499</v>
      </c>
      <c r="F55" t="s">
        <v>19</v>
      </c>
      <c r="G55" s="8" t="s">
        <v>1305</v>
      </c>
      <c r="H55" s="8"/>
      <c r="I55" s="8"/>
      <c r="J55" s="8"/>
      <c r="K55" s="8"/>
      <c r="L55" s="8"/>
      <c r="M55" s="8"/>
      <c r="N55" s="9"/>
      <c r="O55" s="8"/>
      <c r="P55" s="8"/>
      <c r="Q55" s="8"/>
      <c r="R55" s="8" t="s">
        <v>1371</v>
      </c>
      <c r="S55" s="8" t="s">
        <v>1371</v>
      </c>
      <c r="T55" s="8"/>
      <c r="U55" s="8"/>
      <c r="V55" s="8"/>
      <c r="W55" s="8"/>
      <c r="X55" s="8"/>
      <c r="Y55" s="8" t="s">
        <v>19</v>
      </c>
      <c r="Z55" s="8"/>
      <c r="AA55" s="8"/>
      <c r="AB55" s="8"/>
      <c r="AC55" s="8"/>
      <c r="AD55" s="8"/>
    </row>
    <row r="56" spans="1:30" ht="29">
      <c r="A56" t="s">
        <v>510</v>
      </c>
      <c r="B56" s="3" t="s">
        <v>1172</v>
      </c>
      <c r="C56" s="3" t="s">
        <v>1173</v>
      </c>
      <c r="F56" t="s">
        <v>19</v>
      </c>
      <c r="G56" s="8" t="s">
        <v>25</v>
      </c>
      <c r="H56" s="8">
        <v>0</v>
      </c>
      <c r="I56" s="8">
        <v>1</v>
      </c>
      <c r="J56" s="8">
        <v>3</v>
      </c>
      <c r="K56" s="8" t="s">
        <v>1276</v>
      </c>
      <c r="L56" s="8" t="s">
        <v>1263</v>
      </c>
      <c r="M56" s="8"/>
      <c r="N56" s="9"/>
      <c r="O56" s="8"/>
      <c r="P56" s="8">
        <v>210</v>
      </c>
      <c r="Q56" s="8"/>
      <c r="R56" s="8" t="s">
        <v>1371</v>
      </c>
      <c r="S56" s="8" t="s">
        <v>1371</v>
      </c>
      <c r="T56" s="8"/>
      <c r="U56" s="8"/>
      <c r="V56" s="8"/>
      <c r="W56" s="8"/>
      <c r="X56" s="8"/>
      <c r="Y56" s="8" t="s">
        <v>19</v>
      </c>
      <c r="Z56" s="8"/>
      <c r="AA56" s="8"/>
      <c r="AB56" s="8"/>
      <c r="AC56" s="8"/>
      <c r="AD56" s="8"/>
    </row>
    <row r="57" spans="1:30" ht="29">
      <c r="A57" t="s">
        <v>525</v>
      </c>
      <c r="B57" s="3" t="s">
        <v>1187</v>
      </c>
      <c r="C57" s="3" t="s">
        <v>1188</v>
      </c>
      <c r="F57" t="s">
        <v>19</v>
      </c>
      <c r="G57" s="8" t="s">
        <v>1303</v>
      </c>
      <c r="H57" s="8"/>
      <c r="I57" s="8"/>
      <c r="J57" s="8"/>
      <c r="K57" s="8"/>
      <c r="L57" s="8"/>
      <c r="M57" s="8"/>
      <c r="N57" s="9"/>
      <c r="O57" s="8"/>
      <c r="P57" s="8"/>
      <c r="Q57" s="8">
        <v>-87</v>
      </c>
      <c r="R57" s="8">
        <v>830</v>
      </c>
      <c r="S57" s="8">
        <v>743</v>
      </c>
      <c r="T57" s="8"/>
      <c r="U57" s="8"/>
      <c r="V57" s="8"/>
      <c r="W57" s="8"/>
      <c r="X57" s="8"/>
      <c r="Y57" s="8" t="s">
        <v>19</v>
      </c>
      <c r="Z57" s="8"/>
      <c r="AA57" s="8"/>
      <c r="AB57" s="8"/>
      <c r="AC57" s="8"/>
      <c r="AD57" s="8"/>
    </row>
    <row r="58" spans="1:30" ht="58">
      <c r="A58" t="s">
        <v>550</v>
      </c>
      <c r="B58" s="3" t="s">
        <v>1205</v>
      </c>
      <c r="C58" s="3" t="s">
        <v>1206</v>
      </c>
      <c r="F58" t="s">
        <v>19</v>
      </c>
      <c r="G58" s="8" t="s">
        <v>25</v>
      </c>
      <c r="H58" s="8">
        <v>0</v>
      </c>
      <c r="I58" s="8">
        <v>1</v>
      </c>
      <c r="J58" s="8">
        <v>5</v>
      </c>
      <c r="K58" s="8" t="s">
        <v>1274</v>
      </c>
      <c r="L58" s="8" t="s">
        <v>1263</v>
      </c>
      <c r="M58" s="8"/>
      <c r="N58" s="9"/>
      <c r="O58" s="8"/>
      <c r="P58" s="8">
        <v>830</v>
      </c>
      <c r="Q58" s="8"/>
      <c r="R58" s="8" t="s">
        <v>1371</v>
      </c>
      <c r="S58" s="8" t="s">
        <v>1371</v>
      </c>
      <c r="T58" s="8"/>
      <c r="U58" s="8"/>
      <c r="V58" s="8"/>
      <c r="W58" s="8"/>
      <c r="X58" s="8"/>
      <c r="Y58" s="8" t="s">
        <v>19</v>
      </c>
      <c r="Z58" s="8"/>
      <c r="AA58" s="8"/>
      <c r="AB58" s="8"/>
      <c r="AC58" s="8"/>
      <c r="AD58" s="8"/>
    </row>
    <row r="59" spans="1:30" ht="43.5">
      <c r="A59" t="s">
        <v>555</v>
      </c>
      <c r="B59" s="3" t="s">
        <v>1210</v>
      </c>
      <c r="C59" s="3" t="s">
        <v>1209</v>
      </c>
      <c r="G59" s="8" t="s">
        <v>25</v>
      </c>
      <c r="H59" s="8">
        <v>0</v>
      </c>
      <c r="I59" s="8">
        <v>1</v>
      </c>
      <c r="J59" s="8">
        <v>3</v>
      </c>
      <c r="K59" s="8" t="s">
        <v>1274</v>
      </c>
      <c r="L59" s="8" t="s">
        <v>1263</v>
      </c>
      <c r="M59" s="8"/>
      <c r="N59" s="9"/>
      <c r="O59" s="8"/>
      <c r="P59" s="8">
        <v>312</v>
      </c>
      <c r="Q59" s="8"/>
      <c r="R59" s="8" t="s">
        <v>1371</v>
      </c>
      <c r="S59" s="8" t="s">
        <v>1371</v>
      </c>
      <c r="T59" s="8"/>
      <c r="U59" s="8"/>
      <c r="V59" s="8"/>
      <c r="W59" s="8"/>
      <c r="X59" s="8"/>
      <c r="Y59" s="8" t="s">
        <v>19</v>
      </c>
      <c r="Z59" s="8"/>
      <c r="AA59" s="8"/>
      <c r="AB59" s="8"/>
      <c r="AC59" s="8"/>
      <c r="AD59" s="8"/>
    </row>
    <row r="60" spans="1:30" ht="29">
      <c r="A60" t="s">
        <v>557</v>
      </c>
      <c r="B60" s="3" t="s">
        <v>1211</v>
      </c>
      <c r="C60" s="3" t="s">
        <v>1212</v>
      </c>
      <c r="F60" t="s">
        <v>19</v>
      </c>
      <c r="G60" s="8" t="s">
        <v>25</v>
      </c>
      <c r="H60" s="8">
        <v>0</v>
      </c>
      <c r="I60" s="8">
        <v>1</v>
      </c>
      <c r="J60" s="8">
        <v>3</v>
      </c>
      <c r="K60" s="8" t="s">
        <v>1262</v>
      </c>
      <c r="L60" s="8" t="s">
        <v>1263</v>
      </c>
      <c r="M60" s="8"/>
      <c r="N60" s="9"/>
      <c r="O60" s="8"/>
      <c r="P60" s="8">
        <v>2475</v>
      </c>
      <c r="Q60" s="8"/>
      <c r="R60" s="8" t="s">
        <v>1371</v>
      </c>
      <c r="S60" s="8" t="s">
        <v>1371</v>
      </c>
      <c r="T60" s="8"/>
      <c r="U60" s="8"/>
      <c r="V60" s="8"/>
      <c r="W60" s="8"/>
      <c r="X60" s="8"/>
      <c r="Y60" s="8" t="s">
        <v>19</v>
      </c>
      <c r="Z60" s="8"/>
      <c r="AA60" s="8"/>
      <c r="AB60" s="8"/>
      <c r="AC60" s="8"/>
      <c r="AD60" s="8"/>
    </row>
    <row r="61" spans="1:30" ht="43.5">
      <c r="A61" t="s">
        <v>558</v>
      </c>
      <c r="B61" s="3" t="s">
        <v>1215</v>
      </c>
      <c r="C61" s="3" t="s">
        <v>1216</v>
      </c>
      <c r="G61" s="8" t="s">
        <v>1303</v>
      </c>
      <c r="H61" s="8"/>
      <c r="I61" s="8"/>
      <c r="J61" s="8"/>
      <c r="K61" s="8"/>
      <c r="L61" s="8"/>
      <c r="M61" s="8"/>
      <c r="N61" s="9"/>
      <c r="O61" s="8"/>
      <c r="P61" s="8"/>
      <c r="Q61" s="8">
        <v>-1</v>
      </c>
      <c r="R61" s="8">
        <v>1</v>
      </c>
      <c r="S61" s="8">
        <v>0</v>
      </c>
      <c r="T61" s="8"/>
      <c r="U61" s="8"/>
      <c r="V61" s="8"/>
      <c r="W61" s="8"/>
      <c r="X61" s="8"/>
      <c r="Y61" s="8" t="s">
        <v>19</v>
      </c>
      <c r="Z61" s="8"/>
      <c r="AA61" s="8"/>
      <c r="AB61" s="8"/>
      <c r="AC61" s="8"/>
      <c r="AD61" s="8"/>
    </row>
    <row r="62" spans="1:30" ht="43.5">
      <c r="A62" t="s">
        <v>574</v>
      </c>
      <c r="B62" s="3" t="s">
        <v>1229</v>
      </c>
      <c r="C62" s="3" t="s">
        <v>1230</v>
      </c>
      <c r="F62" t="s">
        <v>19</v>
      </c>
      <c r="G62" s="8" t="s">
        <v>1303</v>
      </c>
      <c r="H62" s="8"/>
      <c r="I62" s="8"/>
      <c r="J62" s="8"/>
      <c r="K62" s="8"/>
      <c r="L62" s="8"/>
      <c r="M62" s="8"/>
      <c r="N62" s="9"/>
      <c r="O62" s="8"/>
      <c r="P62" s="8"/>
      <c r="Q62" s="8">
        <v>1515</v>
      </c>
      <c r="R62" s="8">
        <v>186</v>
      </c>
      <c r="S62" s="8">
        <v>1701</v>
      </c>
      <c r="T62" s="8"/>
      <c r="U62" s="8"/>
      <c r="V62" s="8"/>
      <c r="W62" s="8"/>
      <c r="X62" s="8"/>
      <c r="Y62" s="8" t="s">
        <v>19</v>
      </c>
      <c r="Z62" s="8"/>
      <c r="AA62" s="8"/>
      <c r="AB62" s="8"/>
      <c r="AC62" s="8"/>
      <c r="AD62" s="8"/>
    </row>
    <row r="63" spans="1:30" ht="43.5">
      <c r="A63" t="s">
        <v>601</v>
      </c>
      <c r="B63" s="3" t="s">
        <v>1248</v>
      </c>
      <c r="C63" s="3" t="s">
        <v>1249</v>
      </c>
      <c r="F63" t="s">
        <v>19</v>
      </c>
      <c r="G63" s="8" t="s">
        <v>25</v>
      </c>
      <c r="H63" s="8">
        <v>0</v>
      </c>
      <c r="I63" s="8">
        <v>1</v>
      </c>
      <c r="J63" s="8">
        <v>2</v>
      </c>
      <c r="K63" s="8" t="s">
        <v>1266</v>
      </c>
      <c r="L63" s="8" t="s">
        <v>1304</v>
      </c>
      <c r="M63" s="8"/>
      <c r="N63" s="9"/>
      <c r="O63" s="8"/>
      <c r="P63" s="8">
        <v>129</v>
      </c>
      <c r="Q63" s="8"/>
      <c r="R63" s="8" t="s">
        <v>1371</v>
      </c>
      <c r="S63" s="8" t="s">
        <v>1371</v>
      </c>
      <c r="T63" s="8"/>
      <c r="U63" s="8"/>
      <c r="V63" s="8"/>
      <c r="W63" s="8"/>
      <c r="X63" s="8"/>
      <c r="Y63" s="8" t="s">
        <v>19</v>
      </c>
      <c r="Z63" s="8"/>
      <c r="AA63" s="8"/>
      <c r="AB63" s="8"/>
      <c r="AC63" s="8"/>
      <c r="AD63" s="8"/>
    </row>
    <row r="64" spans="1:30">
      <c r="R64" s="8"/>
      <c r="S64" s="8"/>
    </row>
    <row r="65" spans="6:19">
      <c r="R65" s="8"/>
      <c r="S65" s="8"/>
    </row>
    <row r="66" spans="6:19">
      <c r="R66" s="8"/>
      <c r="S66" s="8"/>
    </row>
    <row r="67" spans="6:19">
      <c r="F67">
        <f>COUNTIF(F2:F63,"Yes")</f>
        <v>40</v>
      </c>
      <c r="R67" s="8"/>
      <c r="S67" s="8"/>
    </row>
    <row r="68" spans="6:19">
      <c r="R68" s="8"/>
      <c r="S68" s="8"/>
    </row>
    <row r="69" spans="6:19">
      <c r="R69" s="8"/>
      <c r="S69" s="8"/>
    </row>
    <row r="70" spans="6:19">
      <c r="R70" s="8"/>
      <c r="S70" s="8"/>
    </row>
    <row r="71" spans="6:19">
      <c r="R71" s="8"/>
      <c r="S71" s="8"/>
    </row>
    <row r="72" spans="6:19">
      <c r="R72" s="8"/>
      <c r="S72" s="8"/>
    </row>
    <row r="73" spans="6:19">
      <c r="R73" s="8"/>
      <c r="S73" s="8"/>
    </row>
    <row r="74" spans="6:19">
      <c r="R74" s="8"/>
      <c r="S74" s="8"/>
    </row>
  </sheetData>
  <autoFilter ref="A1:AE1" xr:uid="{73B2213B-1077-4CD5-951C-F8F67FA80674}"/>
  <conditionalFormatting sqref="G2:G63">
    <cfRule type="expression" dxfId="229" priority="28">
      <formula>$I2&lt;&gt;""</formula>
    </cfRule>
    <cfRule type="expression" dxfId="228" priority="29">
      <formula>$I2=""</formula>
    </cfRule>
  </conditionalFormatting>
  <conditionalFormatting sqref="H2:L63 O2:P63">
    <cfRule type="expression" dxfId="227" priority="26">
      <formula>AND(OR($I2="Addition",$I2="Omission"), H2="")</formula>
    </cfRule>
    <cfRule type="expression" dxfId="226" priority="27">
      <formula>AND($I2&lt;&gt;"Addition",$I2&lt;&gt;"Omission",$I2&lt;&gt;"Substitution - Word")</formula>
    </cfRule>
  </conditionalFormatting>
  <conditionalFormatting sqref="H2:P63">
    <cfRule type="expression" dxfId="225" priority="25">
      <formula>AND(OR($I2="Addition",$I2="Omission"), H2&lt;&gt;"")</formula>
    </cfRule>
  </conditionalFormatting>
  <conditionalFormatting sqref="K2:K63">
    <cfRule type="expression" dxfId="224" priority="20">
      <formula>AND($K2&lt;&gt;"",$K2&gt;1)</formula>
    </cfRule>
  </conditionalFormatting>
  <conditionalFormatting sqref="M2:N63">
    <cfRule type="expression" dxfId="223" priority="16">
      <formula>$N2="Absent"</formula>
    </cfRule>
    <cfRule type="expression" dxfId="222" priority="17">
      <formula>$N2="NA"</formula>
    </cfRule>
    <cfRule type="expression" dxfId="221" priority="18">
      <formula>AND(OR($I2="Addition",$I2="Omission"), M2="")</formula>
    </cfRule>
    <cfRule type="expression" dxfId="220" priority="19">
      <formula>AND($I2&lt;&gt;"Addition",$I2&lt;&gt;"Omission")</formula>
    </cfRule>
  </conditionalFormatting>
  <conditionalFormatting sqref="O2:O63">
    <cfRule type="expression" dxfId="219" priority="21">
      <formula>OR($I2="Addition",$I2="Omission",$I2 = "Substitution - Word")</formula>
    </cfRule>
  </conditionalFormatting>
  <conditionalFormatting sqref="Q2:S63 R2:S74">
    <cfRule type="expression" dxfId="218" priority="22">
      <formula>AND(AND(LEFT($I2,3)="Sub", RIGHT($I2,4)&lt;&gt;"Form"),$S2&lt;&gt;"")</formula>
    </cfRule>
    <cfRule type="expression" dxfId="217" priority="23">
      <formula>AND(AND(LEFT($I2,3)="Sub", RIGHT($I2,4)&lt;&gt;"Form"),$S2="")</formula>
    </cfRule>
    <cfRule type="expression" dxfId="216" priority="24">
      <formula>"&lt;&gt;AND(LEFT($J2,3)=""Sub"", RIGHT($J2,4)&lt;&gt;""Form"")"</formula>
    </cfRule>
  </conditionalFormatting>
  <conditionalFormatting sqref="T2:T63">
    <cfRule type="expression" dxfId="215" priority="9">
      <formula>AND($V2&lt;&gt;"",OR($AD2="Yes",$AE2&lt;&gt;""))</formula>
    </cfRule>
    <cfRule type="expression" dxfId="214" priority="10">
      <formula>OR($AD2="Yes",$AE2&lt;&gt;"")</formula>
    </cfRule>
    <cfRule type="expression" dxfId="213" priority="11">
      <formula>AND($I2&lt;&gt;"",$I2&lt;&gt;"Unclear due to correction")</formula>
    </cfRule>
    <cfRule type="expression" dxfId="212" priority="14">
      <formula>OR($I2="",$I2="Unclear due to correction")</formula>
    </cfRule>
    <cfRule type="expression" dxfId="211" priority="15">
      <formula>AND($AD2&lt;&gt;"Yes",$AE2="")</formula>
    </cfRule>
  </conditionalFormatting>
  <conditionalFormatting sqref="U2:U63">
    <cfRule type="expression" dxfId="210" priority="8">
      <formula>AND($I2&lt;&gt;"",$I2&lt;&gt;"Unclear due to correction",$W2="")</formula>
    </cfRule>
  </conditionalFormatting>
  <conditionalFormatting sqref="U2:AD63">
    <cfRule type="expression" dxfId="209" priority="30">
      <formula>AND($I2&lt;&gt;"",$I2&lt;&gt;"Unclear due to correction")</formula>
    </cfRule>
    <cfRule type="expression" dxfId="208" priority="31">
      <formula>OR($I2="",$I2="Unclear due to correction")</formula>
    </cfRule>
  </conditionalFormatting>
  <conditionalFormatting sqref="V2:V63">
    <cfRule type="expression" dxfId="207" priority="12">
      <formula>AND($W2="Yes",$X2="")</formula>
    </cfRule>
    <cfRule type="expression" dxfId="206" priority="13">
      <formula>$W2=""</formula>
    </cfRule>
  </conditionalFormatting>
  <conditionalFormatting sqref="W2:W63">
    <cfRule type="expression" dxfId="205" priority="6">
      <formula>$Y2&lt;&gt;""</formula>
    </cfRule>
  </conditionalFormatting>
  <conditionalFormatting sqref="X2:Y63">
    <cfRule type="expression" dxfId="204" priority="4">
      <formula>AND($Y2&lt;&gt;"",X2&lt;&gt;"")</formula>
    </cfRule>
    <cfRule type="expression" dxfId="203" priority="5">
      <formula>$Y2&lt;&gt;""</formula>
    </cfRule>
  </conditionalFormatting>
  <conditionalFormatting sqref="AB2:AB63">
    <cfRule type="expression" dxfId="202" priority="7">
      <formula>AND(OR($AB2&lt;&gt;"",$AC2&lt;&gt;""),$AD2="")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7">
        <x14:dataValidation type="list" allowBlank="1" showInputMessage="1" showErrorMessage="1" xr:uid="{0F707ADA-A8D7-4FBC-A9C1-C9A6DA7D3F6C}">
          <x14:formula1>
            <xm:f>'Data Regularization'!$P$2:$P$4</xm:f>
          </x14:formula1>
          <xm:sqref>AE64:AE1048576</xm:sqref>
        </x14:dataValidation>
        <x14:dataValidation type="list" allowBlank="1" showInputMessage="1" showErrorMessage="1" xr:uid="{BE70AF62-A9C0-4985-9219-37FE948D5298}">
          <x14:formula1>
            <xm:f>'Data Regularization'!$C$2:$C$25</xm:f>
          </x14:formula1>
          <xm:sqref>F2:F51 F53:F63</xm:sqref>
        </x14:dataValidation>
        <x14:dataValidation type="list" allowBlank="1" showInputMessage="1" showErrorMessage="1" xr:uid="{BAD75B1E-F196-42A0-B293-D876D202A1D0}">
          <x14:formula1>
            <xm:f>'Data Regularization'!$A$2:$A$1048576</xm:f>
          </x14:formula1>
          <xm:sqref>D2:D51 D53:D63</xm:sqref>
        </x14:dataValidation>
        <x14:dataValidation type="list" allowBlank="1" showInputMessage="1" showErrorMessage="1" xr:uid="{010D826A-A9C2-4105-982E-E76E7F05C2B6}">
          <x14:formula1>
            <xm:f>'Data Regularization'!$B$2:$B$1048576</xm:f>
          </x14:formula1>
          <xm:sqref>E2:E51 E53:E63</xm:sqref>
        </x14:dataValidation>
        <x14:dataValidation type="list" allowBlank="1" showInputMessage="1" showErrorMessage="1" xr:uid="{F1355F9B-9C6F-49A1-8FE1-23DF30463F2A}">
          <x14:formula1>
            <xm:f>'Data Regularization'!$D$2:$D$1048576</xm:f>
          </x14:formula1>
          <xm:sqref>X2:X63 G2:G63</xm:sqref>
        </x14:dataValidation>
        <x14:dataValidation type="list" allowBlank="1" showInputMessage="1" showErrorMessage="1" xr:uid="{474203E0-55EA-4F34-B0A3-1D4682C17934}">
          <x14:formula1>
            <xm:f>'Data Regularization'!$E$2:$E$1048576</xm:f>
          </x14:formula1>
          <xm:sqref>K2:K63</xm:sqref>
        </x14:dataValidation>
        <x14:dataValidation type="list" allowBlank="1" showInputMessage="1" showErrorMessage="1" xr:uid="{B5B7225A-2142-4BD4-93AD-EDC5A6DB0609}">
          <x14:formula1>
            <xm:f>'Data Regularization'!$F$2:$F$1048576</xm:f>
          </x14:formula1>
          <xm:sqref>L2:L63</xm:sqref>
        </x14:dataValidation>
        <x14:dataValidation type="list" allowBlank="1" showInputMessage="1" showErrorMessage="1" xr:uid="{21FE1FCD-96A4-4F8D-9B71-62D083B345CE}">
          <x14:formula1>
            <xm:f>'Data Regularization'!$G$2:$G$1048576</xm:f>
          </x14:formula1>
          <xm:sqref>O2:O63</xm:sqref>
        </x14:dataValidation>
        <x14:dataValidation type="list" allowBlank="1" showInputMessage="1" showErrorMessage="1" xr:uid="{95E80511-2C73-4AF8-BFE4-43B193D2FF74}">
          <x14:formula1>
            <xm:f>'Data Regularization'!$K$2:$K$1048576</xm:f>
          </x14:formula1>
          <xm:sqref>V2:V63</xm:sqref>
        </x14:dataValidation>
        <x14:dataValidation type="list" allowBlank="1" showInputMessage="1" showErrorMessage="1" xr:uid="{C97D8142-F938-4AC8-A3FC-275F525D4A3B}">
          <x14:formula1>
            <xm:f>'Data Regularization'!$L$2:$L$1048576</xm:f>
          </x14:formula1>
          <xm:sqref>W2:W63</xm:sqref>
        </x14:dataValidation>
        <x14:dataValidation type="list" allowBlank="1" showInputMessage="1" showErrorMessage="1" xr:uid="{7E30E522-2DC4-496E-BAFD-BA6F5B950546}">
          <x14:formula1>
            <xm:f>'Data Regularization'!$N$2:$N$1048576</xm:f>
          </x14:formula1>
          <xm:sqref>Y2:Y63</xm:sqref>
        </x14:dataValidation>
        <x14:dataValidation type="list" allowBlank="1" showInputMessage="1" showErrorMessage="1" xr:uid="{35794884-7189-4371-B01A-90F1769DE5BF}">
          <x14:formula1>
            <xm:f>'Data Regularization'!$O$2:$O$1048576</xm:f>
          </x14:formula1>
          <xm:sqref>Z2:Z63</xm:sqref>
        </x14:dataValidation>
        <x14:dataValidation type="list" allowBlank="1" showInputMessage="1" showErrorMessage="1" xr:uid="{28C2A0B1-AC30-4AEE-A9FD-28CBB50652B1}">
          <x14:formula1>
            <xm:f>'Data Regularization'!$P$2:$P$1048576</xm:f>
          </x14:formula1>
          <xm:sqref>AB2:AB63</xm:sqref>
        </x14:dataValidation>
        <x14:dataValidation type="list" allowBlank="1" showInputMessage="1" showErrorMessage="1" xr:uid="{3C19F5D4-02C1-4155-AE13-E6A05E3B0D34}">
          <x14:formula1>
            <xm:f>'Data Regularization'!$Q$2:$Q$1048576</xm:f>
          </x14:formula1>
          <xm:sqref>AC2:AC63</xm:sqref>
        </x14:dataValidation>
        <x14:dataValidation type="list" allowBlank="1" showInputMessage="1" showErrorMessage="1" xr:uid="{6C97CD81-631E-4DE1-A2D6-B342316C8663}">
          <x14:formula1>
            <xm:f>'Data Regularization'!$H$2:$H$1048576</xm:f>
          </x14:formula1>
          <xm:sqref>T2:T63</xm:sqref>
        </x14:dataValidation>
        <x14:dataValidation type="list" allowBlank="1" showInputMessage="1" xr:uid="{D39575EC-B510-4BCC-A362-1156BE56A372}">
          <x14:formula1>
            <xm:f>'Data Regularization'!$J$2:$J$1048576</xm:f>
          </x14:formula1>
          <xm:sqref>U2:U63</xm:sqref>
        </x14:dataValidation>
        <x14:dataValidation type="list" allowBlank="1" showInputMessage="1" showErrorMessage="1" xr:uid="{D1CBB6FB-E52E-4440-8224-DD720C729347}">
          <x14:formula1>
            <xm:f>'Data Regularization'!$R$2:$R$1048576</xm:f>
          </x14:formula1>
          <xm:sqref>AD2:AD63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43A3-D961-45E9-9338-9E98422CF948}">
  <dimension ref="A1:XFB82"/>
  <sheetViews>
    <sheetView workbookViewId="0">
      <pane xSplit="3" ySplit="1" topLeftCell="D33" activePane="bottomRight" state="frozen"/>
      <selection pane="topRight" activeCell="D1" sqref="D1"/>
      <selection pane="bottomLeft" activeCell="A2" sqref="A2"/>
      <selection pane="bottomRight" activeCell="A30" sqref="A30"/>
    </sheetView>
  </sheetViews>
  <sheetFormatPr defaultRowHeight="14.5"/>
  <sheetData>
    <row r="1" spans="1:16382">
      <c r="A1" s="1" t="s">
        <v>0</v>
      </c>
      <c r="B1" s="1" t="s">
        <v>5</v>
      </c>
      <c r="C1" s="1" t="s">
        <v>6</v>
      </c>
      <c r="D1" s="1" t="s">
        <v>1292</v>
      </c>
      <c r="E1" s="1" t="s">
        <v>1293</v>
      </c>
      <c r="F1" s="1" t="s">
        <v>1294</v>
      </c>
      <c r="G1" s="1" t="s">
        <v>3</v>
      </c>
      <c r="H1" s="1" t="s">
        <v>1280</v>
      </c>
      <c r="I1" s="1" t="s">
        <v>1281</v>
      </c>
      <c r="J1" s="1" t="s">
        <v>1282</v>
      </c>
      <c r="K1" s="1" t="s">
        <v>1295</v>
      </c>
      <c r="L1" s="1" t="s">
        <v>1252</v>
      </c>
      <c r="M1" s="1" t="s">
        <v>1283</v>
      </c>
      <c r="N1" s="7" t="s">
        <v>1284</v>
      </c>
      <c r="O1" s="1" t="s">
        <v>1253</v>
      </c>
      <c r="P1" s="1" t="s">
        <v>1285</v>
      </c>
      <c r="Q1" s="1" t="s">
        <v>1410</v>
      </c>
      <c r="R1" s="1" t="s">
        <v>1286</v>
      </c>
      <c r="S1" s="1" t="s">
        <v>1297</v>
      </c>
      <c r="T1" s="1" t="s">
        <v>1298</v>
      </c>
      <c r="U1" s="1" t="s">
        <v>1299</v>
      </c>
      <c r="V1" s="1" t="s">
        <v>1254</v>
      </c>
      <c r="W1" s="1" t="s">
        <v>1372</v>
      </c>
      <c r="X1" s="1" t="s">
        <v>1255</v>
      </c>
      <c r="Y1" s="1" t="s">
        <v>1256</v>
      </c>
      <c r="Z1" s="1" t="s">
        <v>1296</v>
      </c>
      <c r="AA1" s="1" t="s">
        <v>1300</v>
      </c>
      <c r="AB1" s="1" t="s">
        <v>1287</v>
      </c>
      <c r="AC1" s="1" t="s">
        <v>1301</v>
      </c>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c r="XEZ1" s="1"/>
      <c r="XFA1" s="1"/>
      <c r="XFB1" s="1"/>
    </row>
    <row r="2" spans="1:16382" ht="87">
      <c r="A2" t="s">
        <v>38</v>
      </c>
      <c r="B2" s="3" t="s">
        <v>1313</v>
      </c>
      <c r="C2" s="3" t="s">
        <v>1314</v>
      </c>
      <c r="F2" t="s">
        <v>19</v>
      </c>
      <c r="G2" s="8" t="s">
        <v>25</v>
      </c>
      <c r="H2" s="8">
        <v>0</v>
      </c>
      <c r="I2" s="8">
        <v>3</v>
      </c>
      <c r="J2" s="8">
        <v>8</v>
      </c>
      <c r="K2" s="8"/>
      <c r="L2" s="8" t="s">
        <v>1263</v>
      </c>
      <c r="M2" s="8"/>
      <c r="N2" s="9"/>
      <c r="O2" s="8"/>
      <c r="P2" s="8">
        <v>146</v>
      </c>
      <c r="Q2" s="8">
        <f>IF(ISNUMBER(P2), (P2/$F$82)*10000, "")</f>
        <v>71.786803028813054</v>
      </c>
      <c r="R2" s="8"/>
      <c r="S2" s="8" t="s">
        <v>1371</v>
      </c>
      <c r="T2" s="8" t="s">
        <v>1371</v>
      </c>
      <c r="U2" s="8"/>
      <c r="V2" s="8"/>
      <c r="W2" s="8"/>
      <c r="X2" s="8"/>
      <c r="Y2" s="8"/>
      <c r="Z2" s="8" t="s">
        <v>19</v>
      </c>
      <c r="AA2" s="8"/>
      <c r="AB2" s="8"/>
      <c r="AC2" s="8"/>
      <c r="AD2" s="8"/>
      <c r="AE2" s="8"/>
    </row>
    <row r="3" spans="1:16382" ht="58">
      <c r="A3" t="s">
        <v>43</v>
      </c>
      <c r="B3" s="3" t="s">
        <v>606</v>
      </c>
      <c r="C3" s="3" t="s">
        <v>607</v>
      </c>
      <c r="F3" t="s">
        <v>19</v>
      </c>
      <c r="G3" s="8" t="s">
        <v>24</v>
      </c>
      <c r="H3" s="8">
        <v>0</v>
      </c>
      <c r="I3" s="8">
        <v>1</v>
      </c>
      <c r="J3" s="8">
        <v>4</v>
      </c>
      <c r="K3" s="8" t="s">
        <v>1315</v>
      </c>
      <c r="L3" s="8" t="s">
        <v>1258</v>
      </c>
      <c r="M3" s="8" t="s">
        <v>1316</v>
      </c>
      <c r="N3" s="9" t="s">
        <v>1317</v>
      </c>
      <c r="O3" s="8"/>
      <c r="P3" s="8">
        <v>0</v>
      </c>
      <c r="Q3" s="8">
        <f t="shared" ref="Q3:Q30" si="0">IF(ISNUMBER(P3), (P3/$F$82)*10000, "")</f>
        <v>0</v>
      </c>
      <c r="R3" s="8"/>
      <c r="S3" s="8" t="s">
        <v>1371</v>
      </c>
      <c r="T3" s="8" t="s">
        <v>1371</v>
      </c>
      <c r="U3" s="8"/>
      <c r="V3" s="8"/>
      <c r="W3" s="8"/>
      <c r="X3" s="8"/>
      <c r="Y3" s="8"/>
      <c r="Z3" s="8" t="s">
        <v>19</v>
      </c>
      <c r="AA3" s="8"/>
      <c r="AB3" s="8"/>
      <c r="AC3" s="8"/>
      <c r="AD3" s="8"/>
      <c r="AE3" s="8"/>
    </row>
    <row r="4" spans="1:16382" ht="29">
      <c r="A4" t="s">
        <v>56</v>
      </c>
      <c r="B4" s="3" t="s">
        <v>618</v>
      </c>
      <c r="C4" s="3" t="s">
        <v>619</v>
      </c>
      <c r="F4" t="s">
        <v>19</v>
      </c>
      <c r="G4" s="8" t="s">
        <v>25</v>
      </c>
      <c r="H4" s="8">
        <v>0</v>
      </c>
      <c r="I4" s="8">
        <v>1</v>
      </c>
      <c r="J4" s="8">
        <v>1</v>
      </c>
      <c r="K4" s="8" t="s">
        <v>1262</v>
      </c>
      <c r="L4" s="8" t="s">
        <v>1304</v>
      </c>
      <c r="M4" s="8"/>
      <c r="N4" s="9"/>
      <c r="O4" s="8"/>
      <c r="P4" s="8">
        <v>2475</v>
      </c>
      <c r="Q4" s="8">
        <f t="shared" si="0"/>
        <v>1216.9338184678927</v>
      </c>
      <c r="R4" s="8"/>
      <c r="S4" s="8" t="s">
        <v>1371</v>
      </c>
      <c r="T4" s="8" t="s">
        <v>1371</v>
      </c>
      <c r="U4" s="8"/>
      <c r="V4" s="8"/>
      <c r="W4" s="8"/>
      <c r="X4" s="8"/>
      <c r="Y4" s="8"/>
      <c r="Z4" s="8" t="s">
        <v>19</v>
      </c>
      <c r="AA4" s="8"/>
      <c r="AB4" s="8"/>
      <c r="AC4" s="8"/>
      <c r="AD4" s="8"/>
      <c r="AE4" s="8"/>
    </row>
    <row r="5" spans="1:16382" ht="43.5">
      <c r="A5" t="s">
        <v>64</v>
      </c>
      <c r="B5" s="3" t="s">
        <v>625</v>
      </c>
      <c r="C5" s="3" t="s">
        <v>626</v>
      </c>
      <c r="G5" s="8" t="s">
        <v>25</v>
      </c>
      <c r="H5" s="8">
        <v>0</v>
      </c>
      <c r="I5" s="8">
        <v>1</v>
      </c>
      <c r="J5" s="8">
        <v>8</v>
      </c>
      <c r="K5" s="8" t="s">
        <v>1315</v>
      </c>
      <c r="L5" s="8" t="s">
        <v>1263</v>
      </c>
      <c r="M5" s="8"/>
      <c r="N5" s="9"/>
      <c r="O5" s="8"/>
      <c r="P5" s="8">
        <v>3</v>
      </c>
      <c r="Q5" s="8">
        <f t="shared" si="0"/>
        <v>1.4750712951125973</v>
      </c>
      <c r="R5" s="8"/>
      <c r="S5" s="8" t="s">
        <v>1371</v>
      </c>
      <c r="T5" s="8" t="s">
        <v>1371</v>
      </c>
      <c r="U5" s="8"/>
      <c r="V5" s="8"/>
      <c r="W5" s="8"/>
      <c r="X5" s="8"/>
      <c r="Y5" s="8"/>
      <c r="Z5" s="8" t="s">
        <v>19</v>
      </c>
      <c r="AA5" s="8"/>
      <c r="AB5" s="8"/>
      <c r="AC5" s="8"/>
      <c r="AD5" s="8"/>
      <c r="AE5" s="8"/>
    </row>
    <row r="6" spans="1:16382" ht="43.5">
      <c r="A6" t="s">
        <v>99</v>
      </c>
      <c r="B6" s="3" t="s">
        <v>671</v>
      </c>
      <c r="C6" s="3" t="s">
        <v>670</v>
      </c>
      <c r="G6" s="8" t="s">
        <v>25</v>
      </c>
      <c r="H6" s="8">
        <v>0</v>
      </c>
      <c r="I6" s="8">
        <v>1</v>
      </c>
      <c r="J6" s="8">
        <v>3</v>
      </c>
      <c r="K6" s="8" t="s">
        <v>1262</v>
      </c>
      <c r="L6" s="8" t="s">
        <v>1263</v>
      </c>
      <c r="M6" s="8"/>
      <c r="N6" s="9"/>
      <c r="O6" s="8"/>
      <c r="P6" s="8">
        <v>2475</v>
      </c>
      <c r="Q6" s="8">
        <f t="shared" si="0"/>
        <v>1216.9338184678927</v>
      </c>
      <c r="R6" s="8"/>
      <c r="S6" s="8" t="s">
        <v>1371</v>
      </c>
      <c r="T6" s="8" t="s">
        <v>1371</v>
      </c>
      <c r="U6" s="8"/>
      <c r="V6" s="8"/>
      <c r="W6" s="8"/>
      <c r="X6" s="8"/>
      <c r="Y6" s="8"/>
      <c r="Z6" s="8" t="s">
        <v>19</v>
      </c>
      <c r="AA6" s="8"/>
      <c r="AB6" s="8"/>
      <c r="AC6" s="8"/>
      <c r="AD6" s="8"/>
      <c r="AE6" s="8"/>
    </row>
    <row r="7" spans="1:16382">
      <c r="A7" t="s">
        <v>125</v>
      </c>
      <c r="B7" t="s">
        <v>702</v>
      </c>
      <c r="C7" t="s">
        <v>701</v>
      </c>
      <c r="G7" s="8" t="s">
        <v>25</v>
      </c>
      <c r="H7" s="8">
        <v>0</v>
      </c>
      <c r="I7" s="8">
        <v>1</v>
      </c>
      <c r="J7" s="8">
        <v>1</v>
      </c>
      <c r="K7" s="8" t="s">
        <v>1262</v>
      </c>
      <c r="L7" s="8" t="s">
        <v>1304</v>
      </c>
      <c r="M7" s="8"/>
      <c r="N7" s="9"/>
      <c r="O7" s="8"/>
      <c r="P7" s="8">
        <v>2475</v>
      </c>
      <c r="Q7" s="8">
        <f t="shared" si="0"/>
        <v>1216.9338184678927</v>
      </c>
      <c r="R7" s="8"/>
      <c r="S7" s="8" t="s">
        <v>1371</v>
      </c>
      <c r="T7" s="8" t="s">
        <v>1371</v>
      </c>
      <c r="U7" s="8"/>
      <c r="V7" s="8"/>
      <c r="W7" s="8"/>
      <c r="X7" s="8"/>
      <c r="Y7" s="8"/>
      <c r="Z7" s="8" t="s">
        <v>19</v>
      </c>
      <c r="AA7" s="8"/>
      <c r="AB7" s="8"/>
      <c r="AC7" s="8"/>
      <c r="AD7" s="8"/>
      <c r="AE7" s="8"/>
    </row>
    <row r="8" spans="1:16382" ht="58">
      <c r="A8" t="s">
        <v>184</v>
      </c>
      <c r="B8" s="3" t="s">
        <v>777</v>
      </c>
      <c r="C8" s="3" t="s">
        <v>778</v>
      </c>
      <c r="F8" t="s">
        <v>19</v>
      </c>
      <c r="G8" s="8" t="s">
        <v>24</v>
      </c>
      <c r="H8" s="8">
        <v>0</v>
      </c>
      <c r="I8" s="8">
        <v>1</v>
      </c>
      <c r="J8" s="8">
        <v>3</v>
      </c>
      <c r="K8" s="8" t="s">
        <v>1268</v>
      </c>
      <c r="L8" s="8" t="s">
        <v>1263</v>
      </c>
      <c r="M8" s="8"/>
      <c r="N8" s="9"/>
      <c r="O8" s="8"/>
      <c r="P8" s="8">
        <v>1701</v>
      </c>
      <c r="Q8" s="8">
        <f t="shared" si="0"/>
        <v>836.36542432884255</v>
      </c>
      <c r="R8" s="8"/>
      <c r="S8" s="8" t="s">
        <v>1371</v>
      </c>
      <c r="T8" s="8" t="s">
        <v>1371</v>
      </c>
      <c r="U8" s="8"/>
      <c r="V8" s="8"/>
      <c r="W8" s="8"/>
      <c r="X8" s="8"/>
      <c r="Y8" s="8"/>
      <c r="Z8" s="8" t="s">
        <v>19</v>
      </c>
      <c r="AA8" s="8"/>
      <c r="AB8" s="8"/>
      <c r="AC8" s="8"/>
      <c r="AD8" s="8"/>
      <c r="AE8" s="8"/>
    </row>
    <row r="9" spans="1:16382" ht="43.5">
      <c r="A9" t="s">
        <v>208</v>
      </c>
      <c r="B9" s="3" t="s">
        <v>801</v>
      </c>
      <c r="C9" s="3" t="s">
        <v>802</v>
      </c>
      <c r="F9" t="s">
        <v>19</v>
      </c>
      <c r="G9" s="8" t="s">
        <v>24</v>
      </c>
      <c r="H9" s="8">
        <v>0</v>
      </c>
      <c r="I9" s="8">
        <v>1</v>
      </c>
      <c r="J9" s="8">
        <v>3</v>
      </c>
      <c r="K9" s="8" t="s">
        <v>1274</v>
      </c>
      <c r="L9" s="8" t="s">
        <v>1263</v>
      </c>
      <c r="M9" s="8"/>
      <c r="N9" s="9"/>
      <c r="O9" s="8"/>
      <c r="P9" s="8">
        <v>743</v>
      </c>
      <c r="Q9" s="8">
        <f t="shared" si="0"/>
        <v>365.32599075621988</v>
      </c>
      <c r="R9" s="8"/>
      <c r="S9" s="8" t="s">
        <v>1371</v>
      </c>
      <c r="T9" s="8" t="s">
        <v>1371</v>
      </c>
      <c r="U9" s="8"/>
      <c r="V9" s="8"/>
      <c r="W9" s="8"/>
      <c r="X9" s="8"/>
      <c r="Y9" s="8"/>
      <c r="Z9" s="8" t="s">
        <v>19</v>
      </c>
      <c r="AA9" s="8"/>
      <c r="AB9" s="8"/>
      <c r="AC9" s="8"/>
      <c r="AD9" s="8"/>
      <c r="AE9" s="8"/>
    </row>
    <row r="10" spans="1:16382" ht="58">
      <c r="A10" t="s">
        <v>215</v>
      </c>
      <c r="B10" s="3" t="s">
        <v>823</v>
      </c>
      <c r="C10" s="3" t="s">
        <v>822</v>
      </c>
      <c r="F10" t="s">
        <v>19</v>
      </c>
      <c r="G10" s="8" t="s">
        <v>25</v>
      </c>
      <c r="H10" s="8">
        <v>0</v>
      </c>
      <c r="I10" s="8">
        <v>1</v>
      </c>
      <c r="J10" s="8">
        <v>7</v>
      </c>
      <c r="K10" s="8" t="s">
        <v>1278</v>
      </c>
      <c r="L10" s="8" t="s">
        <v>1258</v>
      </c>
      <c r="M10" s="8" t="s">
        <v>1340</v>
      </c>
      <c r="N10" s="9" t="s">
        <v>1336</v>
      </c>
      <c r="O10" s="8"/>
      <c r="P10" s="8">
        <v>0</v>
      </c>
      <c r="Q10" s="8">
        <f t="shared" si="0"/>
        <v>0</v>
      </c>
      <c r="R10" s="8"/>
      <c r="S10" s="8" t="s">
        <v>1371</v>
      </c>
      <c r="T10" s="8" t="s">
        <v>1371</v>
      </c>
      <c r="U10" s="8"/>
      <c r="V10" s="8"/>
      <c r="W10" s="8"/>
      <c r="X10" s="8"/>
      <c r="Y10" s="8"/>
      <c r="Z10" s="8" t="s">
        <v>19</v>
      </c>
      <c r="AA10" s="8"/>
      <c r="AB10" s="8"/>
      <c r="AC10" s="8"/>
      <c r="AD10" s="8"/>
      <c r="AE10" s="8"/>
    </row>
    <row r="11" spans="1:16382" ht="29">
      <c r="A11" t="s">
        <v>216</v>
      </c>
      <c r="B11" s="3" t="s">
        <v>826</v>
      </c>
      <c r="C11" s="3" t="s">
        <v>827</v>
      </c>
      <c r="F11" t="s">
        <v>19</v>
      </c>
      <c r="G11" s="8" t="s">
        <v>25</v>
      </c>
      <c r="H11" s="8">
        <v>0</v>
      </c>
      <c r="I11" s="8">
        <v>1</v>
      </c>
      <c r="J11" s="8">
        <v>6</v>
      </c>
      <c r="K11" s="8" t="s">
        <v>1272</v>
      </c>
      <c r="L11" s="8" t="s">
        <v>1258</v>
      </c>
      <c r="M11" s="8" t="s">
        <v>1340</v>
      </c>
      <c r="N11" s="9" t="s">
        <v>1336</v>
      </c>
      <c r="O11" s="8"/>
      <c r="P11" s="8">
        <v>0</v>
      </c>
      <c r="Q11" s="8">
        <f t="shared" si="0"/>
        <v>0</v>
      </c>
      <c r="R11" s="8"/>
      <c r="S11" s="8" t="s">
        <v>1371</v>
      </c>
      <c r="T11" s="8" t="s">
        <v>1371</v>
      </c>
      <c r="U11" s="8"/>
      <c r="V11" s="8"/>
      <c r="W11" s="8"/>
      <c r="X11" s="8"/>
      <c r="Y11" s="8"/>
      <c r="Z11" s="8" t="s">
        <v>19</v>
      </c>
      <c r="AA11" s="8"/>
      <c r="AB11" s="8"/>
      <c r="AC11" s="8"/>
      <c r="AD11" s="8"/>
      <c r="AE11" s="8"/>
    </row>
    <row r="12" spans="1:16382" ht="43.5">
      <c r="A12" t="s">
        <v>216</v>
      </c>
      <c r="B12" s="3" t="s">
        <v>829</v>
      </c>
      <c r="C12" s="3" t="s">
        <v>828</v>
      </c>
      <c r="F12" t="s">
        <v>19</v>
      </c>
      <c r="G12" s="8" t="s">
        <v>25</v>
      </c>
      <c r="H12" s="8">
        <v>0</v>
      </c>
      <c r="I12" s="8">
        <v>1</v>
      </c>
      <c r="J12" s="8">
        <v>3</v>
      </c>
      <c r="K12" s="8" t="s">
        <v>1268</v>
      </c>
      <c r="L12" s="8" t="s">
        <v>1263</v>
      </c>
      <c r="M12" s="8"/>
      <c r="N12" s="9"/>
      <c r="O12" s="8"/>
      <c r="P12" s="8">
        <v>1700</v>
      </c>
      <c r="Q12" s="8">
        <f t="shared" si="0"/>
        <v>835.87373389713832</v>
      </c>
      <c r="R12" s="8"/>
      <c r="S12" s="8" t="s">
        <v>1371</v>
      </c>
      <c r="T12" s="8" t="s">
        <v>1371</v>
      </c>
      <c r="U12" s="8"/>
      <c r="V12" s="8"/>
      <c r="W12" s="8"/>
      <c r="X12" s="8"/>
      <c r="Y12" s="8"/>
      <c r="Z12" s="8" t="s">
        <v>19</v>
      </c>
      <c r="AA12" s="8"/>
      <c r="AB12" s="8"/>
      <c r="AC12" s="8"/>
      <c r="AD12" s="8"/>
      <c r="AE12" s="8"/>
    </row>
    <row r="13" spans="1:16382" ht="87">
      <c r="A13" t="s">
        <v>217</v>
      </c>
      <c r="B13" s="3" t="s">
        <v>1343</v>
      </c>
      <c r="C13" s="3" t="s">
        <v>1344</v>
      </c>
      <c r="F13" t="s">
        <v>19</v>
      </c>
      <c r="G13" s="8" t="s">
        <v>25</v>
      </c>
      <c r="H13" s="8">
        <v>0</v>
      </c>
      <c r="I13" s="8">
        <v>1</v>
      </c>
      <c r="J13" s="8">
        <v>5</v>
      </c>
      <c r="K13" s="8" t="s">
        <v>1274</v>
      </c>
      <c r="L13" s="8" t="s">
        <v>1263</v>
      </c>
      <c r="M13" s="8"/>
      <c r="N13" s="9"/>
      <c r="O13" s="8"/>
      <c r="P13" s="8">
        <v>829</v>
      </c>
      <c r="Q13" s="8">
        <f t="shared" si="0"/>
        <v>407.611367882781</v>
      </c>
      <c r="R13" s="8"/>
      <c r="S13" s="8" t="s">
        <v>1371</v>
      </c>
      <c r="T13" s="8" t="s">
        <v>1371</v>
      </c>
      <c r="U13" s="8"/>
      <c r="V13" s="8"/>
      <c r="W13" s="8"/>
      <c r="X13" s="8"/>
      <c r="Y13" s="8"/>
      <c r="Z13" s="8" t="s">
        <v>19</v>
      </c>
      <c r="AA13" s="8"/>
      <c r="AB13" s="8"/>
      <c r="AC13" s="8"/>
      <c r="AD13" s="8"/>
      <c r="AE13" s="8"/>
    </row>
    <row r="14" spans="1:16382" ht="72.5">
      <c r="A14" t="s">
        <v>218</v>
      </c>
      <c r="B14" s="3" t="s">
        <v>835</v>
      </c>
      <c r="C14" s="3" t="s">
        <v>834</v>
      </c>
      <c r="G14" s="8" t="s">
        <v>25</v>
      </c>
      <c r="H14" s="8">
        <v>0</v>
      </c>
      <c r="I14" s="8">
        <v>1</v>
      </c>
      <c r="J14" s="8">
        <v>6</v>
      </c>
      <c r="K14" s="8" t="s">
        <v>1272</v>
      </c>
      <c r="L14" s="8" t="s">
        <v>1263</v>
      </c>
      <c r="M14" s="8"/>
      <c r="N14" s="9"/>
      <c r="O14" s="8"/>
      <c r="P14" s="8">
        <v>6</v>
      </c>
      <c r="Q14" s="8">
        <f t="shared" si="0"/>
        <v>2.9501425902251945</v>
      </c>
      <c r="R14" s="8"/>
      <c r="S14" s="8" t="s">
        <v>1371</v>
      </c>
      <c r="T14" s="8" t="s">
        <v>1371</v>
      </c>
      <c r="U14" s="8"/>
      <c r="V14" s="8"/>
      <c r="W14" s="8"/>
      <c r="X14" s="8"/>
      <c r="Y14" s="8"/>
      <c r="Z14" s="8" t="s">
        <v>19</v>
      </c>
      <c r="AA14" s="8"/>
      <c r="AB14" s="8"/>
      <c r="AC14" s="8"/>
      <c r="AD14" s="8"/>
      <c r="AE14" s="8"/>
    </row>
    <row r="15" spans="1:16382" ht="58">
      <c r="A15" t="s">
        <v>231</v>
      </c>
      <c r="B15" s="3" t="s">
        <v>856</v>
      </c>
      <c r="C15" s="3" t="s">
        <v>855</v>
      </c>
      <c r="G15" s="8" t="s">
        <v>25</v>
      </c>
      <c r="H15" s="8">
        <v>0</v>
      </c>
      <c r="I15" s="8">
        <v>1</v>
      </c>
      <c r="J15" s="8">
        <v>2</v>
      </c>
      <c r="K15" s="8" t="s">
        <v>1262</v>
      </c>
      <c r="L15" s="8" t="s">
        <v>1304</v>
      </c>
      <c r="M15" s="8"/>
      <c r="N15" s="9"/>
      <c r="O15" s="8"/>
      <c r="P15" s="8">
        <v>2475</v>
      </c>
      <c r="Q15" s="8">
        <f t="shared" si="0"/>
        <v>1216.9338184678927</v>
      </c>
      <c r="R15" s="8"/>
      <c r="S15" s="8" t="s">
        <v>1371</v>
      </c>
      <c r="T15" s="8" t="s">
        <v>1371</v>
      </c>
      <c r="U15" s="8"/>
      <c r="V15" s="8"/>
      <c r="W15" s="8"/>
      <c r="X15" s="8"/>
      <c r="Y15" s="8"/>
      <c r="Z15" s="8" t="s">
        <v>19</v>
      </c>
      <c r="AA15" s="8"/>
      <c r="AB15" s="8"/>
      <c r="AC15" s="8"/>
      <c r="AD15" s="8"/>
      <c r="AE15" s="8"/>
    </row>
    <row r="16" spans="1:16382" ht="72.5">
      <c r="A16" t="s">
        <v>234</v>
      </c>
      <c r="B16" s="3" t="s">
        <v>860</v>
      </c>
      <c r="C16" s="3" t="s">
        <v>861</v>
      </c>
      <c r="F16" t="s">
        <v>19</v>
      </c>
      <c r="G16" s="8" t="s">
        <v>24</v>
      </c>
      <c r="H16" s="8">
        <v>0</v>
      </c>
      <c r="I16" s="8">
        <v>1</v>
      </c>
      <c r="J16" s="8">
        <v>6</v>
      </c>
      <c r="K16" s="8" t="s">
        <v>1274</v>
      </c>
      <c r="L16" s="8" t="s">
        <v>1258</v>
      </c>
      <c r="M16" s="8" t="s">
        <v>1340</v>
      </c>
      <c r="N16" s="9" t="s">
        <v>1338</v>
      </c>
      <c r="O16" s="8" t="s">
        <v>1259</v>
      </c>
      <c r="P16" s="8">
        <v>830</v>
      </c>
      <c r="Q16" s="8">
        <f t="shared" si="0"/>
        <v>408.10305831448517</v>
      </c>
      <c r="R16" s="8"/>
      <c r="S16" s="8" t="s">
        <v>1371</v>
      </c>
      <c r="T16" s="8" t="s">
        <v>1371</v>
      </c>
      <c r="U16" s="8"/>
      <c r="V16" s="8"/>
      <c r="W16" s="8"/>
      <c r="X16" s="8"/>
      <c r="Y16" s="8"/>
      <c r="Z16" s="8" t="s">
        <v>19</v>
      </c>
      <c r="AA16" s="8"/>
      <c r="AB16" s="8"/>
      <c r="AC16" s="8"/>
      <c r="AD16" s="8"/>
      <c r="AE16" s="8"/>
    </row>
    <row r="17" spans="1:31" ht="72.5">
      <c r="A17" t="s">
        <v>251</v>
      </c>
      <c r="B17" s="3" t="s">
        <v>872</v>
      </c>
      <c r="C17" s="3" t="s">
        <v>871</v>
      </c>
      <c r="G17" s="8" t="s">
        <v>24</v>
      </c>
      <c r="H17" s="8">
        <v>0</v>
      </c>
      <c r="I17" s="8">
        <v>1</v>
      </c>
      <c r="J17" s="8">
        <v>3</v>
      </c>
      <c r="K17" s="8" t="s">
        <v>1262</v>
      </c>
      <c r="L17" s="8" t="s">
        <v>1258</v>
      </c>
      <c r="M17" s="8" t="s">
        <v>1340</v>
      </c>
      <c r="N17" s="9" t="s">
        <v>1336</v>
      </c>
      <c r="O17" s="8" t="s">
        <v>1259</v>
      </c>
      <c r="P17" s="8">
        <v>2475</v>
      </c>
      <c r="Q17" s="8">
        <f t="shared" si="0"/>
        <v>1216.9338184678927</v>
      </c>
      <c r="R17" s="8"/>
      <c r="S17" s="8" t="s">
        <v>1371</v>
      </c>
      <c r="T17" s="8" t="s">
        <v>1371</v>
      </c>
      <c r="U17" s="8"/>
      <c r="V17" s="8"/>
      <c r="W17" s="8"/>
      <c r="X17" s="8"/>
      <c r="Y17" s="8"/>
      <c r="Z17" s="8" t="s">
        <v>19</v>
      </c>
      <c r="AA17" s="8"/>
      <c r="AB17" s="8"/>
      <c r="AC17" s="8"/>
      <c r="AD17" s="8"/>
      <c r="AE17" s="8"/>
    </row>
    <row r="18" spans="1:31" ht="29">
      <c r="A18" t="s">
        <v>271</v>
      </c>
      <c r="B18" s="3" t="s">
        <v>899</v>
      </c>
      <c r="C18" s="3" t="s">
        <v>900</v>
      </c>
      <c r="F18" t="s">
        <v>19</v>
      </c>
      <c r="G18" s="8" t="s">
        <v>25</v>
      </c>
      <c r="H18" s="8">
        <v>0</v>
      </c>
      <c r="I18" s="8">
        <v>1</v>
      </c>
      <c r="J18" s="8">
        <v>2</v>
      </c>
      <c r="K18" s="8" t="s">
        <v>1262</v>
      </c>
      <c r="L18" s="8" t="s">
        <v>1304</v>
      </c>
      <c r="M18" s="8"/>
      <c r="N18" s="9"/>
      <c r="O18" s="8"/>
      <c r="P18" s="8">
        <v>2474</v>
      </c>
      <c r="Q18" s="8">
        <f t="shared" si="0"/>
        <v>1216.4421280361885</v>
      </c>
      <c r="R18" s="8"/>
      <c r="S18" s="8" t="s">
        <v>1371</v>
      </c>
      <c r="T18" s="8" t="s">
        <v>1371</v>
      </c>
      <c r="U18" s="8"/>
      <c r="V18" s="8"/>
      <c r="W18" s="8"/>
      <c r="X18" s="8"/>
      <c r="Y18" s="8"/>
      <c r="Z18" s="8" t="s">
        <v>19</v>
      </c>
      <c r="AA18" s="8"/>
      <c r="AB18" s="8"/>
      <c r="AC18" s="8"/>
      <c r="AD18" s="8"/>
      <c r="AE18" s="8"/>
    </row>
    <row r="19" spans="1:31" ht="43.5">
      <c r="A19" t="s">
        <v>286</v>
      </c>
      <c r="B19" s="3" t="s">
        <v>932</v>
      </c>
      <c r="C19" s="3" t="s">
        <v>931</v>
      </c>
      <c r="F19" t="s">
        <v>19</v>
      </c>
      <c r="G19" s="8" t="s">
        <v>24</v>
      </c>
      <c r="H19" s="8">
        <v>0</v>
      </c>
      <c r="I19" s="8">
        <v>1</v>
      </c>
      <c r="J19" s="8">
        <v>1</v>
      </c>
      <c r="K19" s="8" t="s">
        <v>1262</v>
      </c>
      <c r="L19" s="8" t="s">
        <v>1304</v>
      </c>
      <c r="M19" s="8"/>
      <c r="N19" s="9"/>
      <c r="O19" s="8" t="s">
        <v>1259</v>
      </c>
      <c r="P19" s="8">
        <v>2475</v>
      </c>
      <c r="Q19" s="8">
        <f t="shared" si="0"/>
        <v>1216.9338184678927</v>
      </c>
      <c r="R19" s="8"/>
      <c r="S19" s="8" t="s">
        <v>1371</v>
      </c>
      <c r="T19" s="8" t="s">
        <v>1371</v>
      </c>
      <c r="U19" s="8"/>
      <c r="V19" s="8"/>
      <c r="W19" s="8"/>
      <c r="X19" s="8"/>
      <c r="Y19" s="8"/>
      <c r="Z19" s="8" t="s">
        <v>19</v>
      </c>
      <c r="AA19" s="8"/>
      <c r="AB19" s="8"/>
      <c r="AC19" s="8"/>
      <c r="AD19" s="8"/>
      <c r="AE19" s="8"/>
    </row>
    <row r="20" spans="1:31" ht="87">
      <c r="A20" t="s">
        <v>290</v>
      </c>
      <c r="B20" s="3" t="s">
        <v>936</v>
      </c>
      <c r="C20" s="3" t="s">
        <v>937</v>
      </c>
      <c r="F20" t="s">
        <v>19</v>
      </c>
      <c r="G20" s="8" t="s">
        <v>24</v>
      </c>
      <c r="H20" s="8">
        <v>0</v>
      </c>
      <c r="I20" s="8">
        <v>1</v>
      </c>
      <c r="J20" s="8">
        <v>5</v>
      </c>
      <c r="K20" s="8" t="s">
        <v>1272</v>
      </c>
      <c r="L20" s="8" t="s">
        <v>1258</v>
      </c>
      <c r="M20" s="8" t="s">
        <v>1340</v>
      </c>
      <c r="N20" s="9" t="s">
        <v>1337</v>
      </c>
      <c r="O20" s="8" t="s">
        <v>1259</v>
      </c>
      <c r="P20" s="8">
        <v>98</v>
      </c>
      <c r="Q20" s="8">
        <f t="shared" si="0"/>
        <v>48.185662307011505</v>
      </c>
      <c r="R20" s="8"/>
      <c r="S20" s="8" t="s">
        <v>1371</v>
      </c>
      <c r="T20" s="8" t="s">
        <v>1371</v>
      </c>
      <c r="U20" s="8"/>
      <c r="V20" s="8"/>
      <c r="W20" s="8"/>
      <c r="X20" s="8"/>
      <c r="Y20" s="8"/>
      <c r="Z20" s="8" t="s">
        <v>19</v>
      </c>
      <c r="AA20" s="8"/>
      <c r="AB20" s="8"/>
      <c r="AC20" s="8"/>
      <c r="AD20" s="8"/>
      <c r="AE20" s="8"/>
    </row>
    <row r="21" spans="1:31" ht="29">
      <c r="A21" t="s">
        <v>329</v>
      </c>
      <c r="B21" s="3" t="s">
        <v>974</v>
      </c>
      <c r="C21" s="3" t="s">
        <v>975</v>
      </c>
      <c r="F21" t="s">
        <v>19</v>
      </c>
      <c r="G21" s="8" t="s">
        <v>24</v>
      </c>
      <c r="H21" s="8">
        <v>0</v>
      </c>
      <c r="I21" s="8">
        <v>1</v>
      </c>
      <c r="J21" s="8">
        <v>1</v>
      </c>
      <c r="K21" s="8" t="s">
        <v>1274</v>
      </c>
      <c r="L21" s="8" t="s">
        <v>1304</v>
      </c>
      <c r="M21" s="8"/>
      <c r="N21" s="9"/>
      <c r="O21" s="8"/>
      <c r="P21" s="8">
        <v>99</v>
      </c>
      <c r="Q21" s="8">
        <f t="shared" si="0"/>
        <v>48.677352738715705</v>
      </c>
      <c r="R21" s="8"/>
      <c r="S21" s="8" t="s">
        <v>1371</v>
      </c>
      <c r="T21" s="8" t="s">
        <v>1371</v>
      </c>
      <c r="U21" s="8"/>
      <c r="V21" s="8"/>
      <c r="W21" s="8"/>
      <c r="X21" s="8"/>
      <c r="Y21" s="8"/>
      <c r="Z21" s="8" t="s">
        <v>19</v>
      </c>
      <c r="AA21" s="8"/>
      <c r="AB21" s="8"/>
      <c r="AC21" s="8"/>
      <c r="AD21" s="8"/>
      <c r="AE21" s="8"/>
    </row>
    <row r="22" spans="1:31" ht="43.5">
      <c r="A22" t="s">
        <v>415</v>
      </c>
      <c r="B22" s="3" t="s">
        <v>1049</v>
      </c>
      <c r="C22" s="3" t="s">
        <v>1050</v>
      </c>
      <c r="F22" t="s">
        <v>19</v>
      </c>
      <c r="G22" s="8" t="s">
        <v>24</v>
      </c>
      <c r="H22" s="8">
        <v>0</v>
      </c>
      <c r="I22" s="8">
        <v>1</v>
      </c>
      <c r="J22" s="8">
        <v>3</v>
      </c>
      <c r="K22" s="8" t="s">
        <v>1268</v>
      </c>
      <c r="L22" s="8" t="s">
        <v>1263</v>
      </c>
      <c r="M22" s="8"/>
      <c r="N22" s="9"/>
      <c r="O22" s="8"/>
      <c r="P22" s="8">
        <v>1701</v>
      </c>
      <c r="Q22" s="8">
        <f t="shared" si="0"/>
        <v>836.36542432884255</v>
      </c>
      <c r="R22" s="8"/>
      <c r="S22" s="8" t="s">
        <v>1371</v>
      </c>
      <c r="T22" s="8" t="s">
        <v>1371</v>
      </c>
      <c r="U22" s="8"/>
      <c r="V22" s="8"/>
      <c r="W22" s="8"/>
      <c r="X22" s="8"/>
      <c r="Y22" s="8"/>
      <c r="Z22" s="8" t="s">
        <v>19</v>
      </c>
      <c r="AA22" s="8"/>
      <c r="AB22" s="8"/>
      <c r="AC22" s="8"/>
      <c r="AD22" s="8"/>
      <c r="AE22" s="8"/>
    </row>
    <row r="23" spans="1:31" ht="29">
      <c r="A23" t="s">
        <v>416</v>
      </c>
      <c r="B23" s="3" t="s">
        <v>1051</v>
      </c>
      <c r="C23" s="3" t="s">
        <v>1052</v>
      </c>
      <c r="G23" s="8" t="s">
        <v>25</v>
      </c>
      <c r="H23" s="8">
        <v>0</v>
      </c>
      <c r="I23" s="8">
        <v>1</v>
      </c>
      <c r="J23" s="8">
        <v>3</v>
      </c>
      <c r="K23" s="8" t="s">
        <v>1308</v>
      </c>
      <c r="L23" s="8" t="s">
        <v>1263</v>
      </c>
      <c r="M23" s="8"/>
      <c r="N23" s="9"/>
      <c r="O23" s="8"/>
      <c r="P23" s="8">
        <v>204</v>
      </c>
      <c r="Q23" s="8">
        <f t="shared" si="0"/>
        <v>100.30484806765661</v>
      </c>
      <c r="R23" s="8"/>
      <c r="S23" s="8" t="s">
        <v>1371</v>
      </c>
      <c r="T23" s="8" t="s">
        <v>1371</v>
      </c>
      <c r="U23" s="8"/>
      <c r="V23" s="8"/>
      <c r="W23" s="8"/>
      <c r="X23" s="8"/>
      <c r="Y23" s="8"/>
      <c r="Z23" s="8" t="s">
        <v>19</v>
      </c>
      <c r="AA23" s="8"/>
      <c r="AB23" s="8"/>
      <c r="AC23" s="8"/>
      <c r="AD23" s="8"/>
      <c r="AE23" s="8"/>
    </row>
    <row r="24" spans="1:31" ht="43.5">
      <c r="A24" t="s">
        <v>440</v>
      </c>
      <c r="B24" s="3" t="s">
        <v>1088</v>
      </c>
      <c r="C24" s="3" t="s">
        <v>1089</v>
      </c>
      <c r="F24" t="s">
        <v>19</v>
      </c>
      <c r="G24" s="8" t="s">
        <v>24</v>
      </c>
      <c r="H24" s="8">
        <v>0</v>
      </c>
      <c r="I24" s="8">
        <v>1</v>
      </c>
      <c r="J24" s="8">
        <v>3</v>
      </c>
      <c r="K24" s="8" t="s">
        <v>1308</v>
      </c>
      <c r="L24" s="8" t="s">
        <v>1263</v>
      </c>
      <c r="M24" s="8"/>
      <c r="N24" s="9"/>
      <c r="O24" s="8"/>
      <c r="P24" s="8">
        <v>14</v>
      </c>
      <c r="Q24" s="8">
        <f t="shared" si="0"/>
        <v>6.8836660438587867</v>
      </c>
      <c r="R24" s="8"/>
      <c r="S24" s="8" t="s">
        <v>1371</v>
      </c>
      <c r="T24" s="8" t="s">
        <v>1371</v>
      </c>
      <c r="U24" s="8"/>
      <c r="V24" s="8"/>
      <c r="W24" s="8"/>
      <c r="X24" s="8"/>
      <c r="Y24" s="8"/>
      <c r="Z24" s="8" t="s">
        <v>19</v>
      </c>
      <c r="AA24" s="8"/>
      <c r="AB24" s="8"/>
      <c r="AC24" s="8"/>
      <c r="AD24" s="8"/>
      <c r="AE24" s="8"/>
    </row>
    <row r="25" spans="1:31" ht="29">
      <c r="A25" t="s">
        <v>479</v>
      </c>
      <c r="B25" s="3" t="s">
        <v>1051</v>
      </c>
      <c r="C25" s="3" t="s">
        <v>1052</v>
      </c>
      <c r="F25" t="s">
        <v>19</v>
      </c>
      <c r="G25" s="8" t="s">
        <v>25</v>
      </c>
      <c r="H25" s="8">
        <v>0</v>
      </c>
      <c r="I25" s="8">
        <v>1</v>
      </c>
      <c r="J25" s="8">
        <v>3</v>
      </c>
      <c r="K25" s="8" t="s">
        <v>1308</v>
      </c>
      <c r="L25" s="8" t="s">
        <v>1263</v>
      </c>
      <c r="M25" s="8"/>
      <c r="N25" s="9"/>
      <c r="O25" s="8"/>
      <c r="P25" s="8">
        <v>204</v>
      </c>
      <c r="Q25" s="8">
        <f t="shared" si="0"/>
        <v>100.30484806765661</v>
      </c>
      <c r="R25" s="8"/>
      <c r="S25" s="8" t="s">
        <v>1371</v>
      </c>
      <c r="T25" s="8" t="s">
        <v>1371</v>
      </c>
      <c r="U25" s="8"/>
      <c r="V25" s="8"/>
      <c r="W25" s="8"/>
      <c r="X25" s="8"/>
      <c r="Y25" s="8"/>
      <c r="Z25" s="8" t="s">
        <v>19</v>
      </c>
      <c r="AA25" s="8"/>
      <c r="AB25" s="8"/>
      <c r="AC25" s="8"/>
      <c r="AD25" s="8"/>
      <c r="AE25" s="8"/>
    </row>
    <row r="26" spans="1:31" ht="29">
      <c r="A26" t="s">
        <v>510</v>
      </c>
      <c r="B26" s="3" t="s">
        <v>1172</v>
      </c>
      <c r="C26" s="3" t="s">
        <v>1173</v>
      </c>
      <c r="F26" t="s">
        <v>19</v>
      </c>
      <c r="G26" s="8" t="s">
        <v>25</v>
      </c>
      <c r="H26" s="8">
        <v>0</v>
      </c>
      <c r="I26" s="8">
        <v>1</v>
      </c>
      <c r="J26" s="8">
        <v>3</v>
      </c>
      <c r="K26" s="8" t="s">
        <v>1276</v>
      </c>
      <c r="L26" s="8" t="s">
        <v>1263</v>
      </c>
      <c r="M26" s="8"/>
      <c r="N26" s="9"/>
      <c r="O26" s="8"/>
      <c r="P26" s="8">
        <v>210</v>
      </c>
      <c r="Q26" s="8">
        <f t="shared" si="0"/>
        <v>103.25499065788181</v>
      </c>
      <c r="R26" s="8"/>
      <c r="S26" s="8" t="s">
        <v>1371</v>
      </c>
      <c r="T26" s="8" t="s">
        <v>1371</v>
      </c>
      <c r="U26" s="8"/>
      <c r="V26" s="8"/>
      <c r="W26" s="8"/>
      <c r="X26" s="8"/>
      <c r="Y26" s="8"/>
      <c r="Z26" s="8" t="s">
        <v>19</v>
      </c>
      <c r="AA26" s="8"/>
      <c r="AB26" s="8"/>
      <c r="AC26" s="8"/>
      <c r="AD26" s="8"/>
      <c r="AE26" s="8"/>
    </row>
    <row r="27" spans="1:31" ht="58">
      <c r="A27" t="s">
        <v>550</v>
      </c>
      <c r="B27" s="3" t="s">
        <v>1205</v>
      </c>
      <c r="C27" s="3" t="s">
        <v>1206</v>
      </c>
      <c r="F27" t="s">
        <v>19</v>
      </c>
      <c r="G27" s="8" t="s">
        <v>25</v>
      </c>
      <c r="H27" s="8">
        <v>0</v>
      </c>
      <c r="I27" s="8">
        <v>1</v>
      </c>
      <c r="J27" s="8">
        <v>5</v>
      </c>
      <c r="K27" s="8" t="s">
        <v>1274</v>
      </c>
      <c r="L27" s="8" t="s">
        <v>1263</v>
      </c>
      <c r="M27" s="8"/>
      <c r="N27" s="9"/>
      <c r="O27" s="8"/>
      <c r="P27" s="8">
        <v>830</v>
      </c>
      <c r="Q27" s="8">
        <f t="shared" si="0"/>
        <v>408.10305831448517</v>
      </c>
      <c r="R27" s="8"/>
      <c r="S27" s="8" t="s">
        <v>1371</v>
      </c>
      <c r="T27" s="8" t="s">
        <v>1371</v>
      </c>
      <c r="U27" s="8"/>
      <c r="V27" s="8"/>
      <c r="W27" s="8"/>
      <c r="X27" s="8"/>
      <c r="Y27" s="8"/>
      <c r="Z27" s="8" t="s">
        <v>19</v>
      </c>
      <c r="AA27" s="8"/>
      <c r="AB27" s="8"/>
      <c r="AC27" s="8"/>
      <c r="AD27" s="8"/>
      <c r="AE27" s="8"/>
    </row>
    <row r="28" spans="1:31" ht="43.5">
      <c r="A28" t="s">
        <v>555</v>
      </c>
      <c r="B28" s="3" t="s">
        <v>1210</v>
      </c>
      <c r="C28" s="3" t="s">
        <v>1209</v>
      </c>
      <c r="G28" s="8" t="s">
        <v>25</v>
      </c>
      <c r="H28" s="8">
        <v>0</v>
      </c>
      <c r="I28" s="8">
        <v>1</v>
      </c>
      <c r="J28" s="8">
        <v>3</v>
      </c>
      <c r="K28" s="8" t="s">
        <v>1274</v>
      </c>
      <c r="L28" s="8" t="s">
        <v>1263</v>
      </c>
      <c r="M28" s="8"/>
      <c r="N28" s="9"/>
      <c r="O28" s="8"/>
      <c r="P28" s="8">
        <v>312</v>
      </c>
      <c r="Q28" s="8">
        <f t="shared" si="0"/>
        <v>153.4074146917101</v>
      </c>
      <c r="R28" s="8"/>
      <c r="S28" s="8" t="s">
        <v>1371</v>
      </c>
      <c r="T28" s="8" t="s">
        <v>1371</v>
      </c>
      <c r="U28" s="8"/>
      <c r="V28" s="8"/>
      <c r="W28" s="8"/>
      <c r="X28" s="8"/>
      <c r="Y28" s="8"/>
      <c r="Z28" s="8" t="s">
        <v>19</v>
      </c>
      <c r="AA28" s="8"/>
      <c r="AB28" s="8"/>
      <c r="AC28" s="8"/>
      <c r="AD28" s="8"/>
      <c r="AE28" s="8"/>
    </row>
    <row r="29" spans="1:31" ht="29">
      <c r="A29" t="s">
        <v>557</v>
      </c>
      <c r="B29" s="3" t="s">
        <v>1211</v>
      </c>
      <c r="C29" s="3" t="s">
        <v>1212</v>
      </c>
      <c r="F29" t="s">
        <v>19</v>
      </c>
      <c r="G29" s="8" t="s">
        <v>25</v>
      </c>
      <c r="H29" s="8">
        <v>0</v>
      </c>
      <c r="I29" s="8">
        <v>1</v>
      </c>
      <c r="J29" s="8">
        <v>3</v>
      </c>
      <c r="K29" s="8" t="s">
        <v>1262</v>
      </c>
      <c r="L29" s="8" t="s">
        <v>1263</v>
      </c>
      <c r="M29" s="8"/>
      <c r="N29" s="9"/>
      <c r="O29" s="8"/>
      <c r="P29" s="8">
        <v>2475</v>
      </c>
      <c r="Q29" s="8">
        <f t="shared" si="0"/>
        <v>1216.9338184678927</v>
      </c>
      <c r="R29" s="8"/>
      <c r="S29" s="8" t="s">
        <v>1371</v>
      </c>
      <c r="T29" s="8" t="s">
        <v>1371</v>
      </c>
      <c r="U29" s="8"/>
      <c r="V29" s="8"/>
      <c r="W29" s="8"/>
      <c r="X29" s="8"/>
      <c r="Y29" s="8"/>
      <c r="Z29" s="8" t="s">
        <v>19</v>
      </c>
      <c r="AA29" s="8"/>
      <c r="AB29" s="8"/>
      <c r="AC29" s="8"/>
      <c r="AD29" s="8"/>
      <c r="AE29" s="8"/>
    </row>
    <row r="30" spans="1:31" ht="43.5">
      <c r="A30" t="s">
        <v>601</v>
      </c>
      <c r="B30" s="3" t="s">
        <v>1248</v>
      </c>
      <c r="C30" s="3" t="s">
        <v>1249</v>
      </c>
      <c r="F30" t="s">
        <v>19</v>
      </c>
      <c r="G30" s="8" t="s">
        <v>25</v>
      </c>
      <c r="H30" s="8">
        <v>0</v>
      </c>
      <c r="I30" s="8">
        <v>1</v>
      </c>
      <c r="J30" s="8">
        <v>2</v>
      </c>
      <c r="K30" s="8" t="s">
        <v>1266</v>
      </c>
      <c r="L30" s="8" t="s">
        <v>1304</v>
      </c>
      <c r="M30" s="8"/>
      <c r="N30" s="9"/>
      <c r="O30" s="8"/>
      <c r="P30" s="8">
        <v>129</v>
      </c>
      <c r="Q30" s="8">
        <f t="shared" si="0"/>
        <v>63.428065689841674</v>
      </c>
      <c r="R30" s="8"/>
      <c r="S30" s="8" t="s">
        <v>1371</v>
      </c>
      <c r="T30" s="8" t="s">
        <v>1371</v>
      </c>
      <c r="U30" s="8"/>
      <c r="V30" s="8"/>
      <c r="W30" s="8"/>
      <c r="X30" s="8"/>
      <c r="Y30" s="8"/>
      <c r="Z30" s="8" t="s">
        <v>19</v>
      </c>
      <c r="AA30" s="8"/>
      <c r="AB30" s="8"/>
      <c r="AC30" s="8"/>
      <c r="AD30" s="8"/>
      <c r="AE30" s="8"/>
    </row>
    <row r="33" spans="2:6">
      <c r="E33" t="s">
        <v>1378</v>
      </c>
      <c r="F33">
        <f>COUNTIF(G:G,"Addition")</f>
        <v>10</v>
      </c>
    </row>
    <row r="34" spans="2:6">
      <c r="B34" t="s">
        <v>1381</v>
      </c>
      <c r="C34" t="s">
        <v>1382</v>
      </c>
      <c r="E34" t="s">
        <v>1379</v>
      </c>
      <c r="F34">
        <f>COUNTIF(G:G,"Omission")</f>
        <v>19</v>
      </c>
    </row>
    <row r="35" spans="2:6">
      <c r="B35" t="s">
        <v>1262</v>
      </c>
      <c r="C35" t="s">
        <v>1257</v>
      </c>
      <c r="E35" t="s">
        <v>1380</v>
      </c>
      <c r="F35">
        <f>F33/(F33+F34)</f>
        <v>0.34482758620689657</v>
      </c>
    </row>
    <row r="36" spans="2:6">
      <c r="B36" t="s">
        <v>1268</v>
      </c>
      <c r="C36" t="s">
        <v>1266</v>
      </c>
    </row>
    <row r="37" spans="2:6">
      <c r="B37" t="s">
        <v>1274</v>
      </c>
      <c r="C37" t="s">
        <v>1272</v>
      </c>
    </row>
    <row r="38" spans="2:6">
      <c r="B38" t="s">
        <v>1276</v>
      </c>
      <c r="C38" t="s">
        <v>1278</v>
      </c>
      <c r="E38" t="s">
        <v>1383</v>
      </c>
      <c r="F38">
        <f>COUNTIFS(G:G,"Addition", K:K,"Article")+COUNTIFS(G:G,"Addition", K:K,"Conjunction")+COUNTIFS(G:G,"Addition", K:K,"Pronoun")+COUNTIFS(G:G,"Addition", K:K,"Preposition")+COUNTIFS(G:G,"Addition", K:K,"Particle")+COUNTIFS(G:G,"Addition", K:K,"Vocative")</f>
        <v>8</v>
      </c>
    </row>
    <row r="39" spans="2:6">
      <c r="B39" t="s">
        <v>1308</v>
      </c>
      <c r="C39" t="s">
        <v>1315</v>
      </c>
      <c r="E39" t="s">
        <v>1384</v>
      </c>
      <c r="F39">
        <f>COUNTIFS(G:G,"Omission", K:K,"Article")+COUNTIFS(G:G,"Omission", K:K,"Conjunction")+COUNTIFS(G:G,"Omission", K:K,"Pronoun")+COUNTIFS(G:G,"Omission", K:K,"Preposition")+COUNTIFS(G:G,"Omission", K:K,"Particle")+COUNTIFS(G:G,"Omission", K:K,"Vocative")</f>
        <v>13</v>
      </c>
    </row>
    <row r="40" spans="2:6">
      <c r="B40" t="s">
        <v>1279</v>
      </c>
      <c r="E40" t="s">
        <v>1385</v>
      </c>
      <c r="F40">
        <f>F38/(F38+F39)</f>
        <v>0.38095238095238093</v>
      </c>
    </row>
    <row r="43" spans="2:6">
      <c r="E43" t="s">
        <v>1390</v>
      </c>
      <c r="F43">
        <f>COUNTIFS(G:G,"Addition", K:K,"Adjective")+COUNTIFS(G:G,"Addition", K:K,"Adverb")+COUNTIFS(G:G,"Addition", K:K,"Noun")+COUNTIFS(G:G,"Addition", K:K,"Participle")+COUNTIFS(G:G,"Addition", K:K,"Verb")</f>
        <v>2</v>
      </c>
    </row>
    <row r="44" spans="2:6">
      <c r="E44" t="s">
        <v>1391</v>
      </c>
      <c r="F44">
        <f>COUNTIFS(G:G,"Omission", K:K,"Adjective")+COUNTIFS(G:G,"Omission", K:K,"Adverb")+COUNTIFS(G:G,"Omission", K:K,"Noun")+COUNTIFS(G:G,"Omission", K:K,"Participle")+COUNTIFS(G:G,"Omission", K:K,"Verb")</f>
        <v>5</v>
      </c>
    </row>
    <row r="45" spans="2:6">
      <c r="E45" t="s">
        <v>1392</v>
      </c>
      <c r="F45">
        <f>F43/(F43+F44)</f>
        <v>0.2857142857142857</v>
      </c>
    </row>
    <row r="46" spans="2:6">
      <c r="E46" t="s">
        <v>1398</v>
      </c>
      <c r="F46">
        <f>F45-F40</f>
        <v>-9.5238095238095233E-2</v>
      </c>
    </row>
    <row r="49" spans="3:6">
      <c r="D49" s="20" t="s">
        <v>1393</v>
      </c>
      <c r="E49" s="20"/>
      <c r="F49" s="20"/>
    </row>
    <row r="50" spans="3:6">
      <c r="D50" t="s">
        <v>1258</v>
      </c>
      <c r="E50" t="s">
        <v>1394</v>
      </c>
      <c r="F50" t="s">
        <v>1395</v>
      </c>
    </row>
    <row r="51" spans="3:6">
      <c r="C51" t="s">
        <v>1387</v>
      </c>
      <c r="D51">
        <f>COUNTIFS(G:G,"Addition", L:L, "Present")</f>
        <v>4</v>
      </c>
      <c r="E51">
        <f>COUNTIFS(G:G,"Addition", L:L, "Absent")</f>
        <v>4</v>
      </c>
      <c r="F51">
        <f>D51/(D51+E51)</f>
        <v>0.5</v>
      </c>
    </row>
    <row r="52" spans="3:6">
      <c r="C52" t="s">
        <v>1388</v>
      </c>
      <c r="D52">
        <f>COUNTIFS(G:G,"Omission", L:L, "Present")</f>
        <v>2</v>
      </c>
      <c r="E52">
        <f>COUNTIFS(G:G,"Omission", L:L, "Absent")</f>
        <v>12</v>
      </c>
      <c r="F52">
        <f>D52/(D52+E52)</f>
        <v>0.14285714285714285</v>
      </c>
    </row>
    <row r="53" spans="3:6">
      <c r="C53" t="s">
        <v>1396</v>
      </c>
      <c r="D53">
        <f>SUM(D51+D52)</f>
        <v>6</v>
      </c>
      <c r="E53">
        <f>SUM(E51+E52)</f>
        <v>16</v>
      </c>
      <c r="F53">
        <f>D53/(D53+E53)</f>
        <v>0.27272727272727271</v>
      </c>
    </row>
    <row r="56" spans="3:6">
      <c r="D56" t="s">
        <v>1387</v>
      </c>
      <c r="E56" t="s">
        <v>1388</v>
      </c>
      <c r="F56" t="s">
        <v>1399</v>
      </c>
    </row>
    <row r="57" spans="3:6">
      <c r="C57" t="s">
        <v>1400</v>
      </c>
      <c r="D57">
        <f>COUNTIFS(G:G,"Addition", L:L, "Absent")</f>
        <v>4</v>
      </c>
      <c r="E57">
        <f>COUNTIFS(G:G,"Omission", L:L, "Absent")</f>
        <v>12</v>
      </c>
      <c r="F57">
        <f>D57/(D57+E57)</f>
        <v>0.25</v>
      </c>
    </row>
    <row r="58" spans="3:6">
      <c r="C58" t="s">
        <v>1401</v>
      </c>
      <c r="D58">
        <f>COUNTIFS(G:G,"Addition", L:L, "Present")</f>
        <v>4</v>
      </c>
      <c r="E58">
        <f>COUNTIFS(G:G,"Omission", L:L, "Present")</f>
        <v>2</v>
      </c>
      <c r="F58">
        <f>D58/(D58+E58)</f>
        <v>0.66666666666666663</v>
      </c>
    </row>
    <row r="59" spans="3:6">
      <c r="E59" t="s">
        <v>1741</v>
      </c>
      <c r="F59">
        <f>F58-F57</f>
        <v>0.41666666666666663</v>
      </c>
    </row>
    <row r="62" spans="3:6">
      <c r="D62" t="s">
        <v>1387</v>
      </c>
      <c r="E62" t="s">
        <v>1388</v>
      </c>
      <c r="F62" t="s">
        <v>1399</v>
      </c>
    </row>
    <row r="63" spans="3:6">
      <c r="C63" t="s">
        <v>1402</v>
      </c>
      <c r="D63">
        <f>COUNTIFS(G:G,"Addition", O:O, "")</f>
        <v>6</v>
      </c>
      <c r="E63">
        <f>COUNTIFS(G:G,"Omission", O:O, "")</f>
        <v>19</v>
      </c>
      <c r="F63">
        <f>D63/(D63+E63)</f>
        <v>0.24</v>
      </c>
    </row>
    <row r="64" spans="3:6">
      <c r="C64" t="s">
        <v>1403</v>
      </c>
      <c r="D64">
        <f>COUNTIFS(G:G,"Addition", O:O, "Dittography")</f>
        <v>4</v>
      </c>
      <c r="E64">
        <f>COUNTIFS(G:G,"Omission", O:O, "Dittography")</f>
        <v>0</v>
      </c>
      <c r="F64">
        <f>D64/(D64+E64)</f>
        <v>1</v>
      </c>
    </row>
    <row r="65" spans="3:6">
      <c r="E65" t="s">
        <v>1741</v>
      </c>
      <c r="F65">
        <f>F64-F63</f>
        <v>0.76</v>
      </c>
    </row>
    <row r="68" spans="3:6">
      <c r="C68" t="s">
        <v>1386</v>
      </c>
      <c r="D68" t="s">
        <v>1387</v>
      </c>
      <c r="E68" t="s">
        <v>1388</v>
      </c>
      <c r="F68" t="s">
        <v>1399</v>
      </c>
    </row>
    <row r="69" spans="3:6">
      <c r="C69" s="10">
        <v>1</v>
      </c>
      <c r="D69">
        <f>COUNTIFS(G:G,"Addition", I:I, 1)</f>
        <v>10</v>
      </c>
      <c r="E69">
        <f>COUNTIFS(G:G,"Omission", I:I, 1)</f>
        <v>18</v>
      </c>
      <c r="F69">
        <f>D69/(D69+E69)</f>
        <v>0.35714285714285715</v>
      </c>
    </row>
    <row r="70" spans="3:6">
      <c r="C70" s="10" t="s">
        <v>1404</v>
      </c>
      <c r="D70">
        <f>COUNTIFS(G:G,"Addition", I:I, "&gt;=2", I:I, "&lt;=3")</f>
        <v>0</v>
      </c>
      <c r="E70">
        <f>COUNTIFS(G:G,"Omission", I:I, "&gt;=2", I:I, "&lt;=3")</f>
        <v>1</v>
      </c>
      <c r="F70">
        <f t="shared" ref="F70:F71" si="1">D70/(D70+E70)</f>
        <v>0</v>
      </c>
    </row>
    <row r="71" spans="3:6">
      <c r="C71" s="10" t="s">
        <v>1405</v>
      </c>
      <c r="D71">
        <f>COUNTIFS(G:G,"Addition", I:I, "&gt;=4")</f>
        <v>0</v>
      </c>
      <c r="E71">
        <f>COUNTIFS(G:G,"Omission", I:I, "&gt;=4")</f>
        <v>0</v>
      </c>
      <c r="F71" t="e">
        <f t="shared" si="1"/>
        <v>#DIV/0!</v>
      </c>
    </row>
    <row r="74" spans="3:6">
      <c r="C74" t="s">
        <v>1386</v>
      </c>
      <c r="D74" t="s">
        <v>1387</v>
      </c>
      <c r="E74" t="s">
        <v>1388</v>
      </c>
      <c r="F74" t="s">
        <v>1389</v>
      </c>
    </row>
    <row r="75" spans="3:6">
      <c r="C75">
        <v>1</v>
      </c>
      <c r="D75" s="10">
        <f>COUNTIFS(G:G,"Addition", I:I, C75)</f>
        <v>10</v>
      </c>
      <c r="E75">
        <f>COUNTIFS(G:G,"Omission", I:I, C75)</f>
        <v>18</v>
      </c>
      <c r="F75">
        <f>D75/(D75+E75)</f>
        <v>0.35714285714285715</v>
      </c>
    </row>
    <row r="76" spans="3:6">
      <c r="C76">
        <v>2</v>
      </c>
      <c r="D76" s="10">
        <f>COUNTIFS(G:G,"Addition", I:I, C76)</f>
        <v>0</v>
      </c>
      <c r="E76">
        <f>COUNTIFS(G:G,"Omission", I:I, C76)</f>
        <v>0</v>
      </c>
      <c r="F76" t="e">
        <f t="shared" ref="F76:F79" si="2">D76/(D76+E76)</f>
        <v>#DIV/0!</v>
      </c>
    </row>
    <row r="77" spans="3:6">
      <c r="C77">
        <v>3</v>
      </c>
      <c r="D77" s="10">
        <f>COUNTIFS(G:G,"Addition", I:I, C77)</f>
        <v>0</v>
      </c>
      <c r="E77">
        <f>COUNTIFS(G:G,"Omission", I:I, C77)</f>
        <v>1</v>
      </c>
      <c r="F77">
        <f t="shared" si="2"/>
        <v>0</v>
      </c>
    </row>
    <row r="78" spans="3:6">
      <c r="C78">
        <v>4</v>
      </c>
      <c r="D78" s="10">
        <f>COUNTIFS(G:G,"Addition", I:I, C78)</f>
        <v>0</v>
      </c>
      <c r="E78">
        <f>COUNTIFS(G:G,"Omission", I:I, C78)</f>
        <v>0</v>
      </c>
      <c r="F78" t="e">
        <f t="shared" si="2"/>
        <v>#DIV/0!</v>
      </c>
    </row>
    <row r="79" spans="3:6">
      <c r="C79" t="s">
        <v>1406</v>
      </c>
      <c r="D79" s="10">
        <f>COUNTIFS(G:G,"Addition", I:I, C79)</f>
        <v>0</v>
      </c>
      <c r="E79">
        <f>COUNTIFS(G:G,"Omission", I:I, C79)</f>
        <v>0</v>
      </c>
      <c r="F79" t="e">
        <f t="shared" si="2"/>
        <v>#DIV/0!</v>
      </c>
    </row>
    <row r="80" spans="3:6">
      <c r="D80" s="10"/>
    </row>
    <row r="82" spans="5:6">
      <c r="E82" t="s">
        <v>1407</v>
      </c>
      <c r="F82">
        <v>20338</v>
      </c>
    </row>
  </sheetData>
  <mergeCells count="1">
    <mergeCell ref="D49:F49"/>
  </mergeCells>
  <conditionalFormatting sqref="G2:G30">
    <cfRule type="expression" dxfId="201" priority="31">
      <formula>$I2&lt;&gt;""</formula>
    </cfRule>
    <cfRule type="expression" dxfId="200" priority="32">
      <formula>$I2=""</formula>
    </cfRule>
  </conditionalFormatting>
  <conditionalFormatting sqref="H2:L30 O2:P30">
    <cfRule type="expression" dxfId="199" priority="29">
      <formula>AND(OR($I2="Addition",$I2="Omission"), H2="")</formula>
    </cfRule>
    <cfRule type="expression" dxfId="198" priority="30">
      <formula>AND($I2&lt;&gt;"Addition",$I2&lt;&gt;"Omission",$I2&lt;&gt;"Substitution - Word")</formula>
    </cfRule>
  </conditionalFormatting>
  <conditionalFormatting sqref="H2:P30">
    <cfRule type="expression" dxfId="197" priority="28">
      <formula>AND(OR($I2="Addition",$I2="Omission"), H2&lt;&gt;"")</formula>
    </cfRule>
  </conditionalFormatting>
  <conditionalFormatting sqref="K2:K30">
    <cfRule type="expression" dxfId="196" priority="23">
      <formula>AND($K2&lt;&gt;"",$K2&gt;1)</formula>
    </cfRule>
  </conditionalFormatting>
  <conditionalFormatting sqref="M2:N30">
    <cfRule type="expression" dxfId="195" priority="22">
      <formula>AND($I2&lt;&gt;"Addition",$I2&lt;&gt;"Omission")</formula>
    </cfRule>
    <cfRule type="expression" dxfId="194" priority="21">
      <formula>AND(OR($I2="Addition",$I2="Omission"), M2="")</formula>
    </cfRule>
    <cfRule type="expression" dxfId="193" priority="19">
      <formula>$N2="Absent"</formula>
    </cfRule>
    <cfRule type="expression" dxfId="192" priority="20">
      <formula>$N2="NA"</formula>
    </cfRule>
  </conditionalFormatting>
  <conditionalFormatting sqref="O2:O30">
    <cfRule type="expression" dxfId="191" priority="24">
      <formula>OR($I2="Addition",$I2="Omission",$I2 = "Substitution - Word")</formula>
    </cfRule>
  </conditionalFormatting>
  <conditionalFormatting sqref="Q2:Q30">
    <cfRule type="expression" dxfId="190" priority="1">
      <formula>AND(OR($I2="Addition",$I2="Omission"), Q2&lt;&gt;"")</formula>
    </cfRule>
    <cfRule type="expression" dxfId="189" priority="2">
      <formula>AND(OR($I2="Addition",$I2="Omission"), Q2="")</formula>
    </cfRule>
    <cfRule type="expression" dxfId="188" priority="3">
      <formula>AND($I2&lt;&gt;"Addition",$I2&lt;&gt;"Omission",$I2&lt;&gt;"Substitution - Word")</formula>
    </cfRule>
  </conditionalFormatting>
  <conditionalFormatting sqref="R2:T30">
    <cfRule type="expression" dxfId="187" priority="25">
      <formula>AND(AND(LEFT($I2,3)="Sub", RIGHT($I2,4)&lt;&gt;"Form"),$T2&lt;&gt;"")</formula>
    </cfRule>
    <cfRule type="expression" dxfId="186" priority="26">
      <formula>AND(AND(LEFT($I2,3)="Sub", RIGHT($I2,4)&lt;&gt;"Form"),$T2="")</formula>
    </cfRule>
    <cfRule type="expression" dxfId="185" priority="27">
      <formula>"&lt;&gt;AND(LEFT($J2,3)=""Sub"", RIGHT($J2,4)&lt;&gt;""Form"")"</formula>
    </cfRule>
  </conditionalFormatting>
  <conditionalFormatting sqref="S2:T30">
    <cfRule type="expression" dxfId="184" priority="4">
      <formula>AND(AND(LEFT($I2,3)="Sub", RIGHT($I2,4)&lt;&gt;"Form"),$T2&lt;&gt;"")</formula>
    </cfRule>
    <cfRule type="expression" dxfId="183" priority="5">
      <formula>AND(AND(LEFT($I2,3)="Sub", RIGHT($I2,4)&lt;&gt;"Form"),$T2="")</formula>
    </cfRule>
    <cfRule type="expression" dxfId="182" priority="6">
      <formula>"&lt;&gt;AND(LEFT($J2,3)=""Sub"", RIGHT($J2,4)&lt;&gt;""Form"")"</formula>
    </cfRule>
  </conditionalFormatting>
  <conditionalFormatting sqref="U2:U30">
    <cfRule type="expression" dxfId="181" priority="14">
      <formula>AND($I2&lt;&gt;"",$I2&lt;&gt;"Unclear due to correction")</formula>
    </cfRule>
    <cfRule type="expression" dxfId="180" priority="17">
      <formula>OR($I2="",$I2="Unclear due to correction")</formula>
    </cfRule>
    <cfRule type="expression" dxfId="179" priority="18">
      <formula>AND($AE2&lt;&gt;"Yes",$AF2="")</formula>
    </cfRule>
    <cfRule type="expression" dxfId="178" priority="12">
      <formula>AND($W2&lt;&gt;"",OR($AE2="Yes",$AF2&lt;&gt;""))</formula>
    </cfRule>
    <cfRule type="expression" dxfId="177" priority="13">
      <formula>OR($AE2="Yes",$AF2&lt;&gt;"")</formula>
    </cfRule>
  </conditionalFormatting>
  <conditionalFormatting sqref="V2:V30">
    <cfRule type="expression" dxfId="176" priority="11">
      <formula>AND($I2&lt;&gt;"",$I2&lt;&gt;"Unclear due to correction",$X2="")</formula>
    </cfRule>
  </conditionalFormatting>
  <conditionalFormatting sqref="V2:AE30">
    <cfRule type="expression" dxfId="175" priority="33">
      <formula>AND($I2&lt;&gt;"",$I2&lt;&gt;"Unclear due to correction")</formula>
    </cfRule>
    <cfRule type="expression" dxfId="174" priority="34">
      <formula>OR($I2="",$I2="Unclear due to correction")</formula>
    </cfRule>
  </conditionalFormatting>
  <conditionalFormatting sqref="W2:W30">
    <cfRule type="expression" dxfId="173" priority="16">
      <formula>$X2=""</formula>
    </cfRule>
    <cfRule type="expression" dxfId="172" priority="15">
      <formula>AND($X2="Yes",$Y2="")</formula>
    </cfRule>
  </conditionalFormatting>
  <conditionalFormatting sqref="X2:X30">
    <cfRule type="expression" dxfId="171" priority="9">
      <formula>$Z2&lt;&gt;""</formula>
    </cfRule>
  </conditionalFormatting>
  <conditionalFormatting sqref="Y2:Z30">
    <cfRule type="expression" dxfId="170" priority="8">
      <formula>$Z2&lt;&gt;""</formula>
    </cfRule>
    <cfRule type="expression" dxfId="169" priority="7">
      <formula>AND($Z2&lt;&gt;"",Y2&lt;&gt;"")</formula>
    </cfRule>
  </conditionalFormatting>
  <conditionalFormatting sqref="AC2:AC30">
    <cfRule type="expression" dxfId="168" priority="10">
      <formula>AND(OR($AC2&lt;&gt;"",$AD2&lt;&gt;""),$AE2="")</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6">
        <x14:dataValidation type="list" allowBlank="1" showInputMessage="1" showErrorMessage="1" xr:uid="{1E4E5E8B-E448-471B-AD30-99F281411FEB}">
          <x14:formula1>
            <xm:f>'Data Regularization'!$C$2:$C$25</xm:f>
          </x14:formula1>
          <xm:sqref>F2:F30</xm:sqref>
        </x14:dataValidation>
        <x14:dataValidation type="list" allowBlank="1" showInputMessage="1" showErrorMessage="1" xr:uid="{90570733-F41E-46BF-8A5D-87F671F45C00}">
          <x14:formula1>
            <xm:f>'Data Regularization'!$A$2:$A$1048576</xm:f>
          </x14:formula1>
          <xm:sqref>D2:D30</xm:sqref>
        </x14:dataValidation>
        <x14:dataValidation type="list" allowBlank="1" showInputMessage="1" showErrorMessage="1" xr:uid="{52E523D0-79C7-4CCE-8FB4-76054D2A6841}">
          <x14:formula1>
            <xm:f>'Data Regularization'!$B$2:$B$1048576</xm:f>
          </x14:formula1>
          <xm:sqref>E2:E30</xm:sqref>
        </x14:dataValidation>
        <x14:dataValidation type="list" allowBlank="1" showInputMessage="1" showErrorMessage="1" xr:uid="{1318448A-2A6C-4C03-AB49-7A7A5B577C59}">
          <x14:formula1>
            <xm:f>'Data Regularization'!$D$2:$D$1048576</xm:f>
          </x14:formula1>
          <xm:sqref>Y2:Y30 G2:G30</xm:sqref>
        </x14:dataValidation>
        <x14:dataValidation type="list" allowBlank="1" showInputMessage="1" showErrorMessage="1" xr:uid="{6747440A-2B94-46A2-8DFC-2040081F4EF4}">
          <x14:formula1>
            <xm:f>'Data Regularization'!$E$2:$E$1048576</xm:f>
          </x14:formula1>
          <xm:sqref>K2:K30</xm:sqref>
        </x14:dataValidation>
        <x14:dataValidation type="list" allowBlank="1" showInputMessage="1" showErrorMessage="1" xr:uid="{A788D811-9165-42D9-A49D-EA0C926ACEB4}">
          <x14:formula1>
            <xm:f>'Data Regularization'!$F$2:$F$1048576</xm:f>
          </x14:formula1>
          <xm:sqref>L2:L30</xm:sqref>
        </x14:dataValidation>
        <x14:dataValidation type="list" allowBlank="1" showInputMessage="1" showErrorMessage="1" xr:uid="{65F3F798-58E3-4124-AB60-9778CE08F48A}">
          <x14:formula1>
            <xm:f>'Data Regularization'!$G$2:$G$1048576</xm:f>
          </x14:formula1>
          <xm:sqref>O2:O30</xm:sqref>
        </x14:dataValidation>
        <x14:dataValidation type="list" allowBlank="1" showInputMessage="1" showErrorMessage="1" xr:uid="{678F8A81-C295-4AA2-B185-E2C48758A1D2}">
          <x14:formula1>
            <xm:f>'Data Regularization'!$K$2:$K$1048576</xm:f>
          </x14:formula1>
          <xm:sqref>W2:W30</xm:sqref>
        </x14:dataValidation>
        <x14:dataValidation type="list" allowBlank="1" showInputMessage="1" showErrorMessage="1" xr:uid="{5EE882EA-D439-47B1-BAF3-07897EC54B41}">
          <x14:formula1>
            <xm:f>'Data Regularization'!$L$2:$L$1048576</xm:f>
          </x14:formula1>
          <xm:sqref>X2:X30</xm:sqref>
        </x14:dataValidation>
        <x14:dataValidation type="list" allowBlank="1" showInputMessage="1" showErrorMessage="1" xr:uid="{4FB5A9D8-7793-4DE2-8F84-CFDD1821BCB6}">
          <x14:formula1>
            <xm:f>'Data Regularization'!$N$2:$N$1048576</xm:f>
          </x14:formula1>
          <xm:sqref>Z2:Z30</xm:sqref>
        </x14:dataValidation>
        <x14:dataValidation type="list" allowBlank="1" showInputMessage="1" showErrorMessage="1" xr:uid="{EBBA3EED-895F-45BC-A56F-FF4DFCA1931E}">
          <x14:formula1>
            <xm:f>'Data Regularization'!$O$2:$O$1048576</xm:f>
          </x14:formula1>
          <xm:sqref>AA2:AA30</xm:sqref>
        </x14:dataValidation>
        <x14:dataValidation type="list" allowBlank="1" showInputMessage="1" showErrorMessage="1" xr:uid="{9BBE88E1-DE10-4588-BD7B-DD0F86092A81}">
          <x14:formula1>
            <xm:f>'Data Regularization'!$P$2:$P$1048576</xm:f>
          </x14:formula1>
          <xm:sqref>AC2:AC30</xm:sqref>
        </x14:dataValidation>
        <x14:dataValidation type="list" allowBlank="1" showInputMessage="1" showErrorMessage="1" xr:uid="{03AB4CAB-54F8-4DCF-A7AC-48DB002C9334}">
          <x14:formula1>
            <xm:f>'Data Regularization'!$Q$2:$Q$1048576</xm:f>
          </x14:formula1>
          <xm:sqref>AD2:AD30</xm:sqref>
        </x14:dataValidation>
        <x14:dataValidation type="list" allowBlank="1" showInputMessage="1" showErrorMessage="1" xr:uid="{0A8F1442-5D64-4C80-81A8-7CA70B459EB6}">
          <x14:formula1>
            <xm:f>'Data Regularization'!$H$2:$H$1048576</xm:f>
          </x14:formula1>
          <xm:sqref>U2:U30</xm:sqref>
        </x14:dataValidation>
        <x14:dataValidation type="list" allowBlank="1" showInputMessage="1" xr:uid="{2F61D059-5708-4B62-BA79-9352F5D8C927}">
          <x14:formula1>
            <xm:f>'Data Regularization'!$J$2:$J$1048576</xm:f>
          </x14:formula1>
          <xm:sqref>V2:V30</xm:sqref>
        </x14:dataValidation>
        <x14:dataValidation type="list" allowBlank="1" showInputMessage="1" showErrorMessage="1" xr:uid="{5C3772BB-B129-471A-B63F-99536C88B8C5}">
          <x14:formula1>
            <xm:f>'Data Regularization'!$R$2:$R$1048576</xm:f>
          </x14:formula1>
          <xm:sqref>AE2:AE30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9F187-FD36-49DE-9A50-96B0F7D98425}">
  <dimension ref="A1:XFB39"/>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16382">
      <c r="A1" s="1" t="s">
        <v>0</v>
      </c>
      <c r="B1" s="1" t="s">
        <v>5</v>
      </c>
      <c r="C1" s="1" t="s">
        <v>6</v>
      </c>
      <c r="D1" s="1" t="s">
        <v>1292</v>
      </c>
      <c r="E1" s="1" t="s">
        <v>1293</v>
      </c>
      <c r="F1" s="1" t="s">
        <v>1294</v>
      </c>
      <c r="G1" s="1" t="s">
        <v>3</v>
      </c>
      <c r="H1" s="1" t="s">
        <v>1280</v>
      </c>
      <c r="I1" s="1" t="s">
        <v>1281</v>
      </c>
      <c r="J1" s="1" t="s">
        <v>1282</v>
      </c>
      <c r="K1" s="1" t="s">
        <v>1295</v>
      </c>
      <c r="L1" s="1" t="s">
        <v>1252</v>
      </c>
      <c r="M1" s="1" t="s">
        <v>1283</v>
      </c>
      <c r="N1" s="7" t="s">
        <v>1284</v>
      </c>
      <c r="O1" s="1" t="s">
        <v>1253</v>
      </c>
      <c r="P1" s="1" t="s">
        <v>1285</v>
      </c>
      <c r="Q1" s="1" t="s">
        <v>1410</v>
      </c>
      <c r="R1" s="1" t="s">
        <v>1286</v>
      </c>
      <c r="S1" s="1" t="s">
        <v>1297</v>
      </c>
      <c r="T1" s="1" t="s">
        <v>1298</v>
      </c>
      <c r="U1" s="1" t="s">
        <v>1299</v>
      </c>
      <c r="V1" s="1" t="s">
        <v>1254</v>
      </c>
      <c r="W1" s="1" t="s">
        <v>1372</v>
      </c>
      <c r="X1" s="1" t="s">
        <v>1255</v>
      </c>
      <c r="Y1" s="1" t="s">
        <v>1256</v>
      </c>
      <c r="Z1" s="1" t="s">
        <v>1296</v>
      </c>
      <c r="AA1" s="1" t="s">
        <v>1300</v>
      </c>
      <c r="AB1" s="1" t="s">
        <v>1287</v>
      </c>
      <c r="AC1" s="1" t="s">
        <v>1301</v>
      </c>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c r="XEZ1" s="1"/>
      <c r="XFA1" s="1"/>
      <c r="XFB1" s="1"/>
    </row>
    <row r="2" spans="1:16382" ht="29">
      <c r="A2" t="s">
        <v>56</v>
      </c>
      <c r="B2" s="3" t="s">
        <v>618</v>
      </c>
      <c r="C2" s="3" t="s">
        <v>619</v>
      </c>
      <c r="F2" t="s">
        <v>19</v>
      </c>
      <c r="G2" s="8" t="s">
        <v>25</v>
      </c>
      <c r="H2" s="8">
        <v>0</v>
      </c>
      <c r="I2" s="8">
        <v>1</v>
      </c>
      <c r="J2" s="8">
        <v>1</v>
      </c>
      <c r="K2" s="8" t="s">
        <v>1262</v>
      </c>
      <c r="L2" s="8" t="s">
        <v>1304</v>
      </c>
      <c r="M2" s="8"/>
      <c r="N2" s="9"/>
      <c r="O2" s="8"/>
      <c r="P2" s="8">
        <v>2475</v>
      </c>
      <c r="Q2" s="8">
        <v>1216.9338184678927</v>
      </c>
      <c r="R2" s="8"/>
      <c r="S2" s="8" t="s">
        <v>1371</v>
      </c>
      <c r="T2" s="8" t="s">
        <v>1371</v>
      </c>
      <c r="U2" s="8"/>
      <c r="V2" s="8"/>
      <c r="W2" s="8"/>
      <c r="X2" s="8"/>
      <c r="Y2" s="8"/>
      <c r="Z2" s="8" t="s">
        <v>19</v>
      </c>
      <c r="AA2" s="8"/>
      <c r="AB2" s="8"/>
      <c r="AC2" s="8"/>
      <c r="AD2" s="8"/>
      <c r="AE2" s="8"/>
    </row>
    <row r="3" spans="1:16382" ht="43.5">
      <c r="A3" t="s">
        <v>99</v>
      </c>
      <c r="B3" s="3" t="s">
        <v>671</v>
      </c>
      <c r="C3" s="3" t="s">
        <v>670</v>
      </c>
      <c r="G3" s="8" t="s">
        <v>25</v>
      </c>
      <c r="H3" s="8">
        <v>0</v>
      </c>
      <c r="I3" s="8">
        <v>1</v>
      </c>
      <c r="J3" s="8">
        <v>3</v>
      </c>
      <c r="K3" s="8" t="s">
        <v>1262</v>
      </c>
      <c r="L3" s="8" t="s">
        <v>1263</v>
      </c>
      <c r="M3" s="8"/>
      <c r="N3" s="9"/>
      <c r="O3" s="8"/>
      <c r="P3" s="8">
        <v>2475</v>
      </c>
      <c r="Q3" s="8">
        <v>1216.9338184678927</v>
      </c>
      <c r="R3" s="8"/>
      <c r="S3" s="8" t="s">
        <v>1371</v>
      </c>
      <c r="T3" s="8" t="s">
        <v>1371</v>
      </c>
      <c r="U3" s="8"/>
      <c r="V3" s="8"/>
      <c r="W3" s="8"/>
      <c r="X3" s="8"/>
      <c r="Y3" s="8"/>
      <c r="Z3" s="8" t="s">
        <v>19</v>
      </c>
      <c r="AA3" s="8"/>
      <c r="AB3" s="8"/>
      <c r="AC3" s="8"/>
      <c r="AD3" s="8"/>
      <c r="AE3" s="8"/>
    </row>
    <row r="4" spans="1:16382">
      <c r="A4" t="s">
        <v>125</v>
      </c>
      <c r="B4" t="s">
        <v>702</v>
      </c>
      <c r="C4" t="s">
        <v>701</v>
      </c>
      <c r="G4" s="8" t="s">
        <v>25</v>
      </c>
      <c r="H4" s="8">
        <v>0</v>
      </c>
      <c r="I4" s="8">
        <v>1</v>
      </c>
      <c r="J4" s="8">
        <v>1</v>
      </c>
      <c r="K4" s="8" t="s">
        <v>1262</v>
      </c>
      <c r="L4" s="8" t="s">
        <v>1304</v>
      </c>
      <c r="M4" s="8"/>
      <c r="N4" s="9"/>
      <c r="O4" s="8"/>
      <c r="P4" s="8">
        <v>2475</v>
      </c>
      <c r="Q4" s="8">
        <v>1216.9338184678927</v>
      </c>
      <c r="R4" s="8"/>
      <c r="S4" s="8" t="s">
        <v>1371</v>
      </c>
      <c r="T4" s="8" t="s">
        <v>1371</v>
      </c>
      <c r="U4" s="8"/>
      <c r="V4" s="8"/>
      <c r="W4" s="8"/>
      <c r="X4" s="8"/>
      <c r="Y4" s="8"/>
      <c r="Z4" s="8" t="s">
        <v>19</v>
      </c>
      <c r="AA4" s="8"/>
      <c r="AB4" s="8"/>
      <c r="AC4" s="8"/>
      <c r="AD4" s="8"/>
      <c r="AE4" s="8"/>
    </row>
    <row r="5" spans="1:16382" ht="58">
      <c r="A5" t="s">
        <v>184</v>
      </c>
      <c r="B5" s="3" t="s">
        <v>777</v>
      </c>
      <c r="C5" s="3" t="s">
        <v>778</v>
      </c>
      <c r="F5" t="s">
        <v>19</v>
      </c>
      <c r="G5" s="8" t="s">
        <v>24</v>
      </c>
      <c r="H5" s="8">
        <v>0</v>
      </c>
      <c r="I5" s="8">
        <v>1</v>
      </c>
      <c r="J5" s="8">
        <v>3</v>
      </c>
      <c r="K5" s="8" t="s">
        <v>1268</v>
      </c>
      <c r="L5" s="8" t="s">
        <v>1263</v>
      </c>
      <c r="M5" s="8"/>
      <c r="N5" s="9"/>
      <c r="O5" s="8"/>
      <c r="P5" s="8">
        <v>1701</v>
      </c>
      <c r="Q5" s="8">
        <v>836.36542432884255</v>
      </c>
      <c r="R5" s="8"/>
      <c r="S5" s="8" t="s">
        <v>1371</v>
      </c>
      <c r="T5" s="8" t="s">
        <v>1371</v>
      </c>
      <c r="U5" s="8"/>
      <c r="V5" s="8"/>
      <c r="W5" s="8"/>
      <c r="X5" s="8"/>
      <c r="Y5" s="8"/>
      <c r="Z5" s="8" t="s">
        <v>19</v>
      </c>
      <c r="AA5" s="8"/>
      <c r="AB5" s="8"/>
      <c r="AC5" s="8"/>
      <c r="AD5" s="8"/>
      <c r="AE5" s="8"/>
    </row>
    <row r="6" spans="1:16382" ht="43.5">
      <c r="A6" t="s">
        <v>208</v>
      </c>
      <c r="B6" s="3" t="s">
        <v>801</v>
      </c>
      <c r="C6" s="3" t="s">
        <v>802</v>
      </c>
      <c r="F6" t="s">
        <v>19</v>
      </c>
      <c r="G6" s="8" t="s">
        <v>24</v>
      </c>
      <c r="H6" s="8">
        <v>0</v>
      </c>
      <c r="I6" s="8">
        <v>1</v>
      </c>
      <c r="J6" s="8">
        <v>3</v>
      </c>
      <c r="K6" s="8" t="s">
        <v>1274</v>
      </c>
      <c r="L6" s="8" t="s">
        <v>1263</v>
      </c>
      <c r="M6" s="8"/>
      <c r="N6" s="9"/>
      <c r="O6" s="8"/>
      <c r="P6" s="8">
        <v>743</v>
      </c>
      <c r="Q6" s="8">
        <v>365.32599075621988</v>
      </c>
      <c r="R6" s="8"/>
      <c r="S6" s="8" t="s">
        <v>1371</v>
      </c>
      <c r="T6" s="8" t="s">
        <v>1371</v>
      </c>
      <c r="U6" s="8"/>
      <c r="V6" s="8"/>
      <c r="W6" s="8"/>
      <c r="X6" s="8"/>
      <c r="Y6" s="8"/>
      <c r="Z6" s="8" t="s">
        <v>19</v>
      </c>
      <c r="AA6" s="8"/>
      <c r="AB6" s="8"/>
      <c r="AC6" s="8"/>
      <c r="AD6" s="8"/>
      <c r="AE6" s="8"/>
    </row>
    <row r="7" spans="1:16382" ht="43.5">
      <c r="A7" t="s">
        <v>216</v>
      </c>
      <c r="B7" s="3" t="s">
        <v>829</v>
      </c>
      <c r="C7" s="3" t="s">
        <v>828</v>
      </c>
      <c r="F7" t="s">
        <v>19</v>
      </c>
      <c r="G7" s="8" t="s">
        <v>25</v>
      </c>
      <c r="H7" s="8">
        <v>0</v>
      </c>
      <c r="I7" s="8">
        <v>1</v>
      </c>
      <c r="J7" s="8">
        <v>3</v>
      </c>
      <c r="K7" s="8" t="s">
        <v>1268</v>
      </c>
      <c r="L7" s="8" t="s">
        <v>1263</v>
      </c>
      <c r="M7" s="8"/>
      <c r="N7" s="9"/>
      <c r="O7" s="8"/>
      <c r="P7" s="8">
        <v>1700</v>
      </c>
      <c r="Q7" s="8">
        <v>835.87373389713832</v>
      </c>
      <c r="R7" s="8"/>
      <c r="S7" s="8" t="s">
        <v>1371</v>
      </c>
      <c r="T7" s="8" t="s">
        <v>1371</v>
      </c>
      <c r="U7" s="8"/>
      <c r="V7" s="8"/>
      <c r="W7" s="8"/>
      <c r="X7" s="8"/>
      <c r="Y7" s="8"/>
      <c r="Z7" s="8" t="s">
        <v>19</v>
      </c>
      <c r="AA7" s="8"/>
      <c r="AB7" s="8"/>
      <c r="AC7" s="8"/>
      <c r="AD7" s="8"/>
      <c r="AE7" s="8"/>
    </row>
    <row r="8" spans="1:16382" ht="87">
      <c r="A8" t="s">
        <v>217</v>
      </c>
      <c r="B8" s="3" t="s">
        <v>1343</v>
      </c>
      <c r="C8" s="3" t="s">
        <v>1344</v>
      </c>
      <c r="F8" t="s">
        <v>19</v>
      </c>
      <c r="G8" s="8" t="s">
        <v>25</v>
      </c>
      <c r="H8" s="8">
        <v>0</v>
      </c>
      <c r="I8" s="8">
        <v>1</v>
      </c>
      <c r="J8" s="8">
        <v>5</v>
      </c>
      <c r="K8" s="8" t="s">
        <v>1274</v>
      </c>
      <c r="L8" s="8" t="s">
        <v>1263</v>
      </c>
      <c r="M8" s="8"/>
      <c r="N8" s="9"/>
      <c r="O8" s="8"/>
      <c r="P8" s="8">
        <v>829</v>
      </c>
      <c r="Q8" s="8">
        <v>407.611367882781</v>
      </c>
      <c r="R8" s="8"/>
      <c r="S8" s="8" t="s">
        <v>1371</v>
      </c>
      <c r="T8" s="8" t="s">
        <v>1371</v>
      </c>
      <c r="U8" s="8"/>
      <c r="V8" s="8"/>
      <c r="W8" s="8"/>
      <c r="X8" s="8"/>
      <c r="Y8" s="8"/>
      <c r="Z8" s="8" t="s">
        <v>19</v>
      </c>
      <c r="AA8" s="8"/>
      <c r="AB8" s="8"/>
      <c r="AC8" s="8"/>
      <c r="AD8" s="8"/>
      <c r="AE8" s="8"/>
    </row>
    <row r="9" spans="1:16382" ht="58">
      <c r="A9" t="s">
        <v>231</v>
      </c>
      <c r="B9" s="3" t="s">
        <v>856</v>
      </c>
      <c r="C9" s="3" t="s">
        <v>855</v>
      </c>
      <c r="G9" s="8" t="s">
        <v>25</v>
      </c>
      <c r="H9" s="8">
        <v>0</v>
      </c>
      <c r="I9" s="8">
        <v>1</v>
      </c>
      <c r="J9" s="8">
        <v>2</v>
      </c>
      <c r="K9" s="8" t="s">
        <v>1262</v>
      </c>
      <c r="L9" s="8" t="s">
        <v>1304</v>
      </c>
      <c r="M9" s="8"/>
      <c r="N9" s="9"/>
      <c r="O9" s="8"/>
      <c r="P9" s="8">
        <v>2475</v>
      </c>
      <c r="Q9" s="8">
        <v>1216.9338184678927</v>
      </c>
      <c r="R9" s="8"/>
      <c r="S9" s="8" t="s">
        <v>1371</v>
      </c>
      <c r="T9" s="8" t="s">
        <v>1371</v>
      </c>
      <c r="U9" s="8"/>
      <c r="V9" s="8"/>
      <c r="W9" s="8"/>
      <c r="X9" s="8"/>
      <c r="Y9" s="8"/>
      <c r="Z9" s="8" t="s">
        <v>19</v>
      </c>
      <c r="AA9" s="8"/>
      <c r="AB9" s="8"/>
      <c r="AC9" s="8"/>
      <c r="AD9" s="8"/>
      <c r="AE9" s="8"/>
    </row>
    <row r="10" spans="1:16382" ht="72.5">
      <c r="A10" t="s">
        <v>234</v>
      </c>
      <c r="B10" s="3" t="s">
        <v>860</v>
      </c>
      <c r="C10" s="3" t="s">
        <v>861</v>
      </c>
      <c r="F10" t="s">
        <v>19</v>
      </c>
      <c r="G10" s="8" t="s">
        <v>24</v>
      </c>
      <c r="H10" s="8">
        <v>0</v>
      </c>
      <c r="I10" s="8">
        <v>1</v>
      </c>
      <c r="J10" s="8">
        <v>6</v>
      </c>
      <c r="K10" s="8" t="s">
        <v>1274</v>
      </c>
      <c r="L10" s="8" t="s">
        <v>1258</v>
      </c>
      <c r="M10" s="8" t="s">
        <v>1340</v>
      </c>
      <c r="N10" s="9" t="s">
        <v>1338</v>
      </c>
      <c r="O10" s="8" t="s">
        <v>1259</v>
      </c>
      <c r="P10" s="8">
        <v>830</v>
      </c>
      <c r="Q10" s="8">
        <v>408.10305831448517</v>
      </c>
      <c r="R10" s="8"/>
      <c r="S10" s="8" t="s">
        <v>1371</v>
      </c>
      <c r="T10" s="8" t="s">
        <v>1371</v>
      </c>
      <c r="U10" s="8"/>
      <c r="V10" s="8"/>
      <c r="W10" s="8"/>
      <c r="X10" s="8"/>
      <c r="Y10" s="8"/>
      <c r="Z10" s="8" t="s">
        <v>19</v>
      </c>
      <c r="AA10" s="8"/>
      <c r="AB10" s="8"/>
      <c r="AC10" s="8"/>
      <c r="AD10" s="8"/>
      <c r="AE10" s="8"/>
    </row>
    <row r="11" spans="1:16382" ht="72.5">
      <c r="A11" t="s">
        <v>251</v>
      </c>
      <c r="B11" s="3" t="s">
        <v>872</v>
      </c>
      <c r="C11" s="3" t="s">
        <v>871</v>
      </c>
      <c r="G11" s="8" t="s">
        <v>24</v>
      </c>
      <c r="H11" s="8">
        <v>0</v>
      </c>
      <c r="I11" s="8">
        <v>1</v>
      </c>
      <c r="J11" s="8">
        <v>3</v>
      </c>
      <c r="K11" s="8" t="s">
        <v>1262</v>
      </c>
      <c r="L11" s="8" t="s">
        <v>1258</v>
      </c>
      <c r="M11" s="8" t="s">
        <v>1340</v>
      </c>
      <c r="N11" s="9" t="s">
        <v>1336</v>
      </c>
      <c r="O11" s="8" t="s">
        <v>1259</v>
      </c>
      <c r="P11" s="8">
        <v>2475</v>
      </c>
      <c r="Q11" s="8">
        <v>1216.9338184678927</v>
      </c>
      <c r="R11" s="8"/>
      <c r="S11" s="8" t="s">
        <v>1371</v>
      </c>
      <c r="T11" s="8" t="s">
        <v>1371</v>
      </c>
      <c r="U11" s="8"/>
      <c r="V11" s="8"/>
      <c r="W11" s="8"/>
      <c r="X11" s="8"/>
      <c r="Y11" s="8"/>
      <c r="Z11" s="8" t="s">
        <v>19</v>
      </c>
      <c r="AA11" s="8"/>
      <c r="AB11" s="8"/>
      <c r="AC11" s="8"/>
      <c r="AD11" s="8"/>
      <c r="AE11" s="8"/>
    </row>
    <row r="12" spans="1:16382" ht="29">
      <c r="A12" t="s">
        <v>271</v>
      </c>
      <c r="B12" s="3" t="s">
        <v>899</v>
      </c>
      <c r="C12" s="3" t="s">
        <v>900</v>
      </c>
      <c r="F12" t="s">
        <v>19</v>
      </c>
      <c r="G12" s="8" t="s">
        <v>25</v>
      </c>
      <c r="H12" s="8">
        <v>0</v>
      </c>
      <c r="I12" s="8">
        <v>1</v>
      </c>
      <c r="J12" s="8">
        <v>2</v>
      </c>
      <c r="K12" s="8" t="s">
        <v>1262</v>
      </c>
      <c r="L12" s="8" t="s">
        <v>1304</v>
      </c>
      <c r="M12" s="8"/>
      <c r="N12" s="9"/>
      <c r="O12" s="8"/>
      <c r="P12" s="8">
        <v>2474</v>
      </c>
      <c r="Q12" s="8">
        <v>1216.4421280361885</v>
      </c>
      <c r="R12" s="8"/>
      <c r="S12" s="8" t="s">
        <v>1371</v>
      </c>
      <c r="T12" s="8" t="s">
        <v>1371</v>
      </c>
      <c r="U12" s="8"/>
      <c r="V12" s="8"/>
      <c r="W12" s="8"/>
      <c r="X12" s="8"/>
      <c r="Y12" s="8"/>
      <c r="Z12" s="8" t="s">
        <v>19</v>
      </c>
      <c r="AA12" s="8"/>
      <c r="AB12" s="8"/>
      <c r="AC12" s="8"/>
      <c r="AD12" s="8"/>
      <c r="AE12" s="8"/>
    </row>
    <row r="13" spans="1:16382" ht="43.5">
      <c r="A13" t="s">
        <v>286</v>
      </c>
      <c r="B13" s="3" t="s">
        <v>932</v>
      </c>
      <c r="C13" s="3" t="s">
        <v>931</v>
      </c>
      <c r="F13" t="s">
        <v>19</v>
      </c>
      <c r="G13" s="8" t="s">
        <v>24</v>
      </c>
      <c r="H13" s="8">
        <v>0</v>
      </c>
      <c r="I13" s="8">
        <v>1</v>
      </c>
      <c r="J13" s="8">
        <v>1</v>
      </c>
      <c r="K13" s="8" t="s">
        <v>1262</v>
      </c>
      <c r="L13" s="8" t="s">
        <v>1304</v>
      </c>
      <c r="M13" s="8"/>
      <c r="N13" s="9"/>
      <c r="O13" s="8" t="s">
        <v>1259</v>
      </c>
      <c r="P13" s="8">
        <v>2475</v>
      </c>
      <c r="Q13" s="8">
        <v>1216.9338184678927</v>
      </c>
      <c r="R13" s="8"/>
      <c r="S13" s="8" t="s">
        <v>1371</v>
      </c>
      <c r="T13" s="8" t="s">
        <v>1371</v>
      </c>
      <c r="U13" s="8"/>
      <c r="V13" s="8"/>
      <c r="W13" s="8"/>
      <c r="X13" s="8"/>
      <c r="Y13" s="8"/>
      <c r="Z13" s="8" t="s">
        <v>19</v>
      </c>
      <c r="AA13" s="8"/>
      <c r="AB13" s="8"/>
      <c r="AC13" s="8"/>
      <c r="AD13" s="8"/>
      <c r="AE13" s="8"/>
    </row>
    <row r="14" spans="1:16382" ht="29">
      <c r="A14" t="s">
        <v>329</v>
      </c>
      <c r="B14" s="3" t="s">
        <v>974</v>
      </c>
      <c r="C14" s="3" t="s">
        <v>975</v>
      </c>
      <c r="F14" t="s">
        <v>19</v>
      </c>
      <c r="G14" s="8" t="s">
        <v>24</v>
      </c>
      <c r="H14" s="8">
        <v>0</v>
      </c>
      <c r="I14" s="8">
        <v>1</v>
      </c>
      <c r="J14" s="8">
        <v>1</v>
      </c>
      <c r="K14" s="8" t="s">
        <v>1274</v>
      </c>
      <c r="L14" s="8" t="s">
        <v>1304</v>
      </c>
      <c r="M14" s="8"/>
      <c r="N14" s="9"/>
      <c r="O14" s="8"/>
      <c r="P14" s="8">
        <v>99</v>
      </c>
      <c r="Q14" s="8">
        <v>48.677352738715705</v>
      </c>
      <c r="R14" s="8"/>
      <c r="S14" s="8" t="s">
        <v>1371</v>
      </c>
      <c r="T14" s="8" t="s">
        <v>1371</v>
      </c>
      <c r="U14" s="8"/>
      <c r="V14" s="8"/>
      <c r="W14" s="8"/>
      <c r="X14" s="8"/>
      <c r="Y14" s="8"/>
      <c r="Z14" s="8" t="s">
        <v>19</v>
      </c>
      <c r="AA14" s="8"/>
      <c r="AB14" s="8"/>
      <c r="AC14" s="8"/>
      <c r="AD14" s="8"/>
      <c r="AE14" s="8"/>
    </row>
    <row r="15" spans="1:16382" ht="43.5">
      <c r="A15" t="s">
        <v>415</v>
      </c>
      <c r="B15" s="3" t="s">
        <v>1049</v>
      </c>
      <c r="C15" s="3" t="s">
        <v>1050</v>
      </c>
      <c r="F15" t="s">
        <v>19</v>
      </c>
      <c r="G15" s="8" t="s">
        <v>24</v>
      </c>
      <c r="H15" s="8">
        <v>0</v>
      </c>
      <c r="I15" s="8">
        <v>1</v>
      </c>
      <c r="J15" s="8">
        <v>3</v>
      </c>
      <c r="K15" s="8" t="s">
        <v>1268</v>
      </c>
      <c r="L15" s="8" t="s">
        <v>1263</v>
      </c>
      <c r="M15" s="8"/>
      <c r="N15" s="9"/>
      <c r="O15" s="8"/>
      <c r="P15" s="8">
        <v>1701</v>
      </c>
      <c r="Q15" s="8">
        <v>836.36542432884255</v>
      </c>
      <c r="R15" s="8"/>
      <c r="S15" s="8" t="s">
        <v>1371</v>
      </c>
      <c r="T15" s="8" t="s">
        <v>1371</v>
      </c>
      <c r="U15" s="8"/>
      <c r="V15" s="8"/>
      <c r="W15" s="8"/>
      <c r="X15" s="8"/>
      <c r="Y15" s="8"/>
      <c r="Z15" s="8" t="s">
        <v>19</v>
      </c>
      <c r="AA15" s="8"/>
      <c r="AB15" s="8"/>
      <c r="AC15" s="8"/>
      <c r="AD15" s="8"/>
      <c r="AE15" s="8"/>
    </row>
    <row r="16" spans="1:16382" ht="29">
      <c r="A16" t="s">
        <v>416</v>
      </c>
      <c r="B16" s="3" t="s">
        <v>1051</v>
      </c>
      <c r="C16" s="3" t="s">
        <v>1052</v>
      </c>
      <c r="G16" s="8" t="s">
        <v>25</v>
      </c>
      <c r="H16" s="8">
        <v>0</v>
      </c>
      <c r="I16" s="8">
        <v>1</v>
      </c>
      <c r="J16" s="8">
        <v>3</v>
      </c>
      <c r="K16" s="8" t="s">
        <v>1308</v>
      </c>
      <c r="L16" s="8" t="s">
        <v>1263</v>
      </c>
      <c r="M16" s="8"/>
      <c r="N16" s="9"/>
      <c r="O16" s="8"/>
      <c r="P16" s="8">
        <v>204</v>
      </c>
      <c r="Q16" s="8">
        <v>100.30484806765661</v>
      </c>
      <c r="R16" s="8"/>
      <c r="S16" s="8" t="s">
        <v>1371</v>
      </c>
      <c r="T16" s="8" t="s">
        <v>1371</v>
      </c>
      <c r="U16" s="8"/>
      <c r="V16" s="8"/>
      <c r="W16" s="8"/>
      <c r="X16" s="8"/>
      <c r="Y16" s="8"/>
      <c r="Z16" s="8" t="s">
        <v>19</v>
      </c>
      <c r="AA16" s="8"/>
      <c r="AB16" s="8"/>
      <c r="AC16" s="8"/>
      <c r="AD16" s="8"/>
      <c r="AE16" s="8"/>
    </row>
    <row r="17" spans="1:31" ht="43.5">
      <c r="A17" t="s">
        <v>440</v>
      </c>
      <c r="B17" s="3" t="s">
        <v>1088</v>
      </c>
      <c r="C17" s="3" t="s">
        <v>1089</v>
      </c>
      <c r="F17" t="s">
        <v>19</v>
      </c>
      <c r="G17" s="8" t="s">
        <v>24</v>
      </c>
      <c r="H17" s="8">
        <v>0</v>
      </c>
      <c r="I17" s="8">
        <v>1</v>
      </c>
      <c r="J17" s="8">
        <v>3</v>
      </c>
      <c r="K17" s="8" t="s">
        <v>1308</v>
      </c>
      <c r="L17" s="8" t="s">
        <v>1263</v>
      </c>
      <c r="M17" s="8"/>
      <c r="N17" s="9"/>
      <c r="O17" s="8"/>
      <c r="P17" s="8">
        <v>14</v>
      </c>
      <c r="Q17" s="8">
        <v>6.8836660438587867</v>
      </c>
      <c r="R17" s="8"/>
      <c r="S17" s="8" t="s">
        <v>1371</v>
      </c>
      <c r="T17" s="8" t="s">
        <v>1371</v>
      </c>
      <c r="U17" s="8"/>
      <c r="V17" s="8"/>
      <c r="W17" s="8"/>
      <c r="X17" s="8"/>
      <c r="Y17" s="8"/>
      <c r="Z17" s="8" t="s">
        <v>19</v>
      </c>
      <c r="AA17" s="8"/>
      <c r="AB17" s="8"/>
      <c r="AC17" s="8"/>
      <c r="AD17" s="8"/>
      <c r="AE17" s="8"/>
    </row>
    <row r="18" spans="1:31" ht="29">
      <c r="A18" t="s">
        <v>479</v>
      </c>
      <c r="B18" s="3" t="s">
        <v>1051</v>
      </c>
      <c r="C18" s="3" t="s">
        <v>1052</v>
      </c>
      <c r="F18" t="s">
        <v>19</v>
      </c>
      <c r="G18" s="8" t="s">
        <v>25</v>
      </c>
      <c r="H18" s="8">
        <v>0</v>
      </c>
      <c r="I18" s="8">
        <v>1</v>
      </c>
      <c r="J18" s="8">
        <v>3</v>
      </c>
      <c r="K18" s="8" t="s">
        <v>1308</v>
      </c>
      <c r="L18" s="8" t="s">
        <v>1263</v>
      </c>
      <c r="M18" s="8"/>
      <c r="N18" s="9"/>
      <c r="O18" s="8"/>
      <c r="P18" s="8">
        <v>204</v>
      </c>
      <c r="Q18" s="8">
        <v>100.30484806765661</v>
      </c>
      <c r="R18" s="8"/>
      <c r="S18" s="8" t="s">
        <v>1371</v>
      </c>
      <c r="T18" s="8" t="s">
        <v>1371</v>
      </c>
      <c r="U18" s="8"/>
      <c r="V18" s="8"/>
      <c r="W18" s="8"/>
      <c r="X18" s="8"/>
      <c r="Y18" s="8"/>
      <c r="Z18" s="8" t="s">
        <v>19</v>
      </c>
      <c r="AA18" s="8"/>
      <c r="AB18" s="8"/>
      <c r="AC18" s="8"/>
      <c r="AD18" s="8"/>
      <c r="AE18" s="8"/>
    </row>
    <row r="19" spans="1:31" ht="29">
      <c r="A19" t="s">
        <v>510</v>
      </c>
      <c r="B19" s="3" t="s">
        <v>1172</v>
      </c>
      <c r="C19" s="3" t="s">
        <v>1173</v>
      </c>
      <c r="F19" t="s">
        <v>19</v>
      </c>
      <c r="G19" s="8" t="s">
        <v>25</v>
      </c>
      <c r="H19" s="8">
        <v>0</v>
      </c>
      <c r="I19" s="8">
        <v>1</v>
      </c>
      <c r="J19" s="8">
        <v>3</v>
      </c>
      <c r="K19" s="8" t="s">
        <v>1276</v>
      </c>
      <c r="L19" s="8" t="s">
        <v>1263</v>
      </c>
      <c r="M19" s="8"/>
      <c r="N19" s="9"/>
      <c r="O19" s="8"/>
      <c r="P19" s="8">
        <v>210</v>
      </c>
      <c r="Q19" s="8">
        <v>103.25499065788181</v>
      </c>
      <c r="R19" s="8"/>
      <c r="S19" s="8" t="s">
        <v>1371</v>
      </c>
      <c r="T19" s="8" t="s">
        <v>1371</v>
      </c>
      <c r="U19" s="8"/>
      <c r="V19" s="8"/>
      <c r="W19" s="8"/>
      <c r="X19" s="8"/>
      <c r="Y19" s="8"/>
      <c r="Z19" s="8" t="s">
        <v>19</v>
      </c>
      <c r="AA19" s="8"/>
      <c r="AB19" s="8"/>
      <c r="AC19" s="8"/>
      <c r="AD19" s="8"/>
      <c r="AE19" s="8"/>
    </row>
    <row r="20" spans="1:31" ht="58">
      <c r="A20" t="s">
        <v>550</v>
      </c>
      <c r="B20" s="3" t="s">
        <v>1205</v>
      </c>
      <c r="C20" s="3" t="s">
        <v>1206</v>
      </c>
      <c r="F20" t="s">
        <v>19</v>
      </c>
      <c r="G20" s="8" t="s">
        <v>25</v>
      </c>
      <c r="H20" s="8">
        <v>0</v>
      </c>
      <c r="I20" s="8">
        <v>1</v>
      </c>
      <c r="J20" s="8">
        <v>5</v>
      </c>
      <c r="K20" s="8" t="s">
        <v>1274</v>
      </c>
      <c r="L20" s="8" t="s">
        <v>1263</v>
      </c>
      <c r="M20" s="8"/>
      <c r="N20" s="9"/>
      <c r="O20" s="8"/>
      <c r="P20" s="8">
        <v>830</v>
      </c>
      <c r="Q20" s="8">
        <v>408.10305831448517</v>
      </c>
      <c r="R20" s="8"/>
      <c r="S20" s="8" t="s">
        <v>1371</v>
      </c>
      <c r="T20" s="8" t="s">
        <v>1371</v>
      </c>
      <c r="U20" s="8"/>
      <c r="V20" s="8"/>
      <c r="W20" s="8"/>
      <c r="X20" s="8"/>
      <c r="Y20" s="8"/>
      <c r="Z20" s="8" t="s">
        <v>19</v>
      </c>
      <c r="AA20" s="8"/>
      <c r="AB20" s="8"/>
      <c r="AC20" s="8"/>
      <c r="AD20" s="8"/>
      <c r="AE20" s="8"/>
    </row>
    <row r="21" spans="1:31" ht="43.5">
      <c r="A21" t="s">
        <v>555</v>
      </c>
      <c r="B21" s="3" t="s">
        <v>1210</v>
      </c>
      <c r="C21" s="3" t="s">
        <v>1209</v>
      </c>
      <c r="G21" s="8" t="s">
        <v>25</v>
      </c>
      <c r="H21" s="8">
        <v>0</v>
      </c>
      <c r="I21" s="8">
        <v>1</v>
      </c>
      <c r="J21" s="8">
        <v>3</v>
      </c>
      <c r="K21" s="8" t="s">
        <v>1274</v>
      </c>
      <c r="L21" s="8" t="s">
        <v>1263</v>
      </c>
      <c r="M21" s="8"/>
      <c r="N21" s="9"/>
      <c r="O21" s="8"/>
      <c r="P21" s="8">
        <v>312</v>
      </c>
      <c r="Q21" s="8">
        <v>153.4074146917101</v>
      </c>
      <c r="R21" s="8"/>
      <c r="S21" s="8" t="s">
        <v>1371</v>
      </c>
      <c r="T21" s="8" t="s">
        <v>1371</v>
      </c>
      <c r="U21" s="8"/>
      <c r="V21" s="8"/>
      <c r="W21" s="8"/>
      <c r="X21" s="8"/>
      <c r="Y21" s="8"/>
      <c r="Z21" s="8" t="s">
        <v>19</v>
      </c>
      <c r="AA21" s="8"/>
      <c r="AB21" s="8"/>
      <c r="AC21" s="8"/>
      <c r="AD21" s="8"/>
      <c r="AE21" s="8"/>
    </row>
    <row r="22" spans="1:31" ht="29">
      <c r="A22" t="s">
        <v>557</v>
      </c>
      <c r="B22" s="3" t="s">
        <v>1211</v>
      </c>
      <c r="C22" s="3" t="s">
        <v>1212</v>
      </c>
      <c r="F22" t="s">
        <v>19</v>
      </c>
      <c r="G22" s="8" t="s">
        <v>25</v>
      </c>
      <c r="H22" s="8">
        <v>0</v>
      </c>
      <c r="I22" s="8">
        <v>1</v>
      </c>
      <c r="J22" s="8">
        <v>3</v>
      </c>
      <c r="K22" s="8" t="s">
        <v>1262</v>
      </c>
      <c r="L22" s="8" t="s">
        <v>1263</v>
      </c>
      <c r="M22" s="8"/>
      <c r="N22" s="9"/>
      <c r="O22" s="8"/>
      <c r="P22" s="8">
        <v>2475</v>
      </c>
      <c r="Q22" s="8">
        <v>1216.9338184678927</v>
      </c>
      <c r="R22" s="8"/>
      <c r="S22" s="8" t="s">
        <v>1371</v>
      </c>
      <c r="T22" s="8" t="s">
        <v>1371</v>
      </c>
      <c r="U22" s="8"/>
      <c r="V22" s="8"/>
      <c r="W22" s="8"/>
      <c r="X22" s="8"/>
      <c r="Y22" s="8"/>
      <c r="Z22" s="8" t="s">
        <v>19</v>
      </c>
      <c r="AA22" s="8"/>
      <c r="AB22" s="8"/>
      <c r="AC22" s="8"/>
      <c r="AD22" s="8"/>
      <c r="AE22" s="8"/>
    </row>
    <row r="25" spans="1:31">
      <c r="D25" t="s">
        <v>1407</v>
      </c>
      <c r="E25">
        <v>20338</v>
      </c>
    </row>
    <row r="26" spans="1:31">
      <c r="D26" t="s">
        <v>1411</v>
      </c>
      <c r="E26">
        <f>MEDIAN(Q:Q)</f>
        <v>835.87373389713832</v>
      </c>
    </row>
    <row r="29" spans="1:31">
      <c r="D29" t="s">
        <v>1412</v>
      </c>
      <c r="E29">
        <f>COUNTIFS(G:G, "Addition", Q:Q, "&gt;=" &amp; $E$26)</f>
        <v>4</v>
      </c>
    </row>
    <row r="30" spans="1:31">
      <c r="D30" t="s">
        <v>1413</v>
      </c>
      <c r="E30">
        <f>COUNTIFS(G:G, "Omission", Q:Q, "&gt;=" &amp; $E$26)</f>
        <v>7</v>
      </c>
    </row>
    <row r="31" spans="1:31">
      <c r="D31" t="s">
        <v>1414</v>
      </c>
      <c r="E31">
        <f>E29/(E29+E30)</f>
        <v>0.36363636363636365</v>
      </c>
    </row>
    <row r="32" spans="1:31">
      <c r="D32" t="s">
        <v>1415</v>
      </c>
      <c r="E32">
        <f>COUNTIFS(G:G, "Addition", Q:Q, "&lt;" &amp; $E$26)</f>
        <v>4</v>
      </c>
    </row>
    <row r="33" spans="4:5">
      <c r="D33" t="s">
        <v>1416</v>
      </c>
      <c r="E33">
        <f>COUNTIFS(G:G, "Omission", Q:Q, "&lt;" &amp; $E$26)</f>
        <v>6</v>
      </c>
    </row>
    <row r="34" spans="4:5">
      <c r="D34" t="s">
        <v>1417</v>
      </c>
      <c r="E34">
        <f>E32/(E32+E33)</f>
        <v>0.4</v>
      </c>
    </row>
    <row r="37" spans="4:5">
      <c r="D37" t="s">
        <v>1419</v>
      </c>
      <c r="E37">
        <f>COUNTIFS(G:G, "Addition", K:K, "Article")</f>
        <v>2</v>
      </c>
    </row>
    <row r="38" spans="4:5">
      <c r="D38" t="s">
        <v>1420</v>
      </c>
      <c r="E38">
        <f>COUNTIFS(G:G, "Omission", K:K, "Article")</f>
        <v>6</v>
      </c>
    </row>
    <row r="39" spans="4:5">
      <c r="D39" t="s">
        <v>1421</v>
      </c>
      <c r="E39">
        <f>COUNTIFS(G:G, "Addition", K:K, "Article")/(COUNTIFS(G:G, "Addition", K:K, "Article") + COUNTIFS(G:G, "Omission", K:K, "Article"))</f>
        <v>0.25</v>
      </c>
    </row>
  </sheetData>
  <conditionalFormatting sqref="G2:G22">
    <cfRule type="expression" dxfId="167" priority="31">
      <formula>$I2&lt;&gt;""</formula>
    </cfRule>
    <cfRule type="expression" dxfId="166" priority="32">
      <formula>$I2=""</formula>
    </cfRule>
  </conditionalFormatting>
  <conditionalFormatting sqref="H2:L22 O2:P22">
    <cfRule type="expression" dxfId="165" priority="29">
      <formula>AND(OR($I2="Addition",$I2="Omission"), H2="")</formula>
    </cfRule>
    <cfRule type="expression" dxfId="164" priority="30">
      <formula>AND($I2&lt;&gt;"Addition",$I2&lt;&gt;"Omission",$I2&lt;&gt;"Substitution - Word")</formula>
    </cfRule>
  </conditionalFormatting>
  <conditionalFormatting sqref="H2:P22">
    <cfRule type="expression" dxfId="163" priority="28">
      <formula>AND(OR($I2="Addition",$I2="Omission"), H2&lt;&gt;"")</formula>
    </cfRule>
  </conditionalFormatting>
  <conditionalFormatting sqref="K2:K22">
    <cfRule type="expression" dxfId="162" priority="23">
      <formula>AND($K2&lt;&gt;"",$K2&gt;1)</formula>
    </cfRule>
  </conditionalFormatting>
  <conditionalFormatting sqref="M2:N22">
    <cfRule type="expression" dxfId="161" priority="22">
      <formula>AND($I2&lt;&gt;"Addition",$I2&lt;&gt;"Omission")</formula>
    </cfRule>
    <cfRule type="expression" dxfId="160" priority="21">
      <formula>AND(OR($I2="Addition",$I2="Omission"), M2="")</formula>
    </cfRule>
    <cfRule type="expression" dxfId="159" priority="19">
      <formula>$N2="Absent"</formula>
    </cfRule>
    <cfRule type="expression" dxfId="158" priority="20">
      <formula>$N2="NA"</formula>
    </cfRule>
  </conditionalFormatting>
  <conditionalFormatting sqref="O2:O22">
    <cfRule type="expression" dxfId="157" priority="24">
      <formula>OR($I2="Addition",$I2="Omission",$I2 = "Substitution - Word")</formula>
    </cfRule>
  </conditionalFormatting>
  <conditionalFormatting sqref="Q2:Q22">
    <cfRule type="expression" dxfId="156" priority="1">
      <formula>AND(OR($I2="Addition",$I2="Omission"), Q2&lt;&gt;"")</formula>
    </cfRule>
    <cfRule type="expression" dxfId="155" priority="2">
      <formula>AND(OR($I2="Addition",$I2="Omission"), Q2="")</formula>
    </cfRule>
    <cfRule type="expression" dxfId="154" priority="3">
      <formula>AND($I2&lt;&gt;"Addition",$I2&lt;&gt;"Omission",$I2&lt;&gt;"Substitution - Word")</formula>
    </cfRule>
  </conditionalFormatting>
  <conditionalFormatting sqref="R2:T22">
    <cfRule type="expression" dxfId="153" priority="25">
      <formula>AND(AND(LEFT($I2,3)="Sub", RIGHT($I2,4)&lt;&gt;"Form"),$T2&lt;&gt;"")</formula>
    </cfRule>
    <cfRule type="expression" dxfId="152" priority="26">
      <formula>AND(AND(LEFT($I2,3)="Sub", RIGHT($I2,4)&lt;&gt;"Form"),$T2="")</formula>
    </cfRule>
    <cfRule type="expression" dxfId="151" priority="27">
      <formula>"&lt;&gt;AND(LEFT($J2,3)=""Sub"", RIGHT($J2,4)&lt;&gt;""Form"")"</formula>
    </cfRule>
  </conditionalFormatting>
  <conditionalFormatting sqref="S2:T22">
    <cfRule type="expression" dxfId="150" priority="4">
      <formula>AND(AND(LEFT($I2,3)="Sub", RIGHT($I2,4)&lt;&gt;"Form"),$T2&lt;&gt;"")</formula>
    </cfRule>
    <cfRule type="expression" dxfId="149" priority="5">
      <formula>AND(AND(LEFT($I2,3)="Sub", RIGHT($I2,4)&lt;&gt;"Form"),$T2="")</formula>
    </cfRule>
    <cfRule type="expression" dxfId="148" priority="6">
      <formula>"&lt;&gt;AND(LEFT($J2,3)=""Sub"", RIGHT($J2,4)&lt;&gt;""Form"")"</formula>
    </cfRule>
  </conditionalFormatting>
  <conditionalFormatting sqref="U2:U22">
    <cfRule type="expression" dxfId="147" priority="14">
      <formula>AND($I2&lt;&gt;"",$I2&lt;&gt;"Unclear due to correction")</formula>
    </cfRule>
    <cfRule type="expression" dxfId="146" priority="17">
      <formula>OR($I2="",$I2="Unclear due to correction")</formula>
    </cfRule>
    <cfRule type="expression" dxfId="145" priority="18">
      <formula>AND($AE2&lt;&gt;"Yes",$AF2="")</formula>
    </cfRule>
    <cfRule type="expression" dxfId="144" priority="12">
      <formula>AND($W2&lt;&gt;"",OR($AE2="Yes",$AF2&lt;&gt;""))</formula>
    </cfRule>
    <cfRule type="expression" dxfId="143" priority="13">
      <formula>OR($AE2="Yes",$AF2&lt;&gt;"")</formula>
    </cfRule>
  </conditionalFormatting>
  <conditionalFormatting sqref="V2:V22">
    <cfRule type="expression" dxfId="142" priority="11">
      <formula>AND($I2&lt;&gt;"",$I2&lt;&gt;"Unclear due to correction",$X2="")</formula>
    </cfRule>
  </conditionalFormatting>
  <conditionalFormatting sqref="V2:AE22">
    <cfRule type="expression" dxfId="141" priority="33">
      <formula>AND($I2&lt;&gt;"",$I2&lt;&gt;"Unclear due to correction")</formula>
    </cfRule>
    <cfRule type="expression" dxfId="140" priority="34">
      <formula>OR($I2="",$I2="Unclear due to correction")</formula>
    </cfRule>
  </conditionalFormatting>
  <conditionalFormatting sqref="W2:W22">
    <cfRule type="expression" dxfId="139" priority="16">
      <formula>$X2=""</formula>
    </cfRule>
    <cfRule type="expression" dxfId="138" priority="15">
      <formula>AND($X2="Yes",$Y2="")</formula>
    </cfRule>
  </conditionalFormatting>
  <conditionalFormatting sqref="X2:X22">
    <cfRule type="expression" dxfId="137" priority="9">
      <formula>$Z2&lt;&gt;""</formula>
    </cfRule>
  </conditionalFormatting>
  <conditionalFormatting sqref="Y2:Z22">
    <cfRule type="expression" dxfId="136" priority="8">
      <formula>$Z2&lt;&gt;""</formula>
    </cfRule>
    <cfRule type="expression" dxfId="135" priority="7">
      <formula>AND($Z2&lt;&gt;"",Y2&lt;&gt;"")</formula>
    </cfRule>
  </conditionalFormatting>
  <conditionalFormatting sqref="AC2:AC22">
    <cfRule type="expression" dxfId="134" priority="10">
      <formula>AND(OR($AC2&lt;&gt;"",$AD2&lt;&gt;""),$AE2="")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0BA33F68-9498-418B-8DFE-8CE9D613BCF1}">
          <x14:formula1>
            <xm:f>'Data Regularization'!$R$2:$R$1048576</xm:f>
          </x14:formula1>
          <xm:sqref>AE2:AE22</xm:sqref>
        </x14:dataValidation>
        <x14:dataValidation type="list" allowBlank="1" showInputMessage="1" xr:uid="{A8AA3350-50F0-4174-95ED-F1E2D0C93B0A}">
          <x14:formula1>
            <xm:f>'Data Regularization'!$J$2:$J$1048576</xm:f>
          </x14:formula1>
          <xm:sqref>V2:V22</xm:sqref>
        </x14:dataValidation>
        <x14:dataValidation type="list" allowBlank="1" showInputMessage="1" showErrorMessage="1" xr:uid="{2DC16F33-712E-4FDA-AB2D-229D08FB8041}">
          <x14:formula1>
            <xm:f>'Data Regularization'!$H$2:$H$1048576</xm:f>
          </x14:formula1>
          <xm:sqref>U2:U22</xm:sqref>
        </x14:dataValidation>
        <x14:dataValidation type="list" allowBlank="1" showInputMessage="1" showErrorMessage="1" xr:uid="{7251969B-56DD-4029-95FE-600528CB4068}">
          <x14:formula1>
            <xm:f>'Data Regularization'!$Q$2:$Q$1048576</xm:f>
          </x14:formula1>
          <xm:sqref>AD2:AD22</xm:sqref>
        </x14:dataValidation>
        <x14:dataValidation type="list" allowBlank="1" showInputMessage="1" showErrorMessage="1" xr:uid="{E6452526-A3A4-424A-A60B-E8B088E637ED}">
          <x14:formula1>
            <xm:f>'Data Regularization'!$P$2:$P$1048576</xm:f>
          </x14:formula1>
          <xm:sqref>AC2:AC22</xm:sqref>
        </x14:dataValidation>
        <x14:dataValidation type="list" allowBlank="1" showInputMessage="1" showErrorMessage="1" xr:uid="{ED6142E5-1CA9-4C12-A042-6862BCFFAA35}">
          <x14:formula1>
            <xm:f>'Data Regularization'!$O$2:$O$1048576</xm:f>
          </x14:formula1>
          <xm:sqref>AA2:AA22</xm:sqref>
        </x14:dataValidation>
        <x14:dataValidation type="list" allowBlank="1" showInputMessage="1" showErrorMessage="1" xr:uid="{83AD21F2-B5BD-4324-A20E-4DC62EAE3AE7}">
          <x14:formula1>
            <xm:f>'Data Regularization'!$N$2:$N$1048576</xm:f>
          </x14:formula1>
          <xm:sqref>Z2:Z22</xm:sqref>
        </x14:dataValidation>
        <x14:dataValidation type="list" allowBlank="1" showInputMessage="1" showErrorMessage="1" xr:uid="{5A5C19AC-CB01-4C07-A096-344667E98863}">
          <x14:formula1>
            <xm:f>'Data Regularization'!$L$2:$L$1048576</xm:f>
          </x14:formula1>
          <xm:sqref>X2:X22</xm:sqref>
        </x14:dataValidation>
        <x14:dataValidation type="list" allowBlank="1" showInputMessage="1" showErrorMessage="1" xr:uid="{17FD10FA-E971-4F8A-B97C-5F8BCACE10D1}">
          <x14:formula1>
            <xm:f>'Data Regularization'!$K$2:$K$1048576</xm:f>
          </x14:formula1>
          <xm:sqref>W2:W22</xm:sqref>
        </x14:dataValidation>
        <x14:dataValidation type="list" allowBlank="1" showInputMessage="1" showErrorMessage="1" xr:uid="{B466551A-FB74-46F1-92BA-20C9FB40D572}">
          <x14:formula1>
            <xm:f>'Data Regularization'!$G$2:$G$1048576</xm:f>
          </x14:formula1>
          <xm:sqref>O2:O22</xm:sqref>
        </x14:dataValidation>
        <x14:dataValidation type="list" allowBlank="1" showInputMessage="1" showErrorMessage="1" xr:uid="{90DF5BC0-78C8-44DD-9B1D-AF608B755982}">
          <x14:formula1>
            <xm:f>'Data Regularization'!$F$2:$F$1048576</xm:f>
          </x14:formula1>
          <xm:sqref>L2:L22</xm:sqref>
        </x14:dataValidation>
        <x14:dataValidation type="list" allowBlank="1" showInputMessage="1" showErrorMessage="1" xr:uid="{B247A094-EEFB-4678-944C-83F87BE2F5BA}">
          <x14:formula1>
            <xm:f>'Data Regularization'!$E$2:$E$1048576</xm:f>
          </x14:formula1>
          <xm:sqref>K2:K22</xm:sqref>
        </x14:dataValidation>
        <x14:dataValidation type="list" allowBlank="1" showInputMessage="1" showErrorMessage="1" xr:uid="{D1B4BA35-0BAA-4955-BAE3-1E4869FFF365}">
          <x14:formula1>
            <xm:f>'Data Regularization'!$D$2:$D$1048576</xm:f>
          </x14:formula1>
          <xm:sqref>Y2:Y22 G2:G22</xm:sqref>
        </x14:dataValidation>
        <x14:dataValidation type="list" allowBlank="1" showInputMessage="1" showErrorMessage="1" xr:uid="{7BDC7EF5-6C54-4532-BAFC-5B9E4115E276}">
          <x14:formula1>
            <xm:f>'Data Regularization'!$B$2:$B$1048576</xm:f>
          </x14:formula1>
          <xm:sqref>E2:E22</xm:sqref>
        </x14:dataValidation>
        <x14:dataValidation type="list" allowBlank="1" showInputMessage="1" showErrorMessage="1" xr:uid="{D132C2C3-3324-4B86-AEDE-6323A19C79D8}">
          <x14:formula1>
            <xm:f>'Data Regularization'!$A$2:$A$1048576</xm:f>
          </x14:formula1>
          <xm:sqref>D2:D22</xm:sqref>
        </x14:dataValidation>
        <x14:dataValidation type="list" allowBlank="1" showInputMessage="1" showErrorMessage="1" xr:uid="{92EE068A-73AB-4B79-8F08-034EF9BB359F}">
          <x14:formula1>
            <xm:f>'Data Regularization'!$C$2:$C$25</xm:f>
          </x14:formula1>
          <xm:sqref>F2:F22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5A9CF-EBB5-4C7F-A1F1-F8D4B552B05B}">
  <dimension ref="A1:XFC2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sheetData>
    <row r="1" spans="1:16383">
      <c r="A1" s="1" t="s">
        <v>0</v>
      </c>
      <c r="B1" s="1" t="s">
        <v>5</v>
      </c>
      <c r="C1" s="1" t="s">
        <v>6</v>
      </c>
      <c r="D1" s="1" t="s">
        <v>1292</v>
      </c>
      <c r="E1" s="1" t="s">
        <v>1293</v>
      </c>
      <c r="F1" s="1" t="s">
        <v>1294</v>
      </c>
      <c r="G1" s="1" t="s">
        <v>7</v>
      </c>
      <c r="H1" s="1" t="s">
        <v>3</v>
      </c>
      <c r="I1" s="1" t="s">
        <v>1280</v>
      </c>
      <c r="J1" s="1" t="s">
        <v>1281</v>
      </c>
      <c r="K1" s="1" t="s">
        <v>1282</v>
      </c>
      <c r="L1" s="1" t="s">
        <v>1295</v>
      </c>
      <c r="M1" s="1" t="s">
        <v>1252</v>
      </c>
      <c r="N1" s="1" t="s">
        <v>1283</v>
      </c>
      <c r="O1" s="7" t="s">
        <v>1284</v>
      </c>
      <c r="P1" s="1" t="s">
        <v>1253</v>
      </c>
      <c r="Q1" s="1" t="s">
        <v>1285</v>
      </c>
      <c r="R1" s="1" t="s">
        <v>1410</v>
      </c>
      <c r="S1" s="1" t="s">
        <v>1286</v>
      </c>
      <c r="T1" s="1" t="s">
        <v>1297</v>
      </c>
      <c r="U1" s="1" t="s">
        <v>1298</v>
      </c>
      <c r="V1" s="1" t="s">
        <v>1299</v>
      </c>
      <c r="W1" s="1" t="s">
        <v>1254</v>
      </c>
      <c r="X1" s="1" t="s">
        <v>1372</v>
      </c>
      <c r="Y1" s="1" t="s">
        <v>1255</v>
      </c>
      <c r="Z1" s="1" t="s">
        <v>1256</v>
      </c>
      <c r="AA1" s="1" t="s">
        <v>1296</v>
      </c>
      <c r="AB1" s="1" t="s">
        <v>1300</v>
      </c>
      <c r="AC1" s="1" t="s">
        <v>1287</v>
      </c>
      <c r="AD1" s="1" t="s">
        <v>1301</v>
      </c>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c r="KBI1" s="1"/>
      <c r="KBJ1" s="1"/>
      <c r="KBK1" s="1"/>
      <c r="KBL1" s="1"/>
      <c r="KBM1" s="1"/>
      <c r="KBN1" s="1"/>
      <c r="KBO1" s="1"/>
      <c r="KBP1" s="1"/>
      <c r="KBQ1" s="1"/>
      <c r="KBR1" s="1"/>
      <c r="KBS1" s="1"/>
      <c r="KBT1" s="1"/>
      <c r="KBU1" s="1"/>
      <c r="KBV1" s="1"/>
      <c r="KBW1" s="1"/>
      <c r="KBX1" s="1"/>
      <c r="KBY1" s="1"/>
      <c r="KBZ1" s="1"/>
      <c r="KCA1" s="1"/>
      <c r="KCB1" s="1"/>
      <c r="KCC1" s="1"/>
      <c r="KCD1" s="1"/>
      <c r="KCE1" s="1"/>
      <c r="KCF1" s="1"/>
      <c r="KCG1" s="1"/>
      <c r="KCH1" s="1"/>
      <c r="KCI1" s="1"/>
      <c r="KCJ1" s="1"/>
      <c r="KCK1" s="1"/>
      <c r="KCL1" s="1"/>
      <c r="KCM1" s="1"/>
      <c r="KCN1" s="1"/>
      <c r="KCO1" s="1"/>
      <c r="KCP1" s="1"/>
      <c r="KCQ1" s="1"/>
      <c r="KCR1" s="1"/>
      <c r="KCS1" s="1"/>
      <c r="KCT1" s="1"/>
      <c r="KCU1" s="1"/>
      <c r="KCV1" s="1"/>
      <c r="KCW1" s="1"/>
      <c r="KCX1" s="1"/>
      <c r="KCY1" s="1"/>
      <c r="KCZ1" s="1"/>
      <c r="KDA1" s="1"/>
      <c r="KDB1" s="1"/>
      <c r="KDC1" s="1"/>
      <c r="KDD1" s="1"/>
      <c r="KDE1" s="1"/>
      <c r="KDF1" s="1"/>
      <c r="KDG1" s="1"/>
      <c r="KDH1" s="1"/>
      <c r="KDI1" s="1"/>
      <c r="KDJ1" s="1"/>
      <c r="KDK1" s="1"/>
      <c r="KDL1" s="1"/>
      <c r="KDM1" s="1"/>
      <c r="KDN1" s="1"/>
      <c r="KDO1" s="1"/>
      <c r="KDP1" s="1"/>
      <c r="KDQ1" s="1"/>
      <c r="KDR1" s="1"/>
      <c r="KDS1" s="1"/>
      <c r="KDT1" s="1"/>
      <c r="KDU1" s="1"/>
      <c r="KDV1" s="1"/>
      <c r="KDW1" s="1"/>
      <c r="KDX1" s="1"/>
      <c r="KDY1" s="1"/>
      <c r="KDZ1" s="1"/>
      <c r="KEA1" s="1"/>
      <c r="KEB1" s="1"/>
      <c r="KEC1" s="1"/>
      <c r="KED1" s="1"/>
      <c r="KEE1" s="1"/>
      <c r="KEF1" s="1"/>
      <c r="KEG1" s="1"/>
      <c r="KEH1" s="1"/>
      <c r="KEI1" s="1"/>
      <c r="KEJ1" s="1"/>
      <c r="KEK1" s="1"/>
      <c r="KEL1" s="1"/>
      <c r="KEM1" s="1"/>
      <c r="KEN1" s="1"/>
      <c r="KEO1" s="1"/>
      <c r="KEP1" s="1"/>
      <c r="KEQ1" s="1"/>
      <c r="KER1" s="1"/>
      <c r="KES1" s="1"/>
      <c r="KET1" s="1"/>
      <c r="KEU1" s="1"/>
      <c r="KEV1" s="1"/>
      <c r="KEW1" s="1"/>
      <c r="KEX1" s="1"/>
      <c r="KEY1" s="1"/>
      <c r="KEZ1" s="1"/>
      <c r="KFA1" s="1"/>
      <c r="KFB1" s="1"/>
      <c r="KFC1" s="1"/>
      <c r="KFD1" s="1"/>
      <c r="KFE1" s="1"/>
      <c r="KFF1" s="1"/>
      <c r="KFG1" s="1"/>
      <c r="KFH1" s="1"/>
      <c r="KFI1" s="1"/>
      <c r="KFJ1" s="1"/>
      <c r="KFK1" s="1"/>
      <c r="KFL1" s="1"/>
      <c r="KFM1" s="1"/>
      <c r="KFN1" s="1"/>
      <c r="KFO1" s="1"/>
      <c r="KFP1" s="1"/>
      <c r="KFQ1" s="1"/>
      <c r="KFR1" s="1"/>
      <c r="KFS1" s="1"/>
      <c r="KFT1" s="1"/>
      <c r="KFU1" s="1"/>
      <c r="KFV1" s="1"/>
      <c r="KFW1" s="1"/>
      <c r="KFX1" s="1"/>
      <c r="KFY1" s="1"/>
      <c r="KFZ1" s="1"/>
      <c r="KGA1" s="1"/>
      <c r="KGB1" s="1"/>
      <c r="KGC1" s="1"/>
      <c r="KGD1" s="1"/>
      <c r="KGE1" s="1"/>
      <c r="KGF1" s="1"/>
      <c r="KGG1" s="1"/>
      <c r="KGH1" s="1"/>
      <c r="KGI1" s="1"/>
      <c r="KGJ1" s="1"/>
      <c r="KGK1" s="1"/>
      <c r="KGL1" s="1"/>
      <c r="KGM1" s="1"/>
      <c r="KGN1" s="1"/>
      <c r="KGO1" s="1"/>
      <c r="KGP1" s="1"/>
      <c r="KGQ1" s="1"/>
      <c r="KGR1" s="1"/>
      <c r="KGS1" s="1"/>
      <c r="KGT1" s="1"/>
      <c r="KGU1" s="1"/>
      <c r="KGV1" s="1"/>
      <c r="KGW1" s="1"/>
      <c r="KGX1" s="1"/>
      <c r="KGY1" s="1"/>
      <c r="KGZ1" s="1"/>
      <c r="KHA1" s="1"/>
      <c r="KHB1" s="1"/>
      <c r="KHC1" s="1"/>
      <c r="KHD1" s="1"/>
      <c r="KHE1" s="1"/>
      <c r="KHF1" s="1"/>
      <c r="KHG1" s="1"/>
      <c r="KHH1" s="1"/>
      <c r="KHI1" s="1"/>
      <c r="KHJ1" s="1"/>
      <c r="KHK1" s="1"/>
      <c r="KHL1" s="1"/>
      <c r="KHM1" s="1"/>
      <c r="KHN1" s="1"/>
      <c r="KHO1" s="1"/>
      <c r="KHP1" s="1"/>
      <c r="KHQ1" s="1"/>
      <c r="KHR1" s="1"/>
      <c r="KHS1" s="1"/>
      <c r="KHT1" s="1"/>
      <c r="KHU1" s="1"/>
      <c r="KHV1" s="1"/>
      <c r="KHW1" s="1"/>
      <c r="KHX1" s="1"/>
      <c r="KHY1" s="1"/>
      <c r="KHZ1" s="1"/>
      <c r="KIA1" s="1"/>
      <c r="KIB1" s="1"/>
      <c r="KIC1" s="1"/>
      <c r="KID1" s="1"/>
      <c r="KIE1" s="1"/>
      <c r="KIF1" s="1"/>
      <c r="KIG1" s="1"/>
      <c r="KIH1" s="1"/>
      <c r="KII1" s="1"/>
      <c r="KIJ1" s="1"/>
      <c r="KIK1" s="1"/>
      <c r="KIL1" s="1"/>
      <c r="KIM1" s="1"/>
      <c r="KIN1" s="1"/>
      <c r="KIO1" s="1"/>
      <c r="KIP1" s="1"/>
      <c r="KIQ1" s="1"/>
      <c r="KIR1" s="1"/>
      <c r="KIS1" s="1"/>
      <c r="KIT1" s="1"/>
      <c r="KIU1" s="1"/>
      <c r="KIV1" s="1"/>
      <c r="KIW1" s="1"/>
      <c r="KIX1" s="1"/>
      <c r="KIY1" s="1"/>
      <c r="KIZ1" s="1"/>
      <c r="KJA1" s="1"/>
      <c r="KJB1" s="1"/>
      <c r="KJC1" s="1"/>
      <c r="KJD1" s="1"/>
      <c r="KJE1" s="1"/>
      <c r="KJF1" s="1"/>
      <c r="KJG1" s="1"/>
      <c r="KJH1" s="1"/>
      <c r="KJI1" s="1"/>
      <c r="KJJ1" s="1"/>
      <c r="KJK1" s="1"/>
      <c r="KJL1" s="1"/>
      <c r="KJM1" s="1"/>
      <c r="KJN1" s="1"/>
      <c r="KJO1" s="1"/>
      <c r="KJP1" s="1"/>
      <c r="KJQ1" s="1"/>
      <c r="KJR1" s="1"/>
      <c r="KJS1" s="1"/>
      <c r="KJT1" s="1"/>
      <c r="KJU1" s="1"/>
      <c r="KJV1" s="1"/>
      <c r="KJW1" s="1"/>
      <c r="KJX1" s="1"/>
      <c r="KJY1" s="1"/>
      <c r="KJZ1" s="1"/>
      <c r="KKA1" s="1"/>
      <c r="KKB1" s="1"/>
      <c r="KKC1" s="1"/>
      <c r="KKD1" s="1"/>
      <c r="KKE1" s="1"/>
      <c r="KKF1" s="1"/>
      <c r="KKG1" s="1"/>
      <c r="KKH1" s="1"/>
      <c r="KKI1" s="1"/>
      <c r="KKJ1" s="1"/>
      <c r="KKK1" s="1"/>
      <c r="KKL1" s="1"/>
      <c r="KKM1" s="1"/>
      <c r="KKN1" s="1"/>
      <c r="KKO1" s="1"/>
      <c r="KKP1" s="1"/>
      <c r="KKQ1" s="1"/>
      <c r="KKR1" s="1"/>
      <c r="KKS1" s="1"/>
      <c r="KKT1" s="1"/>
      <c r="KKU1" s="1"/>
      <c r="KKV1" s="1"/>
      <c r="KKW1" s="1"/>
      <c r="KKX1" s="1"/>
      <c r="KKY1" s="1"/>
      <c r="KKZ1" s="1"/>
      <c r="KLA1" s="1"/>
      <c r="KLB1" s="1"/>
      <c r="KLC1" s="1"/>
      <c r="KLD1" s="1"/>
      <c r="KLE1" s="1"/>
      <c r="KLF1" s="1"/>
      <c r="KLG1" s="1"/>
      <c r="KLH1" s="1"/>
      <c r="KLI1" s="1"/>
      <c r="KLJ1" s="1"/>
      <c r="KLK1" s="1"/>
      <c r="KLL1" s="1"/>
      <c r="KLM1" s="1"/>
      <c r="KLN1" s="1"/>
      <c r="KLO1" s="1"/>
      <c r="KLP1" s="1"/>
      <c r="KLQ1" s="1"/>
      <c r="KLR1" s="1"/>
      <c r="KLS1" s="1"/>
      <c r="KLT1" s="1"/>
      <c r="KLU1" s="1"/>
      <c r="KLV1" s="1"/>
      <c r="KLW1" s="1"/>
      <c r="KLX1" s="1"/>
      <c r="KLY1" s="1"/>
      <c r="KLZ1" s="1"/>
      <c r="KMA1" s="1"/>
      <c r="KMB1" s="1"/>
      <c r="KMC1" s="1"/>
      <c r="KMD1" s="1"/>
      <c r="KME1" s="1"/>
      <c r="KMF1" s="1"/>
      <c r="KMG1" s="1"/>
      <c r="KMH1" s="1"/>
      <c r="KMI1" s="1"/>
      <c r="KMJ1" s="1"/>
      <c r="KMK1" s="1"/>
      <c r="KML1" s="1"/>
      <c r="KMM1" s="1"/>
      <c r="KMN1" s="1"/>
      <c r="KMO1" s="1"/>
      <c r="KMP1" s="1"/>
      <c r="KMQ1" s="1"/>
      <c r="KMR1" s="1"/>
      <c r="KMS1" s="1"/>
      <c r="KMT1" s="1"/>
      <c r="KMU1" s="1"/>
      <c r="KMV1" s="1"/>
      <c r="KMW1" s="1"/>
      <c r="KMX1" s="1"/>
      <c r="KMY1" s="1"/>
      <c r="KMZ1" s="1"/>
      <c r="KNA1" s="1"/>
      <c r="KNB1" s="1"/>
      <c r="KNC1" s="1"/>
      <c r="KND1" s="1"/>
      <c r="KNE1" s="1"/>
      <c r="KNF1" s="1"/>
      <c r="KNG1" s="1"/>
      <c r="KNH1" s="1"/>
      <c r="KNI1" s="1"/>
      <c r="KNJ1" s="1"/>
      <c r="KNK1" s="1"/>
      <c r="KNL1" s="1"/>
      <c r="KNM1" s="1"/>
      <c r="KNN1" s="1"/>
      <c r="KNO1" s="1"/>
      <c r="KNP1" s="1"/>
      <c r="KNQ1" s="1"/>
      <c r="KNR1" s="1"/>
      <c r="KNS1" s="1"/>
      <c r="KNT1" s="1"/>
      <c r="KNU1" s="1"/>
      <c r="KNV1" s="1"/>
      <c r="KNW1" s="1"/>
      <c r="KNX1" s="1"/>
      <c r="KNY1" s="1"/>
      <c r="KNZ1" s="1"/>
      <c r="KOA1" s="1"/>
      <c r="KOB1" s="1"/>
      <c r="KOC1" s="1"/>
      <c r="KOD1" s="1"/>
      <c r="KOE1" s="1"/>
      <c r="KOF1" s="1"/>
      <c r="KOG1" s="1"/>
      <c r="KOH1" s="1"/>
      <c r="KOI1" s="1"/>
      <c r="KOJ1" s="1"/>
      <c r="KOK1" s="1"/>
      <c r="KOL1" s="1"/>
      <c r="KOM1" s="1"/>
      <c r="KON1" s="1"/>
      <c r="KOO1" s="1"/>
      <c r="KOP1" s="1"/>
      <c r="KOQ1" s="1"/>
      <c r="KOR1" s="1"/>
      <c r="KOS1" s="1"/>
      <c r="KOT1" s="1"/>
      <c r="KOU1" s="1"/>
      <c r="KOV1" s="1"/>
      <c r="KOW1" s="1"/>
      <c r="KOX1" s="1"/>
      <c r="KOY1" s="1"/>
      <c r="KOZ1" s="1"/>
      <c r="KPA1" s="1"/>
      <c r="KPB1" s="1"/>
      <c r="KPC1" s="1"/>
      <c r="KPD1" s="1"/>
      <c r="KPE1" s="1"/>
      <c r="KPF1" s="1"/>
      <c r="KPG1" s="1"/>
      <c r="KPH1" s="1"/>
      <c r="KPI1" s="1"/>
      <c r="KPJ1" s="1"/>
      <c r="KPK1" s="1"/>
      <c r="KPL1" s="1"/>
      <c r="KPM1" s="1"/>
      <c r="KPN1" s="1"/>
      <c r="KPO1" s="1"/>
      <c r="KPP1" s="1"/>
      <c r="KPQ1" s="1"/>
      <c r="KPR1" s="1"/>
      <c r="KPS1" s="1"/>
      <c r="KPT1" s="1"/>
      <c r="KPU1" s="1"/>
      <c r="KPV1" s="1"/>
      <c r="KPW1" s="1"/>
      <c r="KPX1" s="1"/>
      <c r="KPY1" s="1"/>
      <c r="KPZ1" s="1"/>
      <c r="KQA1" s="1"/>
      <c r="KQB1" s="1"/>
      <c r="KQC1" s="1"/>
      <c r="KQD1" s="1"/>
      <c r="KQE1" s="1"/>
      <c r="KQF1" s="1"/>
      <c r="KQG1" s="1"/>
      <c r="KQH1" s="1"/>
      <c r="KQI1" s="1"/>
      <c r="KQJ1" s="1"/>
      <c r="KQK1" s="1"/>
      <c r="KQL1" s="1"/>
      <c r="KQM1" s="1"/>
      <c r="KQN1" s="1"/>
      <c r="KQO1" s="1"/>
      <c r="KQP1" s="1"/>
      <c r="KQQ1" s="1"/>
      <c r="KQR1" s="1"/>
      <c r="KQS1" s="1"/>
      <c r="KQT1" s="1"/>
      <c r="KQU1" s="1"/>
      <c r="KQV1" s="1"/>
      <c r="KQW1" s="1"/>
      <c r="KQX1" s="1"/>
      <c r="KQY1" s="1"/>
      <c r="KQZ1" s="1"/>
      <c r="KRA1" s="1"/>
      <c r="KRB1" s="1"/>
      <c r="KRC1" s="1"/>
      <c r="KRD1" s="1"/>
      <c r="KRE1" s="1"/>
      <c r="KRF1" s="1"/>
      <c r="KRG1" s="1"/>
      <c r="KRH1" s="1"/>
      <c r="KRI1" s="1"/>
      <c r="KRJ1" s="1"/>
      <c r="KRK1" s="1"/>
      <c r="KRL1" s="1"/>
      <c r="KRM1" s="1"/>
      <c r="KRN1" s="1"/>
      <c r="KRO1" s="1"/>
      <c r="KRP1" s="1"/>
      <c r="KRQ1" s="1"/>
      <c r="KRR1" s="1"/>
      <c r="KRS1" s="1"/>
      <c r="KRT1" s="1"/>
      <c r="KRU1" s="1"/>
      <c r="KRV1" s="1"/>
      <c r="KRW1" s="1"/>
      <c r="KRX1" s="1"/>
      <c r="KRY1" s="1"/>
      <c r="KRZ1" s="1"/>
      <c r="KSA1" s="1"/>
      <c r="KSB1" s="1"/>
      <c r="KSC1" s="1"/>
      <c r="KSD1" s="1"/>
      <c r="KSE1" s="1"/>
      <c r="KSF1" s="1"/>
      <c r="KSG1" s="1"/>
      <c r="KSH1" s="1"/>
      <c r="KSI1" s="1"/>
      <c r="KSJ1" s="1"/>
      <c r="KSK1" s="1"/>
      <c r="KSL1" s="1"/>
      <c r="KSM1" s="1"/>
      <c r="KSN1" s="1"/>
      <c r="KSO1" s="1"/>
      <c r="KSP1" s="1"/>
      <c r="KSQ1" s="1"/>
      <c r="KSR1" s="1"/>
      <c r="KSS1" s="1"/>
      <c r="KST1" s="1"/>
      <c r="KSU1" s="1"/>
      <c r="KSV1" s="1"/>
      <c r="KSW1" s="1"/>
      <c r="KSX1" s="1"/>
      <c r="KSY1" s="1"/>
      <c r="KSZ1" s="1"/>
      <c r="KTA1" s="1"/>
      <c r="KTB1" s="1"/>
      <c r="KTC1" s="1"/>
      <c r="KTD1" s="1"/>
      <c r="KTE1" s="1"/>
      <c r="KTF1" s="1"/>
      <c r="KTG1" s="1"/>
      <c r="KTH1" s="1"/>
      <c r="KTI1" s="1"/>
      <c r="KTJ1" s="1"/>
      <c r="KTK1" s="1"/>
      <c r="KTL1" s="1"/>
      <c r="KTM1" s="1"/>
      <c r="KTN1" s="1"/>
      <c r="KTO1" s="1"/>
      <c r="KTP1" s="1"/>
      <c r="KTQ1" s="1"/>
      <c r="KTR1" s="1"/>
      <c r="KTS1" s="1"/>
      <c r="KTT1" s="1"/>
      <c r="KTU1" s="1"/>
      <c r="KTV1" s="1"/>
      <c r="KTW1" s="1"/>
      <c r="KTX1" s="1"/>
      <c r="KTY1" s="1"/>
      <c r="KTZ1" s="1"/>
      <c r="KUA1" s="1"/>
      <c r="KUB1" s="1"/>
      <c r="KUC1" s="1"/>
      <c r="KUD1" s="1"/>
      <c r="KUE1" s="1"/>
      <c r="KUF1" s="1"/>
      <c r="KUG1" s="1"/>
      <c r="KUH1" s="1"/>
      <c r="KUI1" s="1"/>
      <c r="KUJ1" s="1"/>
      <c r="KUK1" s="1"/>
      <c r="KUL1" s="1"/>
      <c r="KUM1" s="1"/>
      <c r="KUN1" s="1"/>
      <c r="KUO1" s="1"/>
      <c r="KUP1" s="1"/>
      <c r="KUQ1" s="1"/>
      <c r="KUR1" s="1"/>
      <c r="KUS1" s="1"/>
      <c r="KUT1" s="1"/>
      <c r="KUU1" s="1"/>
      <c r="KUV1" s="1"/>
      <c r="KUW1" s="1"/>
      <c r="KUX1" s="1"/>
      <c r="KUY1" s="1"/>
      <c r="KUZ1" s="1"/>
      <c r="KVA1" s="1"/>
      <c r="KVB1" s="1"/>
      <c r="KVC1" s="1"/>
      <c r="KVD1" s="1"/>
      <c r="KVE1" s="1"/>
      <c r="KVF1" s="1"/>
      <c r="KVG1" s="1"/>
      <c r="KVH1" s="1"/>
      <c r="KVI1" s="1"/>
      <c r="KVJ1" s="1"/>
      <c r="KVK1" s="1"/>
      <c r="KVL1" s="1"/>
      <c r="KVM1" s="1"/>
      <c r="KVN1" s="1"/>
      <c r="KVO1" s="1"/>
      <c r="KVP1" s="1"/>
      <c r="KVQ1" s="1"/>
      <c r="KVR1" s="1"/>
      <c r="KVS1" s="1"/>
      <c r="KVT1" s="1"/>
      <c r="KVU1" s="1"/>
      <c r="KVV1" s="1"/>
      <c r="KVW1" s="1"/>
      <c r="KVX1" s="1"/>
      <c r="KVY1" s="1"/>
      <c r="KVZ1" s="1"/>
      <c r="KWA1" s="1"/>
      <c r="KWB1" s="1"/>
      <c r="KWC1" s="1"/>
      <c r="KWD1" s="1"/>
      <c r="KWE1" s="1"/>
      <c r="KWF1" s="1"/>
      <c r="KWG1" s="1"/>
      <c r="KWH1" s="1"/>
      <c r="KWI1" s="1"/>
      <c r="KWJ1" s="1"/>
      <c r="KWK1" s="1"/>
      <c r="KWL1" s="1"/>
      <c r="KWM1" s="1"/>
      <c r="KWN1" s="1"/>
      <c r="KWO1" s="1"/>
      <c r="KWP1" s="1"/>
      <c r="KWQ1" s="1"/>
      <c r="KWR1" s="1"/>
      <c r="KWS1" s="1"/>
      <c r="KWT1" s="1"/>
      <c r="KWU1" s="1"/>
      <c r="KWV1" s="1"/>
      <c r="KWW1" s="1"/>
      <c r="KWX1" s="1"/>
      <c r="KWY1" s="1"/>
      <c r="KWZ1" s="1"/>
      <c r="KXA1" s="1"/>
      <c r="KXB1" s="1"/>
      <c r="KXC1" s="1"/>
      <c r="KXD1" s="1"/>
      <c r="KXE1" s="1"/>
      <c r="KXF1" s="1"/>
      <c r="KXG1" s="1"/>
      <c r="KXH1" s="1"/>
      <c r="KXI1" s="1"/>
      <c r="KXJ1" s="1"/>
      <c r="KXK1" s="1"/>
      <c r="KXL1" s="1"/>
      <c r="KXM1" s="1"/>
      <c r="KXN1" s="1"/>
      <c r="KXO1" s="1"/>
      <c r="KXP1" s="1"/>
      <c r="KXQ1" s="1"/>
      <c r="KXR1" s="1"/>
      <c r="KXS1" s="1"/>
      <c r="KXT1" s="1"/>
      <c r="KXU1" s="1"/>
      <c r="KXV1" s="1"/>
      <c r="KXW1" s="1"/>
      <c r="KXX1" s="1"/>
      <c r="KXY1" s="1"/>
      <c r="KXZ1" s="1"/>
      <c r="KYA1" s="1"/>
      <c r="KYB1" s="1"/>
      <c r="KYC1" s="1"/>
      <c r="KYD1" s="1"/>
      <c r="KYE1" s="1"/>
      <c r="KYF1" s="1"/>
      <c r="KYG1" s="1"/>
      <c r="KYH1" s="1"/>
      <c r="KYI1" s="1"/>
      <c r="KYJ1" s="1"/>
      <c r="KYK1" s="1"/>
      <c r="KYL1" s="1"/>
      <c r="KYM1" s="1"/>
      <c r="KYN1" s="1"/>
      <c r="KYO1" s="1"/>
      <c r="KYP1" s="1"/>
      <c r="KYQ1" s="1"/>
      <c r="KYR1" s="1"/>
      <c r="KYS1" s="1"/>
      <c r="KYT1" s="1"/>
      <c r="KYU1" s="1"/>
      <c r="KYV1" s="1"/>
      <c r="KYW1" s="1"/>
      <c r="KYX1" s="1"/>
      <c r="KYY1" s="1"/>
      <c r="KYZ1" s="1"/>
      <c r="KZA1" s="1"/>
      <c r="KZB1" s="1"/>
      <c r="KZC1" s="1"/>
      <c r="KZD1" s="1"/>
      <c r="KZE1" s="1"/>
      <c r="KZF1" s="1"/>
      <c r="KZG1" s="1"/>
      <c r="KZH1" s="1"/>
      <c r="KZI1" s="1"/>
      <c r="KZJ1" s="1"/>
      <c r="KZK1" s="1"/>
      <c r="KZL1" s="1"/>
      <c r="KZM1" s="1"/>
      <c r="KZN1" s="1"/>
      <c r="KZO1" s="1"/>
      <c r="KZP1" s="1"/>
      <c r="KZQ1" s="1"/>
      <c r="KZR1" s="1"/>
      <c r="KZS1" s="1"/>
      <c r="KZT1" s="1"/>
      <c r="KZU1" s="1"/>
      <c r="KZV1" s="1"/>
      <c r="KZW1" s="1"/>
      <c r="KZX1" s="1"/>
      <c r="KZY1" s="1"/>
      <c r="KZZ1" s="1"/>
      <c r="LAA1" s="1"/>
      <c r="LAB1" s="1"/>
      <c r="LAC1" s="1"/>
      <c r="LAD1" s="1"/>
      <c r="LAE1" s="1"/>
      <c r="LAF1" s="1"/>
      <c r="LAG1" s="1"/>
      <c r="LAH1" s="1"/>
      <c r="LAI1" s="1"/>
      <c r="LAJ1" s="1"/>
      <c r="LAK1" s="1"/>
      <c r="LAL1" s="1"/>
      <c r="LAM1" s="1"/>
      <c r="LAN1" s="1"/>
      <c r="LAO1" s="1"/>
      <c r="LAP1" s="1"/>
      <c r="LAQ1" s="1"/>
      <c r="LAR1" s="1"/>
      <c r="LAS1" s="1"/>
      <c r="LAT1" s="1"/>
      <c r="LAU1" s="1"/>
      <c r="LAV1" s="1"/>
      <c r="LAW1" s="1"/>
      <c r="LAX1" s="1"/>
      <c r="LAY1" s="1"/>
      <c r="LAZ1" s="1"/>
      <c r="LBA1" s="1"/>
      <c r="LBB1" s="1"/>
      <c r="LBC1" s="1"/>
      <c r="LBD1" s="1"/>
      <c r="LBE1" s="1"/>
      <c r="LBF1" s="1"/>
      <c r="LBG1" s="1"/>
      <c r="LBH1" s="1"/>
      <c r="LBI1" s="1"/>
      <c r="LBJ1" s="1"/>
      <c r="LBK1" s="1"/>
      <c r="LBL1" s="1"/>
      <c r="LBM1" s="1"/>
      <c r="LBN1" s="1"/>
      <c r="LBO1" s="1"/>
      <c r="LBP1" s="1"/>
      <c r="LBQ1" s="1"/>
      <c r="LBR1" s="1"/>
      <c r="LBS1" s="1"/>
      <c r="LBT1" s="1"/>
      <c r="LBU1" s="1"/>
      <c r="LBV1" s="1"/>
      <c r="LBW1" s="1"/>
      <c r="LBX1" s="1"/>
      <c r="LBY1" s="1"/>
      <c r="LBZ1" s="1"/>
      <c r="LCA1" s="1"/>
      <c r="LCB1" s="1"/>
      <c r="LCC1" s="1"/>
      <c r="LCD1" s="1"/>
      <c r="LCE1" s="1"/>
      <c r="LCF1" s="1"/>
      <c r="LCG1" s="1"/>
      <c r="LCH1" s="1"/>
      <c r="LCI1" s="1"/>
      <c r="LCJ1" s="1"/>
      <c r="LCK1" s="1"/>
      <c r="LCL1" s="1"/>
      <c r="LCM1" s="1"/>
      <c r="LCN1" s="1"/>
      <c r="LCO1" s="1"/>
      <c r="LCP1" s="1"/>
      <c r="LCQ1" s="1"/>
      <c r="LCR1" s="1"/>
      <c r="LCS1" s="1"/>
      <c r="LCT1" s="1"/>
      <c r="LCU1" s="1"/>
      <c r="LCV1" s="1"/>
      <c r="LCW1" s="1"/>
      <c r="LCX1" s="1"/>
      <c r="LCY1" s="1"/>
      <c r="LCZ1" s="1"/>
      <c r="LDA1" s="1"/>
      <c r="LDB1" s="1"/>
      <c r="LDC1" s="1"/>
      <c r="LDD1" s="1"/>
      <c r="LDE1" s="1"/>
      <c r="LDF1" s="1"/>
      <c r="LDG1" s="1"/>
      <c r="LDH1" s="1"/>
      <c r="LDI1" s="1"/>
      <c r="LDJ1" s="1"/>
      <c r="LDK1" s="1"/>
      <c r="LDL1" s="1"/>
      <c r="LDM1" s="1"/>
      <c r="LDN1" s="1"/>
      <c r="LDO1" s="1"/>
      <c r="LDP1" s="1"/>
      <c r="LDQ1" s="1"/>
      <c r="LDR1" s="1"/>
      <c r="LDS1" s="1"/>
      <c r="LDT1" s="1"/>
      <c r="LDU1" s="1"/>
      <c r="LDV1" s="1"/>
      <c r="LDW1" s="1"/>
      <c r="LDX1" s="1"/>
      <c r="LDY1" s="1"/>
      <c r="LDZ1" s="1"/>
      <c r="LEA1" s="1"/>
      <c r="LEB1" s="1"/>
      <c r="LEC1" s="1"/>
      <c r="LED1" s="1"/>
      <c r="LEE1" s="1"/>
      <c r="LEF1" s="1"/>
      <c r="LEG1" s="1"/>
      <c r="LEH1" s="1"/>
      <c r="LEI1" s="1"/>
      <c r="LEJ1" s="1"/>
      <c r="LEK1" s="1"/>
      <c r="LEL1" s="1"/>
      <c r="LEM1" s="1"/>
      <c r="LEN1" s="1"/>
      <c r="LEO1" s="1"/>
      <c r="LEP1" s="1"/>
      <c r="LEQ1" s="1"/>
      <c r="LER1" s="1"/>
      <c r="LES1" s="1"/>
      <c r="LET1" s="1"/>
      <c r="LEU1" s="1"/>
      <c r="LEV1" s="1"/>
      <c r="LEW1" s="1"/>
      <c r="LEX1" s="1"/>
      <c r="LEY1" s="1"/>
      <c r="LEZ1" s="1"/>
      <c r="LFA1" s="1"/>
      <c r="LFB1" s="1"/>
      <c r="LFC1" s="1"/>
      <c r="LFD1" s="1"/>
      <c r="LFE1" s="1"/>
      <c r="LFF1" s="1"/>
      <c r="LFG1" s="1"/>
      <c r="LFH1" s="1"/>
      <c r="LFI1" s="1"/>
      <c r="LFJ1" s="1"/>
      <c r="LFK1" s="1"/>
      <c r="LFL1" s="1"/>
      <c r="LFM1" s="1"/>
      <c r="LFN1" s="1"/>
      <c r="LFO1" s="1"/>
      <c r="LFP1" s="1"/>
      <c r="LFQ1" s="1"/>
      <c r="LFR1" s="1"/>
      <c r="LFS1" s="1"/>
      <c r="LFT1" s="1"/>
      <c r="LFU1" s="1"/>
      <c r="LFV1" s="1"/>
      <c r="LFW1" s="1"/>
      <c r="LFX1" s="1"/>
      <c r="LFY1" s="1"/>
      <c r="LFZ1" s="1"/>
      <c r="LGA1" s="1"/>
      <c r="LGB1" s="1"/>
      <c r="LGC1" s="1"/>
      <c r="LGD1" s="1"/>
      <c r="LGE1" s="1"/>
      <c r="LGF1" s="1"/>
      <c r="LGG1" s="1"/>
      <c r="LGH1" s="1"/>
      <c r="LGI1" s="1"/>
      <c r="LGJ1" s="1"/>
      <c r="LGK1" s="1"/>
      <c r="LGL1" s="1"/>
      <c r="LGM1" s="1"/>
      <c r="LGN1" s="1"/>
      <c r="LGO1" s="1"/>
      <c r="LGP1" s="1"/>
      <c r="LGQ1" s="1"/>
      <c r="LGR1" s="1"/>
      <c r="LGS1" s="1"/>
      <c r="LGT1" s="1"/>
      <c r="LGU1" s="1"/>
      <c r="LGV1" s="1"/>
      <c r="LGW1" s="1"/>
      <c r="LGX1" s="1"/>
      <c r="LGY1" s="1"/>
      <c r="LGZ1" s="1"/>
      <c r="LHA1" s="1"/>
      <c r="LHB1" s="1"/>
      <c r="LHC1" s="1"/>
      <c r="LHD1" s="1"/>
      <c r="LHE1" s="1"/>
      <c r="LHF1" s="1"/>
      <c r="LHG1" s="1"/>
      <c r="LHH1" s="1"/>
      <c r="LHI1" s="1"/>
      <c r="LHJ1" s="1"/>
      <c r="LHK1" s="1"/>
      <c r="LHL1" s="1"/>
      <c r="LHM1" s="1"/>
      <c r="LHN1" s="1"/>
      <c r="LHO1" s="1"/>
      <c r="LHP1" s="1"/>
      <c r="LHQ1" s="1"/>
      <c r="LHR1" s="1"/>
      <c r="LHS1" s="1"/>
      <c r="LHT1" s="1"/>
      <c r="LHU1" s="1"/>
      <c r="LHV1" s="1"/>
      <c r="LHW1" s="1"/>
      <c r="LHX1" s="1"/>
      <c r="LHY1" s="1"/>
      <c r="LHZ1" s="1"/>
      <c r="LIA1" s="1"/>
      <c r="LIB1" s="1"/>
      <c r="LIC1" s="1"/>
      <c r="LID1" s="1"/>
      <c r="LIE1" s="1"/>
      <c r="LIF1" s="1"/>
      <c r="LIG1" s="1"/>
      <c r="LIH1" s="1"/>
      <c r="LII1" s="1"/>
      <c r="LIJ1" s="1"/>
      <c r="LIK1" s="1"/>
      <c r="LIL1" s="1"/>
      <c r="LIM1" s="1"/>
      <c r="LIN1" s="1"/>
      <c r="LIO1" s="1"/>
      <c r="LIP1" s="1"/>
      <c r="LIQ1" s="1"/>
      <c r="LIR1" s="1"/>
      <c r="LIS1" s="1"/>
      <c r="LIT1" s="1"/>
      <c r="LIU1" s="1"/>
      <c r="LIV1" s="1"/>
      <c r="LIW1" s="1"/>
      <c r="LIX1" s="1"/>
      <c r="LIY1" s="1"/>
      <c r="LIZ1" s="1"/>
      <c r="LJA1" s="1"/>
      <c r="LJB1" s="1"/>
      <c r="LJC1" s="1"/>
      <c r="LJD1" s="1"/>
      <c r="LJE1" s="1"/>
      <c r="LJF1" s="1"/>
      <c r="LJG1" s="1"/>
      <c r="LJH1" s="1"/>
      <c r="LJI1" s="1"/>
      <c r="LJJ1" s="1"/>
      <c r="LJK1" s="1"/>
      <c r="LJL1" s="1"/>
      <c r="LJM1" s="1"/>
      <c r="LJN1" s="1"/>
      <c r="LJO1" s="1"/>
      <c r="LJP1" s="1"/>
      <c r="LJQ1" s="1"/>
      <c r="LJR1" s="1"/>
      <c r="LJS1" s="1"/>
      <c r="LJT1" s="1"/>
      <c r="LJU1" s="1"/>
      <c r="LJV1" s="1"/>
      <c r="LJW1" s="1"/>
      <c r="LJX1" s="1"/>
      <c r="LJY1" s="1"/>
      <c r="LJZ1" s="1"/>
      <c r="LKA1" s="1"/>
      <c r="LKB1" s="1"/>
      <c r="LKC1" s="1"/>
      <c r="LKD1" s="1"/>
      <c r="LKE1" s="1"/>
      <c r="LKF1" s="1"/>
      <c r="LKG1" s="1"/>
      <c r="LKH1" s="1"/>
      <c r="LKI1" s="1"/>
      <c r="LKJ1" s="1"/>
      <c r="LKK1" s="1"/>
      <c r="LKL1" s="1"/>
      <c r="LKM1" s="1"/>
      <c r="LKN1" s="1"/>
      <c r="LKO1" s="1"/>
      <c r="LKP1" s="1"/>
      <c r="LKQ1" s="1"/>
      <c r="LKR1" s="1"/>
      <c r="LKS1" s="1"/>
      <c r="LKT1" s="1"/>
      <c r="LKU1" s="1"/>
      <c r="LKV1" s="1"/>
      <c r="LKW1" s="1"/>
      <c r="LKX1" s="1"/>
      <c r="LKY1" s="1"/>
      <c r="LKZ1" s="1"/>
      <c r="LLA1" s="1"/>
      <c r="LLB1" s="1"/>
      <c r="LLC1" s="1"/>
      <c r="LLD1" s="1"/>
      <c r="LLE1" s="1"/>
      <c r="LLF1" s="1"/>
      <c r="LLG1" s="1"/>
      <c r="LLH1" s="1"/>
      <c r="LLI1" s="1"/>
      <c r="LLJ1" s="1"/>
      <c r="LLK1" s="1"/>
      <c r="LLL1" s="1"/>
      <c r="LLM1" s="1"/>
      <c r="LLN1" s="1"/>
      <c r="LLO1" s="1"/>
      <c r="LLP1" s="1"/>
      <c r="LLQ1" s="1"/>
      <c r="LLR1" s="1"/>
      <c r="LLS1" s="1"/>
      <c r="LLT1" s="1"/>
      <c r="LLU1" s="1"/>
      <c r="LLV1" s="1"/>
      <c r="LLW1" s="1"/>
      <c r="LLX1" s="1"/>
      <c r="LLY1" s="1"/>
      <c r="LLZ1" s="1"/>
      <c r="LMA1" s="1"/>
      <c r="LMB1" s="1"/>
      <c r="LMC1" s="1"/>
      <c r="LMD1" s="1"/>
      <c r="LME1" s="1"/>
      <c r="LMF1" s="1"/>
      <c r="LMG1" s="1"/>
      <c r="LMH1" s="1"/>
      <c r="LMI1" s="1"/>
      <c r="LMJ1" s="1"/>
      <c r="LMK1" s="1"/>
      <c r="LML1" s="1"/>
      <c r="LMM1" s="1"/>
      <c r="LMN1" s="1"/>
      <c r="LMO1" s="1"/>
      <c r="LMP1" s="1"/>
      <c r="LMQ1" s="1"/>
      <c r="LMR1" s="1"/>
      <c r="LMS1" s="1"/>
      <c r="LMT1" s="1"/>
      <c r="LMU1" s="1"/>
      <c r="LMV1" s="1"/>
      <c r="LMW1" s="1"/>
      <c r="LMX1" s="1"/>
      <c r="LMY1" s="1"/>
      <c r="LMZ1" s="1"/>
      <c r="LNA1" s="1"/>
      <c r="LNB1" s="1"/>
      <c r="LNC1" s="1"/>
      <c r="LND1" s="1"/>
      <c r="LNE1" s="1"/>
      <c r="LNF1" s="1"/>
      <c r="LNG1" s="1"/>
      <c r="LNH1" s="1"/>
      <c r="LNI1" s="1"/>
      <c r="LNJ1" s="1"/>
      <c r="LNK1" s="1"/>
      <c r="LNL1" s="1"/>
      <c r="LNM1" s="1"/>
      <c r="LNN1" s="1"/>
      <c r="LNO1" s="1"/>
      <c r="LNP1" s="1"/>
      <c r="LNQ1" s="1"/>
      <c r="LNR1" s="1"/>
      <c r="LNS1" s="1"/>
      <c r="LNT1" s="1"/>
      <c r="LNU1" s="1"/>
      <c r="LNV1" s="1"/>
      <c r="LNW1" s="1"/>
      <c r="LNX1" s="1"/>
      <c r="LNY1" s="1"/>
      <c r="LNZ1" s="1"/>
      <c r="LOA1" s="1"/>
      <c r="LOB1" s="1"/>
      <c r="LOC1" s="1"/>
      <c r="LOD1" s="1"/>
      <c r="LOE1" s="1"/>
      <c r="LOF1" s="1"/>
      <c r="LOG1" s="1"/>
      <c r="LOH1" s="1"/>
      <c r="LOI1" s="1"/>
      <c r="LOJ1" s="1"/>
      <c r="LOK1" s="1"/>
      <c r="LOL1" s="1"/>
      <c r="LOM1" s="1"/>
      <c r="LON1" s="1"/>
      <c r="LOO1" s="1"/>
      <c r="LOP1" s="1"/>
      <c r="LOQ1" s="1"/>
      <c r="LOR1" s="1"/>
      <c r="LOS1" s="1"/>
      <c r="LOT1" s="1"/>
      <c r="LOU1" s="1"/>
      <c r="LOV1" s="1"/>
      <c r="LOW1" s="1"/>
      <c r="LOX1" s="1"/>
      <c r="LOY1" s="1"/>
      <c r="LOZ1" s="1"/>
      <c r="LPA1" s="1"/>
      <c r="LPB1" s="1"/>
      <c r="LPC1" s="1"/>
      <c r="LPD1" s="1"/>
      <c r="LPE1" s="1"/>
      <c r="LPF1" s="1"/>
      <c r="LPG1" s="1"/>
      <c r="LPH1" s="1"/>
      <c r="LPI1" s="1"/>
      <c r="LPJ1" s="1"/>
      <c r="LPK1" s="1"/>
      <c r="LPL1" s="1"/>
      <c r="LPM1" s="1"/>
      <c r="LPN1" s="1"/>
      <c r="LPO1" s="1"/>
      <c r="LPP1" s="1"/>
      <c r="LPQ1" s="1"/>
      <c r="LPR1" s="1"/>
      <c r="LPS1" s="1"/>
      <c r="LPT1" s="1"/>
      <c r="LPU1" s="1"/>
      <c r="LPV1" s="1"/>
      <c r="LPW1" s="1"/>
      <c r="LPX1" s="1"/>
      <c r="LPY1" s="1"/>
      <c r="LPZ1" s="1"/>
      <c r="LQA1" s="1"/>
      <c r="LQB1" s="1"/>
      <c r="LQC1" s="1"/>
      <c r="LQD1" s="1"/>
      <c r="LQE1" s="1"/>
      <c r="LQF1" s="1"/>
      <c r="LQG1" s="1"/>
      <c r="LQH1" s="1"/>
      <c r="LQI1" s="1"/>
      <c r="LQJ1" s="1"/>
      <c r="LQK1" s="1"/>
      <c r="LQL1" s="1"/>
      <c r="LQM1" s="1"/>
      <c r="LQN1" s="1"/>
      <c r="LQO1" s="1"/>
      <c r="LQP1" s="1"/>
      <c r="LQQ1" s="1"/>
      <c r="LQR1" s="1"/>
      <c r="LQS1" s="1"/>
      <c r="LQT1" s="1"/>
      <c r="LQU1" s="1"/>
      <c r="LQV1" s="1"/>
      <c r="LQW1" s="1"/>
      <c r="LQX1" s="1"/>
      <c r="LQY1" s="1"/>
      <c r="LQZ1" s="1"/>
      <c r="LRA1" s="1"/>
      <c r="LRB1" s="1"/>
      <c r="LRC1" s="1"/>
      <c r="LRD1" s="1"/>
      <c r="LRE1" s="1"/>
      <c r="LRF1" s="1"/>
      <c r="LRG1" s="1"/>
      <c r="LRH1" s="1"/>
      <c r="LRI1" s="1"/>
      <c r="LRJ1" s="1"/>
      <c r="LRK1" s="1"/>
      <c r="LRL1" s="1"/>
      <c r="LRM1" s="1"/>
      <c r="LRN1" s="1"/>
      <c r="LRO1" s="1"/>
      <c r="LRP1" s="1"/>
      <c r="LRQ1" s="1"/>
      <c r="LRR1" s="1"/>
      <c r="LRS1" s="1"/>
      <c r="LRT1" s="1"/>
      <c r="LRU1" s="1"/>
      <c r="LRV1" s="1"/>
      <c r="LRW1" s="1"/>
      <c r="LRX1" s="1"/>
      <c r="LRY1" s="1"/>
      <c r="LRZ1" s="1"/>
      <c r="LSA1" s="1"/>
      <c r="LSB1" s="1"/>
      <c r="LSC1" s="1"/>
      <c r="LSD1" s="1"/>
      <c r="LSE1" s="1"/>
      <c r="LSF1" s="1"/>
      <c r="LSG1" s="1"/>
      <c r="LSH1" s="1"/>
      <c r="LSI1" s="1"/>
      <c r="LSJ1" s="1"/>
      <c r="LSK1" s="1"/>
      <c r="LSL1" s="1"/>
      <c r="LSM1" s="1"/>
      <c r="LSN1" s="1"/>
      <c r="LSO1" s="1"/>
      <c r="LSP1" s="1"/>
      <c r="LSQ1" s="1"/>
      <c r="LSR1" s="1"/>
      <c r="LSS1" s="1"/>
      <c r="LST1" s="1"/>
      <c r="LSU1" s="1"/>
      <c r="LSV1" s="1"/>
      <c r="LSW1" s="1"/>
      <c r="LSX1" s="1"/>
      <c r="LSY1" s="1"/>
      <c r="LSZ1" s="1"/>
      <c r="LTA1" s="1"/>
      <c r="LTB1" s="1"/>
      <c r="LTC1" s="1"/>
      <c r="LTD1" s="1"/>
      <c r="LTE1" s="1"/>
      <c r="LTF1" s="1"/>
      <c r="LTG1" s="1"/>
      <c r="LTH1" s="1"/>
      <c r="LTI1" s="1"/>
      <c r="LTJ1" s="1"/>
      <c r="LTK1" s="1"/>
      <c r="LTL1" s="1"/>
      <c r="LTM1" s="1"/>
      <c r="LTN1" s="1"/>
      <c r="LTO1" s="1"/>
      <c r="LTP1" s="1"/>
      <c r="LTQ1" s="1"/>
      <c r="LTR1" s="1"/>
      <c r="LTS1" s="1"/>
      <c r="LTT1" s="1"/>
      <c r="LTU1" s="1"/>
      <c r="LTV1" s="1"/>
      <c r="LTW1" s="1"/>
      <c r="LTX1" s="1"/>
      <c r="LTY1" s="1"/>
      <c r="LTZ1" s="1"/>
      <c r="LUA1" s="1"/>
      <c r="LUB1" s="1"/>
      <c r="LUC1" s="1"/>
      <c r="LUD1" s="1"/>
      <c r="LUE1" s="1"/>
      <c r="LUF1" s="1"/>
      <c r="LUG1" s="1"/>
      <c r="LUH1" s="1"/>
      <c r="LUI1" s="1"/>
      <c r="LUJ1" s="1"/>
      <c r="LUK1" s="1"/>
      <c r="LUL1" s="1"/>
      <c r="LUM1" s="1"/>
      <c r="LUN1" s="1"/>
      <c r="LUO1" s="1"/>
      <c r="LUP1" s="1"/>
      <c r="LUQ1" s="1"/>
      <c r="LUR1" s="1"/>
      <c r="LUS1" s="1"/>
      <c r="LUT1" s="1"/>
      <c r="LUU1" s="1"/>
      <c r="LUV1" s="1"/>
      <c r="LUW1" s="1"/>
      <c r="LUX1" s="1"/>
      <c r="LUY1" s="1"/>
      <c r="LUZ1" s="1"/>
      <c r="LVA1" s="1"/>
      <c r="LVB1" s="1"/>
      <c r="LVC1" s="1"/>
      <c r="LVD1" s="1"/>
      <c r="LVE1" s="1"/>
      <c r="LVF1" s="1"/>
      <c r="LVG1" s="1"/>
      <c r="LVH1" s="1"/>
      <c r="LVI1" s="1"/>
      <c r="LVJ1" s="1"/>
      <c r="LVK1" s="1"/>
      <c r="LVL1" s="1"/>
      <c r="LVM1" s="1"/>
      <c r="LVN1" s="1"/>
      <c r="LVO1" s="1"/>
      <c r="LVP1" s="1"/>
      <c r="LVQ1" s="1"/>
      <c r="LVR1" s="1"/>
      <c r="LVS1" s="1"/>
      <c r="LVT1" s="1"/>
      <c r="LVU1" s="1"/>
      <c r="LVV1" s="1"/>
      <c r="LVW1" s="1"/>
      <c r="LVX1" s="1"/>
      <c r="LVY1" s="1"/>
      <c r="LVZ1" s="1"/>
      <c r="LWA1" s="1"/>
      <c r="LWB1" s="1"/>
      <c r="LWC1" s="1"/>
      <c r="LWD1" s="1"/>
      <c r="LWE1" s="1"/>
      <c r="LWF1" s="1"/>
      <c r="LWG1" s="1"/>
      <c r="LWH1" s="1"/>
      <c r="LWI1" s="1"/>
      <c r="LWJ1" s="1"/>
      <c r="LWK1" s="1"/>
      <c r="LWL1" s="1"/>
      <c r="LWM1" s="1"/>
      <c r="LWN1" s="1"/>
      <c r="LWO1" s="1"/>
      <c r="LWP1" s="1"/>
      <c r="LWQ1" s="1"/>
      <c r="LWR1" s="1"/>
      <c r="LWS1" s="1"/>
      <c r="LWT1" s="1"/>
      <c r="LWU1" s="1"/>
      <c r="LWV1" s="1"/>
      <c r="LWW1" s="1"/>
      <c r="LWX1" s="1"/>
      <c r="LWY1" s="1"/>
      <c r="LWZ1" s="1"/>
      <c r="LXA1" s="1"/>
      <c r="LXB1" s="1"/>
      <c r="LXC1" s="1"/>
      <c r="LXD1" s="1"/>
      <c r="LXE1" s="1"/>
      <c r="LXF1" s="1"/>
      <c r="LXG1" s="1"/>
      <c r="LXH1" s="1"/>
      <c r="LXI1" s="1"/>
      <c r="LXJ1" s="1"/>
      <c r="LXK1" s="1"/>
      <c r="LXL1" s="1"/>
      <c r="LXM1" s="1"/>
      <c r="LXN1" s="1"/>
      <c r="LXO1" s="1"/>
      <c r="LXP1" s="1"/>
      <c r="LXQ1" s="1"/>
      <c r="LXR1" s="1"/>
      <c r="LXS1" s="1"/>
      <c r="LXT1" s="1"/>
      <c r="LXU1" s="1"/>
      <c r="LXV1" s="1"/>
      <c r="LXW1" s="1"/>
      <c r="LXX1" s="1"/>
      <c r="LXY1" s="1"/>
      <c r="LXZ1" s="1"/>
      <c r="LYA1" s="1"/>
      <c r="LYB1" s="1"/>
      <c r="LYC1" s="1"/>
      <c r="LYD1" s="1"/>
      <c r="LYE1" s="1"/>
      <c r="LYF1" s="1"/>
      <c r="LYG1" s="1"/>
      <c r="LYH1" s="1"/>
      <c r="LYI1" s="1"/>
      <c r="LYJ1" s="1"/>
      <c r="LYK1" s="1"/>
      <c r="LYL1" s="1"/>
      <c r="LYM1" s="1"/>
      <c r="LYN1" s="1"/>
      <c r="LYO1" s="1"/>
      <c r="LYP1" s="1"/>
      <c r="LYQ1" s="1"/>
      <c r="LYR1" s="1"/>
      <c r="LYS1" s="1"/>
      <c r="LYT1" s="1"/>
      <c r="LYU1" s="1"/>
      <c r="LYV1" s="1"/>
      <c r="LYW1" s="1"/>
      <c r="LYX1" s="1"/>
      <c r="LYY1" s="1"/>
      <c r="LYZ1" s="1"/>
      <c r="LZA1" s="1"/>
      <c r="LZB1" s="1"/>
      <c r="LZC1" s="1"/>
      <c r="LZD1" s="1"/>
      <c r="LZE1" s="1"/>
      <c r="LZF1" s="1"/>
      <c r="LZG1" s="1"/>
      <c r="LZH1" s="1"/>
      <c r="LZI1" s="1"/>
      <c r="LZJ1" s="1"/>
      <c r="LZK1" s="1"/>
      <c r="LZL1" s="1"/>
      <c r="LZM1" s="1"/>
      <c r="LZN1" s="1"/>
      <c r="LZO1" s="1"/>
      <c r="LZP1" s="1"/>
      <c r="LZQ1" s="1"/>
      <c r="LZR1" s="1"/>
      <c r="LZS1" s="1"/>
      <c r="LZT1" s="1"/>
      <c r="LZU1" s="1"/>
      <c r="LZV1" s="1"/>
      <c r="LZW1" s="1"/>
      <c r="LZX1" s="1"/>
      <c r="LZY1" s="1"/>
      <c r="LZZ1" s="1"/>
      <c r="MAA1" s="1"/>
      <c r="MAB1" s="1"/>
      <c r="MAC1" s="1"/>
      <c r="MAD1" s="1"/>
      <c r="MAE1" s="1"/>
      <c r="MAF1" s="1"/>
      <c r="MAG1" s="1"/>
      <c r="MAH1" s="1"/>
      <c r="MAI1" s="1"/>
      <c r="MAJ1" s="1"/>
      <c r="MAK1" s="1"/>
      <c r="MAL1" s="1"/>
      <c r="MAM1" s="1"/>
      <c r="MAN1" s="1"/>
      <c r="MAO1" s="1"/>
      <c r="MAP1" s="1"/>
      <c r="MAQ1" s="1"/>
      <c r="MAR1" s="1"/>
      <c r="MAS1" s="1"/>
      <c r="MAT1" s="1"/>
      <c r="MAU1" s="1"/>
      <c r="MAV1" s="1"/>
      <c r="MAW1" s="1"/>
      <c r="MAX1" s="1"/>
      <c r="MAY1" s="1"/>
      <c r="MAZ1" s="1"/>
      <c r="MBA1" s="1"/>
      <c r="MBB1" s="1"/>
      <c r="MBC1" s="1"/>
      <c r="MBD1" s="1"/>
      <c r="MBE1" s="1"/>
      <c r="MBF1" s="1"/>
      <c r="MBG1" s="1"/>
      <c r="MBH1" s="1"/>
      <c r="MBI1" s="1"/>
      <c r="MBJ1" s="1"/>
      <c r="MBK1" s="1"/>
      <c r="MBL1" s="1"/>
      <c r="MBM1" s="1"/>
      <c r="MBN1" s="1"/>
      <c r="MBO1" s="1"/>
      <c r="MBP1" s="1"/>
      <c r="MBQ1" s="1"/>
      <c r="MBR1" s="1"/>
      <c r="MBS1" s="1"/>
      <c r="MBT1" s="1"/>
      <c r="MBU1" s="1"/>
      <c r="MBV1" s="1"/>
      <c r="MBW1" s="1"/>
      <c r="MBX1" s="1"/>
      <c r="MBY1" s="1"/>
      <c r="MBZ1" s="1"/>
      <c r="MCA1" s="1"/>
      <c r="MCB1" s="1"/>
      <c r="MCC1" s="1"/>
      <c r="MCD1" s="1"/>
      <c r="MCE1" s="1"/>
      <c r="MCF1" s="1"/>
      <c r="MCG1" s="1"/>
      <c r="MCH1" s="1"/>
      <c r="MCI1" s="1"/>
      <c r="MCJ1" s="1"/>
      <c r="MCK1" s="1"/>
      <c r="MCL1" s="1"/>
      <c r="MCM1" s="1"/>
      <c r="MCN1" s="1"/>
      <c r="MCO1" s="1"/>
      <c r="MCP1" s="1"/>
      <c r="MCQ1" s="1"/>
      <c r="MCR1" s="1"/>
      <c r="MCS1" s="1"/>
      <c r="MCT1" s="1"/>
      <c r="MCU1" s="1"/>
      <c r="MCV1" s="1"/>
      <c r="MCW1" s="1"/>
      <c r="MCX1" s="1"/>
      <c r="MCY1" s="1"/>
      <c r="MCZ1" s="1"/>
      <c r="MDA1" s="1"/>
      <c r="MDB1" s="1"/>
      <c r="MDC1" s="1"/>
      <c r="MDD1" s="1"/>
      <c r="MDE1" s="1"/>
      <c r="MDF1" s="1"/>
      <c r="MDG1" s="1"/>
      <c r="MDH1" s="1"/>
      <c r="MDI1" s="1"/>
      <c r="MDJ1" s="1"/>
      <c r="MDK1" s="1"/>
      <c r="MDL1" s="1"/>
      <c r="MDM1" s="1"/>
      <c r="MDN1" s="1"/>
      <c r="MDO1" s="1"/>
      <c r="MDP1" s="1"/>
      <c r="MDQ1" s="1"/>
      <c r="MDR1" s="1"/>
      <c r="MDS1" s="1"/>
      <c r="MDT1" s="1"/>
      <c r="MDU1" s="1"/>
      <c r="MDV1" s="1"/>
      <c r="MDW1" s="1"/>
      <c r="MDX1" s="1"/>
      <c r="MDY1" s="1"/>
      <c r="MDZ1" s="1"/>
      <c r="MEA1" s="1"/>
      <c r="MEB1" s="1"/>
      <c r="MEC1" s="1"/>
      <c r="MED1" s="1"/>
      <c r="MEE1" s="1"/>
      <c r="MEF1" s="1"/>
      <c r="MEG1" s="1"/>
      <c r="MEH1" s="1"/>
      <c r="MEI1" s="1"/>
      <c r="MEJ1" s="1"/>
      <c r="MEK1" s="1"/>
      <c r="MEL1" s="1"/>
      <c r="MEM1" s="1"/>
      <c r="MEN1" s="1"/>
      <c r="MEO1" s="1"/>
      <c r="MEP1" s="1"/>
      <c r="MEQ1" s="1"/>
      <c r="MER1" s="1"/>
      <c r="MES1" s="1"/>
      <c r="MET1" s="1"/>
      <c r="MEU1" s="1"/>
      <c r="MEV1" s="1"/>
      <c r="MEW1" s="1"/>
      <c r="MEX1" s="1"/>
      <c r="MEY1" s="1"/>
      <c r="MEZ1" s="1"/>
      <c r="MFA1" s="1"/>
      <c r="MFB1" s="1"/>
      <c r="MFC1" s="1"/>
      <c r="MFD1" s="1"/>
      <c r="MFE1" s="1"/>
      <c r="MFF1" s="1"/>
      <c r="MFG1" s="1"/>
      <c r="MFH1" s="1"/>
      <c r="MFI1" s="1"/>
      <c r="MFJ1" s="1"/>
      <c r="MFK1" s="1"/>
      <c r="MFL1" s="1"/>
      <c r="MFM1" s="1"/>
      <c r="MFN1" s="1"/>
      <c r="MFO1" s="1"/>
      <c r="MFP1" s="1"/>
      <c r="MFQ1" s="1"/>
      <c r="MFR1" s="1"/>
      <c r="MFS1" s="1"/>
      <c r="MFT1" s="1"/>
      <c r="MFU1" s="1"/>
      <c r="MFV1" s="1"/>
      <c r="MFW1" s="1"/>
      <c r="MFX1" s="1"/>
      <c r="MFY1" s="1"/>
      <c r="MFZ1" s="1"/>
      <c r="MGA1" s="1"/>
      <c r="MGB1" s="1"/>
      <c r="MGC1" s="1"/>
      <c r="MGD1" s="1"/>
      <c r="MGE1" s="1"/>
      <c r="MGF1" s="1"/>
      <c r="MGG1" s="1"/>
      <c r="MGH1" s="1"/>
      <c r="MGI1" s="1"/>
      <c r="MGJ1" s="1"/>
      <c r="MGK1" s="1"/>
      <c r="MGL1" s="1"/>
      <c r="MGM1" s="1"/>
      <c r="MGN1" s="1"/>
      <c r="MGO1" s="1"/>
      <c r="MGP1" s="1"/>
      <c r="MGQ1" s="1"/>
      <c r="MGR1" s="1"/>
      <c r="MGS1" s="1"/>
      <c r="MGT1" s="1"/>
      <c r="MGU1" s="1"/>
      <c r="MGV1" s="1"/>
      <c r="MGW1" s="1"/>
      <c r="MGX1" s="1"/>
      <c r="MGY1" s="1"/>
      <c r="MGZ1" s="1"/>
      <c r="MHA1" s="1"/>
      <c r="MHB1" s="1"/>
      <c r="MHC1" s="1"/>
      <c r="MHD1" s="1"/>
      <c r="MHE1" s="1"/>
      <c r="MHF1" s="1"/>
      <c r="MHG1" s="1"/>
      <c r="MHH1" s="1"/>
      <c r="MHI1" s="1"/>
      <c r="MHJ1" s="1"/>
      <c r="MHK1" s="1"/>
      <c r="MHL1" s="1"/>
      <c r="MHM1" s="1"/>
      <c r="MHN1" s="1"/>
      <c r="MHO1" s="1"/>
      <c r="MHP1" s="1"/>
      <c r="MHQ1" s="1"/>
      <c r="MHR1" s="1"/>
      <c r="MHS1" s="1"/>
      <c r="MHT1" s="1"/>
      <c r="MHU1" s="1"/>
      <c r="MHV1" s="1"/>
      <c r="MHW1" s="1"/>
      <c r="MHX1" s="1"/>
      <c r="MHY1" s="1"/>
      <c r="MHZ1" s="1"/>
      <c r="MIA1" s="1"/>
      <c r="MIB1" s="1"/>
      <c r="MIC1" s="1"/>
      <c r="MID1" s="1"/>
      <c r="MIE1" s="1"/>
      <c r="MIF1" s="1"/>
      <c r="MIG1" s="1"/>
      <c r="MIH1" s="1"/>
      <c r="MII1" s="1"/>
      <c r="MIJ1" s="1"/>
      <c r="MIK1" s="1"/>
      <c r="MIL1" s="1"/>
      <c r="MIM1" s="1"/>
      <c r="MIN1" s="1"/>
      <c r="MIO1" s="1"/>
      <c r="MIP1" s="1"/>
      <c r="MIQ1" s="1"/>
      <c r="MIR1" s="1"/>
      <c r="MIS1" s="1"/>
      <c r="MIT1" s="1"/>
      <c r="MIU1" s="1"/>
      <c r="MIV1" s="1"/>
      <c r="MIW1" s="1"/>
      <c r="MIX1" s="1"/>
      <c r="MIY1" s="1"/>
      <c r="MIZ1" s="1"/>
      <c r="MJA1" s="1"/>
      <c r="MJB1" s="1"/>
      <c r="MJC1" s="1"/>
      <c r="MJD1" s="1"/>
      <c r="MJE1" s="1"/>
      <c r="MJF1" s="1"/>
      <c r="MJG1" s="1"/>
      <c r="MJH1" s="1"/>
      <c r="MJI1" s="1"/>
      <c r="MJJ1" s="1"/>
      <c r="MJK1" s="1"/>
      <c r="MJL1" s="1"/>
      <c r="MJM1" s="1"/>
      <c r="MJN1" s="1"/>
      <c r="MJO1" s="1"/>
      <c r="MJP1" s="1"/>
      <c r="MJQ1" s="1"/>
      <c r="MJR1" s="1"/>
      <c r="MJS1" s="1"/>
      <c r="MJT1" s="1"/>
      <c r="MJU1" s="1"/>
      <c r="MJV1" s="1"/>
      <c r="MJW1" s="1"/>
      <c r="MJX1" s="1"/>
      <c r="MJY1" s="1"/>
      <c r="MJZ1" s="1"/>
      <c r="MKA1" s="1"/>
      <c r="MKB1" s="1"/>
      <c r="MKC1" s="1"/>
      <c r="MKD1" s="1"/>
      <c r="MKE1" s="1"/>
      <c r="MKF1" s="1"/>
      <c r="MKG1" s="1"/>
      <c r="MKH1" s="1"/>
      <c r="MKI1" s="1"/>
      <c r="MKJ1" s="1"/>
      <c r="MKK1" s="1"/>
      <c r="MKL1" s="1"/>
      <c r="MKM1" s="1"/>
      <c r="MKN1" s="1"/>
      <c r="MKO1" s="1"/>
      <c r="MKP1" s="1"/>
      <c r="MKQ1" s="1"/>
      <c r="MKR1" s="1"/>
      <c r="MKS1" s="1"/>
      <c r="MKT1" s="1"/>
      <c r="MKU1" s="1"/>
      <c r="MKV1" s="1"/>
      <c r="MKW1" s="1"/>
      <c r="MKX1" s="1"/>
      <c r="MKY1" s="1"/>
      <c r="MKZ1" s="1"/>
      <c r="MLA1" s="1"/>
      <c r="MLB1" s="1"/>
      <c r="MLC1" s="1"/>
      <c r="MLD1" s="1"/>
      <c r="MLE1" s="1"/>
      <c r="MLF1" s="1"/>
      <c r="MLG1" s="1"/>
      <c r="MLH1" s="1"/>
      <c r="MLI1" s="1"/>
      <c r="MLJ1" s="1"/>
      <c r="MLK1" s="1"/>
      <c r="MLL1" s="1"/>
      <c r="MLM1" s="1"/>
      <c r="MLN1" s="1"/>
      <c r="MLO1" s="1"/>
      <c r="MLP1" s="1"/>
      <c r="MLQ1" s="1"/>
      <c r="MLR1" s="1"/>
      <c r="MLS1" s="1"/>
      <c r="MLT1" s="1"/>
      <c r="MLU1" s="1"/>
      <c r="MLV1" s="1"/>
      <c r="MLW1" s="1"/>
      <c r="MLX1" s="1"/>
      <c r="MLY1" s="1"/>
      <c r="MLZ1" s="1"/>
      <c r="MMA1" s="1"/>
      <c r="MMB1" s="1"/>
      <c r="MMC1" s="1"/>
      <c r="MMD1" s="1"/>
      <c r="MME1" s="1"/>
      <c r="MMF1" s="1"/>
      <c r="MMG1" s="1"/>
      <c r="MMH1" s="1"/>
      <c r="MMI1" s="1"/>
      <c r="MMJ1" s="1"/>
      <c r="MMK1" s="1"/>
      <c r="MML1" s="1"/>
      <c r="MMM1" s="1"/>
      <c r="MMN1" s="1"/>
      <c r="MMO1" s="1"/>
      <c r="MMP1" s="1"/>
      <c r="MMQ1" s="1"/>
      <c r="MMR1" s="1"/>
      <c r="MMS1" s="1"/>
      <c r="MMT1" s="1"/>
      <c r="MMU1" s="1"/>
      <c r="MMV1" s="1"/>
      <c r="MMW1" s="1"/>
      <c r="MMX1" s="1"/>
      <c r="MMY1" s="1"/>
      <c r="MMZ1" s="1"/>
      <c r="MNA1" s="1"/>
      <c r="MNB1" s="1"/>
      <c r="MNC1" s="1"/>
      <c r="MND1" s="1"/>
      <c r="MNE1" s="1"/>
      <c r="MNF1" s="1"/>
      <c r="MNG1" s="1"/>
      <c r="MNH1" s="1"/>
      <c r="MNI1" s="1"/>
      <c r="MNJ1" s="1"/>
      <c r="MNK1" s="1"/>
      <c r="MNL1" s="1"/>
      <c r="MNM1" s="1"/>
      <c r="MNN1" s="1"/>
      <c r="MNO1" s="1"/>
      <c r="MNP1" s="1"/>
      <c r="MNQ1" s="1"/>
      <c r="MNR1" s="1"/>
      <c r="MNS1" s="1"/>
      <c r="MNT1" s="1"/>
      <c r="MNU1" s="1"/>
      <c r="MNV1" s="1"/>
      <c r="MNW1" s="1"/>
      <c r="MNX1" s="1"/>
      <c r="MNY1" s="1"/>
      <c r="MNZ1" s="1"/>
      <c r="MOA1" s="1"/>
      <c r="MOB1" s="1"/>
      <c r="MOC1" s="1"/>
      <c r="MOD1" s="1"/>
      <c r="MOE1" s="1"/>
      <c r="MOF1" s="1"/>
      <c r="MOG1" s="1"/>
      <c r="MOH1" s="1"/>
      <c r="MOI1" s="1"/>
      <c r="MOJ1" s="1"/>
      <c r="MOK1" s="1"/>
      <c r="MOL1" s="1"/>
      <c r="MOM1" s="1"/>
      <c r="MON1" s="1"/>
      <c r="MOO1" s="1"/>
      <c r="MOP1" s="1"/>
      <c r="MOQ1" s="1"/>
      <c r="MOR1" s="1"/>
      <c r="MOS1" s="1"/>
      <c r="MOT1" s="1"/>
      <c r="MOU1" s="1"/>
      <c r="MOV1" s="1"/>
      <c r="MOW1" s="1"/>
      <c r="MOX1" s="1"/>
      <c r="MOY1" s="1"/>
      <c r="MOZ1" s="1"/>
      <c r="MPA1" s="1"/>
      <c r="MPB1" s="1"/>
      <c r="MPC1" s="1"/>
      <c r="MPD1" s="1"/>
      <c r="MPE1" s="1"/>
      <c r="MPF1" s="1"/>
      <c r="MPG1" s="1"/>
      <c r="MPH1" s="1"/>
      <c r="MPI1" s="1"/>
      <c r="MPJ1" s="1"/>
      <c r="MPK1" s="1"/>
      <c r="MPL1" s="1"/>
      <c r="MPM1" s="1"/>
      <c r="MPN1" s="1"/>
      <c r="MPO1" s="1"/>
      <c r="MPP1" s="1"/>
      <c r="MPQ1" s="1"/>
      <c r="MPR1" s="1"/>
      <c r="MPS1" s="1"/>
      <c r="MPT1" s="1"/>
      <c r="MPU1" s="1"/>
      <c r="MPV1" s="1"/>
      <c r="MPW1" s="1"/>
      <c r="MPX1" s="1"/>
      <c r="MPY1" s="1"/>
      <c r="MPZ1" s="1"/>
      <c r="MQA1" s="1"/>
      <c r="MQB1" s="1"/>
      <c r="MQC1" s="1"/>
      <c r="MQD1" s="1"/>
      <c r="MQE1" s="1"/>
      <c r="MQF1" s="1"/>
      <c r="MQG1" s="1"/>
      <c r="MQH1" s="1"/>
      <c r="MQI1" s="1"/>
      <c r="MQJ1" s="1"/>
      <c r="MQK1" s="1"/>
      <c r="MQL1" s="1"/>
      <c r="MQM1" s="1"/>
      <c r="MQN1" s="1"/>
      <c r="MQO1" s="1"/>
      <c r="MQP1" s="1"/>
      <c r="MQQ1" s="1"/>
      <c r="MQR1" s="1"/>
      <c r="MQS1" s="1"/>
      <c r="MQT1" s="1"/>
      <c r="MQU1" s="1"/>
      <c r="MQV1" s="1"/>
      <c r="MQW1" s="1"/>
      <c r="MQX1" s="1"/>
      <c r="MQY1" s="1"/>
      <c r="MQZ1" s="1"/>
      <c r="MRA1" s="1"/>
      <c r="MRB1" s="1"/>
      <c r="MRC1" s="1"/>
      <c r="MRD1" s="1"/>
      <c r="MRE1" s="1"/>
      <c r="MRF1" s="1"/>
      <c r="MRG1" s="1"/>
      <c r="MRH1" s="1"/>
      <c r="MRI1" s="1"/>
      <c r="MRJ1" s="1"/>
      <c r="MRK1" s="1"/>
      <c r="MRL1" s="1"/>
      <c r="MRM1" s="1"/>
      <c r="MRN1" s="1"/>
      <c r="MRO1" s="1"/>
      <c r="MRP1" s="1"/>
      <c r="MRQ1" s="1"/>
      <c r="MRR1" s="1"/>
      <c r="MRS1" s="1"/>
      <c r="MRT1" s="1"/>
      <c r="MRU1" s="1"/>
      <c r="MRV1" s="1"/>
      <c r="MRW1" s="1"/>
      <c r="MRX1" s="1"/>
      <c r="MRY1" s="1"/>
      <c r="MRZ1" s="1"/>
      <c r="MSA1" s="1"/>
      <c r="MSB1" s="1"/>
      <c r="MSC1" s="1"/>
      <c r="MSD1" s="1"/>
      <c r="MSE1" s="1"/>
      <c r="MSF1" s="1"/>
      <c r="MSG1" s="1"/>
      <c r="MSH1" s="1"/>
      <c r="MSI1" s="1"/>
      <c r="MSJ1" s="1"/>
      <c r="MSK1" s="1"/>
      <c r="MSL1" s="1"/>
      <c r="MSM1" s="1"/>
      <c r="MSN1" s="1"/>
      <c r="MSO1" s="1"/>
      <c r="MSP1" s="1"/>
      <c r="MSQ1" s="1"/>
      <c r="MSR1" s="1"/>
      <c r="MSS1" s="1"/>
      <c r="MST1" s="1"/>
      <c r="MSU1" s="1"/>
      <c r="MSV1" s="1"/>
      <c r="MSW1" s="1"/>
      <c r="MSX1" s="1"/>
      <c r="MSY1" s="1"/>
      <c r="MSZ1" s="1"/>
      <c r="MTA1" s="1"/>
      <c r="MTB1" s="1"/>
      <c r="MTC1" s="1"/>
      <c r="MTD1" s="1"/>
      <c r="MTE1" s="1"/>
      <c r="MTF1" s="1"/>
      <c r="MTG1" s="1"/>
      <c r="MTH1" s="1"/>
      <c r="MTI1" s="1"/>
      <c r="MTJ1" s="1"/>
      <c r="MTK1" s="1"/>
      <c r="MTL1" s="1"/>
      <c r="MTM1" s="1"/>
      <c r="MTN1" s="1"/>
      <c r="MTO1" s="1"/>
      <c r="MTP1" s="1"/>
      <c r="MTQ1" s="1"/>
      <c r="MTR1" s="1"/>
      <c r="MTS1" s="1"/>
      <c r="MTT1" s="1"/>
      <c r="MTU1" s="1"/>
      <c r="MTV1" s="1"/>
      <c r="MTW1" s="1"/>
      <c r="MTX1" s="1"/>
      <c r="MTY1" s="1"/>
      <c r="MTZ1" s="1"/>
      <c r="MUA1" s="1"/>
      <c r="MUB1" s="1"/>
      <c r="MUC1" s="1"/>
      <c r="MUD1" s="1"/>
      <c r="MUE1" s="1"/>
      <c r="MUF1" s="1"/>
      <c r="MUG1" s="1"/>
      <c r="MUH1" s="1"/>
      <c r="MUI1" s="1"/>
      <c r="MUJ1" s="1"/>
      <c r="MUK1" s="1"/>
      <c r="MUL1" s="1"/>
      <c r="MUM1" s="1"/>
      <c r="MUN1" s="1"/>
      <c r="MUO1" s="1"/>
      <c r="MUP1" s="1"/>
      <c r="MUQ1" s="1"/>
      <c r="MUR1" s="1"/>
      <c r="MUS1" s="1"/>
      <c r="MUT1" s="1"/>
      <c r="MUU1" s="1"/>
      <c r="MUV1" s="1"/>
      <c r="MUW1" s="1"/>
      <c r="MUX1" s="1"/>
      <c r="MUY1" s="1"/>
      <c r="MUZ1" s="1"/>
      <c r="MVA1" s="1"/>
      <c r="MVB1" s="1"/>
      <c r="MVC1" s="1"/>
      <c r="MVD1" s="1"/>
      <c r="MVE1" s="1"/>
      <c r="MVF1" s="1"/>
      <c r="MVG1" s="1"/>
      <c r="MVH1" s="1"/>
      <c r="MVI1" s="1"/>
      <c r="MVJ1" s="1"/>
      <c r="MVK1" s="1"/>
      <c r="MVL1" s="1"/>
      <c r="MVM1" s="1"/>
      <c r="MVN1" s="1"/>
      <c r="MVO1" s="1"/>
      <c r="MVP1" s="1"/>
      <c r="MVQ1" s="1"/>
      <c r="MVR1" s="1"/>
      <c r="MVS1" s="1"/>
      <c r="MVT1" s="1"/>
      <c r="MVU1" s="1"/>
      <c r="MVV1" s="1"/>
      <c r="MVW1" s="1"/>
      <c r="MVX1" s="1"/>
      <c r="MVY1" s="1"/>
      <c r="MVZ1" s="1"/>
      <c r="MWA1" s="1"/>
      <c r="MWB1" s="1"/>
      <c r="MWC1" s="1"/>
      <c r="MWD1" s="1"/>
      <c r="MWE1" s="1"/>
      <c r="MWF1" s="1"/>
      <c r="MWG1" s="1"/>
      <c r="MWH1" s="1"/>
      <c r="MWI1" s="1"/>
      <c r="MWJ1" s="1"/>
      <c r="MWK1" s="1"/>
      <c r="MWL1" s="1"/>
      <c r="MWM1" s="1"/>
      <c r="MWN1" s="1"/>
      <c r="MWO1" s="1"/>
      <c r="MWP1" s="1"/>
      <c r="MWQ1" s="1"/>
      <c r="MWR1" s="1"/>
      <c r="MWS1" s="1"/>
      <c r="MWT1" s="1"/>
      <c r="MWU1" s="1"/>
      <c r="MWV1" s="1"/>
      <c r="MWW1" s="1"/>
      <c r="MWX1" s="1"/>
      <c r="MWY1" s="1"/>
      <c r="MWZ1" s="1"/>
      <c r="MXA1" s="1"/>
      <c r="MXB1" s="1"/>
      <c r="MXC1" s="1"/>
      <c r="MXD1" s="1"/>
      <c r="MXE1" s="1"/>
      <c r="MXF1" s="1"/>
      <c r="MXG1" s="1"/>
      <c r="MXH1" s="1"/>
      <c r="MXI1" s="1"/>
      <c r="MXJ1" s="1"/>
      <c r="MXK1" s="1"/>
      <c r="MXL1" s="1"/>
      <c r="MXM1" s="1"/>
      <c r="MXN1" s="1"/>
      <c r="MXO1" s="1"/>
      <c r="MXP1" s="1"/>
      <c r="MXQ1" s="1"/>
      <c r="MXR1" s="1"/>
      <c r="MXS1" s="1"/>
      <c r="MXT1" s="1"/>
      <c r="MXU1" s="1"/>
      <c r="MXV1" s="1"/>
      <c r="MXW1" s="1"/>
      <c r="MXX1" s="1"/>
      <c r="MXY1" s="1"/>
      <c r="MXZ1" s="1"/>
      <c r="MYA1" s="1"/>
      <c r="MYB1" s="1"/>
      <c r="MYC1" s="1"/>
      <c r="MYD1" s="1"/>
      <c r="MYE1" s="1"/>
      <c r="MYF1" s="1"/>
      <c r="MYG1" s="1"/>
      <c r="MYH1" s="1"/>
      <c r="MYI1" s="1"/>
      <c r="MYJ1" s="1"/>
      <c r="MYK1" s="1"/>
      <c r="MYL1" s="1"/>
      <c r="MYM1" s="1"/>
      <c r="MYN1" s="1"/>
      <c r="MYO1" s="1"/>
      <c r="MYP1" s="1"/>
      <c r="MYQ1" s="1"/>
      <c r="MYR1" s="1"/>
      <c r="MYS1" s="1"/>
      <c r="MYT1" s="1"/>
      <c r="MYU1" s="1"/>
      <c r="MYV1" s="1"/>
      <c r="MYW1" s="1"/>
      <c r="MYX1" s="1"/>
      <c r="MYY1" s="1"/>
      <c r="MYZ1" s="1"/>
      <c r="MZA1" s="1"/>
      <c r="MZB1" s="1"/>
      <c r="MZC1" s="1"/>
      <c r="MZD1" s="1"/>
      <c r="MZE1" s="1"/>
      <c r="MZF1" s="1"/>
      <c r="MZG1" s="1"/>
      <c r="MZH1" s="1"/>
      <c r="MZI1" s="1"/>
      <c r="MZJ1" s="1"/>
      <c r="MZK1" s="1"/>
      <c r="MZL1" s="1"/>
      <c r="MZM1" s="1"/>
      <c r="MZN1" s="1"/>
      <c r="MZO1" s="1"/>
      <c r="MZP1" s="1"/>
      <c r="MZQ1" s="1"/>
      <c r="MZR1" s="1"/>
      <c r="MZS1" s="1"/>
      <c r="MZT1" s="1"/>
      <c r="MZU1" s="1"/>
      <c r="MZV1" s="1"/>
      <c r="MZW1" s="1"/>
      <c r="MZX1" s="1"/>
      <c r="MZY1" s="1"/>
      <c r="MZZ1" s="1"/>
      <c r="NAA1" s="1"/>
      <c r="NAB1" s="1"/>
      <c r="NAC1" s="1"/>
      <c r="NAD1" s="1"/>
      <c r="NAE1" s="1"/>
      <c r="NAF1" s="1"/>
      <c r="NAG1" s="1"/>
      <c r="NAH1" s="1"/>
      <c r="NAI1" s="1"/>
      <c r="NAJ1" s="1"/>
      <c r="NAK1" s="1"/>
      <c r="NAL1" s="1"/>
      <c r="NAM1" s="1"/>
      <c r="NAN1" s="1"/>
      <c r="NAO1" s="1"/>
      <c r="NAP1" s="1"/>
      <c r="NAQ1" s="1"/>
      <c r="NAR1" s="1"/>
      <c r="NAS1" s="1"/>
      <c r="NAT1" s="1"/>
      <c r="NAU1" s="1"/>
      <c r="NAV1" s="1"/>
      <c r="NAW1" s="1"/>
      <c r="NAX1" s="1"/>
      <c r="NAY1" s="1"/>
      <c r="NAZ1" s="1"/>
      <c r="NBA1" s="1"/>
      <c r="NBB1" s="1"/>
      <c r="NBC1" s="1"/>
      <c r="NBD1" s="1"/>
      <c r="NBE1" s="1"/>
      <c r="NBF1" s="1"/>
      <c r="NBG1" s="1"/>
      <c r="NBH1" s="1"/>
      <c r="NBI1" s="1"/>
      <c r="NBJ1" s="1"/>
      <c r="NBK1" s="1"/>
      <c r="NBL1" s="1"/>
      <c r="NBM1" s="1"/>
      <c r="NBN1" s="1"/>
      <c r="NBO1" s="1"/>
      <c r="NBP1" s="1"/>
      <c r="NBQ1" s="1"/>
      <c r="NBR1" s="1"/>
      <c r="NBS1" s="1"/>
      <c r="NBT1" s="1"/>
      <c r="NBU1" s="1"/>
      <c r="NBV1" s="1"/>
      <c r="NBW1" s="1"/>
      <c r="NBX1" s="1"/>
      <c r="NBY1" s="1"/>
      <c r="NBZ1" s="1"/>
      <c r="NCA1" s="1"/>
      <c r="NCB1" s="1"/>
      <c r="NCC1" s="1"/>
      <c r="NCD1" s="1"/>
      <c r="NCE1" s="1"/>
      <c r="NCF1" s="1"/>
      <c r="NCG1" s="1"/>
      <c r="NCH1" s="1"/>
      <c r="NCI1" s="1"/>
      <c r="NCJ1" s="1"/>
      <c r="NCK1" s="1"/>
      <c r="NCL1" s="1"/>
      <c r="NCM1" s="1"/>
      <c r="NCN1" s="1"/>
      <c r="NCO1" s="1"/>
      <c r="NCP1" s="1"/>
      <c r="NCQ1" s="1"/>
      <c r="NCR1" s="1"/>
      <c r="NCS1" s="1"/>
      <c r="NCT1" s="1"/>
      <c r="NCU1" s="1"/>
      <c r="NCV1" s="1"/>
      <c r="NCW1" s="1"/>
      <c r="NCX1" s="1"/>
      <c r="NCY1" s="1"/>
      <c r="NCZ1" s="1"/>
      <c r="NDA1" s="1"/>
      <c r="NDB1" s="1"/>
      <c r="NDC1" s="1"/>
      <c r="NDD1" s="1"/>
      <c r="NDE1" s="1"/>
      <c r="NDF1" s="1"/>
      <c r="NDG1" s="1"/>
      <c r="NDH1" s="1"/>
      <c r="NDI1" s="1"/>
      <c r="NDJ1" s="1"/>
      <c r="NDK1" s="1"/>
      <c r="NDL1" s="1"/>
      <c r="NDM1" s="1"/>
      <c r="NDN1" s="1"/>
      <c r="NDO1" s="1"/>
      <c r="NDP1" s="1"/>
      <c r="NDQ1" s="1"/>
      <c r="NDR1" s="1"/>
      <c r="NDS1" s="1"/>
      <c r="NDT1" s="1"/>
      <c r="NDU1" s="1"/>
      <c r="NDV1" s="1"/>
      <c r="NDW1" s="1"/>
      <c r="NDX1" s="1"/>
      <c r="NDY1" s="1"/>
      <c r="NDZ1" s="1"/>
      <c r="NEA1" s="1"/>
      <c r="NEB1" s="1"/>
      <c r="NEC1" s="1"/>
      <c r="NED1" s="1"/>
      <c r="NEE1" s="1"/>
      <c r="NEF1" s="1"/>
      <c r="NEG1" s="1"/>
      <c r="NEH1" s="1"/>
      <c r="NEI1" s="1"/>
      <c r="NEJ1" s="1"/>
      <c r="NEK1" s="1"/>
      <c r="NEL1" s="1"/>
      <c r="NEM1" s="1"/>
      <c r="NEN1" s="1"/>
      <c r="NEO1" s="1"/>
      <c r="NEP1" s="1"/>
      <c r="NEQ1" s="1"/>
      <c r="NER1" s="1"/>
      <c r="NES1" s="1"/>
      <c r="NET1" s="1"/>
      <c r="NEU1" s="1"/>
      <c r="NEV1" s="1"/>
      <c r="NEW1" s="1"/>
      <c r="NEX1" s="1"/>
      <c r="NEY1" s="1"/>
      <c r="NEZ1" s="1"/>
      <c r="NFA1" s="1"/>
      <c r="NFB1" s="1"/>
      <c r="NFC1" s="1"/>
      <c r="NFD1" s="1"/>
      <c r="NFE1" s="1"/>
      <c r="NFF1" s="1"/>
      <c r="NFG1" s="1"/>
      <c r="NFH1" s="1"/>
      <c r="NFI1" s="1"/>
      <c r="NFJ1" s="1"/>
      <c r="NFK1" s="1"/>
      <c r="NFL1" s="1"/>
      <c r="NFM1" s="1"/>
      <c r="NFN1" s="1"/>
      <c r="NFO1" s="1"/>
      <c r="NFP1" s="1"/>
      <c r="NFQ1" s="1"/>
      <c r="NFR1" s="1"/>
      <c r="NFS1" s="1"/>
      <c r="NFT1" s="1"/>
      <c r="NFU1" s="1"/>
      <c r="NFV1" s="1"/>
      <c r="NFW1" s="1"/>
      <c r="NFX1" s="1"/>
      <c r="NFY1" s="1"/>
      <c r="NFZ1" s="1"/>
      <c r="NGA1" s="1"/>
      <c r="NGB1" s="1"/>
      <c r="NGC1" s="1"/>
      <c r="NGD1" s="1"/>
      <c r="NGE1" s="1"/>
      <c r="NGF1" s="1"/>
      <c r="NGG1" s="1"/>
      <c r="NGH1" s="1"/>
      <c r="NGI1" s="1"/>
      <c r="NGJ1" s="1"/>
      <c r="NGK1" s="1"/>
      <c r="NGL1" s="1"/>
      <c r="NGM1" s="1"/>
      <c r="NGN1" s="1"/>
      <c r="NGO1" s="1"/>
      <c r="NGP1" s="1"/>
      <c r="NGQ1" s="1"/>
      <c r="NGR1" s="1"/>
      <c r="NGS1" s="1"/>
      <c r="NGT1" s="1"/>
      <c r="NGU1" s="1"/>
      <c r="NGV1" s="1"/>
      <c r="NGW1" s="1"/>
      <c r="NGX1" s="1"/>
      <c r="NGY1" s="1"/>
      <c r="NGZ1" s="1"/>
      <c r="NHA1" s="1"/>
      <c r="NHB1" s="1"/>
      <c r="NHC1" s="1"/>
      <c r="NHD1" s="1"/>
      <c r="NHE1" s="1"/>
      <c r="NHF1" s="1"/>
      <c r="NHG1" s="1"/>
      <c r="NHH1" s="1"/>
      <c r="NHI1" s="1"/>
      <c r="NHJ1" s="1"/>
      <c r="NHK1" s="1"/>
      <c r="NHL1" s="1"/>
      <c r="NHM1" s="1"/>
      <c r="NHN1" s="1"/>
      <c r="NHO1" s="1"/>
      <c r="NHP1" s="1"/>
      <c r="NHQ1" s="1"/>
      <c r="NHR1" s="1"/>
      <c r="NHS1" s="1"/>
      <c r="NHT1" s="1"/>
      <c r="NHU1" s="1"/>
      <c r="NHV1" s="1"/>
      <c r="NHW1" s="1"/>
      <c r="NHX1" s="1"/>
      <c r="NHY1" s="1"/>
      <c r="NHZ1" s="1"/>
      <c r="NIA1" s="1"/>
      <c r="NIB1" s="1"/>
      <c r="NIC1" s="1"/>
      <c r="NID1" s="1"/>
      <c r="NIE1" s="1"/>
      <c r="NIF1" s="1"/>
      <c r="NIG1" s="1"/>
      <c r="NIH1" s="1"/>
      <c r="NII1" s="1"/>
      <c r="NIJ1" s="1"/>
      <c r="NIK1" s="1"/>
      <c r="NIL1" s="1"/>
      <c r="NIM1" s="1"/>
      <c r="NIN1" s="1"/>
      <c r="NIO1" s="1"/>
      <c r="NIP1" s="1"/>
      <c r="NIQ1" s="1"/>
      <c r="NIR1" s="1"/>
      <c r="NIS1" s="1"/>
      <c r="NIT1" s="1"/>
      <c r="NIU1" s="1"/>
      <c r="NIV1" s="1"/>
      <c r="NIW1" s="1"/>
      <c r="NIX1" s="1"/>
      <c r="NIY1" s="1"/>
      <c r="NIZ1" s="1"/>
      <c r="NJA1" s="1"/>
      <c r="NJB1" s="1"/>
      <c r="NJC1" s="1"/>
      <c r="NJD1" s="1"/>
      <c r="NJE1" s="1"/>
      <c r="NJF1" s="1"/>
      <c r="NJG1" s="1"/>
      <c r="NJH1" s="1"/>
      <c r="NJI1" s="1"/>
      <c r="NJJ1" s="1"/>
      <c r="NJK1" s="1"/>
      <c r="NJL1" s="1"/>
      <c r="NJM1" s="1"/>
      <c r="NJN1" s="1"/>
      <c r="NJO1" s="1"/>
      <c r="NJP1" s="1"/>
      <c r="NJQ1" s="1"/>
      <c r="NJR1" s="1"/>
      <c r="NJS1" s="1"/>
      <c r="NJT1" s="1"/>
      <c r="NJU1" s="1"/>
      <c r="NJV1" s="1"/>
      <c r="NJW1" s="1"/>
      <c r="NJX1" s="1"/>
      <c r="NJY1" s="1"/>
      <c r="NJZ1" s="1"/>
      <c r="NKA1" s="1"/>
      <c r="NKB1" s="1"/>
      <c r="NKC1" s="1"/>
      <c r="NKD1" s="1"/>
      <c r="NKE1" s="1"/>
      <c r="NKF1" s="1"/>
      <c r="NKG1" s="1"/>
      <c r="NKH1" s="1"/>
      <c r="NKI1" s="1"/>
      <c r="NKJ1" s="1"/>
      <c r="NKK1" s="1"/>
      <c r="NKL1" s="1"/>
      <c r="NKM1" s="1"/>
      <c r="NKN1" s="1"/>
      <c r="NKO1" s="1"/>
      <c r="NKP1" s="1"/>
      <c r="NKQ1" s="1"/>
      <c r="NKR1" s="1"/>
      <c r="NKS1" s="1"/>
      <c r="NKT1" s="1"/>
      <c r="NKU1" s="1"/>
      <c r="NKV1" s="1"/>
      <c r="NKW1" s="1"/>
      <c r="NKX1" s="1"/>
      <c r="NKY1" s="1"/>
      <c r="NKZ1" s="1"/>
      <c r="NLA1" s="1"/>
      <c r="NLB1" s="1"/>
      <c r="NLC1" s="1"/>
      <c r="NLD1" s="1"/>
      <c r="NLE1" s="1"/>
      <c r="NLF1" s="1"/>
      <c r="NLG1" s="1"/>
      <c r="NLH1" s="1"/>
      <c r="NLI1" s="1"/>
      <c r="NLJ1" s="1"/>
      <c r="NLK1" s="1"/>
      <c r="NLL1" s="1"/>
      <c r="NLM1" s="1"/>
      <c r="NLN1" s="1"/>
      <c r="NLO1" s="1"/>
      <c r="NLP1" s="1"/>
      <c r="NLQ1" s="1"/>
      <c r="NLR1" s="1"/>
      <c r="NLS1" s="1"/>
      <c r="NLT1" s="1"/>
      <c r="NLU1" s="1"/>
      <c r="NLV1" s="1"/>
      <c r="NLW1" s="1"/>
      <c r="NLX1" s="1"/>
      <c r="NLY1" s="1"/>
      <c r="NLZ1" s="1"/>
      <c r="NMA1" s="1"/>
      <c r="NMB1" s="1"/>
      <c r="NMC1" s="1"/>
      <c r="NMD1" s="1"/>
      <c r="NME1" s="1"/>
      <c r="NMF1" s="1"/>
      <c r="NMG1" s="1"/>
      <c r="NMH1" s="1"/>
      <c r="NMI1" s="1"/>
      <c r="NMJ1" s="1"/>
      <c r="NMK1" s="1"/>
      <c r="NML1" s="1"/>
      <c r="NMM1" s="1"/>
      <c r="NMN1" s="1"/>
      <c r="NMO1" s="1"/>
      <c r="NMP1" s="1"/>
      <c r="NMQ1" s="1"/>
      <c r="NMR1" s="1"/>
      <c r="NMS1" s="1"/>
      <c r="NMT1" s="1"/>
      <c r="NMU1" s="1"/>
      <c r="NMV1" s="1"/>
      <c r="NMW1" s="1"/>
      <c r="NMX1" s="1"/>
      <c r="NMY1" s="1"/>
      <c r="NMZ1" s="1"/>
      <c r="NNA1" s="1"/>
      <c r="NNB1" s="1"/>
      <c r="NNC1" s="1"/>
      <c r="NND1" s="1"/>
      <c r="NNE1" s="1"/>
      <c r="NNF1" s="1"/>
      <c r="NNG1" s="1"/>
      <c r="NNH1" s="1"/>
      <c r="NNI1" s="1"/>
      <c r="NNJ1" s="1"/>
      <c r="NNK1" s="1"/>
      <c r="NNL1" s="1"/>
      <c r="NNM1" s="1"/>
      <c r="NNN1" s="1"/>
      <c r="NNO1" s="1"/>
      <c r="NNP1" s="1"/>
      <c r="NNQ1" s="1"/>
      <c r="NNR1" s="1"/>
      <c r="NNS1" s="1"/>
      <c r="NNT1" s="1"/>
      <c r="NNU1" s="1"/>
      <c r="NNV1" s="1"/>
      <c r="NNW1" s="1"/>
      <c r="NNX1" s="1"/>
      <c r="NNY1" s="1"/>
      <c r="NNZ1" s="1"/>
      <c r="NOA1" s="1"/>
      <c r="NOB1" s="1"/>
      <c r="NOC1" s="1"/>
      <c r="NOD1" s="1"/>
      <c r="NOE1" s="1"/>
      <c r="NOF1" s="1"/>
      <c r="NOG1" s="1"/>
      <c r="NOH1" s="1"/>
      <c r="NOI1" s="1"/>
      <c r="NOJ1" s="1"/>
      <c r="NOK1" s="1"/>
      <c r="NOL1" s="1"/>
      <c r="NOM1" s="1"/>
      <c r="NON1" s="1"/>
      <c r="NOO1" s="1"/>
      <c r="NOP1" s="1"/>
      <c r="NOQ1" s="1"/>
      <c r="NOR1" s="1"/>
      <c r="NOS1" s="1"/>
      <c r="NOT1" s="1"/>
      <c r="NOU1" s="1"/>
      <c r="NOV1" s="1"/>
      <c r="NOW1" s="1"/>
      <c r="NOX1" s="1"/>
      <c r="NOY1" s="1"/>
      <c r="NOZ1" s="1"/>
      <c r="NPA1" s="1"/>
      <c r="NPB1" s="1"/>
      <c r="NPC1" s="1"/>
      <c r="NPD1" s="1"/>
      <c r="NPE1" s="1"/>
      <c r="NPF1" s="1"/>
      <c r="NPG1" s="1"/>
      <c r="NPH1" s="1"/>
      <c r="NPI1" s="1"/>
      <c r="NPJ1" s="1"/>
      <c r="NPK1" s="1"/>
      <c r="NPL1" s="1"/>
      <c r="NPM1" s="1"/>
      <c r="NPN1" s="1"/>
      <c r="NPO1" s="1"/>
      <c r="NPP1" s="1"/>
      <c r="NPQ1" s="1"/>
      <c r="NPR1" s="1"/>
      <c r="NPS1" s="1"/>
      <c r="NPT1" s="1"/>
      <c r="NPU1" s="1"/>
      <c r="NPV1" s="1"/>
      <c r="NPW1" s="1"/>
      <c r="NPX1" s="1"/>
      <c r="NPY1" s="1"/>
      <c r="NPZ1" s="1"/>
      <c r="NQA1" s="1"/>
      <c r="NQB1" s="1"/>
      <c r="NQC1" s="1"/>
      <c r="NQD1" s="1"/>
      <c r="NQE1" s="1"/>
      <c r="NQF1" s="1"/>
      <c r="NQG1" s="1"/>
      <c r="NQH1" s="1"/>
      <c r="NQI1" s="1"/>
      <c r="NQJ1" s="1"/>
      <c r="NQK1" s="1"/>
      <c r="NQL1" s="1"/>
      <c r="NQM1" s="1"/>
      <c r="NQN1" s="1"/>
      <c r="NQO1" s="1"/>
      <c r="NQP1" s="1"/>
      <c r="NQQ1" s="1"/>
      <c r="NQR1" s="1"/>
      <c r="NQS1" s="1"/>
      <c r="NQT1" s="1"/>
      <c r="NQU1" s="1"/>
      <c r="NQV1" s="1"/>
      <c r="NQW1" s="1"/>
      <c r="NQX1" s="1"/>
      <c r="NQY1" s="1"/>
      <c r="NQZ1" s="1"/>
      <c r="NRA1" s="1"/>
      <c r="NRB1" s="1"/>
      <c r="NRC1" s="1"/>
      <c r="NRD1" s="1"/>
      <c r="NRE1" s="1"/>
      <c r="NRF1" s="1"/>
      <c r="NRG1" s="1"/>
      <c r="NRH1" s="1"/>
      <c r="NRI1" s="1"/>
      <c r="NRJ1" s="1"/>
      <c r="NRK1" s="1"/>
      <c r="NRL1" s="1"/>
      <c r="NRM1" s="1"/>
      <c r="NRN1" s="1"/>
      <c r="NRO1" s="1"/>
      <c r="NRP1" s="1"/>
      <c r="NRQ1" s="1"/>
      <c r="NRR1" s="1"/>
      <c r="NRS1" s="1"/>
      <c r="NRT1" s="1"/>
      <c r="NRU1" s="1"/>
      <c r="NRV1" s="1"/>
      <c r="NRW1" s="1"/>
      <c r="NRX1" s="1"/>
      <c r="NRY1" s="1"/>
      <c r="NRZ1" s="1"/>
      <c r="NSA1" s="1"/>
      <c r="NSB1" s="1"/>
      <c r="NSC1" s="1"/>
      <c r="NSD1" s="1"/>
      <c r="NSE1" s="1"/>
      <c r="NSF1" s="1"/>
      <c r="NSG1" s="1"/>
      <c r="NSH1" s="1"/>
      <c r="NSI1" s="1"/>
      <c r="NSJ1" s="1"/>
      <c r="NSK1" s="1"/>
      <c r="NSL1" s="1"/>
      <c r="NSM1" s="1"/>
      <c r="NSN1" s="1"/>
      <c r="NSO1" s="1"/>
      <c r="NSP1" s="1"/>
      <c r="NSQ1" s="1"/>
      <c r="NSR1" s="1"/>
      <c r="NSS1" s="1"/>
      <c r="NST1" s="1"/>
      <c r="NSU1" s="1"/>
      <c r="NSV1" s="1"/>
      <c r="NSW1" s="1"/>
      <c r="NSX1" s="1"/>
      <c r="NSY1" s="1"/>
      <c r="NSZ1" s="1"/>
      <c r="NTA1" s="1"/>
      <c r="NTB1" s="1"/>
      <c r="NTC1" s="1"/>
      <c r="NTD1" s="1"/>
      <c r="NTE1" s="1"/>
      <c r="NTF1" s="1"/>
      <c r="NTG1" s="1"/>
      <c r="NTH1" s="1"/>
      <c r="NTI1" s="1"/>
      <c r="NTJ1" s="1"/>
      <c r="NTK1" s="1"/>
      <c r="NTL1" s="1"/>
      <c r="NTM1" s="1"/>
      <c r="NTN1" s="1"/>
      <c r="NTO1" s="1"/>
      <c r="NTP1" s="1"/>
      <c r="NTQ1" s="1"/>
      <c r="NTR1" s="1"/>
      <c r="NTS1" s="1"/>
      <c r="NTT1" s="1"/>
      <c r="NTU1" s="1"/>
      <c r="NTV1" s="1"/>
      <c r="NTW1" s="1"/>
      <c r="NTX1" s="1"/>
      <c r="NTY1" s="1"/>
      <c r="NTZ1" s="1"/>
      <c r="NUA1" s="1"/>
      <c r="NUB1" s="1"/>
      <c r="NUC1" s="1"/>
      <c r="NUD1" s="1"/>
      <c r="NUE1" s="1"/>
      <c r="NUF1" s="1"/>
      <c r="NUG1" s="1"/>
      <c r="NUH1" s="1"/>
      <c r="NUI1" s="1"/>
      <c r="NUJ1" s="1"/>
      <c r="NUK1" s="1"/>
      <c r="NUL1" s="1"/>
      <c r="NUM1" s="1"/>
      <c r="NUN1" s="1"/>
      <c r="NUO1" s="1"/>
      <c r="NUP1" s="1"/>
      <c r="NUQ1" s="1"/>
      <c r="NUR1" s="1"/>
      <c r="NUS1" s="1"/>
      <c r="NUT1" s="1"/>
      <c r="NUU1" s="1"/>
      <c r="NUV1" s="1"/>
      <c r="NUW1" s="1"/>
      <c r="NUX1" s="1"/>
      <c r="NUY1" s="1"/>
      <c r="NUZ1" s="1"/>
      <c r="NVA1" s="1"/>
      <c r="NVB1" s="1"/>
      <c r="NVC1" s="1"/>
      <c r="NVD1" s="1"/>
      <c r="NVE1" s="1"/>
      <c r="NVF1" s="1"/>
      <c r="NVG1" s="1"/>
      <c r="NVH1" s="1"/>
      <c r="NVI1" s="1"/>
      <c r="NVJ1" s="1"/>
      <c r="NVK1" s="1"/>
      <c r="NVL1" s="1"/>
      <c r="NVM1" s="1"/>
      <c r="NVN1" s="1"/>
      <c r="NVO1" s="1"/>
      <c r="NVP1" s="1"/>
      <c r="NVQ1" s="1"/>
      <c r="NVR1" s="1"/>
      <c r="NVS1" s="1"/>
      <c r="NVT1" s="1"/>
      <c r="NVU1" s="1"/>
      <c r="NVV1" s="1"/>
      <c r="NVW1" s="1"/>
      <c r="NVX1" s="1"/>
      <c r="NVY1" s="1"/>
      <c r="NVZ1" s="1"/>
      <c r="NWA1" s="1"/>
      <c r="NWB1" s="1"/>
      <c r="NWC1" s="1"/>
      <c r="NWD1" s="1"/>
      <c r="NWE1" s="1"/>
      <c r="NWF1" s="1"/>
      <c r="NWG1" s="1"/>
      <c r="NWH1" s="1"/>
      <c r="NWI1" s="1"/>
      <c r="NWJ1" s="1"/>
      <c r="NWK1" s="1"/>
      <c r="NWL1" s="1"/>
      <c r="NWM1" s="1"/>
      <c r="NWN1" s="1"/>
      <c r="NWO1" s="1"/>
      <c r="NWP1" s="1"/>
      <c r="NWQ1" s="1"/>
      <c r="NWR1" s="1"/>
      <c r="NWS1" s="1"/>
      <c r="NWT1" s="1"/>
      <c r="NWU1" s="1"/>
      <c r="NWV1" s="1"/>
      <c r="NWW1" s="1"/>
      <c r="NWX1" s="1"/>
      <c r="NWY1" s="1"/>
      <c r="NWZ1" s="1"/>
      <c r="NXA1" s="1"/>
      <c r="NXB1" s="1"/>
      <c r="NXC1" s="1"/>
      <c r="NXD1" s="1"/>
      <c r="NXE1" s="1"/>
      <c r="NXF1" s="1"/>
      <c r="NXG1" s="1"/>
      <c r="NXH1" s="1"/>
      <c r="NXI1" s="1"/>
      <c r="NXJ1" s="1"/>
      <c r="NXK1" s="1"/>
      <c r="NXL1" s="1"/>
      <c r="NXM1" s="1"/>
      <c r="NXN1" s="1"/>
      <c r="NXO1" s="1"/>
      <c r="NXP1" s="1"/>
      <c r="NXQ1" s="1"/>
      <c r="NXR1" s="1"/>
      <c r="NXS1" s="1"/>
      <c r="NXT1" s="1"/>
      <c r="NXU1" s="1"/>
      <c r="NXV1" s="1"/>
      <c r="NXW1" s="1"/>
      <c r="NXX1" s="1"/>
      <c r="NXY1" s="1"/>
      <c r="NXZ1" s="1"/>
      <c r="NYA1" s="1"/>
      <c r="NYB1" s="1"/>
      <c r="NYC1" s="1"/>
      <c r="NYD1" s="1"/>
      <c r="NYE1" s="1"/>
      <c r="NYF1" s="1"/>
      <c r="NYG1" s="1"/>
      <c r="NYH1" s="1"/>
      <c r="NYI1" s="1"/>
      <c r="NYJ1" s="1"/>
      <c r="NYK1" s="1"/>
      <c r="NYL1" s="1"/>
      <c r="NYM1" s="1"/>
      <c r="NYN1" s="1"/>
      <c r="NYO1" s="1"/>
      <c r="NYP1" s="1"/>
      <c r="NYQ1" s="1"/>
      <c r="NYR1" s="1"/>
      <c r="NYS1" s="1"/>
      <c r="NYT1" s="1"/>
      <c r="NYU1" s="1"/>
      <c r="NYV1" s="1"/>
      <c r="NYW1" s="1"/>
      <c r="NYX1" s="1"/>
      <c r="NYY1" s="1"/>
      <c r="NYZ1" s="1"/>
      <c r="NZA1" s="1"/>
      <c r="NZB1" s="1"/>
      <c r="NZC1" s="1"/>
      <c r="NZD1" s="1"/>
      <c r="NZE1" s="1"/>
      <c r="NZF1" s="1"/>
      <c r="NZG1" s="1"/>
      <c r="NZH1" s="1"/>
      <c r="NZI1" s="1"/>
      <c r="NZJ1" s="1"/>
      <c r="NZK1" s="1"/>
      <c r="NZL1" s="1"/>
      <c r="NZM1" s="1"/>
      <c r="NZN1" s="1"/>
      <c r="NZO1" s="1"/>
      <c r="NZP1" s="1"/>
      <c r="NZQ1" s="1"/>
      <c r="NZR1" s="1"/>
      <c r="NZS1" s="1"/>
      <c r="NZT1" s="1"/>
      <c r="NZU1" s="1"/>
      <c r="NZV1" s="1"/>
      <c r="NZW1" s="1"/>
      <c r="NZX1" s="1"/>
      <c r="NZY1" s="1"/>
      <c r="NZZ1" s="1"/>
      <c r="OAA1" s="1"/>
      <c r="OAB1" s="1"/>
      <c r="OAC1" s="1"/>
      <c r="OAD1" s="1"/>
      <c r="OAE1" s="1"/>
      <c r="OAF1" s="1"/>
      <c r="OAG1" s="1"/>
      <c r="OAH1" s="1"/>
      <c r="OAI1" s="1"/>
      <c r="OAJ1" s="1"/>
      <c r="OAK1" s="1"/>
      <c r="OAL1" s="1"/>
      <c r="OAM1" s="1"/>
      <c r="OAN1" s="1"/>
      <c r="OAO1" s="1"/>
      <c r="OAP1" s="1"/>
      <c r="OAQ1" s="1"/>
      <c r="OAR1" s="1"/>
      <c r="OAS1" s="1"/>
      <c r="OAT1" s="1"/>
      <c r="OAU1" s="1"/>
      <c r="OAV1" s="1"/>
      <c r="OAW1" s="1"/>
      <c r="OAX1" s="1"/>
      <c r="OAY1" s="1"/>
      <c r="OAZ1" s="1"/>
      <c r="OBA1" s="1"/>
      <c r="OBB1" s="1"/>
      <c r="OBC1" s="1"/>
      <c r="OBD1" s="1"/>
      <c r="OBE1" s="1"/>
      <c r="OBF1" s="1"/>
      <c r="OBG1" s="1"/>
      <c r="OBH1" s="1"/>
      <c r="OBI1" s="1"/>
      <c r="OBJ1" s="1"/>
      <c r="OBK1" s="1"/>
      <c r="OBL1" s="1"/>
      <c r="OBM1" s="1"/>
      <c r="OBN1" s="1"/>
      <c r="OBO1" s="1"/>
      <c r="OBP1" s="1"/>
      <c r="OBQ1" s="1"/>
      <c r="OBR1" s="1"/>
      <c r="OBS1" s="1"/>
      <c r="OBT1" s="1"/>
      <c r="OBU1" s="1"/>
      <c r="OBV1" s="1"/>
      <c r="OBW1" s="1"/>
      <c r="OBX1" s="1"/>
      <c r="OBY1" s="1"/>
      <c r="OBZ1" s="1"/>
      <c r="OCA1" s="1"/>
      <c r="OCB1" s="1"/>
      <c r="OCC1" s="1"/>
      <c r="OCD1" s="1"/>
      <c r="OCE1" s="1"/>
      <c r="OCF1" s="1"/>
      <c r="OCG1" s="1"/>
      <c r="OCH1" s="1"/>
      <c r="OCI1" s="1"/>
      <c r="OCJ1" s="1"/>
      <c r="OCK1" s="1"/>
      <c r="OCL1" s="1"/>
      <c r="OCM1" s="1"/>
      <c r="OCN1" s="1"/>
      <c r="OCO1" s="1"/>
      <c r="OCP1" s="1"/>
      <c r="OCQ1" s="1"/>
      <c r="OCR1" s="1"/>
      <c r="OCS1" s="1"/>
      <c r="OCT1" s="1"/>
      <c r="OCU1" s="1"/>
      <c r="OCV1" s="1"/>
      <c r="OCW1" s="1"/>
      <c r="OCX1" s="1"/>
      <c r="OCY1" s="1"/>
      <c r="OCZ1" s="1"/>
      <c r="ODA1" s="1"/>
      <c r="ODB1" s="1"/>
      <c r="ODC1" s="1"/>
      <c r="ODD1" s="1"/>
      <c r="ODE1" s="1"/>
      <c r="ODF1" s="1"/>
      <c r="ODG1" s="1"/>
      <c r="ODH1" s="1"/>
      <c r="ODI1" s="1"/>
      <c r="ODJ1" s="1"/>
      <c r="ODK1" s="1"/>
      <c r="ODL1" s="1"/>
      <c r="ODM1" s="1"/>
      <c r="ODN1" s="1"/>
      <c r="ODO1" s="1"/>
      <c r="ODP1" s="1"/>
      <c r="ODQ1" s="1"/>
      <c r="ODR1" s="1"/>
      <c r="ODS1" s="1"/>
      <c r="ODT1" s="1"/>
      <c r="ODU1" s="1"/>
      <c r="ODV1" s="1"/>
      <c r="ODW1" s="1"/>
      <c r="ODX1" s="1"/>
      <c r="ODY1" s="1"/>
      <c r="ODZ1" s="1"/>
      <c r="OEA1" s="1"/>
      <c r="OEB1" s="1"/>
      <c r="OEC1" s="1"/>
      <c r="OED1" s="1"/>
      <c r="OEE1" s="1"/>
      <c r="OEF1" s="1"/>
      <c r="OEG1" s="1"/>
      <c r="OEH1" s="1"/>
      <c r="OEI1" s="1"/>
      <c r="OEJ1" s="1"/>
      <c r="OEK1" s="1"/>
      <c r="OEL1" s="1"/>
      <c r="OEM1" s="1"/>
      <c r="OEN1" s="1"/>
      <c r="OEO1" s="1"/>
      <c r="OEP1" s="1"/>
      <c r="OEQ1" s="1"/>
      <c r="OER1" s="1"/>
      <c r="OES1" s="1"/>
      <c r="OET1" s="1"/>
      <c r="OEU1" s="1"/>
      <c r="OEV1" s="1"/>
      <c r="OEW1" s="1"/>
      <c r="OEX1" s="1"/>
      <c r="OEY1" s="1"/>
      <c r="OEZ1" s="1"/>
      <c r="OFA1" s="1"/>
      <c r="OFB1" s="1"/>
      <c r="OFC1" s="1"/>
      <c r="OFD1" s="1"/>
      <c r="OFE1" s="1"/>
      <c r="OFF1" s="1"/>
      <c r="OFG1" s="1"/>
      <c r="OFH1" s="1"/>
      <c r="OFI1" s="1"/>
      <c r="OFJ1" s="1"/>
      <c r="OFK1" s="1"/>
      <c r="OFL1" s="1"/>
      <c r="OFM1" s="1"/>
      <c r="OFN1" s="1"/>
      <c r="OFO1" s="1"/>
      <c r="OFP1" s="1"/>
      <c r="OFQ1" s="1"/>
      <c r="OFR1" s="1"/>
      <c r="OFS1" s="1"/>
      <c r="OFT1" s="1"/>
      <c r="OFU1" s="1"/>
      <c r="OFV1" s="1"/>
      <c r="OFW1" s="1"/>
      <c r="OFX1" s="1"/>
      <c r="OFY1" s="1"/>
      <c r="OFZ1" s="1"/>
      <c r="OGA1" s="1"/>
      <c r="OGB1" s="1"/>
      <c r="OGC1" s="1"/>
      <c r="OGD1" s="1"/>
      <c r="OGE1" s="1"/>
      <c r="OGF1" s="1"/>
      <c r="OGG1" s="1"/>
      <c r="OGH1" s="1"/>
      <c r="OGI1" s="1"/>
      <c r="OGJ1" s="1"/>
      <c r="OGK1" s="1"/>
      <c r="OGL1" s="1"/>
      <c r="OGM1" s="1"/>
      <c r="OGN1" s="1"/>
      <c r="OGO1" s="1"/>
      <c r="OGP1" s="1"/>
      <c r="OGQ1" s="1"/>
      <c r="OGR1" s="1"/>
      <c r="OGS1" s="1"/>
      <c r="OGT1" s="1"/>
      <c r="OGU1" s="1"/>
      <c r="OGV1" s="1"/>
      <c r="OGW1" s="1"/>
      <c r="OGX1" s="1"/>
      <c r="OGY1" s="1"/>
      <c r="OGZ1" s="1"/>
      <c r="OHA1" s="1"/>
      <c r="OHB1" s="1"/>
      <c r="OHC1" s="1"/>
      <c r="OHD1" s="1"/>
      <c r="OHE1" s="1"/>
      <c r="OHF1" s="1"/>
      <c r="OHG1" s="1"/>
      <c r="OHH1" s="1"/>
      <c r="OHI1" s="1"/>
      <c r="OHJ1" s="1"/>
      <c r="OHK1" s="1"/>
      <c r="OHL1" s="1"/>
      <c r="OHM1" s="1"/>
      <c r="OHN1" s="1"/>
      <c r="OHO1" s="1"/>
      <c r="OHP1" s="1"/>
      <c r="OHQ1" s="1"/>
      <c r="OHR1" s="1"/>
      <c r="OHS1" s="1"/>
      <c r="OHT1" s="1"/>
      <c r="OHU1" s="1"/>
      <c r="OHV1" s="1"/>
      <c r="OHW1" s="1"/>
      <c r="OHX1" s="1"/>
      <c r="OHY1" s="1"/>
      <c r="OHZ1" s="1"/>
      <c r="OIA1" s="1"/>
      <c r="OIB1" s="1"/>
      <c r="OIC1" s="1"/>
      <c r="OID1" s="1"/>
      <c r="OIE1" s="1"/>
      <c r="OIF1" s="1"/>
      <c r="OIG1" s="1"/>
      <c r="OIH1" s="1"/>
      <c r="OII1" s="1"/>
      <c r="OIJ1" s="1"/>
      <c r="OIK1" s="1"/>
      <c r="OIL1" s="1"/>
      <c r="OIM1" s="1"/>
      <c r="OIN1" s="1"/>
      <c r="OIO1" s="1"/>
      <c r="OIP1" s="1"/>
      <c r="OIQ1" s="1"/>
      <c r="OIR1" s="1"/>
      <c r="OIS1" s="1"/>
      <c r="OIT1" s="1"/>
      <c r="OIU1" s="1"/>
      <c r="OIV1" s="1"/>
      <c r="OIW1" s="1"/>
      <c r="OIX1" s="1"/>
      <c r="OIY1" s="1"/>
      <c r="OIZ1" s="1"/>
      <c r="OJA1" s="1"/>
      <c r="OJB1" s="1"/>
      <c r="OJC1" s="1"/>
      <c r="OJD1" s="1"/>
      <c r="OJE1" s="1"/>
      <c r="OJF1" s="1"/>
      <c r="OJG1" s="1"/>
      <c r="OJH1" s="1"/>
      <c r="OJI1" s="1"/>
      <c r="OJJ1" s="1"/>
      <c r="OJK1" s="1"/>
      <c r="OJL1" s="1"/>
      <c r="OJM1" s="1"/>
      <c r="OJN1" s="1"/>
      <c r="OJO1" s="1"/>
      <c r="OJP1" s="1"/>
      <c r="OJQ1" s="1"/>
      <c r="OJR1" s="1"/>
      <c r="OJS1" s="1"/>
      <c r="OJT1" s="1"/>
      <c r="OJU1" s="1"/>
      <c r="OJV1" s="1"/>
      <c r="OJW1" s="1"/>
      <c r="OJX1" s="1"/>
      <c r="OJY1" s="1"/>
      <c r="OJZ1" s="1"/>
      <c r="OKA1" s="1"/>
      <c r="OKB1" s="1"/>
      <c r="OKC1" s="1"/>
      <c r="OKD1" s="1"/>
      <c r="OKE1" s="1"/>
      <c r="OKF1" s="1"/>
      <c r="OKG1" s="1"/>
      <c r="OKH1" s="1"/>
      <c r="OKI1" s="1"/>
      <c r="OKJ1" s="1"/>
      <c r="OKK1" s="1"/>
      <c r="OKL1" s="1"/>
      <c r="OKM1" s="1"/>
      <c r="OKN1" s="1"/>
      <c r="OKO1" s="1"/>
      <c r="OKP1" s="1"/>
      <c r="OKQ1" s="1"/>
      <c r="OKR1" s="1"/>
      <c r="OKS1" s="1"/>
      <c r="OKT1" s="1"/>
      <c r="OKU1" s="1"/>
      <c r="OKV1" s="1"/>
      <c r="OKW1" s="1"/>
      <c r="OKX1" s="1"/>
      <c r="OKY1" s="1"/>
      <c r="OKZ1" s="1"/>
      <c r="OLA1" s="1"/>
      <c r="OLB1" s="1"/>
      <c r="OLC1" s="1"/>
      <c r="OLD1" s="1"/>
      <c r="OLE1" s="1"/>
      <c r="OLF1" s="1"/>
      <c r="OLG1" s="1"/>
      <c r="OLH1" s="1"/>
      <c r="OLI1" s="1"/>
      <c r="OLJ1" s="1"/>
      <c r="OLK1" s="1"/>
      <c r="OLL1" s="1"/>
      <c r="OLM1" s="1"/>
      <c r="OLN1" s="1"/>
      <c r="OLO1" s="1"/>
      <c r="OLP1" s="1"/>
      <c r="OLQ1" s="1"/>
      <c r="OLR1" s="1"/>
      <c r="OLS1" s="1"/>
      <c r="OLT1" s="1"/>
      <c r="OLU1" s="1"/>
      <c r="OLV1" s="1"/>
      <c r="OLW1" s="1"/>
      <c r="OLX1" s="1"/>
      <c r="OLY1" s="1"/>
      <c r="OLZ1" s="1"/>
      <c r="OMA1" s="1"/>
      <c r="OMB1" s="1"/>
      <c r="OMC1" s="1"/>
      <c r="OMD1" s="1"/>
      <c r="OME1" s="1"/>
      <c r="OMF1" s="1"/>
      <c r="OMG1" s="1"/>
      <c r="OMH1" s="1"/>
      <c r="OMI1" s="1"/>
      <c r="OMJ1" s="1"/>
      <c r="OMK1" s="1"/>
      <c r="OML1" s="1"/>
      <c r="OMM1" s="1"/>
      <c r="OMN1" s="1"/>
      <c r="OMO1" s="1"/>
      <c r="OMP1" s="1"/>
      <c r="OMQ1" s="1"/>
      <c r="OMR1" s="1"/>
      <c r="OMS1" s="1"/>
      <c r="OMT1" s="1"/>
      <c r="OMU1" s="1"/>
      <c r="OMV1" s="1"/>
      <c r="OMW1" s="1"/>
      <c r="OMX1" s="1"/>
      <c r="OMY1" s="1"/>
      <c r="OMZ1" s="1"/>
      <c r="ONA1" s="1"/>
      <c r="ONB1" s="1"/>
      <c r="ONC1" s="1"/>
      <c r="OND1" s="1"/>
      <c r="ONE1" s="1"/>
      <c r="ONF1" s="1"/>
      <c r="ONG1" s="1"/>
      <c r="ONH1" s="1"/>
      <c r="ONI1" s="1"/>
      <c r="ONJ1" s="1"/>
      <c r="ONK1" s="1"/>
      <c r="ONL1" s="1"/>
      <c r="ONM1" s="1"/>
      <c r="ONN1" s="1"/>
      <c r="ONO1" s="1"/>
      <c r="ONP1" s="1"/>
      <c r="ONQ1" s="1"/>
      <c r="ONR1" s="1"/>
      <c r="ONS1" s="1"/>
      <c r="ONT1" s="1"/>
      <c r="ONU1" s="1"/>
      <c r="ONV1" s="1"/>
      <c r="ONW1" s="1"/>
      <c r="ONX1" s="1"/>
      <c r="ONY1" s="1"/>
      <c r="ONZ1" s="1"/>
      <c r="OOA1" s="1"/>
      <c r="OOB1" s="1"/>
      <c r="OOC1" s="1"/>
      <c r="OOD1" s="1"/>
      <c r="OOE1" s="1"/>
      <c r="OOF1" s="1"/>
      <c r="OOG1" s="1"/>
      <c r="OOH1" s="1"/>
      <c r="OOI1" s="1"/>
      <c r="OOJ1" s="1"/>
      <c r="OOK1" s="1"/>
      <c r="OOL1" s="1"/>
      <c r="OOM1" s="1"/>
      <c r="OON1" s="1"/>
      <c r="OOO1" s="1"/>
      <c r="OOP1" s="1"/>
      <c r="OOQ1" s="1"/>
      <c r="OOR1" s="1"/>
      <c r="OOS1" s="1"/>
      <c r="OOT1" s="1"/>
      <c r="OOU1" s="1"/>
      <c r="OOV1" s="1"/>
      <c r="OOW1" s="1"/>
      <c r="OOX1" s="1"/>
      <c r="OOY1" s="1"/>
      <c r="OOZ1" s="1"/>
      <c r="OPA1" s="1"/>
      <c r="OPB1" s="1"/>
      <c r="OPC1" s="1"/>
      <c r="OPD1" s="1"/>
      <c r="OPE1" s="1"/>
      <c r="OPF1" s="1"/>
      <c r="OPG1" s="1"/>
      <c r="OPH1" s="1"/>
      <c r="OPI1" s="1"/>
      <c r="OPJ1" s="1"/>
      <c r="OPK1" s="1"/>
      <c r="OPL1" s="1"/>
      <c r="OPM1" s="1"/>
      <c r="OPN1" s="1"/>
      <c r="OPO1" s="1"/>
      <c r="OPP1" s="1"/>
      <c r="OPQ1" s="1"/>
      <c r="OPR1" s="1"/>
      <c r="OPS1" s="1"/>
      <c r="OPT1" s="1"/>
      <c r="OPU1" s="1"/>
      <c r="OPV1" s="1"/>
      <c r="OPW1" s="1"/>
      <c r="OPX1" s="1"/>
      <c r="OPY1" s="1"/>
      <c r="OPZ1" s="1"/>
      <c r="OQA1" s="1"/>
      <c r="OQB1" s="1"/>
      <c r="OQC1" s="1"/>
      <c r="OQD1" s="1"/>
      <c r="OQE1" s="1"/>
      <c r="OQF1" s="1"/>
      <c r="OQG1" s="1"/>
      <c r="OQH1" s="1"/>
      <c r="OQI1" s="1"/>
      <c r="OQJ1" s="1"/>
      <c r="OQK1" s="1"/>
      <c r="OQL1" s="1"/>
      <c r="OQM1" s="1"/>
      <c r="OQN1" s="1"/>
      <c r="OQO1" s="1"/>
      <c r="OQP1" s="1"/>
      <c r="OQQ1" s="1"/>
      <c r="OQR1" s="1"/>
      <c r="OQS1" s="1"/>
      <c r="OQT1" s="1"/>
      <c r="OQU1" s="1"/>
      <c r="OQV1" s="1"/>
      <c r="OQW1" s="1"/>
      <c r="OQX1" s="1"/>
      <c r="OQY1" s="1"/>
      <c r="OQZ1" s="1"/>
      <c r="ORA1" s="1"/>
      <c r="ORB1" s="1"/>
      <c r="ORC1" s="1"/>
      <c r="ORD1" s="1"/>
      <c r="ORE1" s="1"/>
      <c r="ORF1" s="1"/>
      <c r="ORG1" s="1"/>
      <c r="ORH1" s="1"/>
      <c r="ORI1" s="1"/>
      <c r="ORJ1" s="1"/>
      <c r="ORK1" s="1"/>
      <c r="ORL1" s="1"/>
      <c r="ORM1" s="1"/>
      <c r="ORN1" s="1"/>
      <c r="ORO1" s="1"/>
      <c r="ORP1" s="1"/>
      <c r="ORQ1" s="1"/>
      <c r="ORR1" s="1"/>
      <c r="ORS1" s="1"/>
      <c r="ORT1" s="1"/>
      <c r="ORU1" s="1"/>
      <c r="ORV1" s="1"/>
      <c r="ORW1" s="1"/>
      <c r="ORX1" s="1"/>
      <c r="ORY1" s="1"/>
      <c r="ORZ1" s="1"/>
      <c r="OSA1" s="1"/>
      <c r="OSB1" s="1"/>
      <c r="OSC1" s="1"/>
      <c r="OSD1" s="1"/>
      <c r="OSE1" s="1"/>
      <c r="OSF1" s="1"/>
      <c r="OSG1" s="1"/>
      <c r="OSH1" s="1"/>
      <c r="OSI1" s="1"/>
      <c r="OSJ1" s="1"/>
      <c r="OSK1" s="1"/>
      <c r="OSL1" s="1"/>
      <c r="OSM1" s="1"/>
      <c r="OSN1" s="1"/>
      <c r="OSO1" s="1"/>
      <c r="OSP1" s="1"/>
      <c r="OSQ1" s="1"/>
      <c r="OSR1" s="1"/>
      <c r="OSS1" s="1"/>
      <c r="OST1" s="1"/>
      <c r="OSU1" s="1"/>
      <c r="OSV1" s="1"/>
      <c r="OSW1" s="1"/>
      <c r="OSX1" s="1"/>
      <c r="OSY1" s="1"/>
      <c r="OSZ1" s="1"/>
      <c r="OTA1" s="1"/>
      <c r="OTB1" s="1"/>
      <c r="OTC1" s="1"/>
      <c r="OTD1" s="1"/>
      <c r="OTE1" s="1"/>
      <c r="OTF1" s="1"/>
      <c r="OTG1" s="1"/>
      <c r="OTH1" s="1"/>
      <c r="OTI1" s="1"/>
      <c r="OTJ1" s="1"/>
      <c r="OTK1" s="1"/>
      <c r="OTL1" s="1"/>
      <c r="OTM1" s="1"/>
      <c r="OTN1" s="1"/>
      <c r="OTO1" s="1"/>
      <c r="OTP1" s="1"/>
      <c r="OTQ1" s="1"/>
      <c r="OTR1" s="1"/>
      <c r="OTS1" s="1"/>
      <c r="OTT1" s="1"/>
      <c r="OTU1" s="1"/>
      <c r="OTV1" s="1"/>
      <c r="OTW1" s="1"/>
      <c r="OTX1" s="1"/>
      <c r="OTY1" s="1"/>
      <c r="OTZ1" s="1"/>
      <c r="OUA1" s="1"/>
      <c r="OUB1" s="1"/>
      <c r="OUC1" s="1"/>
      <c r="OUD1" s="1"/>
      <c r="OUE1" s="1"/>
      <c r="OUF1" s="1"/>
      <c r="OUG1" s="1"/>
      <c r="OUH1" s="1"/>
      <c r="OUI1" s="1"/>
      <c r="OUJ1" s="1"/>
      <c r="OUK1" s="1"/>
      <c r="OUL1" s="1"/>
      <c r="OUM1" s="1"/>
      <c r="OUN1" s="1"/>
      <c r="OUO1" s="1"/>
      <c r="OUP1" s="1"/>
      <c r="OUQ1" s="1"/>
      <c r="OUR1" s="1"/>
      <c r="OUS1" s="1"/>
      <c r="OUT1" s="1"/>
      <c r="OUU1" s="1"/>
      <c r="OUV1" s="1"/>
      <c r="OUW1" s="1"/>
      <c r="OUX1" s="1"/>
      <c r="OUY1" s="1"/>
      <c r="OUZ1" s="1"/>
      <c r="OVA1" s="1"/>
      <c r="OVB1" s="1"/>
      <c r="OVC1" s="1"/>
      <c r="OVD1" s="1"/>
      <c r="OVE1" s="1"/>
      <c r="OVF1" s="1"/>
      <c r="OVG1" s="1"/>
      <c r="OVH1" s="1"/>
      <c r="OVI1" s="1"/>
      <c r="OVJ1" s="1"/>
      <c r="OVK1" s="1"/>
      <c r="OVL1" s="1"/>
      <c r="OVM1" s="1"/>
      <c r="OVN1" s="1"/>
      <c r="OVO1" s="1"/>
      <c r="OVP1" s="1"/>
      <c r="OVQ1" s="1"/>
      <c r="OVR1" s="1"/>
      <c r="OVS1" s="1"/>
      <c r="OVT1" s="1"/>
      <c r="OVU1" s="1"/>
      <c r="OVV1" s="1"/>
      <c r="OVW1" s="1"/>
      <c r="OVX1" s="1"/>
      <c r="OVY1" s="1"/>
      <c r="OVZ1" s="1"/>
      <c r="OWA1" s="1"/>
      <c r="OWB1" s="1"/>
      <c r="OWC1" s="1"/>
      <c r="OWD1" s="1"/>
      <c r="OWE1" s="1"/>
      <c r="OWF1" s="1"/>
      <c r="OWG1" s="1"/>
      <c r="OWH1" s="1"/>
      <c r="OWI1" s="1"/>
      <c r="OWJ1" s="1"/>
      <c r="OWK1" s="1"/>
      <c r="OWL1" s="1"/>
      <c r="OWM1" s="1"/>
      <c r="OWN1" s="1"/>
      <c r="OWO1" s="1"/>
      <c r="OWP1" s="1"/>
      <c r="OWQ1" s="1"/>
      <c r="OWR1" s="1"/>
      <c r="OWS1" s="1"/>
      <c r="OWT1" s="1"/>
      <c r="OWU1" s="1"/>
      <c r="OWV1" s="1"/>
      <c r="OWW1" s="1"/>
      <c r="OWX1" s="1"/>
      <c r="OWY1" s="1"/>
      <c r="OWZ1" s="1"/>
      <c r="OXA1" s="1"/>
      <c r="OXB1" s="1"/>
      <c r="OXC1" s="1"/>
      <c r="OXD1" s="1"/>
      <c r="OXE1" s="1"/>
      <c r="OXF1" s="1"/>
      <c r="OXG1" s="1"/>
      <c r="OXH1" s="1"/>
      <c r="OXI1" s="1"/>
      <c r="OXJ1" s="1"/>
      <c r="OXK1" s="1"/>
      <c r="OXL1" s="1"/>
      <c r="OXM1" s="1"/>
      <c r="OXN1" s="1"/>
      <c r="OXO1" s="1"/>
      <c r="OXP1" s="1"/>
      <c r="OXQ1" s="1"/>
      <c r="OXR1" s="1"/>
      <c r="OXS1" s="1"/>
      <c r="OXT1" s="1"/>
      <c r="OXU1" s="1"/>
      <c r="OXV1" s="1"/>
      <c r="OXW1" s="1"/>
      <c r="OXX1" s="1"/>
      <c r="OXY1" s="1"/>
      <c r="OXZ1" s="1"/>
      <c r="OYA1" s="1"/>
      <c r="OYB1" s="1"/>
      <c r="OYC1" s="1"/>
      <c r="OYD1" s="1"/>
      <c r="OYE1" s="1"/>
      <c r="OYF1" s="1"/>
      <c r="OYG1" s="1"/>
      <c r="OYH1" s="1"/>
      <c r="OYI1" s="1"/>
      <c r="OYJ1" s="1"/>
      <c r="OYK1" s="1"/>
      <c r="OYL1" s="1"/>
      <c r="OYM1" s="1"/>
      <c r="OYN1" s="1"/>
      <c r="OYO1" s="1"/>
      <c r="OYP1" s="1"/>
      <c r="OYQ1" s="1"/>
      <c r="OYR1" s="1"/>
      <c r="OYS1" s="1"/>
      <c r="OYT1" s="1"/>
      <c r="OYU1" s="1"/>
      <c r="OYV1" s="1"/>
      <c r="OYW1" s="1"/>
      <c r="OYX1" s="1"/>
      <c r="OYY1" s="1"/>
      <c r="OYZ1" s="1"/>
      <c r="OZA1" s="1"/>
      <c r="OZB1" s="1"/>
      <c r="OZC1" s="1"/>
      <c r="OZD1" s="1"/>
      <c r="OZE1" s="1"/>
      <c r="OZF1" s="1"/>
      <c r="OZG1" s="1"/>
      <c r="OZH1" s="1"/>
      <c r="OZI1" s="1"/>
      <c r="OZJ1" s="1"/>
      <c r="OZK1" s="1"/>
      <c r="OZL1" s="1"/>
      <c r="OZM1" s="1"/>
      <c r="OZN1" s="1"/>
      <c r="OZO1" s="1"/>
      <c r="OZP1" s="1"/>
      <c r="OZQ1" s="1"/>
      <c r="OZR1" s="1"/>
      <c r="OZS1" s="1"/>
      <c r="OZT1" s="1"/>
      <c r="OZU1" s="1"/>
      <c r="OZV1" s="1"/>
      <c r="OZW1" s="1"/>
      <c r="OZX1" s="1"/>
      <c r="OZY1" s="1"/>
      <c r="OZZ1" s="1"/>
      <c r="PAA1" s="1"/>
      <c r="PAB1" s="1"/>
      <c r="PAC1" s="1"/>
      <c r="PAD1" s="1"/>
      <c r="PAE1" s="1"/>
      <c r="PAF1" s="1"/>
      <c r="PAG1" s="1"/>
      <c r="PAH1" s="1"/>
      <c r="PAI1" s="1"/>
      <c r="PAJ1" s="1"/>
      <c r="PAK1" s="1"/>
      <c r="PAL1" s="1"/>
      <c r="PAM1" s="1"/>
      <c r="PAN1" s="1"/>
      <c r="PAO1" s="1"/>
      <c r="PAP1" s="1"/>
      <c r="PAQ1" s="1"/>
      <c r="PAR1" s="1"/>
      <c r="PAS1" s="1"/>
      <c r="PAT1" s="1"/>
      <c r="PAU1" s="1"/>
      <c r="PAV1" s="1"/>
      <c r="PAW1" s="1"/>
      <c r="PAX1" s="1"/>
      <c r="PAY1" s="1"/>
      <c r="PAZ1" s="1"/>
      <c r="PBA1" s="1"/>
      <c r="PBB1" s="1"/>
      <c r="PBC1" s="1"/>
      <c r="PBD1" s="1"/>
      <c r="PBE1" s="1"/>
      <c r="PBF1" s="1"/>
      <c r="PBG1" s="1"/>
      <c r="PBH1" s="1"/>
      <c r="PBI1" s="1"/>
      <c r="PBJ1" s="1"/>
      <c r="PBK1" s="1"/>
      <c r="PBL1" s="1"/>
      <c r="PBM1" s="1"/>
      <c r="PBN1" s="1"/>
      <c r="PBO1" s="1"/>
      <c r="PBP1" s="1"/>
      <c r="PBQ1" s="1"/>
      <c r="PBR1" s="1"/>
      <c r="PBS1" s="1"/>
      <c r="PBT1" s="1"/>
      <c r="PBU1" s="1"/>
      <c r="PBV1" s="1"/>
      <c r="PBW1" s="1"/>
      <c r="PBX1" s="1"/>
      <c r="PBY1" s="1"/>
      <c r="PBZ1" s="1"/>
      <c r="PCA1" s="1"/>
      <c r="PCB1" s="1"/>
      <c r="PCC1" s="1"/>
      <c r="PCD1" s="1"/>
      <c r="PCE1" s="1"/>
      <c r="PCF1" s="1"/>
      <c r="PCG1" s="1"/>
      <c r="PCH1" s="1"/>
      <c r="PCI1" s="1"/>
      <c r="PCJ1" s="1"/>
      <c r="PCK1" s="1"/>
      <c r="PCL1" s="1"/>
      <c r="PCM1" s="1"/>
      <c r="PCN1" s="1"/>
      <c r="PCO1" s="1"/>
      <c r="PCP1" s="1"/>
      <c r="PCQ1" s="1"/>
      <c r="PCR1" s="1"/>
      <c r="PCS1" s="1"/>
      <c r="PCT1" s="1"/>
      <c r="PCU1" s="1"/>
      <c r="PCV1" s="1"/>
      <c r="PCW1" s="1"/>
      <c r="PCX1" s="1"/>
      <c r="PCY1" s="1"/>
      <c r="PCZ1" s="1"/>
      <c r="PDA1" s="1"/>
      <c r="PDB1" s="1"/>
      <c r="PDC1" s="1"/>
      <c r="PDD1" s="1"/>
      <c r="PDE1" s="1"/>
      <c r="PDF1" s="1"/>
      <c r="PDG1" s="1"/>
      <c r="PDH1" s="1"/>
      <c r="PDI1" s="1"/>
      <c r="PDJ1" s="1"/>
      <c r="PDK1" s="1"/>
      <c r="PDL1" s="1"/>
      <c r="PDM1" s="1"/>
      <c r="PDN1" s="1"/>
      <c r="PDO1" s="1"/>
      <c r="PDP1" s="1"/>
      <c r="PDQ1" s="1"/>
      <c r="PDR1" s="1"/>
      <c r="PDS1" s="1"/>
      <c r="PDT1" s="1"/>
      <c r="PDU1" s="1"/>
      <c r="PDV1" s="1"/>
      <c r="PDW1" s="1"/>
      <c r="PDX1" s="1"/>
      <c r="PDY1" s="1"/>
      <c r="PDZ1" s="1"/>
      <c r="PEA1" s="1"/>
      <c r="PEB1" s="1"/>
      <c r="PEC1" s="1"/>
      <c r="PED1" s="1"/>
      <c r="PEE1" s="1"/>
      <c r="PEF1" s="1"/>
      <c r="PEG1" s="1"/>
      <c r="PEH1" s="1"/>
      <c r="PEI1" s="1"/>
      <c r="PEJ1" s="1"/>
      <c r="PEK1" s="1"/>
      <c r="PEL1" s="1"/>
      <c r="PEM1" s="1"/>
      <c r="PEN1" s="1"/>
      <c r="PEO1" s="1"/>
      <c r="PEP1" s="1"/>
      <c r="PEQ1" s="1"/>
      <c r="PER1" s="1"/>
      <c r="PES1" s="1"/>
      <c r="PET1" s="1"/>
      <c r="PEU1" s="1"/>
      <c r="PEV1" s="1"/>
      <c r="PEW1" s="1"/>
      <c r="PEX1" s="1"/>
      <c r="PEY1" s="1"/>
      <c r="PEZ1" s="1"/>
      <c r="PFA1" s="1"/>
      <c r="PFB1" s="1"/>
      <c r="PFC1" s="1"/>
      <c r="PFD1" s="1"/>
      <c r="PFE1" s="1"/>
      <c r="PFF1" s="1"/>
      <c r="PFG1" s="1"/>
      <c r="PFH1" s="1"/>
      <c r="PFI1" s="1"/>
      <c r="PFJ1" s="1"/>
      <c r="PFK1" s="1"/>
      <c r="PFL1" s="1"/>
      <c r="PFM1" s="1"/>
      <c r="PFN1" s="1"/>
      <c r="PFO1" s="1"/>
      <c r="PFP1" s="1"/>
      <c r="PFQ1" s="1"/>
      <c r="PFR1" s="1"/>
      <c r="PFS1" s="1"/>
      <c r="PFT1" s="1"/>
      <c r="PFU1" s="1"/>
      <c r="PFV1" s="1"/>
      <c r="PFW1" s="1"/>
      <c r="PFX1" s="1"/>
      <c r="PFY1" s="1"/>
      <c r="PFZ1" s="1"/>
      <c r="PGA1" s="1"/>
      <c r="PGB1" s="1"/>
      <c r="PGC1" s="1"/>
      <c r="PGD1" s="1"/>
      <c r="PGE1" s="1"/>
      <c r="PGF1" s="1"/>
      <c r="PGG1" s="1"/>
      <c r="PGH1" s="1"/>
      <c r="PGI1" s="1"/>
      <c r="PGJ1" s="1"/>
      <c r="PGK1" s="1"/>
      <c r="PGL1" s="1"/>
      <c r="PGM1" s="1"/>
      <c r="PGN1" s="1"/>
      <c r="PGO1" s="1"/>
      <c r="PGP1" s="1"/>
      <c r="PGQ1" s="1"/>
      <c r="PGR1" s="1"/>
      <c r="PGS1" s="1"/>
      <c r="PGT1" s="1"/>
      <c r="PGU1" s="1"/>
      <c r="PGV1" s="1"/>
      <c r="PGW1" s="1"/>
      <c r="PGX1" s="1"/>
      <c r="PGY1" s="1"/>
      <c r="PGZ1" s="1"/>
      <c r="PHA1" s="1"/>
      <c r="PHB1" s="1"/>
      <c r="PHC1" s="1"/>
      <c r="PHD1" s="1"/>
      <c r="PHE1" s="1"/>
      <c r="PHF1" s="1"/>
      <c r="PHG1" s="1"/>
      <c r="PHH1" s="1"/>
      <c r="PHI1" s="1"/>
      <c r="PHJ1" s="1"/>
      <c r="PHK1" s="1"/>
      <c r="PHL1" s="1"/>
      <c r="PHM1" s="1"/>
      <c r="PHN1" s="1"/>
      <c r="PHO1" s="1"/>
      <c r="PHP1" s="1"/>
      <c r="PHQ1" s="1"/>
      <c r="PHR1" s="1"/>
      <c r="PHS1" s="1"/>
      <c r="PHT1" s="1"/>
      <c r="PHU1" s="1"/>
      <c r="PHV1" s="1"/>
      <c r="PHW1" s="1"/>
      <c r="PHX1" s="1"/>
      <c r="PHY1" s="1"/>
      <c r="PHZ1" s="1"/>
      <c r="PIA1" s="1"/>
      <c r="PIB1" s="1"/>
      <c r="PIC1" s="1"/>
      <c r="PID1" s="1"/>
      <c r="PIE1" s="1"/>
      <c r="PIF1" s="1"/>
      <c r="PIG1" s="1"/>
      <c r="PIH1" s="1"/>
      <c r="PII1" s="1"/>
      <c r="PIJ1" s="1"/>
      <c r="PIK1" s="1"/>
      <c r="PIL1" s="1"/>
      <c r="PIM1" s="1"/>
      <c r="PIN1" s="1"/>
      <c r="PIO1" s="1"/>
      <c r="PIP1" s="1"/>
      <c r="PIQ1" s="1"/>
      <c r="PIR1" s="1"/>
      <c r="PIS1" s="1"/>
      <c r="PIT1" s="1"/>
      <c r="PIU1" s="1"/>
      <c r="PIV1" s="1"/>
      <c r="PIW1" s="1"/>
      <c r="PIX1" s="1"/>
      <c r="PIY1" s="1"/>
      <c r="PIZ1" s="1"/>
      <c r="PJA1" s="1"/>
      <c r="PJB1" s="1"/>
      <c r="PJC1" s="1"/>
      <c r="PJD1" s="1"/>
      <c r="PJE1" s="1"/>
      <c r="PJF1" s="1"/>
      <c r="PJG1" s="1"/>
      <c r="PJH1" s="1"/>
      <c r="PJI1" s="1"/>
      <c r="PJJ1" s="1"/>
      <c r="PJK1" s="1"/>
      <c r="PJL1" s="1"/>
      <c r="PJM1" s="1"/>
      <c r="PJN1" s="1"/>
      <c r="PJO1" s="1"/>
      <c r="PJP1" s="1"/>
      <c r="PJQ1" s="1"/>
      <c r="PJR1" s="1"/>
      <c r="PJS1" s="1"/>
      <c r="PJT1" s="1"/>
      <c r="PJU1" s="1"/>
      <c r="PJV1" s="1"/>
      <c r="PJW1" s="1"/>
      <c r="PJX1" s="1"/>
      <c r="PJY1" s="1"/>
      <c r="PJZ1" s="1"/>
      <c r="PKA1" s="1"/>
      <c r="PKB1" s="1"/>
      <c r="PKC1" s="1"/>
      <c r="PKD1" s="1"/>
      <c r="PKE1" s="1"/>
      <c r="PKF1" s="1"/>
      <c r="PKG1" s="1"/>
      <c r="PKH1" s="1"/>
      <c r="PKI1" s="1"/>
      <c r="PKJ1" s="1"/>
      <c r="PKK1" s="1"/>
      <c r="PKL1" s="1"/>
      <c r="PKM1" s="1"/>
      <c r="PKN1" s="1"/>
      <c r="PKO1" s="1"/>
      <c r="PKP1" s="1"/>
      <c r="PKQ1" s="1"/>
      <c r="PKR1" s="1"/>
      <c r="PKS1" s="1"/>
      <c r="PKT1" s="1"/>
      <c r="PKU1" s="1"/>
      <c r="PKV1" s="1"/>
      <c r="PKW1" s="1"/>
      <c r="PKX1" s="1"/>
      <c r="PKY1" s="1"/>
      <c r="PKZ1" s="1"/>
      <c r="PLA1" s="1"/>
      <c r="PLB1" s="1"/>
      <c r="PLC1" s="1"/>
      <c r="PLD1" s="1"/>
      <c r="PLE1" s="1"/>
      <c r="PLF1" s="1"/>
      <c r="PLG1" s="1"/>
      <c r="PLH1" s="1"/>
      <c r="PLI1" s="1"/>
      <c r="PLJ1" s="1"/>
      <c r="PLK1" s="1"/>
      <c r="PLL1" s="1"/>
      <c r="PLM1" s="1"/>
      <c r="PLN1" s="1"/>
      <c r="PLO1" s="1"/>
      <c r="PLP1" s="1"/>
      <c r="PLQ1" s="1"/>
      <c r="PLR1" s="1"/>
      <c r="PLS1" s="1"/>
      <c r="PLT1" s="1"/>
      <c r="PLU1" s="1"/>
      <c r="PLV1" s="1"/>
      <c r="PLW1" s="1"/>
      <c r="PLX1" s="1"/>
      <c r="PLY1" s="1"/>
      <c r="PLZ1" s="1"/>
      <c r="PMA1" s="1"/>
      <c r="PMB1" s="1"/>
      <c r="PMC1" s="1"/>
      <c r="PMD1" s="1"/>
      <c r="PME1" s="1"/>
      <c r="PMF1" s="1"/>
      <c r="PMG1" s="1"/>
      <c r="PMH1" s="1"/>
      <c r="PMI1" s="1"/>
      <c r="PMJ1" s="1"/>
      <c r="PMK1" s="1"/>
      <c r="PML1" s="1"/>
      <c r="PMM1" s="1"/>
      <c r="PMN1" s="1"/>
      <c r="PMO1" s="1"/>
      <c r="PMP1" s="1"/>
      <c r="PMQ1" s="1"/>
      <c r="PMR1" s="1"/>
      <c r="PMS1" s="1"/>
      <c r="PMT1" s="1"/>
      <c r="PMU1" s="1"/>
      <c r="PMV1" s="1"/>
      <c r="PMW1" s="1"/>
      <c r="PMX1" s="1"/>
      <c r="PMY1" s="1"/>
      <c r="PMZ1" s="1"/>
      <c r="PNA1" s="1"/>
      <c r="PNB1" s="1"/>
      <c r="PNC1" s="1"/>
      <c r="PND1" s="1"/>
      <c r="PNE1" s="1"/>
      <c r="PNF1" s="1"/>
      <c r="PNG1" s="1"/>
      <c r="PNH1" s="1"/>
      <c r="PNI1" s="1"/>
      <c r="PNJ1" s="1"/>
      <c r="PNK1" s="1"/>
      <c r="PNL1" s="1"/>
      <c r="PNM1" s="1"/>
      <c r="PNN1" s="1"/>
      <c r="PNO1" s="1"/>
      <c r="PNP1" s="1"/>
      <c r="PNQ1" s="1"/>
      <c r="PNR1" s="1"/>
      <c r="PNS1" s="1"/>
      <c r="PNT1" s="1"/>
      <c r="PNU1" s="1"/>
      <c r="PNV1" s="1"/>
      <c r="PNW1" s="1"/>
      <c r="PNX1" s="1"/>
      <c r="PNY1" s="1"/>
      <c r="PNZ1" s="1"/>
      <c r="POA1" s="1"/>
      <c r="POB1" s="1"/>
      <c r="POC1" s="1"/>
      <c r="POD1" s="1"/>
      <c r="POE1" s="1"/>
      <c r="POF1" s="1"/>
      <c r="POG1" s="1"/>
      <c r="POH1" s="1"/>
      <c r="POI1" s="1"/>
      <c r="POJ1" s="1"/>
      <c r="POK1" s="1"/>
      <c r="POL1" s="1"/>
      <c r="POM1" s="1"/>
      <c r="PON1" s="1"/>
      <c r="POO1" s="1"/>
      <c r="POP1" s="1"/>
      <c r="POQ1" s="1"/>
      <c r="POR1" s="1"/>
      <c r="POS1" s="1"/>
      <c r="POT1" s="1"/>
      <c r="POU1" s="1"/>
      <c r="POV1" s="1"/>
      <c r="POW1" s="1"/>
      <c r="POX1" s="1"/>
      <c r="POY1" s="1"/>
      <c r="POZ1" s="1"/>
      <c r="PPA1" s="1"/>
      <c r="PPB1" s="1"/>
      <c r="PPC1" s="1"/>
      <c r="PPD1" s="1"/>
      <c r="PPE1" s="1"/>
      <c r="PPF1" s="1"/>
      <c r="PPG1" s="1"/>
      <c r="PPH1" s="1"/>
      <c r="PPI1" s="1"/>
      <c r="PPJ1" s="1"/>
      <c r="PPK1" s="1"/>
      <c r="PPL1" s="1"/>
      <c r="PPM1" s="1"/>
      <c r="PPN1" s="1"/>
      <c r="PPO1" s="1"/>
      <c r="PPP1" s="1"/>
      <c r="PPQ1" s="1"/>
      <c r="PPR1" s="1"/>
      <c r="PPS1" s="1"/>
      <c r="PPT1" s="1"/>
      <c r="PPU1" s="1"/>
      <c r="PPV1" s="1"/>
      <c r="PPW1" s="1"/>
      <c r="PPX1" s="1"/>
      <c r="PPY1" s="1"/>
      <c r="PPZ1" s="1"/>
      <c r="PQA1" s="1"/>
      <c r="PQB1" s="1"/>
      <c r="PQC1" s="1"/>
      <c r="PQD1" s="1"/>
      <c r="PQE1" s="1"/>
      <c r="PQF1" s="1"/>
      <c r="PQG1" s="1"/>
      <c r="PQH1" s="1"/>
      <c r="PQI1" s="1"/>
      <c r="PQJ1" s="1"/>
      <c r="PQK1" s="1"/>
      <c r="PQL1" s="1"/>
      <c r="PQM1" s="1"/>
      <c r="PQN1" s="1"/>
      <c r="PQO1" s="1"/>
      <c r="PQP1" s="1"/>
      <c r="PQQ1" s="1"/>
      <c r="PQR1" s="1"/>
      <c r="PQS1" s="1"/>
      <c r="PQT1" s="1"/>
      <c r="PQU1" s="1"/>
      <c r="PQV1" s="1"/>
      <c r="PQW1" s="1"/>
      <c r="PQX1" s="1"/>
      <c r="PQY1" s="1"/>
      <c r="PQZ1" s="1"/>
      <c r="PRA1" s="1"/>
      <c r="PRB1" s="1"/>
      <c r="PRC1" s="1"/>
      <c r="PRD1" s="1"/>
      <c r="PRE1" s="1"/>
      <c r="PRF1" s="1"/>
      <c r="PRG1" s="1"/>
      <c r="PRH1" s="1"/>
      <c r="PRI1" s="1"/>
      <c r="PRJ1" s="1"/>
      <c r="PRK1" s="1"/>
      <c r="PRL1" s="1"/>
      <c r="PRM1" s="1"/>
      <c r="PRN1" s="1"/>
      <c r="PRO1" s="1"/>
      <c r="PRP1" s="1"/>
      <c r="PRQ1" s="1"/>
      <c r="PRR1" s="1"/>
      <c r="PRS1" s="1"/>
      <c r="PRT1" s="1"/>
      <c r="PRU1" s="1"/>
      <c r="PRV1" s="1"/>
      <c r="PRW1" s="1"/>
      <c r="PRX1" s="1"/>
      <c r="PRY1" s="1"/>
      <c r="PRZ1" s="1"/>
      <c r="PSA1" s="1"/>
      <c r="PSB1" s="1"/>
      <c r="PSC1" s="1"/>
      <c r="PSD1" s="1"/>
      <c r="PSE1" s="1"/>
      <c r="PSF1" s="1"/>
      <c r="PSG1" s="1"/>
      <c r="PSH1" s="1"/>
      <c r="PSI1" s="1"/>
      <c r="PSJ1" s="1"/>
      <c r="PSK1" s="1"/>
      <c r="PSL1" s="1"/>
      <c r="PSM1" s="1"/>
      <c r="PSN1" s="1"/>
      <c r="PSO1" s="1"/>
      <c r="PSP1" s="1"/>
      <c r="PSQ1" s="1"/>
      <c r="PSR1" s="1"/>
      <c r="PSS1" s="1"/>
      <c r="PST1" s="1"/>
      <c r="PSU1" s="1"/>
      <c r="PSV1" s="1"/>
      <c r="PSW1" s="1"/>
      <c r="PSX1" s="1"/>
      <c r="PSY1" s="1"/>
      <c r="PSZ1" s="1"/>
      <c r="PTA1" s="1"/>
      <c r="PTB1" s="1"/>
      <c r="PTC1" s="1"/>
      <c r="PTD1" s="1"/>
      <c r="PTE1" s="1"/>
      <c r="PTF1" s="1"/>
      <c r="PTG1" s="1"/>
      <c r="PTH1" s="1"/>
      <c r="PTI1" s="1"/>
      <c r="PTJ1" s="1"/>
      <c r="PTK1" s="1"/>
      <c r="PTL1" s="1"/>
      <c r="PTM1" s="1"/>
      <c r="PTN1" s="1"/>
      <c r="PTO1" s="1"/>
      <c r="PTP1" s="1"/>
      <c r="PTQ1" s="1"/>
      <c r="PTR1" s="1"/>
      <c r="PTS1" s="1"/>
      <c r="PTT1" s="1"/>
      <c r="PTU1" s="1"/>
      <c r="PTV1" s="1"/>
      <c r="PTW1" s="1"/>
      <c r="PTX1" s="1"/>
      <c r="PTY1" s="1"/>
      <c r="PTZ1" s="1"/>
      <c r="PUA1" s="1"/>
      <c r="PUB1" s="1"/>
      <c r="PUC1" s="1"/>
      <c r="PUD1" s="1"/>
      <c r="PUE1" s="1"/>
      <c r="PUF1" s="1"/>
      <c r="PUG1" s="1"/>
      <c r="PUH1" s="1"/>
      <c r="PUI1" s="1"/>
      <c r="PUJ1" s="1"/>
      <c r="PUK1" s="1"/>
      <c r="PUL1" s="1"/>
      <c r="PUM1" s="1"/>
      <c r="PUN1" s="1"/>
      <c r="PUO1" s="1"/>
      <c r="PUP1" s="1"/>
      <c r="PUQ1" s="1"/>
      <c r="PUR1" s="1"/>
      <c r="PUS1" s="1"/>
      <c r="PUT1" s="1"/>
      <c r="PUU1" s="1"/>
      <c r="PUV1" s="1"/>
      <c r="PUW1" s="1"/>
      <c r="PUX1" s="1"/>
      <c r="PUY1" s="1"/>
      <c r="PUZ1" s="1"/>
      <c r="PVA1" s="1"/>
      <c r="PVB1" s="1"/>
      <c r="PVC1" s="1"/>
      <c r="PVD1" s="1"/>
      <c r="PVE1" s="1"/>
      <c r="PVF1" s="1"/>
      <c r="PVG1" s="1"/>
      <c r="PVH1" s="1"/>
      <c r="PVI1" s="1"/>
      <c r="PVJ1" s="1"/>
      <c r="PVK1" s="1"/>
      <c r="PVL1" s="1"/>
      <c r="PVM1" s="1"/>
      <c r="PVN1" s="1"/>
      <c r="PVO1" s="1"/>
      <c r="PVP1" s="1"/>
      <c r="PVQ1" s="1"/>
      <c r="PVR1" s="1"/>
      <c r="PVS1" s="1"/>
      <c r="PVT1" s="1"/>
      <c r="PVU1" s="1"/>
      <c r="PVV1" s="1"/>
      <c r="PVW1" s="1"/>
      <c r="PVX1" s="1"/>
      <c r="PVY1" s="1"/>
      <c r="PVZ1" s="1"/>
      <c r="PWA1" s="1"/>
      <c r="PWB1" s="1"/>
      <c r="PWC1" s="1"/>
      <c r="PWD1" s="1"/>
      <c r="PWE1" s="1"/>
      <c r="PWF1" s="1"/>
      <c r="PWG1" s="1"/>
      <c r="PWH1" s="1"/>
      <c r="PWI1" s="1"/>
      <c r="PWJ1" s="1"/>
      <c r="PWK1" s="1"/>
      <c r="PWL1" s="1"/>
      <c r="PWM1" s="1"/>
      <c r="PWN1" s="1"/>
      <c r="PWO1" s="1"/>
      <c r="PWP1" s="1"/>
      <c r="PWQ1" s="1"/>
      <c r="PWR1" s="1"/>
      <c r="PWS1" s="1"/>
      <c r="PWT1" s="1"/>
      <c r="PWU1" s="1"/>
      <c r="PWV1" s="1"/>
      <c r="PWW1" s="1"/>
      <c r="PWX1" s="1"/>
      <c r="PWY1" s="1"/>
      <c r="PWZ1" s="1"/>
      <c r="PXA1" s="1"/>
      <c r="PXB1" s="1"/>
      <c r="PXC1" s="1"/>
      <c r="PXD1" s="1"/>
      <c r="PXE1" s="1"/>
      <c r="PXF1" s="1"/>
      <c r="PXG1" s="1"/>
      <c r="PXH1" s="1"/>
      <c r="PXI1" s="1"/>
      <c r="PXJ1" s="1"/>
      <c r="PXK1" s="1"/>
      <c r="PXL1" s="1"/>
      <c r="PXM1" s="1"/>
      <c r="PXN1" s="1"/>
      <c r="PXO1" s="1"/>
      <c r="PXP1" s="1"/>
      <c r="PXQ1" s="1"/>
      <c r="PXR1" s="1"/>
      <c r="PXS1" s="1"/>
      <c r="PXT1" s="1"/>
      <c r="PXU1" s="1"/>
      <c r="PXV1" s="1"/>
      <c r="PXW1" s="1"/>
      <c r="PXX1" s="1"/>
      <c r="PXY1" s="1"/>
      <c r="PXZ1" s="1"/>
      <c r="PYA1" s="1"/>
      <c r="PYB1" s="1"/>
      <c r="PYC1" s="1"/>
      <c r="PYD1" s="1"/>
      <c r="PYE1" s="1"/>
      <c r="PYF1" s="1"/>
      <c r="PYG1" s="1"/>
      <c r="PYH1" s="1"/>
      <c r="PYI1" s="1"/>
      <c r="PYJ1" s="1"/>
      <c r="PYK1" s="1"/>
      <c r="PYL1" s="1"/>
      <c r="PYM1" s="1"/>
      <c r="PYN1" s="1"/>
      <c r="PYO1" s="1"/>
      <c r="PYP1" s="1"/>
      <c r="PYQ1" s="1"/>
      <c r="PYR1" s="1"/>
      <c r="PYS1" s="1"/>
      <c r="PYT1" s="1"/>
      <c r="PYU1" s="1"/>
      <c r="PYV1" s="1"/>
      <c r="PYW1" s="1"/>
      <c r="PYX1" s="1"/>
      <c r="PYY1" s="1"/>
      <c r="PYZ1" s="1"/>
      <c r="PZA1" s="1"/>
      <c r="PZB1" s="1"/>
      <c r="PZC1" s="1"/>
      <c r="PZD1" s="1"/>
      <c r="PZE1" s="1"/>
      <c r="PZF1" s="1"/>
      <c r="PZG1" s="1"/>
      <c r="PZH1" s="1"/>
      <c r="PZI1" s="1"/>
      <c r="PZJ1" s="1"/>
      <c r="PZK1" s="1"/>
      <c r="PZL1" s="1"/>
      <c r="PZM1" s="1"/>
      <c r="PZN1" s="1"/>
      <c r="PZO1" s="1"/>
      <c r="PZP1" s="1"/>
      <c r="PZQ1" s="1"/>
      <c r="PZR1" s="1"/>
      <c r="PZS1" s="1"/>
      <c r="PZT1" s="1"/>
      <c r="PZU1" s="1"/>
      <c r="PZV1" s="1"/>
      <c r="PZW1" s="1"/>
      <c r="PZX1" s="1"/>
      <c r="PZY1" s="1"/>
      <c r="PZZ1" s="1"/>
      <c r="QAA1" s="1"/>
      <c r="QAB1" s="1"/>
      <c r="QAC1" s="1"/>
      <c r="QAD1" s="1"/>
      <c r="QAE1" s="1"/>
      <c r="QAF1" s="1"/>
      <c r="QAG1" s="1"/>
      <c r="QAH1" s="1"/>
      <c r="QAI1" s="1"/>
      <c r="QAJ1" s="1"/>
      <c r="QAK1" s="1"/>
      <c r="QAL1" s="1"/>
      <c r="QAM1" s="1"/>
      <c r="QAN1" s="1"/>
      <c r="QAO1" s="1"/>
      <c r="QAP1" s="1"/>
      <c r="QAQ1" s="1"/>
      <c r="QAR1" s="1"/>
      <c r="QAS1" s="1"/>
      <c r="QAT1" s="1"/>
      <c r="QAU1" s="1"/>
      <c r="QAV1" s="1"/>
      <c r="QAW1" s="1"/>
      <c r="QAX1" s="1"/>
      <c r="QAY1" s="1"/>
      <c r="QAZ1" s="1"/>
      <c r="QBA1" s="1"/>
      <c r="QBB1" s="1"/>
      <c r="QBC1" s="1"/>
      <c r="QBD1" s="1"/>
      <c r="QBE1" s="1"/>
      <c r="QBF1" s="1"/>
      <c r="QBG1" s="1"/>
      <c r="QBH1" s="1"/>
      <c r="QBI1" s="1"/>
      <c r="QBJ1" s="1"/>
      <c r="QBK1" s="1"/>
      <c r="QBL1" s="1"/>
      <c r="QBM1" s="1"/>
      <c r="QBN1" s="1"/>
      <c r="QBO1" s="1"/>
      <c r="QBP1" s="1"/>
      <c r="QBQ1" s="1"/>
      <c r="QBR1" s="1"/>
      <c r="QBS1" s="1"/>
      <c r="QBT1" s="1"/>
      <c r="QBU1" s="1"/>
      <c r="QBV1" s="1"/>
      <c r="QBW1" s="1"/>
      <c r="QBX1" s="1"/>
      <c r="QBY1" s="1"/>
      <c r="QBZ1" s="1"/>
      <c r="QCA1" s="1"/>
      <c r="QCB1" s="1"/>
      <c r="QCC1" s="1"/>
      <c r="QCD1" s="1"/>
      <c r="QCE1" s="1"/>
      <c r="QCF1" s="1"/>
      <c r="QCG1" s="1"/>
      <c r="QCH1" s="1"/>
      <c r="QCI1" s="1"/>
      <c r="QCJ1" s="1"/>
      <c r="QCK1" s="1"/>
      <c r="QCL1" s="1"/>
      <c r="QCM1" s="1"/>
      <c r="QCN1" s="1"/>
      <c r="QCO1" s="1"/>
      <c r="QCP1" s="1"/>
      <c r="QCQ1" s="1"/>
      <c r="QCR1" s="1"/>
      <c r="QCS1" s="1"/>
      <c r="QCT1" s="1"/>
      <c r="QCU1" s="1"/>
      <c r="QCV1" s="1"/>
      <c r="QCW1" s="1"/>
      <c r="QCX1" s="1"/>
      <c r="QCY1" s="1"/>
      <c r="QCZ1" s="1"/>
      <c r="QDA1" s="1"/>
      <c r="QDB1" s="1"/>
      <c r="QDC1" s="1"/>
      <c r="QDD1" s="1"/>
      <c r="QDE1" s="1"/>
      <c r="QDF1" s="1"/>
      <c r="QDG1" s="1"/>
      <c r="QDH1" s="1"/>
      <c r="QDI1" s="1"/>
      <c r="QDJ1" s="1"/>
      <c r="QDK1" s="1"/>
      <c r="QDL1" s="1"/>
      <c r="QDM1" s="1"/>
      <c r="QDN1" s="1"/>
      <c r="QDO1" s="1"/>
      <c r="QDP1" s="1"/>
      <c r="QDQ1" s="1"/>
      <c r="QDR1" s="1"/>
      <c r="QDS1" s="1"/>
      <c r="QDT1" s="1"/>
      <c r="QDU1" s="1"/>
      <c r="QDV1" s="1"/>
      <c r="QDW1" s="1"/>
      <c r="QDX1" s="1"/>
      <c r="QDY1" s="1"/>
      <c r="QDZ1" s="1"/>
      <c r="QEA1" s="1"/>
      <c r="QEB1" s="1"/>
      <c r="QEC1" s="1"/>
      <c r="QED1" s="1"/>
      <c r="QEE1" s="1"/>
      <c r="QEF1" s="1"/>
      <c r="QEG1" s="1"/>
      <c r="QEH1" s="1"/>
      <c r="QEI1" s="1"/>
      <c r="QEJ1" s="1"/>
      <c r="QEK1" s="1"/>
      <c r="QEL1" s="1"/>
      <c r="QEM1" s="1"/>
      <c r="QEN1" s="1"/>
      <c r="QEO1" s="1"/>
      <c r="QEP1" s="1"/>
      <c r="QEQ1" s="1"/>
      <c r="QER1" s="1"/>
      <c r="QES1" s="1"/>
      <c r="QET1" s="1"/>
      <c r="QEU1" s="1"/>
      <c r="QEV1" s="1"/>
      <c r="QEW1" s="1"/>
      <c r="QEX1" s="1"/>
      <c r="QEY1" s="1"/>
      <c r="QEZ1" s="1"/>
      <c r="QFA1" s="1"/>
      <c r="QFB1" s="1"/>
      <c r="QFC1" s="1"/>
      <c r="QFD1" s="1"/>
      <c r="QFE1" s="1"/>
      <c r="QFF1" s="1"/>
      <c r="QFG1" s="1"/>
      <c r="QFH1" s="1"/>
      <c r="QFI1" s="1"/>
      <c r="QFJ1" s="1"/>
      <c r="QFK1" s="1"/>
      <c r="QFL1" s="1"/>
      <c r="QFM1" s="1"/>
      <c r="QFN1" s="1"/>
      <c r="QFO1" s="1"/>
      <c r="QFP1" s="1"/>
      <c r="QFQ1" s="1"/>
      <c r="QFR1" s="1"/>
      <c r="QFS1" s="1"/>
      <c r="QFT1" s="1"/>
      <c r="QFU1" s="1"/>
      <c r="QFV1" s="1"/>
      <c r="QFW1" s="1"/>
      <c r="QFX1" s="1"/>
      <c r="QFY1" s="1"/>
      <c r="QFZ1" s="1"/>
      <c r="QGA1" s="1"/>
      <c r="QGB1" s="1"/>
      <c r="QGC1" s="1"/>
      <c r="QGD1" s="1"/>
      <c r="QGE1" s="1"/>
      <c r="QGF1" s="1"/>
      <c r="QGG1" s="1"/>
      <c r="QGH1" s="1"/>
      <c r="QGI1" s="1"/>
      <c r="QGJ1" s="1"/>
      <c r="QGK1" s="1"/>
      <c r="QGL1" s="1"/>
      <c r="QGM1" s="1"/>
      <c r="QGN1" s="1"/>
      <c r="QGO1" s="1"/>
      <c r="QGP1" s="1"/>
      <c r="QGQ1" s="1"/>
      <c r="QGR1" s="1"/>
      <c r="QGS1" s="1"/>
      <c r="QGT1" s="1"/>
      <c r="QGU1" s="1"/>
      <c r="QGV1" s="1"/>
      <c r="QGW1" s="1"/>
      <c r="QGX1" s="1"/>
      <c r="QGY1" s="1"/>
      <c r="QGZ1" s="1"/>
      <c r="QHA1" s="1"/>
      <c r="QHB1" s="1"/>
      <c r="QHC1" s="1"/>
      <c r="QHD1" s="1"/>
      <c r="QHE1" s="1"/>
      <c r="QHF1" s="1"/>
      <c r="QHG1" s="1"/>
      <c r="QHH1" s="1"/>
      <c r="QHI1" s="1"/>
      <c r="QHJ1" s="1"/>
      <c r="QHK1" s="1"/>
      <c r="QHL1" s="1"/>
      <c r="QHM1" s="1"/>
      <c r="QHN1" s="1"/>
      <c r="QHO1" s="1"/>
      <c r="QHP1" s="1"/>
      <c r="QHQ1" s="1"/>
      <c r="QHR1" s="1"/>
      <c r="QHS1" s="1"/>
      <c r="QHT1" s="1"/>
      <c r="QHU1" s="1"/>
      <c r="QHV1" s="1"/>
      <c r="QHW1" s="1"/>
      <c r="QHX1" s="1"/>
      <c r="QHY1" s="1"/>
      <c r="QHZ1" s="1"/>
      <c r="QIA1" s="1"/>
      <c r="QIB1" s="1"/>
      <c r="QIC1" s="1"/>
      <c r="QID1" s="1"/>
      <c r="QIE1" s="1"/>
      <c r="QIF1" s="1"/>
      <c r="QIG1" s="1"/>
      <c r="QIH1" s="1"/>
      <c r="QII1" s="1"/>
      <c r="QIJ1" s="1"/>
      <c r="QIK1" s="1"/>
      <c r="QIL1" s="1"/>
      <c r="QIM1" s="1"/>
      <c r="QIN1" s="1"/>
      <c r="QIO1" s="1"/>
      <c r="QIP1" s="1"/>
      <c r="QIQ1" s="1"/>
      <c r="QIR1" s="1"/>
      <c r="QIS1" s="1"/>
      <c r="QIT1" s="1"/>
      <c r="QIU1" s="1"/>
      <c r="QIV1" s="1"/>
      <c r="QIW1" s="1"/>
      <c r="QIX1" s="1"/>
      <c r="QIY1" s="1"/>
      <c r="QIZ1" s="1"/>
      <c r="QJA1" s="1"/>
      <c r="QJB1" s="1"/>
      <c r="QJC1" s="1"/>
      <c r="QJD1" s="1"/>
      <c r="QJE1" s="1"/>
      <c r="QJF1" s="1"/>
      <c r="QJG1" s="1"/>
      <c r="QJH1" s="1"/>
      <c r="QJI1" s="1"/>
      <c r="QJJ1" s="1"/>
      <c r="QJK1" s="1"/>
      <c r="QJL1" s="1"/>
      <c r="QJM1" s="1"/>
      <c r="QJN1" s="1"/>
      <c r="QJO1" s="1"/>
      <c r="QJP1" s="1"/>
      <c r="QJQ1" s="1"/>
      <c r="QJR1" s="1"/>
      <c r="QJS1" s="1"/>
      <c r="QJT1" s="1"/>
      <c r="QJU1" s="1"/>
      <c r="QJV1" s="1"/>
      <c r="QJW1" s="1"/>
      <c r="QJX1" s="1"/>
      <c r="QJY1" s="1"/>
      <c r="QJZ1" s="1"/>
      <c r="QKA1" s="1"/>
      <c r="QKB1" s="1"/>
      <c r="QKC1" s="1"/>
      <c r="QKD1" s="1"/>
      <c r="QKE1" s="1"/>
      <c r="QKF1" s="1"/>
      <c r="QKG1" s="1"/>
      <c r="QKH1" s="1"/>
      <c r="QKI1" s="1"/>
      <c r="QKJ1" s="1"/>
      <c r="QKK1" s="1"/>
      <c r="QKL1" s="1"/>
      <c r="QKM1" s="1"/>
      <c r="QKN1" s="1"/>
      <c r="QKO1" s="1"/>
      <c r="QKP1" s="1"/>
      <c r="QKQ1" s="1"/>
      <c r="QKR1" s="1"/>
      <c r="QKS1" s="1"/>
      <c r="QKT1" s="1"/>
      <c r="QKU1" s="1"/>
      <c r="QKV1" s="1"/>
      <c r="QKW1" s="1"/>
      <c r="QKX1" s="1"/>
      <c r="QKY1" s="1"/>
      <c r="QKZ1" s="1"/>
      <c r="QLA1" s="1"/>
      <c r="QLB1" s="1"/>
      <c r="QLC1" s="1"/>
      <c r="QLD1" s="1"/>
      <c r="QLE1" s="1"/>
      <c r="QLF1" s="1"/>
      <c r="QLG1" s="1"/>
      <c r="QLH1" s="1"/>
      <c r="QLI1" s="1"/>
      <c r="QLJ1" s="1"/>
      <c r="QLK1" s="1"/>
      <c r="QLL1" s="1"/>
      <c r="QLM1" s="1"/>
      <c r="QLN1" s="1"/>
      <c r="QLO1" s="1"/>
      <c r="QLP1" s="1"/>
      <c r="QLQ1" s="1"/>
      <c r="QLR1" s="1"/>
      <c r="QLS1" s="1"/>
      <c r="QLT1" s="1"/>
      <c r="QLU1" s="1"/>
      <c r="QLV1" s="1"/>
      <c r="QLW1" s="1"/>
      <c r="QLX1" s="1"/>
      <c r="QLY1" s="1"/>
      <c r="QLZ1" s="1"/>
      <c r="QMA1" s="1"/>
      <c r="QMB1" s="1"/>
      <c r="QMC1" s="1"/>
      <c r="QMD1" s="1"/>
      <c r="QME1" s="1"/>
      <c r="QMF1" s="1"/>
      <c r="QMG1" s="1"/>
      <c r="QMH1" s="1"/>
      <c r="QMI1" s="1"/>
      <c r="QMJ1" s="1"/>
      <c r="QMK1" s="1"/>
      <c r="QML1" s="1"/>
      <c r="QMM1" s="1"/>
      <c r="QMN1" s="1"/>
      <c r="QMO1" s="1"/>
      <c r="QMP1" s="1"/>
      <c r="QMQ1" s="1"/>
      <c r="QMR1" s="1"/>
      <c r="QMS1" s="1"/>
      <c r="QMT1" s="1"/>
      <c r="QMU1" s="1"/>
      <c r="QMV1" s="1"/>
      <c r="QMW1" s="1"/>
      <c r="QMX1" s="1"/>
      <c r="QMY1" s="1"/>
      <c r="QMZ1" s="1"/>
      <c r="QNA1" s="1"/>
      <c r="QNB1" s="1"/>
      <c r="QNC1" s="1"/>
      <c r="QND1" s="1"/>
      <c r="QNE1" s="1"/>
      <c r="QNF1" s="1"/>
      <c r="QNG1" s="1"/>
      <c r="QNH1" s="1"/>
      <c r="QNI1" s="1"/>
      <c r="QNJ1" s="1"/>
      <c r="QNK1" s="1"/>
      <c r="QNL1" s="1"/>
      <c r="QNM1" s="1"/>
      <c r="QNN1" s="1"/>
      <c r="QNO1" s="1"/>
      <c r="QNP1" s="1"/>
      <c r="QNQ1" s="1"/>
      <c r="QNR1" s="1"/>
      <c r="QNS1" s="1"/>
      <c r="QNT1" s="1"/>
      <c r="QNU1" s="1"/>
      <c r="QNV1" s="1"/>
      <c r="QNW1" s="1"/>
      <c r="QNX1" s="1"/>
      <c r="QNY1" s="1"/>
      <c r="QNZ1" s="1"/>
      <c r="QOA1" s="1"/>
      <c r="QOB1" s="1"/>
      <c r="QOC1" s="1"/>
      <c r="QOD1" s="1"/>
      <c r="QOE1" s="1"/>
      <c r="QOF1" s="1"/>
      <c r="QOG1" s="1"/>
      <c r="QOH1" s="1"/>
      <c r="QOI1" s="1"/>
      <c r="QOJ1" s="1"/>
      <c r="QOK1" s="1"/>
      <c r="QOL1" s="1"/>
      <c r="QOM1" s="1"/>
      <c r="QON1" s="1"/>
      <c r="QOO1" s="1"/>
      <c r="QOP1" s="1"/>
      <c r="QOQ1" s="1"/>
      <c r="QOR1" s="1"/>
      <c r="QOS1" s="1"/>
      <c r="QOT1" s="1"/>
      <c r="QOU1" s="1"/>
      <c r="QOV1" s="1"/>
      <c r="QOW1" s="1"/>
      <c r="QOX1" s="1"/>
      <c r="QOY1" s="1"/>
      <c r="QOZ1" s="1"/>
      <c r="QPA1" s="1"/>
      <c r="QPB1" s="1"/>
      <c r="QPC1" s="1"/>
      <c r="QPD1" s="1"/>
      <c r="QPE1" s="1"/>
      <c r="QPF1" s="1"/>
      <c r="QPG1" s="1"/>
      <c r="QPH1" s="1"/>
      <c r="QPI1" s="1"/>
      <c r="QPJ1" s="1"/>
      <c r="QPK1" s="1"/>
      <c r="QPL1" s="1"/>
      <c r="QPM1" s="1"/>
      <c r="QPN1" s="1"/>
      <c r="QPO1" s="1"/>
      <c r="QPP1" s="1"/>
      <c r="QPQ1" s="1"/>
      <c r="QPR1" s="1"/>
      <c r="QPS1" s="1"/>
      <c r="QPT1" s="1"/>
      <c r="QPU1" s="1"/>
      <c r="QPV1" s="1"/>
      <c r="QPW1" s="1"/>
      <c r="QPX1" s="1"/>
      <c r="QPY1" s="1"/>
      <c r="QPZ1" s="1"/>
      <c r="QQA1" s="1"/>
      <c r="QQB1" s="1"/>
      <c r="QQC1" s="1"/>
      <c r="QQD1" s="1"/>
      <c r="QQE1" s="1"/>
      <c r="QQF1" s="1"/>
      <c r="QQG1" s="1"/>
      <c r="QQH1" s="1"/>
      <c r="QQI1" s="1"/>
      <c r="QQJ1" s="1"/>
      <c r="QQK1" s="1"/>
      <c r="QQL1" s="1"/>
      <c r="QQM1" s="1"/>
      <c r="QQN1" s="1"/>
      <c r="QQO1" s="1"/>
      <c r="QQP1" s="1"/>
      <c r="QQQ1" s="1"/>
      <c r="QQR1" s="1"/>
      <c r="QQS1" s="1"/>
      <c r="QQT1" s="1"/>
      <c r="QQU1" s="1"/>
      <c r="QQV1" s="1"/>
      <c r="QQW1" s="1"/>
      <c r="QQX1" s="1"/>
      <c r="QQY1" s="1"/>
      <c r="QQZ1" s="1"/>
      <c r="QRA1" s="1"/>
      <c r="QRB1" s="1"/>
      <c r="QRC1" s="1"/>
      <c r="QRD1" s="1"/>
      <c r="QRE1" s="1"/>
      <c r="QRF1" s="1"/>
      <c r="QRG1" s="1"/>
      <c r="QRH1" s="1"/>
      <c r="QRI1" s="1"/>
      <c r="QRJ1" s="1"/>
      <c r="QRK1" s="1"/>
      <c r="QRL1" s="1"/>
      <c r="QRM1" s="1"/>
      <c r="QRN1" s="1"/>
      <c r="QRO1" s="1"/>
      <c r="QRP1" s="1"/>
      <c r="QRQ1" s="1"/>
      <c r="QRR1" s="1"/>
      <c r="QRS1" s="1"/>
      <c r="QRT1" s="1"/>
      <c r="QRU1" s="1"/>
      <c r="QRV1" s="1"/>
      <c r="QRW1" s="1"/>
      <c r="QRX1" s="1"/>
      <c r="QRY1" s="1"/>
      <c r="QRZ1" s="1"/>
      <c r="QSA1" s="1"/>
      <c r="QSB1" s="1"/>
      <c r="QSC1" s="1"/>
      <c r="QSD1" s="1"/>
      <c r="QSE1" s="1"/>
      <c r="QSF1" s="1"/>
      <c r="QSG1" s="1"/>
      <c r="QSH1" s="1"/>
      <c r="QSI1" s="1"/>
      <c r="QSJ1" s="1"/>
      <c r="QSK1" s="1"/>
      <c r="QSL1" s="1"/>
      <c r="QSM1" s="1"/>
      <c r="QSN1" s="1"/>
      <c r="QSO1" s="1"/>
      <c r="QSP1" s="1"/>
      <c r="QSQ1" s="1"/>
      <c r="QSR1" s="1"/>
      <c r="QSS1" s="1"/>
      <c r="QST1" s="1"/>
      <c r="QSU1" s="1"/>
      <c r="QSV1" s="1"/>
      <c r="QSW1" s="1"/>
      <c r="QSX1" s="1"/>
      <c r="QSY1" s="1"/>
      <c r="QSZ1" s="1"/>
      <c r="QTA1" s="1"/>
      <c r="QTB1" s="1"/>
      <c r="QTC1" s="1"/>
      <c r="QTD1" s="1"/>
      <c r="QTE1" s="1"/>
      <c r="QTF1" s="1"/>
      <c r="QTG1" s="1"/>
      <c r="QTH1" s="1"/>
      <c r="QTI1" s="1"/>
      <c r="QTJ1" s="1"/>
      <c r="QTK1" s="1"/>
      <c r="QTL1" s="1"/>
      <c r="QTM1" s="1"/>
      <c r="QTN1" s="1"/>
      <c r="QTO1" s="1"/>
      <c r="QTP1" s="1"/>
      <c r="QTQ1" s="1"/>
      <c r="QTR1" s="1"/>
      <c r="QTS1" s="1"/>
      <c r="QTT1" s="1"/>
      <c r="QTU1" s="1"/>
      <c r="QTV1" s="1"/>
      <c r="QTW1" s="1"/>
      <c r="QTX1" s="1"/>
      <c r="QTY1" s="1"/>
      <c r="QTZ1" s="1"/>
      <c r="QUA1" s="1"/>
      <c r="QUB1" s="1"/>
      <c r="QUC1" s="1"/>
      <c r="QUD1" s="1"/>
      <c r="QUE1" s="1"/>
      <c r="QUF1" s="1"/>
      <c r="QUG1" s="1"/>
      <c r="QUH1" s="1"/>
      <c r="QUI1" s="1"/>
      <c r="QUJ1" s="1"/>
      <c r="QUK1" s="1"/>
      <c r="QUL1" s="1"/>
      <c r="QUM1" s="1"/>
      <c r="QUN1" s="1"/>
      <c r="QUO1" s="1"/>
      <c r="QUP1" s="1"/>
      <c r="QUQ1" s="1"/>
      <c r="QUR1" s="1"/>
      <c r="QUS1" s="1"/>
      <c r="QUT1" s="1"/>
      <c r="QUU1" s="1"/>
      <c r="QUV1" s="1"/>
      <c r="QUW1" s="1"/>
      <c r="QUX1" s="1"/>
      <c r="QUY1" s="1"/>
      <c r="QUZ1" s="1"/>
      <c r="QVA1" s="1"/>
      <c r="QVB1" s="1"/>
      <c r="QVC1" s="1"/>
      <c r="QVD1" s="1"/>
      <c r="QVE1" s="1"/>
      <c r="QVF1" s="1"/>
      <c r="QVG1" s="1"/>
      <c r="QVH1" s="1"/>
      <c r="QVI1" s="1"/>
      <c r="QVJ1" s="1"/>
      <c r="QVK1" s="1"/>
      <c r="QVL1" s="1"/>
      <c r="QVM1" s="1"/>
      <c r="QVN1" s="1"/>
      <c r="QVO1" s="1"/>
      <c r="QVP1" s="1"/>
      <c r="QVQ1" s="1"/>
      <c r="QVR1" s="1"/>
      <c r="QVS1" s="1"/>
      <c r="QVT1" s="1"/>
      <c r="QVU1" s="1"/>
      <c r="QVV1" s="1"/>
      <c r="QVW1" s="1"/>
      <c r="QVX1" s="1"/>
      <c r="QVY1" s="1"/>
      <c r="QVZ1" s="1"/>
      <c r="QWA1" s="1"/>
      <c r="QWB1" s="1"/>
      <c r="QWC1" s="1"/>
      <c r="QWD1" s="1"/>
      <c r="QWE1" s="1"/>
      <c r="QWF1" s="1"/>
      <c r="QWG1" s="1"/>
      <c r="QWH1" s="1"/>
      <c r="QWI1" s="1"/>
      <c r="QWJ1" s="1"/>
      <c r="QWK1" s="1"/>
      <c r="QWL1" s="1"/>
      <c r="QWM1" s="1"/>
      <c r="QWN1" s="1"/>
      <c r="QWO1" s="1"/>
      <c r="QWP1" s="1"/>
      <c r="QWQ1" s="1"/>
      <c r="QWR1" s="1"/>
      <c r="QWS1" s="1"/>
      <c r="QWT1" s="1"/>
      <c r="QWU1" s="1"/>
      <c r="QWV1" s="1"/>
      <c r="QWW1" s="1"/>
      <c r="QWX1" s="1"/>
      <c r="QWY1" s="1"/>
      <c r="QWZ1" s="1"/>
      <c r="QXA1" s="1"/>
      <c r="QXB1" s="1"/>
      <c r="QXC1" s="1"/>
      <c r="QXD1" s="1"/>
      <c r="QXE1" s="1"/>
      <c r="QXF1" s="1"/>
      <c r="QXG1" s="1"/>
      <c r="QXH1" s="1"/>
      <c r="QXI1" s="1"/>
      <c r="QXJ1" s="1"/>
      <c r="QXK1" s="1"/>
      <c r="QXL1" s="1"/>
      <c r="QXM1" s="1"/>
      <c r="QXN1" s="1"/>
      <c r="QXO1" s="1"/>
      <c r="QXP1" s="1"/>
      <c r="QXQ1" s="1"/>
      <c r="QXR1" s="1"/>
      <c r="QXS1" s="1"/>
      <c r="QXT1" s="1"/>
      <c r="QXU1" s="1"/>
      <c r="QXV1" s="1"/>
      <c r="QXW1" s="1"/>
      <c r="QXX1" s="1"/>
      <c r="QXY1" s="1"/>
      <c r="QXZ1" s="1"/>
      <c r="QYA1" s="1"/>
      <c r="QYB1" s="1"/>
      <c r="QYC1" s="1"/>
      <c r="QYD1" s="1"/>
      <c r="QYE1" s="1"/>
      <c r="QYF1" s="1"/>
      <c r="QYG1" s="1"/>
      <c r="QYH1" s="1"/>
      <c r="QYI1" s="1"/>
      <c r="QYJ1" s="1"/>
      <c r="QYK1" s="1"/>
      <c r="QYL1" s="1"/>
      <c r="QYM1" s="1"/>
      <c r="QYN1" s="1"/>
      <c r="QYO1" s="1"/>
      <c r="QYP1" s="1"/>
      <c r="QYQ1" s="1"/>
      <c r="QYR1" s="1"/>
      <c r="QYS1" s="1"/>
      <c r="QYT1" s="1"/>
      <c r="QYU1" s="1"/>
      <c r="QYV1" s="1"/>
      <c r="QYW1" s="1"/>
      <c r="QYX1" s="1"/>
      <c r="QYY1" s="1"/>
      <c r="QYZ1" s="1"/>
      <c r="QZA1" s="1"/>
      <c r="QZB1" s="1"/>
      <c r="QZC1" s="1"/>
      <c r="QZD1" s="1"/>
      <c r="QZE1" s="1"/>
      <c r="QZF1" s="1"/>
      <c r="QZG1" s="1"/>
      <c r="QZH1" s="1"/>
      <c r="QZI1" s="1"/>
      <c r="QZJ1" s="1"/>
      <c r="QZK1" s="1"/>
      <c r="QZL1" s="1"/>
      <c r="QZM1" s="1"/>
      <c r="QZN1" s="1"/>
      <c r="QZO1" s="1"/>
      <c r="QZP1" s="1"/>
      <c r="QZQ1" s="1"/>
      <c r="QZR1" s="1"/>
      <c r="QZS1" s="1"/>
      <c r="QZT1" s="1"/>
      <c r="QZU1" s="1"/>
      <c r="QZV1" s="1"/>
      <c r="QZW1" s="1"/>
      <c r="QZX1" s="1"/>
      <c r="QZY1" s="1"/>
      <c r="QZZ1" s="1"/>
      <c r="RAA1" s="1"/>
      <c r="RAB1" s="1"/>
      <c r="RAC1" s="1"/>
      <c r="RAD1" s="1"/>
      <c r="RAE1" s="1"/>
      <c r="RAF1" s="1"/>
      <c r="RAG1" s="1"/>
      <c r="RAH1" s="1"/>
      <c r="RAI1" s="1"/>
      <c r="RAJ1" s="1"/>
      <c r="RAK1" s="1"/>
      <c r="RAL1" s="1"/>
      <c r="RAM1" s="1"/>
      <c r="RAN1" s="1"/>
      <c r="RAO1" s="1"/>
      <c r="RAP1" s="1"/>
      <c r="RAQ1" s="1"/>
      <c r="RAR1" s="1"/>
      <c r="RAS1" s="1"/>
      <c r="RAT1" s="1"/>
      <c r="RAU1" s="1"/>
      <c r="RAV1" s="1"/>
      <c r="RAW1" s="1"/>
      <c r="RAX1" s="1"/>
      <c r="RAY1" s="1"/>
      <c r="RAZ1" s="1"/>
      <c r="RBA1" s="1"/>
      <c r="RBB1" s="1"/>
      <c r="RBC1" s="1"/>
      <c r="RBD1" s="1"/>
      <c r="RBE1" s="1"/>
      <c r="RBF1" s="1"/>
      <c r="RBG1" s="1"/>
      <c r="RBH1" s="1"/>
      <c r="RBI1" s="1"/>
      <c r="RBJ1" s="1"/>
      <c r="RBK1" s="1"/>
      <c r="RBL1" s="1"/>
      <c r="RBM1" s="1"/>
      <c r="RBN1" s="1"/>
      <c r="RBO1" s="1"/>
      <c r="RBP1" s="1"/>
      <c r="RBQ1" s="1"/>
      <c r="RBR1" s="1"/>
      <c r="RBS1" s="1"/>
      <c r="RBT1" s="1"/>
      <c r="RBU1" s="1"/>
      <c r="RBV1" s="1"/>
      <c r="RBW1" s="1"/>
      <c r="RBX1" s="1"/>
      <c r="RBY1" s="1"/>
      <c r="RBZ1" s="1"/>
      <c r="RCA1" s="1"/>
      <c r="RCB1" s="1"/>
      <c r="RCC1" s="1"/>
      <c r="RCD1" s="1"/>
      <c r="RCE1" s="1"/>
      <c r="RCF1" s="1"/>
      <c r="RCG1" s="1"/>
      <c r="RCH1" s="1"/>
      <c r="RCI1" s="1"/>
      <c r="RCJ1" s="1"/>
      <c r="RCK1" s="1"/>
      <c r="RCL1" s="1"/>
      <c r="RCM1" s="1"/>
      <c r="RCN1" s="1"/>
      <c r="RCO1" s="1"/>
      <c r="RCP1" s="1"/>
      <c r="RCQ1" s="1"/>
      <c r="RCR1" s="1"/>
      <c r="RCS1" s="1"/>
      <c r="RCT1" s="1"/>
      <c r="RCU1" s="1"/>
      <c r="RCV1" s="1"/>
      <c r="RCW1" s="1"/>
      <c r="RCX1" s="1"/>
      <c r="RCY1" s="1"/>
      <c r="RCZ1" s="1"/>
      <c r="RDA1" s="1"/>
      <c r="RDB1" s="1"/>
      <c r="RDC1" s="1"/>
      <c r="RDD1" s="1"/>
      <c r="RDE1" s="1"/>
      <c r="RDF1" s="1"/>
      <c r="RDG1" s="1"/>
      <c r="RDH1" s="1"/>
      <c r="RDI1" s="1"/>
      <c r="RDJ1" s="1"/>
      <c r="RDK1" s="1"/>
      <c r="RDL1" s="1"/>
      <c r="RDM1" s="1"/>
      <c r="RDN1" s="1"/>
      <c r="RDO1" s="1"/>
      <c r="RDP1" s="1"/>
      <c r="RDQ1" s="1"/>
      <c r="RDR1" s="1"/>
      <c r="RDS1" s="1"/>
      <c r="RDT1" s="1"/>
      <c r="RDU1" s="1"/>
      <c r="RDV1" s="1"/>
      <c r="RDW1" s="1"/>
      <c r="RDX1" s="1"/>
      <c r="RDY1" s="1"/>
      <c r="RDZ1" s="1"/>
      <c r="REA1" s="1"/>
      <c r="REB1" s="1"/>
      <c r="REC1" s="1"/>
      <c r="RED1" s="1"/>
      <c r="REE1" s="1"/>
      <c r="REF1" s="1"/>
      <c r="REG1" s="1"/>
      <c r="REH1" s="1"/>
      <c r="REI1" s="1"/>
      <c r="REJ1" s="1"/>
      <c r="REK1" s="1"/>
      <c r="REL1" s="1"/>
      <c r="REM1" s="1"/>
      <c r="REN1" s="1"/>
      <c r="REO1" s="1"/>
      <c r="REP1" s="1"/>
      <c r="REQ1" s="1"/>
      <c r="RER1" s="1"/>
      <c r="RES1" s="1"/>
      <c r="RET1" s="1"/>
      <c r="REU1" s="1"/>
      <c r="REV1" s="1"/>
      <c r="REW1" s="1"/>
      <c r="REX1" s="1"/>
      <c r="REY1" s="1"/>
      <c r="REZ1" s="1"/>
      <c r="RFA1" s="1"/>
      <c r="RFB1" s="1"/>
      <c r="RFC1" s="1"/>
      <c r="RFD1" s="1"/>
      <c r="RFE1" s="1"/>
      <c r="RFF1" s="1"/>
      <c r="RFG1" s="1"/>
      <c r="RFH1" s="1"/>
      <c r="RFI1" s="1"/>
      <c r="RFJ1" s="1"/>
      <c r="RFK1" s="1"/>
      <c r="RFL1" s="1"/>
      <c r="RFM1" s="1"/>
      <c r="RFN1" s="1"/>
      <c r="RFO1" s="1"/>
      <c r="RFP1" s="1"/>
      <c r="RFQ1" s="1"/>
      <c r="RFR1" s="1"/>
      <c r="RFS1" s="1"/>
      <c r="RFT1" s="1"/>
      <c r="RFU1" s="1"/>
      <c r="RFV1" s="1"/>
      <c r="RFW1" s="1"/>
      <c r="RFX1" s="1"/>
      <c r="RFY1" s="1"/>
      <c r="RFZ1" s="1"/>
      <c r="RGA1" s="1"/>
      <c r="RGB1" s="1"/>
      <c r="RGC1" s="1"/>
      <c r="RGD1" s="1"/>
      <c r="RGE1" s="1"/>
      <c r="RGF1" s="1"/>
      <c r="RGG1" s="1"/>
      <c r="RGH1" s="1"/>
      <c r="RGI1" s="1"/>
      <c r="RGJ1" s="1"/>
      <c r="RGK1" s="1"/>
      <c r="RGL1" s="1"/>
      <c r="RGM1" s="1"/>
      <c r="RGN1" s="1"/>
      <c r="RGO1" s="1"/>
      <c r="RGP1" s="1"/>
      <c r="RGQ1" s="1"/>
      <c r="RGR1" s="1"/>
      <c r="RGS1" s="1"/>
      <c r="RGT1" s="1"/>
      <c r="RGU1" s="1"/>
      <c r="RGV1" s="1"/>
      <c r="RGW1" s="1"/>
      <c r="RGX1" s="1"/>
      <c r="RGY1" s="1"/>
      <c r="RGZ1" s="1"/>
      <c r="RHA1" s="1"/>
      <c r="RHB1" s="1"/>
      <c r="RHC1" s="1"/>
      <c r="RHD1" s="1"/>
      <c r="RHE1" s="1"/>
      <c r="RHF1" s="1"/>
      <c r="RHG1" s="1"/>
      <c r="RHH1" s="1"/>
      <c r="RHI1" s="1"/>
      <c r="RHJ1" s="1"/>
      <c r="RHK1" s="1"/>
      <c r="RHL1" s="1"/>
      <c r="RHM1" s="1"/>
      <c r="RHN1" s="1"/>
      <c r="RHO1" s="1"/>
      <c r="RHP1" s="1"/>
      <c r="RHQ1" s="1"/>
      <c r="RHR1" s="1"/>
      <c r="RHS1" s="1"/>
      <c r="RHT1" s="1"/>
      <c r="RHU1" s="1"/>
      <c r="RHV1" s="1"/>
      <c r="RHW1" s="1"/>
      <c r="RHX1" s="1"/>
      <c r="RHY1" s="1"/>
      <c r="RHZ1" s="1"/>
      <c r="RIA1" s="1"/>
      <c r="RIB1" s="1"/>
      <c r="RIC1" s="1"/>
      <c r="RID1" s="1"/>
      <c r="RIE1" s="1"/>
      <c r="RIF1" s="1"/>
      <c r="RIG1" s="1"/>
      <c r="RIH1" s="1"/>
      <c r="RII1" s="1"/>
      <c r="RIJ1" s="1"/>
      <c r="RIK1" s="1"/>
      <c r="RIL1" s="1"/>
      <c r="RIM1" s="1"/>
      <c r="RIN1" s="1"/>
      <c r="RIO1" s="1"/>
      <c r="RIP1" s="1"/>
      <c r="RIQ1" s="1"/>
      <c r="RIR1" s="1"/>
      <c r="RIS1" s="1"/>
      <c r="RIT1" s="1"/>
      <c r="RIU1" s="1"/>
      <c r="RIV1" s="1"/>
      <c r="RIW1" s="1"/>
      <c r="RIX1" s="1"/>
      <c r="RIY1" s="1"/>
      <c r="RIZ1" s="1"/>
      <c r="RJA1" s="1"/>
      <c r="RJB1" s="1"/>
      <c r="RJC1" s="1"/>
      <c r="RJD1" s="1"/>
      <c r="RJE1" s="1"/>
      <c r="RJF1" s="1"/>
      <c r="RJG1" s="1"/>
      <c r="RJH1" s="1"/>
      <c r="RJI1" s="1"/>
      <c r="RJJ1" s="1"/>
      <c r="RJK1" s="1"/>
      <c r="RJL1" s="1"/>
      <c r="RJM1" s="1"/>
      <c r="RJN1" s="1"/>
      <c r="RJO1" s="1"/>
      <c r="RJP1" s="1"/>
      <c r="RJQ1" s="1"/>
      <c r="RJR1" s="1"/>
      <c r="RJS1" s="1"/>
      <c r="RJT1" s="1"/>
      <c r="RJU1" s="1"/>
      <c r="RJV1" s="1"/>
      <c r="RJW1" s="1"/>
      <c r="RJX1" s="1"/>
      <c r="RJY1" s="1"/>
      <c r="RJZ1" s="1"/>
      <c r="RKA1" s="1"/>
      <c r="RKB1" s="1"/>
      <c r="RKC1" s="1"/>
      <c r="RKD1" s="1"/>
      <c r="RKE1" s="1"/>
      <c r="RKF1" s="1"/>
      <c r="RKG1" s="1"/>
      <c r="RKH1" s="1"/>
      <c r="RKI1" s="1"/>
      <c r="RKJ1" s="1"/>
      <c r="RKK1" s="1"/>
      <c r="RKL1" s="1"/>
      <c r="RKM1" s="1"/>
      <c r="RKN1" s="1"/>
      <c r="RKO1" s="1"/>
      <c r="RKP1" s="1"/>
      <c r="RKQ1" s="1"/>
      <c r="RKR1" s="1"/>
      <c r="RKS1" s="1"/>
      <c r="RKT1" s="1"/>
      <c r="RKU1" s="1"/>
      <c r="RKV1" s="1"/>
      <c r="RKW1" s="1"/>
      <c r="RKX1" s="1"/>
      <c r="RKY1" s="1"/>
      <c r="RKZ1" s="1"/>
      <c r="RLA1" s="1"/>
      <c r="RLB1" s="1"/>
      <c r="RLC1" s="1"/>
      <c r="RLD1" s="1"/>
      <c r="RLE1" s="1"/>
      <c r="RLF1" s="1"/>
      <c r="RLG1" s="1"/>
      <c r="RLH1" s="1"/>
      <c r="RLI1" s="1"/>
      <c r="RLJ1" s="1"/>
      <c r="RLK1" s="1"/>
      <c r="RLL1" s="1"/>
      <c r="RLM1" s="1"/>
      <c r="RLN1" s="1"/>
      <c r="RLO1" s="1"/>
      <c r="RLP1" s="1"/>
      <c r="RLQ1" s="1"/>
      <c r="RLR1" s="1"/>
      <c r="RLS1" s="1"/>
      <c r="RLT1" s="1"/>
      <c r="RLU1" s="1"/>
      <c r="RLV1" s="1"/>
      <c r="RLW1" s="1"/>
      <c r="RLX1" s="1"/>
      <c r="RLY1" s="1"/>
      <c r="RLZ1" s="1"/>
      <c r="RMA1" s="1"/>
      <c r="RMB1" s="1"/>
      <c r="RMC1" s="1"/>
      <c r="RMD1" s="1"/>
      <c r="RME1" s="1"/>
      <c r="RMF1" s="1"/>
      <c r="RMG1" s="1"/>
      <c r="RMH1" s="1"/>
      <c r="RMI1" s="1"/>
      <c r="RMJ1" s="1"/>
      <c r="RMK1" s="1"/>
      <c r="RML1" s="1"/>
      <c r="RMM1" s="1"/>
      <c r="RMN1" s="1"/>
      <c r="RMO1" s="1"/>
      <c r="RMP1" s="1"/>
      <c r="RMQ1" s="1"/>
      <c r="RMR1" s="1"/>
      <c r="RMS1" s="1"/>
      <c r="RMT1" s="1"/>
      <c r="RMU1" s="1"/>
      <c r="RMV1" s="1"/>
      <c r="RMW1" s="1"/>
      <c r="RMX1" s="1"/>
      <c r="RMY1" s="1"/>
      <c r="RMZ1" s="1"/>
      <c r="RNA1" s="1"/>
      <c r="RNB1" s="1"/>
      <c r="RNC1" s="1"/>
      <c r="RND1" s="1"/>
      <c r="RNE1" s="1"/>
      <c r="RNF1" s="1"/>
      <c r="RNG1" s="1"/>
      <c r="RNH1" s="1"/>
      <c r="RNI1" s="1"/>
      <c r="RNJ1" s="1"/>
      <c r="RNK1" s="1"/>
      <c r="RNL1" s="1"/>
      <c r="RNM1" s="1"/>
      <c r="RNN1" s="1"/>
      <c r="RNO1" s="1"/>
      <c r="RNP1" s="1"/>
      <c r="RNQ1" s="1"/>
      <c r="RNR1" s="1"/>
      <c r="RNS1" s="1"/>
      <c r="RNT1" s="1"/>
      <c r="RNU1" s="1"/>
      <c r="RNV1" s="1"/>
      <c r="RNW1" s="1"/>
      <c r="RNX1" s="1"/>
      <c r="RNY1" s="1"/>
      <c r="RNZ1" s="1"/>
      <c r="ROA1" s="1"/>
      <c r="ROB1" s="1"/>
      <c r="ROC1" s="1"/>
      <c r="ROD1" s="1"/>
      <c r="ROE1" s="1"/>
      <c r="ROF1" s="1"/>
      <c r="ROG1" s="1"/>
      <c r="ROH1" s="1"/>
      <c r="ROI1" s="1"/>
      <c r="ROJ1" s="1"/>
      <c r="ROK1" s="1"/>
      <c r="ROL1" s="1"/>
      <c r="ROM1" s="1"/>
      <c r="RON1" s="1"/>
      <c r="ROO1" s="1"/>
      <c r="ROP1" s="1"/>
      <c r="ROQ1" s="1"/>
      <c r="ROR1" s="1"/>
      <c r="ROS1" s="1"/>
      <c r="ROT1" s="1"/>
      <c r="ROU1" s="1"/>
      <c r="ROV1" s="1"/>
      <c r="ROW1" s="1"/>
      <c r="ROX1" s="1"/>
      <c r="ROY1" s="1"/>
      <c r="ROZ1" s="1"/>
      <c r="RPA1" s="1"/>
      <c r="RPB1" s="1"/>
      <c r="RPC1" s="1"/>
      <c r="RPD1" s="1"/>
      <c r="RPE1" s="1"/>
      <c r="RPF1" s="1"/>
      <c r="RPG1" s="1"/>
      <c r="RPH1" s="1"/>
      <c r="RPI1" s="1"/>
      <c r="RPJ1" s="1"/>
      <c r="RPK1" s="1"/>
      <c r="RPL1" s="1"/>
      <c r="RPM1" s="1"/>
      <c r="RPN1" s="1"/>
      <c r="RPO1" s="1"/>
      <c r="RPP1" s="1"/>
      <c r="RPQ1" s="1"/>
      <c r="RPR1" s="1"/>
      <c r="RPS1" s="1"/>
      <c r="RPT1" s="1"/>
      <c r="RPU1" s="1"/>
      <c r="RPV1" s="1"/>
      <c r="RPW1" s="1"/>
      <c r="RPX1" s="1"/>
      <c r="RPY1" s="1"/>
      <c r="RPZ1" s="1"/>
      <c r="RQA1" s="1"/>
      <c r="RQB1" s="1"/>
      <c r="RQC1" s="1"/>
      <c r="RQD1" s="1"/>
      <c r="RQE1" s="1"/>
      <c r="RQF1" s="1"/>
      <c r="RQG1" s="1"/>
      <c r="RQH1" s="1"/>
      <c r="RQI1" s="1"/>
      <c r="RQJ1" s="1"/>
      <c r="RQK1" s="1"/>
      <c r="RQL1" s="1"/>
      <c r="RQM1" s="1"/>
      <c r="RQN1" s="1"/>
      <c r="RQO1" s="1"/>
      <c r="RQP1" s="1"/>
      <c r="RQQ1" s="1"/>
      <c r="RQR1" s="1"/>
      <c r="RQS1" s="1"/>
      <c r="RQT1" s="1"/>
      <c r="RQU1" s="1"/>
      <c r="RQV1" s="1"/>
      <c r="RQW1" s="1"/>
      <c r="RQX1" s="1"/>
      <c r="RQY1" s="1"/>
      <c r="RQZ1" s="1"/>
      <c r="RRA1" s="1"/>
      <c r="RRB1" s="1"/>
      <c r="RRC1" s="1"/>
      <c r="RRD1" s="1"/>
      <c r="RRE1" s="1"/>
      <c r="RRF1" s="1"/>
      <c r="RRG1" s="1"/>
      <c r="RRH1" s="1"/>
      <c r="RRI1" s="1"/>
      <c r="RRJ1" s="1"/>
      <c r="RRK1" s="1"/>
      <c r="RRL1" s="1"/>
      <c r="RRM1" s="1"/>
      <c r="RRN1" s="1"/>
      <c r="RRO1" s="1"/>
      <c r="RRP1" s="1"/>
      <c r="RRQ1" s="1"/>
      <c r="RRR1" s="1"/>
      <c r="RRS1" s="1"/>
      <c r="RRT1" s="1"/>
      <c r="RRU1" s="1"/>
      <c r="RRV1" s="1"/>
      <c r="RRW1" s="1"/>
      <c r="RRX1" s="1"/>
      <c r="RRY1" s="1"/>
      <c r="RRZ1" s="1"/>
      <c r="RSA1" s="1"/>
      <c r="RSB1" s="1"/>
      <c r="RSC1" s="1"/>
      <c r="RSD1" s="1"/>
      <c r="RSE1" s="1"/>
      <c r="RSF1" s="1"/>
      <c r="RSG1" s="1"/>
      <c r="RSH1" s="1"/>
      <c r="RSI1" s="1"/>
      <c r="RSJ1" s="1"/>
      <c r="RSK1" s="1"/>
      <c r="RSL1" s="1"/>
      <c r="RSM1" s="1"/>
      <c r="RSN1" s="1"/>
      <c r="RSO1" s="1"/>
      <c r="RSP1" s="1"/>
      <c r="RSQ1" s="1"/>
      <c r="RSR1" s="1"/>
      <c r="RSS1" s="1"/>
      <c r="RST1" s="1"/>
      <c r="RSU1" s="1"/>
      <c r="RSV1" s="1"/>
      <c r="RSW1" s="1"/>
      <c r="RSX1" s="1"/>
      <c r="RSY1" s="1"/>
      <c r="RSZ1" s="1"/>
      <c r="RTA1" s="1"/>
      <c r="RTB1" s="1"/>
      <c r="RTC1" s="1"/>
      <c r="RTD1" s="1"/>
      <c r="RTE1" s="1"/>
      <c r="RTF1" s="1"/>
      <c r="RTG1" s="1"/>
      <c r="RTH1" s="1"/>
      <c r="RTI1" s="1"/>
      <c r="RTJ1" s="1"/>
      <c r="RTK1" s="1"/>
      <c r="RTL1" s="1"/>
      <c r="RTM1" s="1"/>
      <c r="RTN1" s="1"/>
      <c r="RTO1" s="1"/>
      <c r="RTP1" s="1"/>
      <c r="RTQ1" s="1"/>
      <c r="RTR1" s="1"/>
      <c r="RTS1" s="1"/>
      <c r="RTT1" s="1"/>
      <c r="RTU1" s="1"/>
      <c r="RTV1" s="1"/>
      <c r="RTW1" s="1"/>
      <c r="RTX1" s="1"/>
      <c r="RTY1" s="1"/>
      <c r="RTZ1" s="1"/>
      <c r="RUA1" s="1"/>
      <c r="RUB1" s="1"/>
      <c r="RUC1" s="1"/>
      <c r="RUD1" s="1"/>
      <c r="RUE1" s="1"/>
      <c r="RUF1" s="1"/>
      <c r="RUG1" s="1"/>
      <c r="RUH1" s="1"/>
      <c r="RUI1" s="1"/>
      <c r="RUJ1" s="1"/>
      <c r="RUK1" s="1"/>
      <c r="RUL1" s="1"/>
      <c r="RUM1" s="1"/>
      <c r="RUN1" s="1"/>
      <c r="RUO1" s="1"/>
      <c r="RUP1" s="1"/>
      <c r="RUQ1" s="1"/>
      <c r="RUR1" s="1"/>
      <c r="RUS1" s="1"/>
      <c r="RUT1" s="1"/>
      <c r="RUU1" s="1"/>
      <c r="RUV1" s="1"/>
      <c r="RUW1" s="1"/>
      <c r="RUX1" s="1"/>
      <c r="RUY1" s="1"/>
      <c r="RUZ1" s="1"/>
      <c r="RVA1" s="1"/>
      <c r="RVB1" s="1"/>
      <c r="RVC1" s="1"/>
      <c r="RVD1" s="1"/>
      <c r="RVE1" s="1"/>
      <c r="RVF1" s="1"/>
      <c r="RVG1" s="1"/>
      <c r="RVH1" s="1"/>
      <c r="RVI1" s="1"/>
      <c r="RVJ1" s="1"/>
      <c r="RVK1" s="1"/>
      <c r="RVL1" s="1"/>
      <c r="RVM1" s="1"/>
      <c r="RVN1" s="1"/>
      <c r="RVO1" s="1"/>
      <c r="RVP1" s="1"/>
      <c r="RVQ1" s="1"/>
      <c r="RVR1" s="1"/>
      <c r="RVS1" s="1"/>
      <c r="RVT1" s="1"/>
      <c r="RVU1" s="1"/>
      <c r="RVV1" s="1"/>
      <c r="RVW1" s="1"/>
      <c r="RVX1" s="1"/>
      <c r="RVY1" s="1"/>
      <c r="RVZ1" s="1"/>
      <c r="RWA1" s="1"/>
      <c r="RWB1" s="1"/>
      <c r="RWC1" s="1"/>
      <c r="RWD1" s="1"/>
      <c r="RWE1" s="1"/>
      <c r="RWF1" s="1"/>
      <c r="RWG1" s="1"/>
      <c r="RWH1" s="1"/>
      <c r="RWI1" s="1"/>
      <c r="RWJ1" s="1"/>
      <c r="RWK1" s="1"/>
      <c r="RWL1" s="1"/>
      <c r="RWM1" s="1"/>
      <c r="RWN1" s="1"/>
      <c r="RWO1" s="1"/>
      <c r="RWP1" s="1"/>
      <c r="RWQ1" s="1"/>
      <c r="RWR1" s="1"/>
      <c r="RWS1" s="1"/>
      <c r="RWT1" s="1"/>
      <c r="RWU1" s="1"/>
      <c r="RWV1" s="1"/>
      <c r="RWW1" s="1"/>
      <c r="RWX1" s="1"/>
      <c r="RWY1" s="1"/>
      <c r="RWZ1" s="1"/>
      <c r="RXA1" s="1"/>
      <c r="RXB1" s="1"/>
      <c r="RXC1" s="1"/>
      <c r="RXD1" s="1"/>
      <c r="RXE1" s="1"/>
      <c r="RXF1" s="1"/>
      <c r="RXG1" s="1"/>
      <c r="RXH1" s="1"/>
      <c r="RXI1" s="1"/>
      <c r="RXJ1" s="1"/>
      <c r="RXK1" s="1"/>
      <c r="RXL1" s="1"/>
      <c r="RXM1" s="1"/>
      <c r="RXN1" s="1"/>
      <c r="RXO1" s="1"/>
      <c r="RXP1" s="1"/>
      <c r="RXQ1" s="1"/>
      <c r="RXR1" s="1"/>
      <c r="RXS1" s="1"/>
      <c r="RXT1" s="1"/>
      <c r="RXU1" s="1"/>
      <c r="RXV1" s="1"/>
      <c r="RXW1" s="1"/>
      <c r="RXX1" s="1"/>
      <c r="RXY1" s="1"/>
      <c r="RXZ1" s="1"/>
      <c r="RYA1" s="1"/>
      <c r="RYB1" s="1"/>
      <c r="RYC1" s="1"/>
      <c r="RYD1" s="1"/>
      <c r="RYE1" s="1"/>
      <c r="RYF1" s="1"/>
      <c r="RYG1" s="1"/>
      <c r="RYH1" s="1"/>
      <c r="RYI1" s="1"/>
      <c r="RYJ1" s="1"/>
      <c r="RYK1" s="1"/>
      <c r="RYL1" s="1"/>
      <c r="RYM1" s="1"/>
      <c r="RYN1" s="1"/>
      <c r="RYO1" s="1"/>
      <c r="RYP1" s="1"/>
      <c r="RYQ1" s="1"/>
      <c r="RYR1" s="1"/>
      <c r="RYS1" s="1"/>
      <c r="RYT1" s="1"/>
      <c r="RYU1" s="1"/>
      <c r="RYV1" s="1"/>
      <c r="RYW1" s="1"/>
      <c r="RYX1" s="1"/>
      <c r="RYY1" s="1"/>
      <c r="RYZ1" s="1"/>
      <c r="RZA1" s="1"/>
      <c r="RZB1" s="1"/>
      <c r="RZC1" s="1"/>
      <c r="RZD1" s="1"/>
      <c r="RZE1" s="1"/>
      <c r="RZF1" s="1"/>
      <c r="RZG1" s="1"/>
      <c r="RZH1" s="1"/>
      <c r="RZI1" s="1"/>
      <c r="RZJ1" s="1"/>
      <c r="RZK1" s="1"/>
      <c r="RZL1" s="1"/>
      <c r="RZM1" s="1"/>
      <c r="RZN1" s="1"/>
      <c r="RZO1" s="1"/>
      <c r="RZP1" s="1"/>
      <c r="RZQ1" s="1"/>
      <c r="RZR1" s="1"/>
      <c r="RZS1" s="1"/>
      <c r="RZT1" s="1"/>
      <c r="RZU1" s="1"/>
      <c r="RZV1" s="1"/>
      <c r="RZW1" s="1"/>
      <c r="RZX1" s="1"/>
      <c r="RZY1" s="1"/>
      <c r="RZZ1" s="1"/>
      <c r="SAA1" s="1"/>
      <c r="SAB1" s="1"/>
      <c r="SAC1" s="1"/>
      <c r="SAD1" s="1"/>
      <c r="SAE1" s="1"/>
      <c r="SAF1" s="1"/>
      <c r="SAG1" s="1"/>
      <c r="SAH1" s="1"/>
      <c r="SAI1" s="1"/>
      <c r="SAJ1" s="1"/>
      <c r="SAK1" s="1"/>
      <c r="SAL1" s="1"/>
      <c r="SAM1" s="1"/>
      <c r="SAN1" s="1"/>
      <c r="SAO1" s="1"/>
      <c r="SAP1" s="1"/>
      <c r="SAQ1" s="1"/>
      <c r="SAR1" s="1"/>
      <c r="SAS1" s="1"/>
      <c r="SAT1" s="1"/>
      <c r="SAU1" s="1"/>
      <c r="SAV1" s="1"/>
      <c r="SAW1" s="1"/>
      <c r="SAX1" s="1"/>
      <c r="SAY1" s="1"/>
      <c r="SAZ1" s="1"/>
      <c r="SBA1" s="1"/>
      <c r="SBB1" s="1"/>
      <c r="SBC1" s="1"/>
      <c r="SBD1" s="1"/>
      <c r="SBE1" s="1"/>
      <c r="SBF1" s="1"/>
      <c r="SBG1" s="1"/>
      <c r="SBH1" s="1"/>
      <c r="SBI1" s="1"/>
      <c r="SBJ1" s="1"/>
      <c r="SBK1" s="1"/>
      <c r="SBL1" s="1"/>
      <c r="SBM1" s="1"/>
      <c r="SBN1" s="1"/>
      <c r="SBO1" s="1"/>
      <c r="SBP1" s="1"/>
      <c r="SBQ1" s="1"/>
      <c r="SBR1" s="1"/>
      <c r="SBS1" s="1"/>
      <c r="SBT1" s="1"/>
      <c r="SBU1" s="1"/>
      <c r="SBV1" s="1"/>
      <c r="SBW1" s="1"/>
      <c r="SBX1" s="1"/>
      <c r="SBY1" s="1"/>
      <c r="SBZ1" s="1"/>
      <c r="SCA1" s="1"/>
      <c r="SCB1" s="1"/>
      <c r="SCC1" s="1"/>
      <c r="SCD1" s="1"/>
      <c r="SCE1" s="1"/>
      <c r="SCF1" s="1"/>
      <c r="SCG1" s="1"/>
      <c r="SCH1" s="1"/>
      <c r="SCI1" s="1"/>
      <c r="SCJ1" s="1"/>
      <c r="SCK1" s="1"/>
      <c r="SCL1" s="1"/>
      <c r="SCM1" s="1"/>
      <c r="SCN1" s="1"/>
      <c r="SCO1" s="1"/>
      <c r="SCP1" s="1"/>
      <c r="SCQ1" s="1"/>
      <c r="SCR1" s="1"/>
      <c r="SCS1" s="1"/>
      <c r="SCT1" s="1"/>
      <c r="SCU1" s="1"/>
      <c r="SCV1" s="1"/>
      <c r="SCW1" s="1"/>
      <c r="SCX1" s="1"/>
      <c r="SCY1" s="1"/>
      <c r="SCZ1" s="1"/>
      <c r="SDA1" s="1"/>
      <c r="SDB1" s="1"/>
      <c r="SDC1" s="1"/>
      <c r="SDD1" s="1"/>
      <c r="SDE1" s="1"/>
      <c r="SDF1" s="1"/>
      <c r="SDG1" s="1"/>
      <c r="SDH1" s="1"/>
      <c r="SDI1" s="1"/>
      <c r="SDJ1" s="1"/>
      <c r="SDK1" s="1"/>
      <c r="SDL1" s="1"/>
      <c r="SDM1" s="1"/>
      <c r="SDN1" s="1"/>
      <c r="SDO1" s="1"/>
      <c r="SDP1" s="1"/>
      <c r="SDQ1" s="1"/>
      <c r="SDR1" s="1"/>
      <c r="SDS1" s="1"/>
      <c r="SDT1" s="1"/>
      <c r="SDU1" s="1"/>
      <c r="SDV1" s="1"/>
      <c r="SDW1" s="1"/>
      <c r="SDX1" s="1"/>
      <c r="SDY1" s="1"/>
      <c r="SDZ1" s="1"/>
      <c r="SEA1" s="1"/>
      <c r="SEB1" s="1"/>
      <c r="SEC1" s="1"/>
      <c r="SED1" s="1"/>
      <c r="SEE1" s="1"/>
      <c r="SEF1" s="1"/>
      <c r="SEG1" s="1"/>
      <c r="SEH1" s="1"/>
      <c r="SEI1" s="1"/>
      <c r="SEJ1" s="1"/>
      <c r="SEK1" s="1"/>
      <c r="SEL1" s="1"/>
      <c r="SEM1" s="1"/>
      <c r="SEN1" s="1"/>
      <c r="SEO1" s="1"/>
      <c r="SEP1" s="1"/>
      <c r="SEQ1" s="1"/>
      <c r="SER1" s="1"/>
      <c r="SES1" s="1"/>
      <c r="SET1" s="1"/>
      <c r="SEU1" s="1"/>
      <c r="SEV1" s="1"/>
      <c r="SEW1" s="1"/>
      <c r="SEX1" s="1"/>
      <c r="SEY1" s="1"/>
      <c r="SEZ1" s="1"/>
      <c r="SFA1" s="1"/>
      <c r="SFB1" s="1"/>
      <c r="SFC1" s="1"/>
      <c r="SFD1" s="1"/>
      <c r="SFE1" s="1"/>
      <c r="SFF1" s="1"/>
      <c r="SFG1" s="1"/>
      <c r="SFH1" s="1"/>
      <c r="SFI1" s="1"/>
      <c r="SFJ1" s="1"/>
      <c r="SFK1" s="1"/>
      <c r="SFL1" s="1"/>
      <c r="SFM1" s="1"/>
      <c r="SFN1" s="1"/>
      <c r="SFO1" s="1"/>
      <c r="SFP1" s="1"/>
      <c r="SFQ1" s="1"/>
      <c r="SFR1" s="1"/>
      <c r="SFS1" s="1"/>
      <c r="SFT1" s="1"/>
      <c r="SFU1" s="1"/>
      <c r="SFV1" s="1"/>
      <c r="SFW1" s="1"/>
      <c r="SFX1" s="1"/>
      <c r="SFY1" s="1"/>
      <c r="SFZ1" s="1"/>
      <c r="SGA1" s="1"/>
      <c r="SGB1" s="1"/>
      <c r="SGC1" s="1"/>
      <c r="SGD1" s="1"/>
      <c r="SGE1" s="1"/>
      <c r="SGF1" s="1"/>
      <c r="SGG1" s="1"/>
      <c r="SGH1" s="1"/>
      <c r="SGI1" s="1"/>
      <c r="SGJ1" s="1"/>
      <c r="SGK1" s="1"/>
      <c r="SGL1" s="1"/>
      <c r="SGM1" s="1"/>
      <c r="SGN1" s="1"/>
      <c r="SGO1" s="1"/>
      <c r="SGP1" s="1"/>
      <c r="SGQ1" s="1"/>
      <c r="SGR1" s="1"/>
      <c r="SGS1" s="1"/>
      <c r="SGT1" s="1"/>
      <c r="SGU1" s="1"/>
      <c r="SGV1" s="1"/>
      <c r="SGW1" s="1"/>
      <c r="SGX1" s="1"/>
      <c r="SGY1" s="1"/>
      <c r="SGZ1" s="1"/>
      <c r="SHA1" s="1"/>
      <c r="SHB1" s="1"/>
      <c r="SHC1" s="1"/>
      <c r="SHD1" s="1"/>
      <c r="SHE1" s="1"/>
      <c r="SHF1" s="1"/>
      <c r="SHG1" s="1"/>
      <c r="SHH1" s="1"/>
      <c r="SHI1" s="1"/>
      <c r="SHJ1" s="1"/>
      <c r="SHK1" s="1"/>
      <c r="SHL1" s="1"/>
      <c r="SHM1" s="1"/>
      <c r="SHN1" s="1"/>
      <c r="SHO1" s="1"/>
      <c r="SHP1" s="1"/>
      <c r="SHQ1" s="1"/>
      <c r="SHR1" s="1"/>
      <c r="SHS1" s="1"/>
      <c r="SHT1" s="1"/>
      <c r="SHU1" s="1"/>
      <c r="SHV1" s="1"/>
      <c r="SHW1" s="1"/>
      <c r="SHX1" s="1"/>
      <c r="SHY1" s="1"/>
      <c r="SHZ1" s="1"/>
      <c r="SIA1" s="1"/>
      <c r="SIB1" s="1"/>
      <c r="SIC1" s="1"/>
      <c r="SID1" s="1"/>
      <c r="SIE1" s="1"/>
      <c r="SIF1" s="1"/>
      <c r="SIG1" s="1"/>
      <c r="SIH1" s="1"/>
      <c r="SII1" s="1"/>
      <c r="SIJ1" s="1"/>
      <c r="SIK1" s="1"/>
      <c r="SIL1" s="1"/>
      <c r="SIM1" s="1"/>
      <c r="SIN1" s="1"/>
      <c r="SIO1" s="1"/>
      <c r="SIP1" s="1"/>
      <c r="SIQ1" s="1"/>
      <c r="SIR1" s="1"/>
      <c r="SIS1" s="1"/>
      <c r="SIT1" s="1"/>
      <c r="SIU1" s="1"/>
      <c r="SIV1" s="1"/>
      <c r="SIW1" s="1"/>
      <c r="SIX1" s="1"/>
      <c r="SIY1" s="1"/>
      <c r="SIZ1" s="1"/>
      <c r="SJA1" s="1"/>
      <c r="SJB1" s="1"/>
      <c r="SJC1" s="1"/>
      <c r="SJD1" s="1"/>
      <c r="SJE1" s="1"/>
      <c r="SJF1" s="1"/>
      <c r="SJG1" s="1"/>
      <c r="SJH1" s="1"/>
      <c r="SJI1" s="1"/>
      <c r="SJJ1" s="1"/>
      <c r="SJK1" s="1"/>
      <c r="SJL1" s="1"/>
      <c r="SJM1" s="1"/>
      <c r="SJN1" s="1"/>
      <c r="SJO1" s="1"/>
      <c r="SJP1" s="1"/>
      <c r="SJQ1" s="1"/>
      <c r="SJR1" s="1"/>
      <c r="SJS1" s="1"/>
      <c r="SJT1" s="1"/>
      <c r="SJU1" s="1"/>
      <c r="SJV1" s="1"/>
      <c r="SJW1" s="1"/>
      <c r="SJX1" s="1"/>
      <c r="SJY1" s="1"/>
      <c r="SJZ1" s="1"/>
      <c r="SKA1" s="1"/>
      <c r="SKB1" s="1"/>
      <c r="SKC1" s="1"/>
      <c r="SKD1" s="1"/>
      <c r="SKE1" s="1"/>
      <c r="SKF1" s="1"/>
      <c r="SKG1" s="1"/>
      <c r="SKH1" s="1"/>
      <c r="SKI1" s="1"/>
      <c r="SKJ1" s="1"/>
      <c r="SKK1" s="1"/>
      <c r="SKL1" s="1"/>
      <c r="SKM1" s="1"/>
      <c r="SKN1" s="1"/>
      <c r="SKO1" s="1"/>
      <c r="SKP1" s="1"/>
      <c r="SKQ1" s="1"/>
      <c r="SKR1" s="1"/>
      <c r="SKS1" s="1"/>
      <c r="SKT1" s="1"/>
      <c r="SKU1" s="1"/>
      <c r="SKV1" s="1"/>
      <c r="SKW1" s="1"/>
      <c r="SKX1" s="1"/>
      <c r="SKY1" s="1"/>
      <c r="SKZ1" s="1"/>
      <c r="SLA1" s="1"/>
      <c r="SLB1" s="1"/>
      <c r="SLC1" s="1"/>
      <c r="SLD1" s="1"/>
      <c r="SLE1" s="1"/>
      <c r="SLF1" s="1"/>
      <c r="SLG1" s="1"/>
      <c r="SLH1" s="1"/>
      <c r="SLI1" s="1"/>
      <c r="SLJ1" s="1"/>
      <c r="SLK1" s="1"/>
      <c r="SLL1" s="1"/>
      <c r="SLM1" s="1"/>
      <c r="SLN1" s="1"/>
      <c r="SLO1" s="1"/>
      <c r="SLP1" s="1"/>
      <c r="SLQ1" s="1"/>
      <c r="SLR1" s="1"/>
      <c r="SLS1" s="1"/>
      <c r="SLT1" s="1"/>
      <c r="SLU1" s="1"/>
      <c r="SLV1" s="1"/>
      <c r="SLW1" s="1"/>
      <c r="SLX1" s="1"/>
      <c r="SLY1" s="1"/>
      <c r="SLZ1" s="1"/>
      <c r="SMA1" s="1"/>
      <c r="SMB1" s="1"/>
      <c r="SMC1" s="1"/>
      <c r="SMD1" s="1"/>
      <c r="SME1" s="1"/>
      <c r="SMF1" s="1"/>
      <c r="SMG1" s="1"/>
      <c r="SMH1" s="1"/>
      <c r="SMI1" s="1"/>
      <c r="SMJ1" s="1"/>
      <c r="SMK1" s="1"/>
      <c r="SML1" s="1"/>
      <c r="SMM1" s="1"/>
      <c r="SMN1" s="1"/>
      <c r="SMO1" s="1"/>
      <c r="SMP1" s="1"/>
      <c r="SMQ1" s="1"/>
      <c r="SMR1" s="1"/>
      <c r="SMS1" s="1"/>
      <c r="SMT1" s="1"/>
      <c r="SMU1" s="1"/>
      <c r="SMV1" s="1"/>
      <c r="SMW1" s="1"/>
      <c r="SMX1" s="1"/>
      <c r="SMY1" s="1"/>
      <c r="SMZ1" s="1"/>
      <c r="SNA1" s="1"/>
      <c r="SNB1" s="1"/>
      <c r="SNC1" s="1"/>
      <c r="SND1" s="1"/>
      <c r="SNE1" s="1"/>
      <c r="SNF1" s="1"/>
      <c r="SNG1" s="1"/>
      <c r="SNH1" s="1"/>
      <c r="SNI1" s="1"/>
      <c r="SNJ1" s="1"/>
      <c r="SNK1" s="1"/>
      <c r="SNL1" s="1"/>
      <c r="SNM1" s="1"/>
      <c r="SNN1" s="1"/>
      <c r="SNO1" s="1"/>
      <c r="SNP1" s="1"/>
      <c r="SNQ1" s="1"/>
      <c r="SNR1" s="1"/>
      <c r="SNS1" s="1"/>
      <c r="SNT1" s="1"/>
      <c r="SNU1" s="1"/>
      <c r="SNV1" s="1"/>
      <c r="SNW1" s="1"/>
      <c r="SNX1" s="1"/>
      <c r="SNY1" s="1"/>
      <c r="SNZ1" s="1"/>
      <c r="SOA1" s="1"/>
      <c r="SOB1" s="1"/>
      <c r="SOC1" s="1"/>
      <c r="SOD1" s="1"/>
      <c r="SOE1" s="1"/>
      <c r="SOF1" s="1"/>
      <c r="SOG1" s="1"/>
      <c r="SOH1" s="1"/>
      <c r="SOI1" s="1"/>
      <c r="SOJ1" s="1"/>
      <c r="SOK1" s="1"/>
      <c r="SOL1" s="1"/>
      <c r="SOM1" s="1"/>
      <c r="SON1" s="1"/>
      <c r="SOO1" s="1"/>
      <c r="SOP1" s="1"/>
      <c r="SOQ1" s="1"/>
      <c r="SOR1" s="1"/>
      <c r="SOS1" s="1"/>
      <c r="SOT1" s="1"/>
      <c r="SOU1" s="1"/>
      <c r="SOV1" s="1"/>
      <c r="SOW1" s="1"/>
      <c r="SOX1" s="1"/>
      <c r="SOY1" s="1"/>
      <c r="SOZ1" s="1"/>
      <c r="SPA1" s="1"/>
      <c r="SPB1" s="1"/>
      <c r="SPC1" s="1"/>
      <c r="SPD1" s="1"/>
      <c r="SPE1" s="1"/>
      <c r="SPF1" s="1"/>
      <c r="SPG1" s="1"/>
      <c r="SPH1" s="1"/>
      <c r="SPI1" s="1"/>
      <c r="SPJ1" s="1"/>
      <c r="SPK1" s="1"/>
      <c r="SPL1" s="1"/>
      <c r="SPM1" s="1"/>
      <c r="SPN1" s="1"/>
      <c r="SPO1" s="1"/>
      <c r="SPP1" s="1"/>
      <c r="SPQ1" s="1"/>
      <c r="SPR1" s="1"/>
      <c r="SPS1" s="1"/>
      <c r="SPT1" s="1"/>
      <c r="SPU1" s="1"/>
      <c r="SPV1" s="1"/>
      <c r="SPW1" s="1"/>
      <c r="SPX1" s="1"/>
      <c r="SPY1" s="1"/>
      <c r="SPZ1" s="1"/>
      <c r="SQA1" s="1"/>
      <c r="SQB1" s="1"/>
      <c r="SQC1" s="1"/>
      <c r="SQD1" s="1"/>
      <c r="SQE1" s="1"/>
      <c r="SQF1" s="1"/>
      <c r="SQG1" s="1"/>
      <c r="SQH1" s="1"/>
      <c r="SQI1" s="1"/>
      <c r="SQJ1" s="1"/>
      <c r="SQK1" s="1"/>
      <c r="SQL1" s="1"/>
      <c r="SQM1" s="1"/>
      <c r="SQN1" s="1"/>
      <c r="SQO1" s="1"/>
      <c r="SQP1" s="1"/>
      <c r="SQQ1" s="1"/>
      <c r="SQR1" s="1"/>
      <c r="SQS1" s="1"/>
      <c r="SQT1" s="1"/>
      <c r="SQU1" s="1"/>
      <c r="SQV1" s="1"/>
      <c r="SQW1" s="1"/>
      <c r="SQX1" s="1"/>
      <c r="SQY1" s="1"/>
      <c r="SQZ1" s="1"/>
      <c r="SRA1" s="1"/>
      <c r="SRB1" s="1"/>
      <c r="SRC1" s="1"/>
      <c r="SRD1" s="1"/>
      <c r="SRE1" s="1"/>
      <c r="SRF1" s="1"/>
      <c r="SRG1" s="1"/>
      <c r="SRH1" s="1"/>
      <c r="SRI1" s="1"/>
      <c r="SRJ1" s="1"/>
      <c r="SRK1" s="1"/>
      <c r="SRL1" s="1"/>
      <c r="SRM1" s="1"/>
      <c r="SRN1" s="1"/>
      <c r="SRO1" s="1"/>
      <c r="SRP1" s="1"/>
      <c r="SRQ1" s="1"/>
      <c r="SRR1" s="1"/>
      <c r="SRS1" s="1"/>
      <c r="SRT1" s="1"/>
      <c r="SRU1" s="1"/>
      <c r="SRV1" s="1"/>
      <c r="SRW1" s="1"/>
      <c r="SRX1" s="1"/>
      <c r="SRY1" s="1"/>
      <c r="SRZ1" s="1"/>
      <c r="SSA1" s="1"/>
      <c r="SSB1" s="1"/>
      <c r="SSC1" s="1"/>
      <c r="SSD1" s="1"/>
      <c r="SSE1" s="1"/>
      <c r="SSF1" s="1"/>
      <c r="SSG1" s="1"/>
      <c r="SSH1" s="1"/>
      <c r="SSI1" s="1"/>
      <c r="SSJ1" s="1"/>
      <c r="SSK1" s="1"/>
      <c r="SSL1" s="1"/>
      <c r="SSM1" s="1"/>
      <c r="SSN1" s="1"/>
      <c r="SSO1" s="1"/>
      <c r="SSP1" s="1"/>
      <c r="SSQ1" s="1"/>
      <c r="SSR1" s="1"/>
      <c r="SSS1" s="1"/>
      <c r="SST1" s="1"/>
      <c r="SSU1" s="1"/>
      <c r="SSV1" s="1"/>
      <c r="SSW1" s="1"/>
      <c r="SSX1" s="1"/>
      <c r="SSY1" s="1"/>
      <c r="SSZ1" s="1"/>
      <c r="STA1" s="1"/>
      <c r="STB1" s="1"/>
      <c r="STC1" s="1"/>
      <c r="STD1" s="1"/>
      <c r="STE1" s="1"/>
      <c r="STF1" s="1"/>
      <c r="STG1" s="1"/>
      <c r="STH1" s="1"/>
      <c r="STI1" s="1"/>
      <c r="STJ1" s="1"/>
      <c r="STK1" s="1"/>
      <c r="STL1" s="1"/>
      <c r="STM1" s="1"/>
      <c r="STN1" s="1"/>
      <c r="STO1" s="1"/>
      <c r="STP1" s="1"/>
      <c r="STQ1" s="1"/>
      <c r="STR1" s="1"/>
      <c r="STS1" s="1"/>
      <c r="STT1" s="1"/>
      <c r="STU1" s="1"/>
      <c r="STV1" s="1"/>
      <c r="STW1" s="1"/>
      <c r="STX1" s="1"/>
      <c r="STY1" s="1"/>
      <c r="STZ1" s="1"/>
      <c r="SUA1" s="1"/>
      <c r="SUB1" s="1"/>
      <c r="SUC1" s="1"/>
      <c r="SUD1" s="1"/>
      <c r="SUE1" s="1"/>
      <c r="SUF1" s="1"/>
      <c r="SUG1" s="1"/>
      <c r="SUH1" s="1"/>
      <c r="SUI1" s="1"/>
      <c r="SUJ1" s="1"/>
      <c r="SUK1" s="1"/>
      <c r="SUL1" s="1"/>
      <c r="SUM1" s="1"/>
      <c r="SUN1" s="1"/>
      <c r="SUO1" s="1"/>
      <c r="SUP1" s="1"/>
      <c r="SUQ1" s="1"/>
      <c r="SUR1" s="1"/>
      <c r="SUS1" s="1"/>
      <c r="SUT1" s="1"/>
      <c r="SUU1" s="1"/>
      <c r="SUV1" s="1"/>
      <c r="SUW1" s="1"/>
      <c r="SUX1" s="1"/>
      <c r="SUY1" s="1"/>
      <c r="SUZ1" s="1"/>
      <c r="SVA1" s="1"/>
      <c r="SVB1" s="1"/>
      <c r="SVC1" s="1"/>
      <c r="SVD1" s="1"/>
      <c r="SVE1" s="1"/>
      <c r="SVF1" s="1"/>
      <c r="SVG1" s="1"/>
      <c r="SVH1" s="1"/>
      <c r="SVI1" s="1"/>
      <c r="SVJ1" s="1"/>
      <c r="SVK1" s="1"/>
      <c r="SVL1" s="1"/>
      <c r="SVM1" s="1"/>
      <c r="SVN1" s="1"/>
      <c r="SVO1" s="1"/>
      <c r="SVP1" s="1"/>
      <c r="SVQ1" s="1"/>
      <c r="SVR1" s="1"/>
      <c r="SVS1" s="1"/>
      <c r="SVT1" s="1"/>
      <c r="SVU1" s="1"/>
      <c r="SVV1" s="1"/>
      <c r="SVW1" s="1"/>
      <c r="SVX1" s="1"/>
      <c r="SVY1" s="1"/>
      <c r="SVZ1" s="1"/>
      <c r="SWA1" s="1"/>
      <c r="SWB1" s="1"/>
      <c r="SWC1" s="1"/>
      <c r="SWD1" s="1"/>
      <c r="SWE1" s="1"/>
      <c r="SWF1" s="1"/>
      <c r="SWG1" s="1"/>
      <c r="SWH1" s="1"/>
      <c r="SWI1" s="1"/>
      <c r="SWJ1" s="1"/>
      <c r="SWK1" s="1"/>
      <c r="SWL1" s="1"/>
      <c r="SWM1" s="1"/>
      <c r="SWN1" s="1"/>
      <c r="SWO1" s="1"/>
      <c r="SWP1" s="1"/>
      <c r="SWQ1" s="1"/>
      <c r="SWR1" s="1"/>
      <c r="SWS1" s="1"/>
      <c r="SWT1" s="1"/>
      <c r="SWU1" s="1"/>
      <c r="SWV1" s="1"/>
      <c r="SWW1" s="1"/>
      <c r="SWX1" s="1"/>
      <c r="SWY1" s="1"/>
      <c r="SWZ1" s="1"/>
      <c r="SXA1" s="1"/>
      <c r="SXB1" s="1"/>
      <c r="SXC1" s="1"/>
      <c r="SXD1" s="1"/>
      <c r="SXE1" s="1"/>
      <c r="SXF1" s="1"/>
      <c r="SXG1" s="1"/>
      <c r="SXH1" s="1"/>
      <c r="SXI1" s="1"/>
      <c r="SXJ1" s="1"/>
      <c r="SXK1" s="1"/>
      <c r="SXL1" s="1"/>
      <c r="SXM1" s="1"/>
      <c r="SXN1" s="1"/>
      <c r="SXO1" s="1"/>
      <c r="SXP1" s="1"/>
      <c r="SXQ1" s="1"/>
      <c r="SXR1" s="1"/>
      <c r="SXS1" s="1"/>
      <c r="SXT1" s="1"/>
      <c r="SXU1" s="1"/>
      <c r="SXV1" s="1"/>
      <c r="SXW1" s="1"/>
      <c r="SXX1" s="1"/>
      <c r="SXY1" s="1"/>
      <c r="SXZ1" s="1"/>
      <c r="SYA1" s="1"/>
      <c r="SYB1" s="1"/>
      <c r="SYC1" s="1"/>
      <c r="SYD1" s="1"/>
      <c r="SYE1" s="1"/>
      <c r="SYF1" s="1"/>
      <c r="SYG1" s="1"/>
      <c r="SYH1" s="1"/>
      <c r="SYI1" s="1"/>
      <c r="SYJ1" s="1"/>
      <c r="SYK1" s="1"/>
      <c r="SYL1" s="1"/>
      <c r="SYM1" s="1"/>
      <c r="SYN1" s="1"/>
      <c r="SYO1" s="1"/>
      <c r="SYP1" s="1"/>
      <c r="SYQ1" s="1"/>
      <c r="SYR1" s="1"/>
      <c r="SYS1" s="1"/>
      <c r="SYT1" s="1"/>
      <c r="SYU1" s="1"/>
      <c r="SYV1" s="1"/>
      <c r="SYW1" s="1"/>
      <c r="SYX1" s="1"/>
      <c r="SYY1" s="1"/>
      <c r="SYZ1" s="1"/>
      <c r="SZA1" s="1"/>
      <c r="SZB1" s="1"/>
      <c r="SZC1" s="1"/>
      <c r="SZD1" s="1"/>
      <c r="SZE1" s="1"/>
      <c r="SZF1" s="1"/>
      <c r="SZG1" s="1"/>
      <c r="SZH1" s="1"/>
      <c r="SZI1" s="1"/>
      <c r="SZJ1" s="1"/>
      <c r="SZK1" s="1"/>
      <c r="SZL1" s="1"/>
      <c r="SZM1" s="1"/>
      <c r="SZN1" s="1"/>
      <c r="SZO1" s="1"/>
      <c r="SZP1" s="1"/>
      <c r="SZQ1" s="1"/>
      <c r="SZR1" s="1"/>
      <c r="SZS1" s="1"/>
      <c r="SZT1" s="1"/>
      <c r="SZU1" s="1"/>
      <c r="SZV1" s="1"/>
      <c r="SZW1" s="1"/>
      <c r="SZX1" s="1"/>
      <c r="SZY1" s="1"/>
      <c r="SZZ1" s="1"/>
      <c r="TAA1" s="1"/>
      <c r="TAB1" s="1"/>
      <c r="TAC1" s="1"/>
      <c r="TAD1" s="1"/>
      <c r="TAE1" s="1"/>
      <c r="TAF1" s="1"/>
      <c r="TAG1" s="1"/>
      <c r="TAH1" s="1"/>
      <c r="TAI1" s="1"/>
      <c r="TAJ1" s="1"/>
      <c r="TAK1" s="1"/>
      <c r="TAL1" s="1"/>
      <c r="TAM1" s="1"/>
      <c r="TAN1" s="1"/>
      <c r="TAO1" s="1"/>
      <c r="TAP1" s="1"/>
      <c r="TAQ1" s="1"/>
      <c r="TAR1" s="1"/>
      <c r="TAS1" s="1"/>
      <c r="TAT1" s="1"/>
      <c r="TAU1" s="1"/>
      <c r="TAV1" s="1"/>
      <c r="TAW1" s="1"/>
      <c r="TAX1" s="1"/>
      <c r="TAY1" s="1"/>
      <c r="TAZ1" s="1"/>
      <c r="TBA1" s="1"/>
      <c r="TBB1" s="1"/>
      <c r="TBC1" s="1"/>
      <c r="TBD1" s="1"/>
      <c r="TBE1" s="1"/>
      <c r="TBF1" s="1"/>
      <c r="TBG1" s="1"/>
      <c r="TBH1" s="1"/>
      <c r="TBI1" s="1"/>
      <c r="TBJ1" s="1"/>
      <c r="TBK1" s="1"/>
      <c r="TBL1" s="1"/>
      <c r="TBM1" s="1"/>
      <c r="TBN1" s="1"/>
      <c r="TBO1" s="1"/>
      <c r="TBP1" s="1"/>
      <c r="TBQ1" s="1"/>
      <c r="TBR1" s="1"/>
      <c r="TBS1" s="1"/>
      <c r="TBT1" s="1"/>
      <c r="TBU1" s="1"/>
      <c r="TBV1" s="1"/>
      <c r="TBW1" s="1"/>
      <c r="TBX1" s="1"/>
      <c r="TBY1" s="1"/>
      <c r="TBZ1" s="1"/>
      <c r="TCA1" s="1"/>
      <c r="TCB1" s="1"/>
      <c r="TCC1" s="1"/>
      <c r="TCD1" s="1"/>
      <c r="TCE1" s="1"/>
      <c r="TCF1" s="1"/>
      <c r="TCG1" s="1"/>
      <c r="TCH1" s="1"/>
      <c r="TCI1" s="1"/>
      <c r="TCJ1" s="1"/>
      <c r="TCK1" s="1"/>
      <c r="TCL1" s="1"/>
      <c r="TCM1" s="1"/>
      <c r="TCN1" s="1"/>
      <c r="TCO1" s="1"/>
      <c r="TCP1" s="1"/>
      <c r="TCQ1" s="1"/>
      <c r="TCR1" s="1"/>
      <c r="TCS1" s="1"/>
      <c r="TCT1" s="1"/>
      <c r="TCU1" s="1"/>
      <c r="TCV1" s="1"/>
      <c r="TCW1" s="1"/>
      <c r="TCX1" s="1"/>
      <c r="TCY1" s="1"/>
      <c r="TCZ1" s="1"/>
      <c r="TDA1" s="1"/>
      <c r="TDB1" s="1"/>
      <c r="TDC1" s="1"/>
      <c r="TDD1" s="1"/>
      <c r="TDE1" s="1"/>
      <c r="TDF1" s="1"/>
      <c r="TDG1" s="1"/>
      <c r="TDH1" s="1"/>
      <c r="TDI1" s="1"/>
      <c r="TDJ1" s="1"/>
      <c r="TDK1" s="1"/>
      <c r="TDL1" s="1"/>
      <c r="TDM1" s="1"/>
      <c r="TDN1" s="1"/>
      <c r="TDO1" s="1"/>
      <c r="TDP1" s="1"/>
      <c r="TDQ1" s="1"/>
      <c r="TDR1" s="1"/>
      <c r="TDS1" s="1"/>
      <c r="TDT1" s="1"/>
      <c r="TDU1" s="1"/>
      <c r="TDV1" s="1"/>
      <c r="TDW1" s="1"/>
      <c r="TDX1" s="1"/>
      <c r="TDY1" s="1"/>
      <c r="TDZ1" s="1"/>
      <c r="TEA1" s="1"/>
      <c r="TEB1" s="1"/>
      <c r="TEC1" s="1"/>
      <c r="TED1" s="1"/>
      <c r="TEE1" s="1"/>
      <c r="TEF1" s="1"/>
      <c r="TEG1" s="1"/>
      <c r="TEH1" s="1"/>
      <c r="TEI1" s="1"/>
      <c r="TEJ1" s="1"/>
      <c r="TEK1" s="1"/>
      <c r="TEL1" s="1"/>
      <c r="TEM1" s="1"/>
      <c r="TEN1" s="1"/>
      <c r="TEO1" s="1"/>
      <c r="TEP1" s="1"/>
      <c r="TEQ1" s="1"/>
      <c r="TER1" s="1"/>
      <c r="TES1" s="1"/>
      <c r="TET1" s="1"/>
      <c r="TEU1" s="1"/>
      <c r="TEV1" s="1"/>
      <c r="TEW1" s="1"/>
      <c r="TEX1" s="1"/>
      <c r="TEY1" s="1"/>
      <c r="TEZ1" s="1"/>
      <c r="TFA1" s="1"/>
      <c r="TFB1" s="1"/>
      <c r="TFC1" s="1"/>
      <c r="TFD1" s="1"/>
      <c r="TFE1" s="1"/>
      <c r="TFF1" s="1"/>
      <c r="TFG1" s="1"/>
      <c r="TFH1" s="1"/>
      <c r="TFI1" s="1"/>
      <c r="TFJ1" s="1"/>
      <c r="TFK1" s="1"/>
      <c r="TFL1" s="1"/>
      <c r="TFM1" s="1"/>
      <c r="TFN1" s="1"/>
      <c r="TFO1" s="1"/>
      <c r="TFP1" s="1"/>
      <c r="TFQ1" s="1"/>
      <c r="TFR1" s="1"/>
      <c r="TFS1" s="1"/>
      <c r="TFT1" s="1"/>
      <c r="TFU1" s="1"/>
      <c r="TFV1" s="1"/>
      <c r="TFW1" s="1"/>
      <c r="TFX1" s="1"/>
      <c r="TFY1" s="1"/>
      <c r="TFZ1" s="1"/>
      <c r="TGA1" s="1"/>
      <c r="TGB1" s="1"/>
      <c r="TGC1" s="1"/>
      <c r="TGD1" s="1"/>
      <c r="TGE1" s="1"/>
      <c r="TGF1" s="1"/>
      <c r="TGG1" s="1"/>
      <c r="TGH1" s="1"/>
      <c r="TGI1" s="1"/>
      <c r="TGJ1" s="1"/>
      <c r="TGK1" s="1"/>
      <c r="TGL1" s="1"/>
      <c r="TGM1" s="1"/>
      <c r="TGN1" s="1"/>
      <c r="TGO1" s="1"/>
      <c r="TGP1" s="1"/>
      <c r="TGQ1" s="1"/>
      <c r="TGR1" s="1"/>
      <c r="TGS1" s="1"/>
      <c r="TGT1" s="1"/>
      <c r="TGU1" s="1"/>
      <c r="TGV1" s="1"/>
      <c r="TGW1" s="1"/>
      <c r="TGX1" s="1"/>
      <c r="TGY1" s="1"/>
      <c r="TGZ1" s="1"/>
      <c r="THA1" s="1"/>
      <c r="THB1" s="1"/>
      <c r="THC1" s="1"/>
      <c r="THD1" s="1"/>
      <c r="THE1" s="1"/>
      <c r="THF1" s="1"/>
      <c r="THG1" s="1"/>
      <c r="THH1" s="1"/>
      <c r="THI1" s="1"/>
      <c r="THJ1" s="1"/>
      <c r="THK1" s="1"/>
      <c r="THL1" s="1"/>
      <c r="THM1" s="1"/>
      <c r="THN1" s="1"/>
      <c r="THO1" s="1"/>
      <c r="THP1" s="1"/>
      <c r="THQ1" s="1"/>
      <c r="THR1" s="1"/>
      <c r="THS1" s="1"/>
      <c r="THT1" s="1"/>
      <c r="THU1" s="1"/>
      <c r="THV1" s="1"/>
      <c r="THW1" s="1"/>
      <c r="THX1" s="1"/>
      <c r="THY1" s="1"/>
      <c r="THZ1" s="1"/>
      <c r="TIA1" s="1"/>
      <c r="TIB1" s="1"/>
      <c r="TIC1" s="1"/>
      <c r="TID1" s="1"/>
      <c r="TIE1" s="1"/>
      <c r="TIF1" s="1"/>
      <c r="TIG1" s="1"/>
      <c r="TIH1" s="1"/>
      <c r="TII1" s="1"/>
      <c r="TIJ1" s="1"/>
      <c r="TIK1" s="1"/>
      <c r="TIL1" s="1"/>
      <c r="TIM1" s="1"/>
      <c r="TIN1" s="1"/>
      <c r="TIO1" s="1"/>
      <c r="TIP1" s="1"/>
      <c r="TIQ1" s="1"/>
      <c r="TIR1" s="1"/>
      <c r="TIS1" s="1"/>
      <c r="TIT1" s="1"/>
      <c r="TIU1" s="1"/>
      <c r="TIV1" s="1"/>
      <c r="TIW1" s="1"/>
      <c r="TIX1" s="1"/>
      <c r="TIY1" s="1"/>
      <c r="TIZ1" s="1"/>
      <c r="TJA1" s="1"/>
      <c r="TJB1" s="1"/>
      <c r="TJC1" s="1"/>
      <c r="TJD1" s="1"/>
      <c r="TJE1" s="1"/>
      <c r="TJF1" s="1"/>
      <c r="TJG1" s="1"/>
      <c r="TJH1" s="1"/>
      <c r="TJI1" s="1"/>
      <c r="TJJ1" s="1"/>
      <c r="TJK1" s="1"/>
      <c r="TJL1" s="1"/>
      <c r="TJM1" s="1"/>
      <c r="TJN1" s="1"/>
      <c r="TJO1" s="1"/>
      <c r="TJP1" s="1"/>
      <c r="TJQ1" s="1"/>
      <c r="TJR1" s="1"/>
      <c r="TJS1" s="1"/>
      <c r="TJT1" s="1"/>
      <c r="TJU1" s="1"/>
      <c r="TJV1" s="1"/>
      <c r="TJW1" s="1"/>
      <c r="TJX1" s="1"/>
      <c r="TJY1" s="1"/>
      <c r="TJZ1" s="1"/>
      <c r="TKA1" s="1"/>
      <c r="TKB1" s="1"/>
      <c r="TKC1" s="1"/>
      <c r="TKD1" s="1"/>
      <c r="TKE1" s="1"/>
      <c r="TKF1" s="1"/>
      <c r="TKG1" s="1"/>
      <c r="TKH1" s="1"/>
      <c r="TKI1" s="1"/>
      <c r="TKJ1" s="1"/>
      <c r="TKK1" s="1"/>
      <c r="TKL1" s="1"/>
      <c r="TKM1" s="1"/>
      <c r="TKN1" s="1"/>
      <c r="TKO1" s="1"/>
      <c r="TKP1" s="1"/>
      <c r="TKQ1" s="1"/>
      <c r="TKR1" s="1"/>
      <c r="TKS1" s="1"/>
      <c r="TKT1" s="1"/>
      <c r="TKU1" s="1"/>
      <c r="TKV1" s="1"/>
      <c r="TKW1" s="1"/>
      <c r="TKX1" s="1"/>
      <c r="TKY1" s="1"/>
      <c r="TKZ1" s="1"/>
      <c r="TLA1" s="1"/>
      <c r="TLB1" s="1"/>
      <c r="TLC1" s="1"/>
      <c r="TLD1" s="1"/>
      <c r="TLE1" s="1"/>
      <c r="TLF1" s="1"/>
      <c r="TLG1" s="1"/>
      <c r="TLH1" s="1"/>
      <c r="TLI1" s="1"/>
      <c r="TLJ1" s="1"/>
      <c r="TLK1" s="1"/>
      <c r="TLL1" s="1"/>
      <c r="TLM1" s="1"/>
      <c r="TLN1" s="1"/>
      <c r="TLO1" s="1"/>
      <c r="TLP1" s="1"/>
      <c r="TLQ1" s="1"/>
      <c r="TLR1" s="1"/>
      <c r="TLS1" s="1"/>
      <c r="TLT1" s="1"/>
      <c r="TLU1" s="1"/>
      <c r="TLV1" s="1"/>
      <c r="TLW1" s="1"/>
      <c r="TLX1" s="1"/>
      <c r="TLY1" s="1"/>
      <c r="TLZ1" s="1"/>
      <c r="TMA1" s="1"/>
      <c r="TMB1" s="1"/>
      <c r="TMC1" s="1"/>
      <c r="TMD1" s="1"/>
      <c r="TME1" s="1"/>
      <c r="TMF1" s="1"/>
      <c r="TMG1" s="1"/>
      <c r="TMH1" s="1"/>
      <c r="TMI1" s="1"/>
      <c r="TMJ1" s="1"/>
      <c r="TMK1" s="1"/>
      <c r="TML1" s="1"/>
      <c r="TMM1" s="1"/>
      <c r="TMN1" s="1"/>
      <c r="TMO1" s="1"/>
      <c r="TMP1" s="1"/>
      <c r="TMQ1" s="1"/>
      <c r="TMR1" s="1"/>
      <c r="TMS1" s="1"/>
      <c r="TMT1" s="1"/>
      <c r="TMU1" s="1"/>
      <c r="TMV1" s="1"/>
      <c r="TMW1" s="1"/>
      <c r="TMX1" s="1"/>
      <c r="TMY1" s="1"/>
      <c r="TMZ1" s="1"/>
      <c r="TNA1" s="1"/>
      <c r="TNB1" s="1"/>
      <c r="TNC1" s="1"/>
      <c r="TND1" s="1"/>
      <c r="TNE1" s="1"/>
      <c r="TNF1" s="1"/>
      <c r="TNG1" s="1"/>
      <c r="TNH1" s="1"/>
      <c r="TNI1" s="1"/>
      <c r="TNJ1" s="1"/>
      <c r="TNK1" s="1"/>
      <c r="TNL1" s="1"/>
      <c r="TNM1" s="1"/>
      <c r="TNN1" s="1"/>
      <c r="TNO1" s="1"/>
      <c r="TNP1" s="1"/>
      <c r="TNQ1" s="1"/>
      <c r="TNR1" s="1"/>
      <c r="TNS1" s="1"/>
      <c r="TNT1" s="1"/>
      <c r="TNU1" s="1"/>
      <c r="TNV1" s="1"/>
      <c r="TNW1" s="1"/>
      <c r="TNX1" s="1"/>
      <c r="TNY1" s="1"/>
      <c r="TNZ1" s="1"/>
      <c r="TOA1" s="1"/>
      <c r="TOB1" s="1"/>
      <c r="TOC1" s="1"/>
      <c r="TOD1" s="1"/>
      <c r="TOE1" s="1"/>
      <c r="TOF1" s="1"/>
      <c r="TOG1" s="1"/>
      <c r="TOH1" s="1"/>
      <c r="TOI1" s="1"/>
      <c r="TOJ1" s="1"/>
      <c r="TOK1" s="1"/>
      <c r="TOL1" s="1"/>
      <c r="TOM1" s="1"/>
      <c r="TON1" s="1"/>
      <c r="TOO1" s="1"/>
      <c r="TOP1" s="1"/>
      <c r="TOQ1" s="1"/>
      <c r="TOR1" s="1"/>
      <c r="TOS1" s="1"/>
      <c r="TOT1" s="1"/>
      <c r="TOU1" s="1"/>
      <c r="TOV1" s="1"/>
      <c r="TOW1" s="1"/>
      <c r="TOX1" s="1"/>
      <c r="TOY1" s="1"/>
      <c r="TOZ1" s="1"/>
      <c r="TPA1" s="1"/>
      <c r="TPB1" s="1"/>
      <c r="TPC1" s="1"/>
      <c r="TPD1" s="1"/>
      <c r="TPE1" s="1"/>
      <c r="TPF1" s="1"/>
      <c r="TPG1" s="1"/>
      <c r="TPH1" s="1"/>
      <c r="TPI1" s="1"/>
      <c r="TPJ1" s="1"/>
      <c r="TPK1" s="1"/>
      <c r="TPL1" s="1"/>
      <c r="TPM1" s="1"/>
      <c r="TPN1" s="1"/>
      <c r="TPO1" s="1"/>
      <c r="TPP1" s="1"/>
      <c r="TPQ1" s="1"/>
      <c r="TPR1" s="1"/>
      <c r="TPS1" s="1"/>
      <c r="TPT1" s="1"/>
      <c r="TPU1" s="1"/>
      <c r="TPV1" s="1"/>
      <c r="TPW1" s="1"/>
      <c r="TPX1" s="1"/>
      <c r="TPY1" s="1"/>
      <c r="TPZ1" s="1"/>
      <c r="TQA1" s="1"/>
      <c r="TQB1" s="1"/>
      <c r="TQC1" s="1"/>
      <c r="TQD1" s="1"/>
      <c r="TQE1" s="1"/>
      <c r="TQF1" s="1"/>
      <c r="TQG1" s="1"/>
      <c r="TQH1" s="1"/>
      <c r="TQI1" s="1"/>
      <c r="TQJ1" s="1"/>
      <c r="TQK1" s="1"/>
      <c r="TQL1" s="1"/>
      <c r="TQM1" s="1"/>
      <c r="TQN1" s="1"/>
      <c r="TQO1" s="1"/>
      <c r="TQP1" s="1"/>
      <c r="TQQ1" s="1"/>
      <c r="TQR1" s="1"/>
      <c r="TQS1" s="1"/>
      <c r="TQT1" s="1"/>
      <c r="TQU1" s="1"/>
      <c r="TQV1" s="1"/>
      <c r="TQW1" s="1"/>
      <c r="TQX1" s="1"/>
      <c r="TQY1" s="1"/>
      <c r="TQZ1" s="1"/>
      <c r="TRA1" s="1"/>
      <c r="TRB1" s="1"/>
      <c r="TRC1" s="1"/>
      <c r="TRD1" s="1"/>
      <c r="TRE1" s="1"/>
      <c r="TRF1" s="1"/>
      <c r="TRG1" s="1"/>
      <c r="TRH1" s="1"/>
      <c r="TRI1" s="1"/>
      <c r="TRJ1" s="1"/>
      <c r="TRK1" s="1"/>
      <c r="TRL1" s="1"/>
      <c r="TRM1" s="1"/>
      <c r="TRN1" s="1"/>
      <c r="TRO1" s="1"/>
      <c r="TRP1" s="1"/>
      <c r="TRQ1" s="1"/>
      <c r="TRR1" s="1"/>
      <c r="TRS1" s="1"/>
      <c r="TRT1" s="1"/>
      <c r="TRU1" s="1"/>
      <c r="TRV1" s="1"/>
      <c r="TRW1" s="1"/>
      <c r="TRX1" s="1"/>
      <c r="TRY1" s="1"/>
      <c r="TRZ1" s="1"/>
      <c r="TSA1" s="1"/>
      <c r="TSB1" s="1"/>
      <c r="TSC1" s="1"/>
      <c r="TSD1" s="1"/>
      <c r="TSE1" s="1"/>
      <c r="TSF1" s="1"/>
      <c r="TSG1" s="1"/>
      <c r="TSH1" s="1"/>
      <c r="TSI1" s="1"/>
      <c r="TSJ1" s="1"/>
      <c r="TSK1" s="1"/>
      <c r="TSL1" s="1"/>
      <c r="TSM1" s="1"/>
      <c r="TSN1" s="1"/>
      <c r="TSO1" s="1"/>
      <c r="TSP1" s="1"/>
      <c r="TSQ1" s="1"/>
      <c r="TSR1" s="1"/>
      <c r="TSS1" s="1"/>
      <c r="TST1" s="1"/>
      <c r="TSU1" s="1"/>
      <c r="TSV1" s="1"/>
      <c r="TSW1" s="1"/>
      <c r="TSX1" s="1"/>
      <c r="TSY1" s="1"/>
      <c r="TSZ1" s="1"/>
      <c r="TTA1" s="1"/>
      <c r="TTB1" s="1"/>
      <c r="TTC1" s="1"/>
      <c r="TTD1" s="1"/>
      <c r="TTE1" s="1"/>
      <c r="TTF1" s="1"/>
      <c r="TTG1" s="1"/>
      <c r="TTH1" s="1"/>
      <c r="TTI1" s="1"/>
      <c r="TTJ1" s="1"/>
      <c r="TTK1" s="1"/>
      <c r="TTL1" s="1"/>
      <c r="TTM1" s="1"/>
      <c r="TTN1" s="1"/>
      <c r="TTO1" s="1"/>
      <c r="TTP1" s="1"/>
      <c r="TTQ1" s="1"/>
      <c r="TTR1" s="1"/>
      <c r="TTS1" s="1"/>
      <c r="TTT1" s="1"/>
      <c r="TTU1" s="1"/>
      <c r="TTV1" s="1"/>
      <c r="TTW1" s="1"/>
      <c r="TTX1" s="1"/>
      <c r="TTY1" s="1"/>
      <c r="TTZ1" s="1"/>
      <c r="TUA1" s="1"/>
      <c r="TUB1" s="1"/>
      <c r="TUC1" s="1"/>
      <c r="TUD1" s="1"/>
      <c r="TUE1" s="1"/>
      <c r="TUF1" s="1"/>
      <c r="TUG1" s="1"/>
      <c r="TUH1" s="1"/>
      <c r="TUI1" s="1"/>
      <c r="TUJ1" s="1"/>
      <c r="TUK1" s="1"/>
      <c r="TUL1" s="1"/>
      <c r="TUM1" s="1"/>
      <c r="TUN1" s="1"/>
      <c r="TUO1" s="1"/>
      <c r="TUP1" s="1"/>
      <c r="TUQ1" s="1"/>
      <c r="TUR1" s="1"/>
      <c r="TUS1" s="1"/>
      <c r="TUT1" s="1"/>
      <c r="TUU1" s="1"/>
      <c r="TUV1" s="1"/>
      <c r="TUW1" s="1"/>
      <c r="TUX1" s="1"/>
      <c r="TUY1" s="1"/>
      <c r="TUZ1" s="1"/>
      <c r="TVA1" s="1"/>
      <c r="TVB1" s="1"/>
      <c r="TVC1" s="1"/>
      <c r="TVD1" s="1"/>
      <c r="TVE1" s="1"/>
      <c r="TVF1" s="1"/>
      <c r="TVG1" s="1"/>
      <c r="TVH1" s="1"/>
      <c r="TVI1" s="1"/>
      <c r="TVJ1" s="1"/>
      <c r="TVK1" s="1"/>
      <c r="TVL1" s="1"/>
      <c r="TVM1" s="1"/>
      <c r="TVN1" s="1"/>
      <c r="TVO1" s="1"/>
      <c r="TVP1" s="1"/>
      <c r="TVQ1" s="1"/>
      <c r="TVR1" s="1"/>
      <c r="TVS1" s="1"/>
      <c r="TVT1" s="1"/>
      <c r="TVU1" s="1"/>
      <c r="TVV1" s="1"/>
      <c r="TVW1" s="1"/>
      <c r="TVX1" s="1"/>
      <c r="TVY1" s="1"/>
      <c r="TVZ1" s="1"/>
      <c r="TWA1" s="1"/>
      <c r="TWB1" s="1"/>
      <c r="TWC1" s="1"/>
      <c r="TWD1" s="1"/>
      <c r="TWE1" s="1"/>
      <c r="TWF1" s="1"/>
      <c r="TWG1" s="1"/>
      <c r="TWH1" s="1"/>
      <c r="TWI1" s="1"/>
      <c r="TWJ1" s="1"/>
      <c r="TWK1" s="1"/>
      <c r="TWL1" s="1"/>
      <c r="TWM1" s="1"/>
      <c r="TWN1" s="1"/>
      <c r="TWO1" s="1"/>
      <c r="TWP1" s="1"/>
      <c r="TWQ1" s="1"/>
      <c r="TWR1" s="1"/>
      <c r="TWS1" s="1"/>
      <c r="TWT1" s="1"/>
      <c r="TWU1" s="1"/>
      <c r="TWV1" s="1"/>
      <c r="TWW1" s="1"/>
      <c r="TWX1" s="1"/>
      <c r="TWY1" s="1"/>
      <c r="TWZ1" s="1"/>
      <c r="TXA1" s="1"/>
      <c r="TXB1" s="1"/>
      <c r="TXC1" s="1"/>
      <c r="TXD1" s="1"/>
      <c r="TXE1" s="1"/>
      <c r="TXF1" s="1"/>
      <c r="TXG1" s="1"/>
      <c r="TXH1" s="1"/>
      <c r="TXI1" s="1"/>
      <c r="TXJ1" s="1"/>
      <c r="TXK1" s="1"/>
      <c r="TXL1" s="1"/>
      <c r="TXM1" s="1"/>
      <c r="TXN1" s="1"/>
      <c r="TXO1" s="1"/>
      <c r="TXP1" s="1"/>
      <c r="TXQ1" s="1"/>
      <c r="TXR1" s="1"/>
      <c r="TXS1" s="1"/>
      <c r="TXT1" s="1"/>
      <c r="TXU1" s="1"/>
      <c r="TXV1" s="1"/>
      <c r="TXW1" s="1"/>
      <c r="TXX1" s="1"/>
      <c r="TXY1" s="1"/>
      <c r="TXZ1" s="1"/>
      <c r="TYA1" s="1"/>
      <c r="TYB1" s="1"/>
      <c r="TYC1" s="1"/>
      <c r="TYD1" s="1"/>
      <c r="TYE1" s="1"/>
      <c r="TYF1" s="1"/>
      <c r="TYG1" s="1"/>
      <c r="TYH1" s="1"/>
      <c r="TYI1" s="1"/>
      <c r="TYJ1" s="1"/>
      <c r="TYK1" s="1"/>
      <c r="TYL1" s="1"/>
      <c r="TYM1" s="1"/>
      <c r="TYN1" s="1"/>
      <c r="TYO1" s="1"/>
      <c r="TYP1" s="1"/>
      <c r="TYQ1" s="1"/>
      <c r="TYR1" s="1"/>
      <c r="TYS1" s="1"/>
      <c r="TYT1" s="1"/>
      <c r="TYU1" s="1"/>
      <c r="TYV1" s="1"/>
      <c r="TYW1" s="1"/>
      <c r="TYX1" s="1"/>
      <c r="TYY1" s="1"/>
      <c r="TYZ1" s="1"/>
      <c r="TZA1" s="1"/>
      <c r="TZB1" s="1"/>
      <c r="TZC1" s="1"/>
      <c r="TZD1" s="1"/>
      <c r="TZE1" s="1"/>
      <c r="TZF1" s="1"/>
      <c r="TZG1" s="1"/>
      <c r="TZH1" s="1"/>
      <c r="TZI1" s="1"/>
      <c r="TZJ1" s="1"/>
      <c r="TZK1" s="1"/>
      <c r="TZL1" s="1"/>
      <c r="TZM1" s="1"/>
      <c r="TZN1" s="1"/>
      <c r="TZO1" s="1"/>
      <c r="TZP1" s="1"/>
      <c r="TZQ1" s="1"/>
      <c r="TZR1" s="1"/>
      <c r="TZS1" s="1"/>
      <c r="TZT1" s="1"/>
      <c r="TZU1" s="1"/>
      <c r="TZV1" s="1"/>
      <c r="TZW1" s="1"/>
      <c r="TZX1" s="1"/>
      <c r="TZY1" s="1"/>
      <c r="TZZ1" s="1"/>
      <c r="UAA1" s="1"/>
      <c r="UAB1" s="1"/>
      <c r="UAC1" s="1"/>
      <c r="UAD1" s="1"/>
      <c r="UAE1" s="1"/>
      <c r="UAF1" s="1"/>
      <c r="UAG1" s="1"/>
      <c r="UAH1" s="1"/>
      <c r="UAI1" s="1"/>
      <c r="UAJ1" s="1"/>
      <c r="UAK1" s="1"/>
      <c r="UAL1" s="1"/>
      <c r="UAM1" s="1"/>
      <c r="UAN1" s="1"/>
      <c r="UAO1" s="1"/>
      <c r="UAP1" s="1"/>
      <c r="UAQ1" s="1"/>
      <c r="UAR1" s="1"/>
      <c r="UAS1" s="1"/>
      <c r="UAT1" s="1"/>
      <c r="UAU1" s="1"/>
      <c r="UAV1" s="1"/>
      <c r="UAW1" s="1"/>
      <c r="UAX1" s="1"/>
      <c r="UAY1" s="1"/>
      <c r="UAZ1" s="1"/>
      <c r="UBA1" s="1"/>
      <c r="UBB1" s="1"/>
      <c r="UBC1" s="1"/>
      <c r="UBD1" s="1"/>
      <c r="UBE1" s="1"/>
      <c r="UBF1" s="1"/>
      <c r="UBG1" s="1"/>
      <c r="UBH1" s="1"/>
      <c r="UBI1" s="1"/>
      <c r="UBJ1" s="1"/>
      <c r="UBK1" s="1"/>
      <c r="UBL1" s="1"/>
      <c r="UBM1" s="1"/>
      <c r="UBN1" s="1"/>
      <c r="UBO1" s="1"/>
      <c r="UBP1" s="1"/>
      <c r="UBQ1" s="1"/>
      <c r="UBR1" s="1"/>
      <c r="UBS1" s="1"/>
      <c r="UBT1" s="1"/>
      <c r="UBU1" s="1"/>
      <c r="UBV1" s="1"/>
      <c r="UBW1" s="1"/>
      <c r="UBX1" s="1"/>
      <c r="UBY1" s="1"/>
      <c r="UBZ1" s="1"/>
      <c r="UCA1" s="1"/>
      <c r="UCB1" s="1"/>
      <c r="UCC1" s="1"/>
      <c r="UCD1" s="1"/>
      <c r="UCE1" s="1"/>
      <c r="UCF1" s="1"/>
      <c r="UCG1" s="1"/>
      <c r="UCH1" s="1"/>
      <c r="UCI1" s="1"/>
      <c r="UCJ1" s="1"/>
      <c r="UCK1" s="1"/>
      <c r="UCL1" s="1"/>
      <c r="UCM1" s="1"/>
      <c r="UCN1" s="1"/>
      <c r="UCO1" s="1"/>
      <c r="UCP1" s="1"/>
      <c r="UCQ1" s="1"/>
      <c r="UCR1" s="1"/>
      <c r="UCS1" s="1"/>
      <c r="UCT1" s="1"/>
      <c r="UCU1" s="1"/>
      <c r="UCV1" s="1"/>
      <c r="UCW1" s="1"/>
      <c r="UCX1" s="1"/>
      <c r="UCY1" s="1"/>
      <c r="UCZ1" s="1"/>
      <c r="UDA1" s="1"/>
      <c r="UDB1" s="1"/>
      <c r="UDC1" s="1"/>
      <c r="UDD1" s="1"/>
      <c r="UDE1" s="1"/>
      <c r="UDF1" s="1"/>
      <c r="UDG1" s="1"/>
      <c r="UDH1" s="1"/>
      <c r="UDI1" s="1"/>
      <c r="UDJ1" s="1"/>
      <c r="UDK1" s="1"/>
      <c r="UDL1" s="1"/>
      <c r="UDM1" s="1"/>
      <c r="UDN1" s="1"/>
      <c r="UDO1" s="1"/>
      <c r="UDP1" s="1"/>
      <c r="UDQ1" s="1"/>
      <c r="UDR1" s="1"/>
      <c r="UDS1" s="1"/>
      <c r="UDT1" s="1"/>
      <c r="UDU1" s="1"/>
      <c r="UDV1" s="1"/>
      <c r="UDW1" s="1"/>
      <c r="UDX1" s="1"/>
      <c r="UDY1" s="1"/>
      <c r="UDZ1" s="1"/>
      <c r="UEA1" s="1"/>
      <c r="UEB1" s="1"/>
      <c r="UEC1" s="1"/>
      <c r="UED1" s="1"/>
      <c r="UEE1" s="1"/>
      <c r="UEF1" s="1"/>
      <c r="UEG1" s="1"/>
      <c r="UEH1" s="1"/>
      <c r="UEI1" s="1"/>
      <c r="UEJ1" s="1"/>
      <c r="UEK1" s="1"/>
      <c r="UEL1" s="1"/>
      <c r="UEM1" s="1"/>
      <c r="UEN1" s="1"/>
      <c r="UEO1" s="1"/>
      <c r="UEP1" s="1"/>
      <c r="UEQ1" s="1"/>
      <c r="UER1" s="1"/>
      <c r="UES1" s="1"/>
      <c r="UET1" s="1"/>
      <c r="UEU1" s="1"/>
      <c r="UEV1" s="1"/>
      <c r="UEW1" s="1"/>
      <c r="UEX1" s="1"/>
      <c r="UEY1" s="1"/>
      <c r="UEZ1" s="1"/>
      <c r="UFA1" s="1"/>
      <c r="UFB1" s="1"/>
      <c r="UFC1" s="1"/>
      <c r="UFD1" s="1"/>
      <c r="UFE1" s="1"/>
      <c r="UFF1" s="1"/>
      <c r="UFG1" s="1"/>
      <c r="UFH1" s="1"/>
      <c r="UFI1" s="1"/>
      <c r="UFJ1" s="1"/>
      <c r="UFK1" s="1"/>
      <c r="UFL1" s="1"/>
      <c r="UFM1" s="1"/>
      <c r="UFN1" s="1"/>
      <c r="UFO1" s="1"/>
      <c r="UFP1" s="1"/>
      <c r="UFQ1" s="1"/>
      <c r="UFR1" s="1"/>
      <c r="UFS1" s="1"/>
      <c r="UFT1" s="1"/>
      <c r="UFU1" s="1"/>
      <c r="UFV1" s="1"/>
      <c r="UFW1" s="1"/>
      <c r="UFX1" s="1"/>
      <c r="UFY1" s="1"/>
      <c r="UFZ1" s="1"/>
      <c r="UGA1" s="1"/>
      <c r="UGB1" s="1"/>
      <c r="UGC1" s="1"/>
      <c r="UGD1" s="1"/>
      <c r="UGE1" s="1"/>
      <c r="UGF1" s="1"/>
      <c r="UGG1" s="1"/>
      <c r="UGH1" s="1"/>
      <c r="UGI1" s="1"/>
      <c r="UGJ1" s="1"/>
      <c r="UGK1" s="1"/>
      <c r="UGL1" s="1"/>
      <c r="UGM1" s="1"/>
      <c r="UGN1" s="1"/>
      <c r="UGO1" s="1"/>
      <c r="UGP1" s="1"/>
      <c r="UGQ1" s="1"/>
      <c r="UGR1" s="1"/>
      <c r="UGS1" s="1"/>
      <c r="UGT1" s="1"/>
      <c r="UGU1" s="1"/>
      <c r="UGV1" s="1"/>
      <c r="UGW1" s="1"/>
      <c r="UGX1" s="1"/>
      <c r="UGY1" s="1"/>
      <c r="UGZ1" s="1"/>
      <c r="UHA1" s="1"/>
      <c r="UHB1" s="1"/>
      <c r="UHC1" s="1"/>
      <c r="UHD1" s="1"/>
      <c r="UHE1" s="1"/>
      <c r="UHF1" s="1"/>
      <c r="UHG1" s="1"/>
      <c r="UHH1" s="1"/>
      <c r="UHI1" s="1"/>
      <c r="UHJ1" s="1"/>
      <c r="UHK1" s="1"/>
      <c r="UHL1" s="1"/>
      <c r="UHM1" s="1"/>
      <c r="UHN1" s="1"/>
      <c r="UHO1" s="1"/>
      <c r="UHP1" s="1"/>
      <c r="UHQ1" s="1"/>
      <c r="UHR1" s="1"/>
      <c r="UHS1" s="1"/>
      <c r="UHT1" s="1"/>
      <c r="UHU1" s="1"/>
      <c r="UHV1" s="1"/>
      <c r="UHW1" s="1"/>
      <c r="UHX1" s="1"/>
      <c r="UHY1" s="1"/>
      <c r="UHZ1" s="1"/>
      <c r="UIA1" s="1"/>
      <c r="UIB1" s="1"/>
      <c r="UIC1" s="1"/>
      <c r="UID1" s="1"/>
      <c r="UIE1" s="1"/>
      <c r="UIF1" s="1"/>
      <c r="UIG1" s="1"/>
      <c r="UIH1" s="1"/>
      <c r="UII1" s="1"/>
      <c r="UIJ1" s="1"/>
      <c r="UIK1" s="1"/>
      <c r="UIL1" s="1"/>
      <c r="UIM1" s="1"/>
      <c r="UIN1" s="1"/>
      <c r="UIO1" s="1"/>
      <c r="UIP1" s="1"/>
      <c r="UIQ1" s="1"/>
      <c r="UIR1" s="1"/>
      <c r="UIS1" s="1"/>
      <c r="UIT1" s="1"/>
      <c r="UIU1" s="1"/>
      <c r="UIV1" s="1"/>
      <c r="UIW1" s="1"/>
      <c r="UIX1" s="1"/>
      <c r="UIY1" s="1"/>
      <c r="UIZ1" s="1"/>
      <c r="UJA1" s="1"/>
      <c r="UJB1" s="1"/>
      <c r="UJC1" s="1"/>
      <c r="UJD1" s="1"/>
      <c r="UJE1" s="1"/>
      <c r="UJF1" s="1"/>
      <c r="UJG1" s="1"/>
      <c r="UJH1" s="1"/>
      <c r="UJI1" s="1"/>
      <c r="UJJ1" s="1"/>
      <c r="UJK1" s="1"/>
      <c r="UJL1" s="1"/>
      <c r="UJM1" s="1"/>
      <c r="UJN1" s="1"/>
      <c r="UJO1" s="1"/>
      <c r="UJP1" s="1"/>
      <c r="UJQ1" s="1"/>
      <c r="UJR1" s="1"/>
      <c r="UJS1" s="1"/>
      <c r="UJT1" s="1"/>
      <c r="UJU1" s="1"/>
      <c r="UJV1" s="1"/>
      <c r="UJW1" s="1"/>
      <c r="UJX1" s="1"/>
      <c r="UJY1" s="1"/>
      <c r="UJZ1" s="1"/>
      <c r="UKA1" s="1"/>
      <c r="UKB1" s="1"/>
      <c r="UKC1" s="1"/>
      <c r="UKD1" s="1"/>
      <c r="UKE1" s="1"/>
      <c r="UKF1" s="1"/>
      <c r="UKG1" s="1"/>
      <c r="UKH1" s="1"/>
      <c r="UKI1" s="1"/>
      <c r="UKJ1" s="1"/>
      <c r="UKK1" s="1"/>
      <c r="UKL1" s="1"/>
      <c r="UKM1" s="1"/>
      <c r="UKN1" s="1"/>
      <c r="UKO1" s="1"/>
      <c r="UKP1" s="1"/>
      <c r="UKQ1" s="1"/>
      <c r="UKR1" s="1"/>
      <c r="UKS1" s="1"/>
      <c r="UKT1" s="1"/>
      <c r="UKU1" s="1"/>
      <c r="UKV1" s="1"/>
      <c r="UKW1" s="1"/>
      <c r="UKX1" s="1"/>
      <c r="UKY1" s="1"/>
      <c r="UKZ1" s="1"/>
      <c r="ULA1" s="1"/>
      <c r="ULB1" s="1"/>
      <c r="ULC1" s="1"/>
      <c r="ULD1" s="1"/>
      <c r="ULE1" s="1"/>
      <c r="ULF1" s="1"/>
      <c r="ULG1" s="1"/>
      <c r="ULH1" s="1"/>
      <c r="ULI1" s="1"/>
      <c r="ULJ1" s="1"/>
      <c r="ULK1" s="1"/>
      <c r="ULL1" s="1"/>
      <c r="ULM1" s="1"/>
      <c r="ULN1" s="1"/>
      <c r="ULO1" s="1"/>
      <c r="ULP1" s="1"/>
      <c r="ULQ1" s="1"/>
      <c r="ULR1" s="1"/>
      <c r="ULS1" s="1"/>
      <c r="ULT1" s="1"/>
      <c r="ULU1" s="1"/>
      <c r="ULV1" s="1"/>
      <c r="ULW1" s="1"/>
      <c r="ULX1" s="1"/>
      <c r="ULY1" s="1"/>
      <c r="ULZ1" s="1"/>
      <c r="UMA1" s="1"/>
      <c r="UMB1" s="1"/>
      <c r="UMC1" s="1"/>
      <c r="UMD1" s="1"/>
      <c r="UME1" s="1"/>
      <c r="UMF1" s="1"/>
      <c r="UMG1" s="1"/>
      <c r="UMH1" s="1"/>
      <c r="UMI1" s="1"/>
      <c r="UMJ1" s="1"/>
      <c r="UMK1" s="1"/>
      <c r="UML1" s="1"/>
      <c r="UMM1" s="1"/>
      <c r="UMN1" s="1"/>
      <c r="UMO1" s="1"/>
      <c r="UMP1" s="1"/>
      <c r="UMQ1" s="1"/>
      <c r="UMR1" s="1"/>
      <c r="UMS1" s="1"/>
      <c r="UMT1" s="1"/>
      <c r="UMU1" s="1"/>
      <c r="UMV1" s="1"/>
      <c r="UMW1" s="1"/>
      <c r="UMX1" s="1"/>
      <c r="UMY1" s="1"/>
      <c r="UMZ1" s="1"/>
      <c r="UNA1" s="1"/>
      <c r="UNB1" s="1"/>
      <c r="UNC1" s="1"/>
      <c r="UND1" s="1"/>
      <c r="UNE1" s="1"/>
      <c r="UNF1" s="1"/>
      <c r="UNG1" s="1"/>
      <c r="UNH1" s="1"/>
      <c r="UNI1" s="1"/>
      <c r="UNJ1" s="1"/>
      <c r="UNK1" s="1"/>
      <c r="UNL1" s="1"/>
      <c r="UNM1" s="1"/>
      <c r="UNN1" s="1"/>
      <c r="UNO1" s="1"/>
      <c r="UNP1" s="1"/>
      <c r="UNQ1" s="1"/>
      <c r="UNR1" s="1"/>
      <c r="UNS1" s="1"/>
      <c r="UNT1" s="1"/>
      <c r="UNU1" s="1"/>
      <c r="UNV1" s="1"/>
      <c r="UNW1" s="1"/>
      <c r="UNX1" s="1"/>
      <c r="UNY1" s="1"/>
      <c r="UNZ1" s="1"/>
      <c r="UOA1" s="1"/>
      <c r="UOB1" s="1"/>
      <c r="UOC1" s="1"/>
      <c r="UOD1" s="1"/>
      <c r="UOE1" s="1"/>
      <c r="UOF1" s="1"/>
      <c r="UOG1" s="1"/>
      <c r="UOH1" s="1"/>
      <c r="UOI1" s="1"/>
      <c r="UOJ1" s="1"/>
      <c r="UOK1" s="1"/>
      <c r="UOL1" s="1"/>
      <c r="UOM1" s="1"/>
      <c r="UON1" s="1"/>
      <c r="UOO1" s="1"/>
      <c r="UOP1" s="1"/>
      <c r="UOQ1" s="1"/>
      <c r="UOR1" s="1"/>
      <c r="UOS1" s="1"/>
      <c r="UOT1" s="1"/>
      <c r="UOU1" s="1"/>
      <c r="UOV1" s="1"/>
      <c r="UOW1" s="1"/>
      <c r="UOX1" s="1"/>
      <c r="UOY1" s="1"/>
      <c r="UOZ1" s="1"/>
      <c r="UPA1" s="1"/>
      <c r="UPB1" s="1"/>
      <c r="UPC1" s="1"/>
      <c r="UPD1" s="1"/>
      <c r="UPE1" s="1"/>
      <c r="UPF1" s="1"/>
      <c r="UPG1" s="1"/>
      <c r="UPH1" s="1"/>
      <c r="UPI1" s="1"/>
      <c r="UPJ1" s="1"/>
      <c r="UPK1" s="1"/>
      <c r="UPL1" s="1"/>
      <c r="UPM1" s="1"/>
      <c r="UPN1" s="1"/>
      <c r="UPO1" s="1"/>
      <c r="UPP1" s="1"/>
      <c r="UPQ1" s="1"/>
      <c r="UPR1" s="1"/>
      <c r="UPS1" s="1"/>
      <c r="UPT1" s="1"/>
      <c r="UPU1" s="1"/>
      <c r="UPV1" s="1"/>
      <c r="UPW1" s="1"/>
      <c r="UPX1" s="1"/>
      <c r="UPY1" s="1"/>
      <c r="UPZ1" s="1"/>
      <c r="UQA1" s="1"/>
      <c r="UQB1" s="1"/>
      <c r="UQC1" s="1"/>
      <c r="UQD1" s="1"/>
      <c r="UQE1" s="1"/>
      <c r="UQF1" s="1"/>
      <c r="UQG1" s="1"/>
      <c r="UQH1" s="1"/>
      <c r="UQI1" s="1"/>
      <c r="UQJ1" s="1"/>
      <c r="UQK1" s="1"/>
      <c r="UQL1" s="1"/>
      <c r="UQM1" s="1"/>
      <c r="UQN1" s="1"/>
      <c r="UQO1" s="1"/>
      <c r="UQP1" s="1"/>
      <c r="UQQ1" s="1"/>
      <c r="UQR1" s="1"/>
      <c r="UQS1" s="1"/>
      <c r="UQT1" s="1"/>
      <c r="UQU1" s="1"/>
      <c r="UQV1" s="1"/>
      <c r="UQW1" s="1"/>
      <c r="UQX1" s="1"/>
      <c r="UQY1" s="1"/>
      <c r="UQZ1" s="1"/>
      <c r="URA1" s="1"/>
      <c r="URB1" s="1"/>
      <c r="URC1" s="1"/>
      <c r="URD1" s="1"/>
      <c r="URE1" s="1"/>
      <c r="URF1" s="1"/>
      <c r="URG1" s="1"/>
      <c r="URH1" s="1"/>
      <c r="URI1" s="1"/>
      <c r="URJ1" s="1"/>
      <c r="URK1" s="1"/>
      <c r="URL1" s="1"/>
      <c r="URM1" s="1"/>
      <c r="URN1" s="1"/>
      <c r="URO1" s="1"/>
      <c r="URP1" s="1"/>
      <c r="URQ1" s="1"/>
      <c r="URR1" s="1"/>
      <c r="URS1" s="1"/>
      <c r="URT1" s="1"/>
      <c r="URU1" s="1"/>
      <c r="URV1" s="1"/>
      <c r="URW1" s="1"/>
      <c r="URX1" s="1"/>
      <c r="URY1" s="1"/>
      <c r="URZ1" s="1"/>
      <c r="USA1" s="1"/>
      <c r="USB1" s="1"/>
      <c r="USC1" s="1"/>
      <c r="USD1" s="1"/>
      <c r="USE1" s="1"/>
      <c r="USF1" s="1"/>
      <c r="USG1" s="1"/>
      <c r="USH1" s="1"/>
      <c r="USI1" s="1"/>
      <c r="USJ1" s="1"/>
      <c r="USK1" s="1"/>
      <c r="USL1" s="1"/>
      <c r="USM1" s="1"/>
      <c r="USN1" s="1"/>
      <c r="USO1" s="1"/>
      <c r="USP1" s="1"/>
      <c r="USQ1" s="1"/>
      <c r="USR1" s="1"/>
      <c r="USS1" s="1"/>
      <c r="UST1" s="1"/>
      <c r="USU1" s="1"/>
      <c r="USV1" s="1"/>
      <c r="USW1" s="1"/>
      <c r="USX1" s="1"/>
      <c r="USY1" s="1"/>
      <c r="USZ1" s="1"/>
      <c r="UTA1" s="1"/>
      <c r="UTB1" s="1"/>
      <c r="UTC1" s="1"/>
      <c r="UTD1" s="1"/>
      <c r="UTE1" s="1"/>
      <c r="UTF1" s="1"/>
      <c r="UTG1" s="1"/>
      <c r="UTH1" s="1"/>
      <c r="UTI1" s="1"/>
      <c r="UTJ1" s="1"/>
      <c r="UTK1" s="1"/>
      <c r="UTL1" s="1"/>
      <c r="UTM1" s="1"/>
      <c r="UTN1" s="1"/>
      <c r="UTO1" s="1"/>
      <c r="UTP1" s="1"/>
      <c r="UTQ1" s="1"/>
      <c r="UTR1" s="1"/>
      <c r="UTS1" s="1"/>
      <c r="UTT1" s="1"/>
      <c r="UTU1" s="1"/>
      <c r="UTV1" s="1"/>
      <c r="UTW1" s="1"/>
      <c r="UTX1" s="1"/>
      <c r="UTY1" s="1"/>
      <c r="UTZ1" s="1"/>
      <c r="UUA1" s="1"/>
      <c r="UUB1" s="1"/>
      <c r="UUC1" s="1"/>
      <c r="UUD1" s="1"/>
      <c r="UUE1" s="1"/>
      <c r="UUF1" s="1"/>
      <c r="UUG1" s="1"/>
      <c r="UUH1" s="1"/>
      <c r="UUI1" s="1"/>
      <c r="UUJ1" s="1"/>
      <c r="UUK1" s="1"/>
      <c r="UUL1" s="1"/>
      <c r="UUM1" s="1"/>
      <c r="UUN1" s="1"/>
      <c r="UUO1" s="1"/>
      <c r="UUP1" s="1"/>
      <c r="UUQ1" s="1"/>
      <c r="UUR1" s="1"/>
      <c r="UUS1" s="1"/>
      <c r="UUT1" s="1"/>
      <c r="UUU1" s="1"/>
      <c r="UUV1" s="1"/>
      <c r="UUW1" s="1"/>
      <c r="UUX1" s="1"/>
      <c r="UUY1" s="1"/>
      <c r="UUZ1" s="1"/>
      <c r="UVA1" s="1"/>
      <c r="UVB1" s="1"/>
      <c r="UVC1" s="1"/>
      <c r="UVD1" s="1"/>
      <c r="UVE1" s="1"/>
      <c r="UVF1" s="1"/>
      <c r="UVG1" s="1"/>
      <c r="UVH1" s="1"/>
      <c r="UVI1" s="1"/>
      <c r="UVJ1" s="1"/>
      <c r="UVK1" s="1"/>
      <c r="UVL1" s="1"/>
      <c r="UVM1" s="1"/>
      <c r="UVN1" s="1"/>
      <c r="UVO1" s="1"/>
      <c r="UVP1" s="1"/>
      <c r="UVQ1" s="1"/>
      <c r="UVR1" s="1"/>
      <c r="UVS1" s="1"/>
      <c r="UVT1" s="1"/>
      <c r="UVU1" s="1"/>
      <c r="UVV1" s="1"/>
      <c r="UVW1" s="1"/>
      <c r="UVX1" s="1"/>
      <c r="UVY1" s="1"/>
      <c r="UVZ1" s="1"/>
      <c r="UWA1" s="1"/>
      <c r="UWB1" s="1"/>
      <c r="UWC1" s="1"/>
      <c r="UWD1" s="1"/>
      <c r="UWE1" s="1"/>
      <c r="UWF1" s="1"/>
      <c r="UWG1" s="1"/>
      <c r="UWH1" s="1"/>
      <c r="UWI1" s="1"/>
      <c r="UWJ1" s="1"/>
      <c r="UWK1" s="1"/>
      <c r="UWL1" s="1"/>
      <c r="UWM1" s="1"/>
      <c r="UWN1" s="1"/>
      <c r="UWO1" s="1"/>
      <c r="UWP1" s="1"/>
      <c r="UWQ1" s="1"/>
      <c r="UWR1" s="1"/>
      <c r="UWS1" s="1"/>
      <c r="UWT1" s="1"/>
      <c r="UWU1" s="1"/>
      <c r="UWV1" s="1"/>
      <c r="UWW1" s="1"/>
      <c r="UWX1" s="1"/>
      <c r="UWY1" s="1"/>
      <c r="UWZ1" s="1"/>
      <c r="UXA1" s="1"/>
      <c r="UXB1" s="1"/>
      <c r="UXC1" s="1"/>
      <c r="UXD1" s="1"/>
      <c r="UXE1" s="1"/>
      <c r="UXF1" s="1"/>
      <c r="UXG1" s="1"/>
      <c r="UXH1" s="1"/>
      <c r="UXI1" s="1"/>
      <c r="UXJ1" s="1"/>
      <c r="UXK1" s="1"/>
      <c r="UXL1" s="1"/>
      <c r="UXM1" s="1"/>
      <c r="UXN1" s="1"/>
      <c r="UXO1" s="1"/>
      <c r="UXP1" s="1"/>
      <c r="UXQ1" s="1"/>
      <c r="UXR1" s="1"/>
      <c r="UXS1" s="1"/>
      <c r="UXT1" s="1"/>
      <c r="UXU1" s="1"/>
      <c r="UXV1" s="1"/>
      <c r="UXW1" s="1"/>
      <c r="UXX1" s="1"/>
      <c r="UXY1" s="1"/>
      <c r="UXZ1" s="1"/>
      <c r="UYA1" s="1"/>
      <c r="UYB1" s="1"/>
      <c r="UYC1" s="1"/>
      <c r="UYD1" s="1"/>
      <c r="UYE1" s="1"/>
      <c r="UYF1" s="1"/>
      <c r="UYG1" s="1"/>
      <c r="UYH1" s="1"/>
      <c r="UYI1" s="1"/>
      <c r="UYJ1" s="1"/>
      <c r="UYK1" s="1"/>
      <c r="UYL1" s="1"/>
      <c r="UYM1" s="1"/>
      <c r="UYN1" s="1"/>
      <c r="UYO1" s="1"/>
      <c r="UYP1" s="1"/>
      <c r="UYQ1" s="1"/>
      <c r="UYR1" s="1"/>
      <c r="UYS1" s="1"/>
      <c r="UYT1" s="1"/>
      <c r="UYU1" s="1"/>
      <c r="UYV1" s="1"/>
      <c r="UYW1" s="1"/>
      <c r="UYX1" s="1"/>
      <c r="UYY1" s="1"/>
      <c r="UYZ1" s="1"/>
      <c r="UZA1" s="1"/>
      <c r="UZB1" s="1"/>
      <c r="UZC1" s="1"/>
      <c r="UZD1" s="1"/>
      <c r="UZE1" s="1"/>
      <c r="UZF1" s="1"/>
      <c r="UZG1" s="1"/>
      <c r="UZH1" s="1"/>
      <c r="UZI1" s="1"/>
      <c r="UZJ1" s="1"/>
      <c r="UZK1" s="1"/>
      <c r="UZL1" s="1"/>
      <c r="UZM1" s="1"/>
      <c r="UZN1" s="1"/>
      <c r="UZO1" s="1"/>
      <c r="UZP1" s="1"/>
      <c r="UZQ1" s="1"/>
      <c r="UZR1" s="1"/>
      <c r="UZS1" s="1"/>
      <c r="UZT1" s="1"/>
      <c r="UZU1" s="1"/>
      <c r="UZV1" s="1"/>
      <c r="UZW1" s="1"/>
      <c r="UZX1" s="1"/>
      <c r="UZY1" s="1"/>
      <c r="UZZ1" s="1"/>
      <c r="VAA1" s="1"/>
      <c r="VAB1" s="1"/>
      <c r="VAC1" s="1"/>
      <c r="VAD1" s="1"/>
      <c r="VAE1" s="1"/>
      <c r="VAF1" s="1"/>
      <c r="VAG1" s="1"/>
      <c r="VAH1" s="1"/>
      <c r="VAI1" s="1"/>
      <c r="VAJ1" s="1"/>
      <c r="VAK1" s="1"/>
      <c r="VAL1" s="1"/>
      <c r="VAM1" s="1"/>
      <c r="VAN1" s="1"/>
      <c r="VAO1" s="1"/>
      <c r="VAP1" s="1"/>
      <c r="VAQ1" s="1"/>
      <c r="VAR1" s="1"/>
      <c r="VAS1" s="1"/>
      <c r="VAT1" s="1"/>
      <c r="VAU1" s="1"/>
      <c r="VAV1" s="1"/>
      <c r="VAW1" s="1"/>
      <c r="VAX1" s="1"/>
      <c r="VAY1" s="1"/>
      <c r="VAZ1" s="1"/>
      <c r="VBA1" s="1"/>
      <c r="VBB1" s="1"/>
      <c r="VBC1" s="1"/>
      <c r="VBD1" s="1"/>
      <c r="VBE1" s="1"/>
      <c r="VBF1" s="1"/>
      <c r="VBG1" s="1"/>
      <c r="VBH1" s="1"/>
      <c r="VBI1" s="1"/>
      <c r="VBJ1" s="1"/>
      <c r="VBK1" s="1"/>
      <c r="VBL1" s="1"/>
      <c r="VBM1" s="1"/>
      <c r="VBN1" s="1"/>
      <c r="VBO1" s="1"/>
      <c r="VBP1" s="1"/>
      <c r="VBQ1" s="1"/>
      <c r="VBR1" s="1"/>
      <c r="VBS1" s="1"/>
      <c r="VBT1" s="1"/>
      <c r="VBU1" s="1"/>
      <c r="VBV1" s="1"/>
      <c r="VBW1" s="1"/>
      <c r="VBX1" s="1"/>
      <c r="VBY1" s="1"/>
      <c r="VBZ1" s="1"/>
      <c r="VCA1" s="1"/>
      <c r="VCB1" s="1"/>
      <c r="VCC1" s="1"/>
      <c r="VCD1" s="1"/>
      <c r="VCE1" s="1"/>
      <c r="VCF1" s="1"/>
      <c r="VCG1" s="1"/>
      <c r="VCH1" s="1"/>
      <c r="VCI1" s="1"/>
      <c r="VCJ1" s="1"/>
      <c r="VCK1" s="1"/>
      <c r="VCL1" s="1"/>
      <c r="VCM1" s="1"/>
      <c r="VCN1" s="1"/>
      <c r="VCO1" s="1"/>
      <c r="VCP1" s="1"/>
      <c r="VCQ1" s="1"/>
      <c r="VCR1" s="1"/>
      <c r="VCS1" s="1"/>
      <c r="VCT1" s="1"/>
      <c r="VCU1" s="1"/>
      <c r="VCV1" s="1"/>
      <c r="VCW1" s="1"/>
      <c r="VCX1" s="1"/>
      <c r="VCY1" s="1"/>
      <c r="VCZ1" s="1"/>
      <c r="VDA1" s="1"/>
      <c r="VDB1" s="1"/>
      <c r="VDC1" s="1"/>
      <c r="VDD1" s="1"/>
      <c r="VDE1" s="1"/>
      <c r="VDF1" s="1"/>
      <c r="VDG1" s="1"/>
      <c r="VDH1" s="1"/>
      <c r="VDI1" s="1"/>
      <c r="VDJ1" s="1"/>
      <c r="VDK1" s="1"/>
      <c r="VDL1" s="1"/>
      <c r="VDM1" s="1"/>
      <c r="VDN1" s="1"/>
      <c r="VDO1" s="1"/>
      <c r="VDP1" s="1"/>
      <c r="VDQ1" s="1"/>
      <c r="VDR1" s="1"/>
      <c r="VDS1" s="1"/>
      <c r="VDT1" s="1"/>
      <c r="VDU1" s="1"/>
      <c r="VDV1" s="1"/>
      <c r="VDW1" s="1"/>
      <c r="VDX1" s="1"/>
      <c r="VDY1" s="1"/>
      <c r="VDZ1" s="1"/>
      <c r="VEA1" s="1"/>
      <c r="VEB1" s="1"/>
      <c r="VEC1" s="1"/>
      <c r="VED1" s="1"/>
      <c r="VEE1" s="1"/>
      <c r="VEF1" s="1"/>
      <c r="VEG1" s="1"/>
      <c r="VEH1" s="1"/>
      <c r="VEI1" s="1"/>
      <c r="VEJ1" s="1"/>
      <c r="VEK1" s="1"/>
      <c r="VEL1" s="1"/>
      <c r="VEM1" s="1"/>
      <c r="VEN1" s="1"/>
      <c r="VEO1" s="1"/>
      <c r="VEP1" s="1"/>
      <c r="VEQ1" s="1"/>
      <c r="VER1" s="1"/>
      <c r="VES1" s="1"/>
      <c r="VET1" s="1"/>
      <c r="VEU1" s="1"/>
      <c r="VEV1" s="1"/>
      <c r="VEW1" s="1"/>
      <c r="VEX1" s="1"/>
      <c r="VEY1" s="1"/>
      <c r="VEZ1" s="1"/>
      <c r="VFA1" s="1"/>
      <c r="VFB1" s="1"/>
      <c r="VFC1" s="1"/>
      <c r="VFD1" s="1"/>
      <c r="VFE1" s="1"/>
      <c r="VFF1" s="1"/>
      <c r="VFG1" s="1"/>
      <c r="VFH1" s="1"/>
      <c r="VFI1" s="1"/>
      <c r="VFJ1" s="1"/>
      <c r="VFK1" s="1"/>
      <c r="VFL1" s="1"/>
      <c r="VFM1" s="1"/>
      <c r="VFN1" s="1"/>
      <c r="VFO1" s="1"/>
      <c r="VFP1" s="1"/>
      <c r="VFQ1" s="1"/>
      <c r="VFR1" s="1"/>
      <c r="VFS1" s="1"/>
      <c r="VFT1" s="1"/>
      <c r="VFU1" s="1"/>
      <c r="VFV1" s="1"/>
      <c r="VFW1" s="1"/>
      <c r="VFX1" s="1"/>
      <c r="VFY1" s="1"/>
      <c r="VFZ1" s="1"/>
      <c r="VGA1" s="1"/>
      <c r="VGB1" s="1"/>
      <c r="VGC1" s="1"/>
      <c r="VGD1" s="1"/>
      <c r="VGE1" s="1"/>
      <c r="VGF1" s="1"/>
      <c r="VGG1" s="1"/>
      <c r="VGH1" s="1"/>
      <c r="VGI1" s="1"/>
      <c r="VGJ1" s="1"/>
      <c r="VGK1" s="1"/>
      <c r="VGL1" s="1"/>
      <c r="VGM1" s="1"/>
      <c r="VGN1" s="1"/>
      <c r="VGO1" s="1"/>
      <c r="VGP1" s="1"/>
      <c r="VGQ1" s="1"/>
      <c r="VGR1" s="1"/>
      <c r="VGS1" s="1"/>
      <c r="VGT1" s="1"/>
      <c r="VGU1" s="1"/>
      <c r="VGV1" s="1"/>
      <c r="VGW1" s="1"/>
      <c r="VGX1" s="1"/>
      <c r="VGY1" s="1"/>
      <c r="VGZ1" s="1"/>
      <c r="VHA1" s="1"/>
      <c r="VHB1" s="1"/>
      <c r="VHC1" s="1"/>
      <c r="VHD1" s="1"/>
      <c r="VHE1" s="1"/>
      <c r="VHF1" s="1"/>
      <c r="VHG1" s="1"/>
      <c r="VHH1" s="1"/>
      <c r="VHI1" s="1"/>
      <c r="VHJ1" s="1"/>
      <c r="VHK1" s="1"/>
      <c r="VHL1" s="1"/>
      <c r="VHM1" s="1"/>
      <c r="VHN1" s="1"/>
      <c r="VHO1" s="1"/>
      <c r="VHP1" s="1"/>
      <c r="VHQ1" s="1"/>
      <c r="VHR1" s="1"/>
      <c r="VHS1" s="1"/>
      <c r="VHT1" s="1"/>
      <c r="VHU1" s="1"/>
      <c r="VHV1" s="1"/>
      <c r="VHW1" s="1"/>
      <c r="VHX1" s="1"/>
      <c r="VHY1" s="1"/>
      <c r="VHZ1" s="1"/>
      <c r="VIA1" s="1"/>
      <c r="VIB1" s="1"/>
      <c r="VIC1" s="1"/>
      <c r="VID1" s="1"/>
      <c r="VIE1" s="1"/>
      <c r="VIF1" s="1"/>
      <c r="VIG1" s="1"/>
      <c r="VIH1" s="1"/>
      <c r="VII1" s="1"/>
      <c r="VIJ1" s="1"/>
      <c r="VIK1" s="1"/>
      <c r="VIL1" s="1"/>
      <c r="VIM1" s="1"/>
      <c r="VIN1" s="1"/>
      <c r="VIO1" s="1"/>
      <c r="VIP1" s="1"/>
      <c r="VIQ1" s="1"/>
      <c r="VIR1" s="1"/>
      <c r="VIS1" s="1"/>
      <c r="VIT1" s="1"/>
      <c r="VIU1" s="1"/>
      <c r="VIV1" s="1"/>
      <c r="VIW1" s="1"/>
      <c r="VIX1" s="1"/>
      <c r="VIY1" s="1"/>
      <c r="VIZ1" s="1"/>
      <c r="VJA1" s="1"/>
      <c r="VJB1" s="1"/>
      <c r="VJC1" s="1"/>
      <c r="VJD1" s="1"/>
      <c r="VJE1" s="1"/>
      <c r="VJF1" s="1"/>
      <c r="VJG1" s="1"/>
      <c r="VJH1" s="1"/>
      <c r="VJI1" s="1"/>
      <c r="VJJ1" s="1"/>
      <c r="VJK1" s="1"/>
      <c r="VJL1" s="1"/>
      <c r="VJM1" s="1"/>
      <c r="VJN1" s="1"/>
      <c r="VJO1" s="1"/>
      <c r="VJP1" s="1"/>
      <c r="VJQ1" s="1"/>
      <c r="VJR1" s="1"/>
      <c r="VJS1" s="1"/>
      <c r="VJT1" s="1"/>
      <c r="VJU1" s="1"/>
      <c r="VJV1" s="1"/>
      <c r="VJW1" s="1"/>
      <c r="VJX1" s="1"/>
      <c r="VJY1" s="1"/>
      <c r="VJZ1" s="1"/>
      <c r="VKA1" s="1"/>
      <c r="VKB1" s="1"/>
      <c r="VKC1" s="1"/>
      <c r="VKD1" s="1"/>
      <c r="VKE1" s="1"/>
      <c r="VKF1" s="1"/>
      <c r="VKG1" s="1"/>
      <c r="VKH1" s="1"/>
      <c r="VKI1" s="1"/>
      <c r="VKJ1" s="1"/>
      <c r="VKK1" s="1"/>
      <c r="VKL1" s="1"/>
      <c r="VKM1" s="1"/>
      <c r="VKN1" s="1"/>
      <c r="VKO1" s="1"/>
      <c r="VKP1" s="1"/>
      <c r="VKQ1" s="1"/>
      <c r="VKR1" s="1"/>
      <c r="VKS1" s="1"/>
      <c r="VKT1" s="1"/>
      <c r="VKU1" s="1"/>
      <c r="VKV1" s="1"/>
      <c r="VKW1" s="1"/>
      <c r="VKX1" s="1"/>
      <c r="VKY1" s="1"/>
      <c r="VKZ1" s="1"/>
      <c r="VLA1" s="1"/>
      <c r="VLB1" s="1"/>
      <c r="VLC1" s="1"/>
      <c r="VLD1" s="1"/>
      <c r="VLE1" s="1"/>
      <c r="VLF1" s="1"/>
      <c r="VLG1" s="1"/>
      <c r="VLH1" s="1"/>
      <c r="VLI1" s="1"/>
      <c r="VLJ1" s="1"/>
      <c r="VLK1" s="1"/>
      <c r="VLL1" s="1"/>
      <c r="VLM1" s="1"/>
      <c r="VLN1" s="1"/>
      <c r="VLO1" s="1"/>
      <c r="VLP1" s="1"/>
      <c r="VLQ1" s="1"/>
      <c r="VLR1" s="1"/>
      <c r="VLS1" s="1"/>
      <c r="VLT1" s="1"/>
      <c r="VLU1" s="1"/>
      <c r="VLV1" s="1"/>
      <c r="VLW1" s="1"/>
      <c r="VLX1" s="1"/>
      <c r="VLY1" s="1"/>
      <c r="VLZ1" s="1"/>
      <c r="VMA1" s="1"/>
      <c r="VMB1" s="1"/>
      <c r="VMC1" s="1"/>
      <c r="VMD1" s="1"/>
      <c r="VME1" s="1"/>
      <c r="VMF1" s="1"/>
      <c r="VMG1" s="1"/>
      <c r="VMH1" s="1"/>
      <c r="VMI1" s="1"/>
      <c r="VMJ1" s="1"/>
      <c r="VMK1" s="1"/>
      <c r="VML1" s="1"/>
      <c r="VMM1" s="1"/>
      <c r="VMN1" s="1"/>
      <c r="VMO1" s="1"/>
      <c r="VMP1" s="1"/>
      <c r="VMQ1" s="1"/>
      <c r="VMR1" s="1"/>
      <c r="VMS1" s="1"/>
      <c r="VMT1" s="1"/>
      <c r="VMU1" s="1"/>
      <c r="VMV1" s="1"/>
      <c r="VMW1" s="1"/>
      <c r="VMX1" s="1"/>
      <c r="VMY1" s="1"/>
      <c r="VMZ1" s="1"/>
      <c r="VNA1" s="1"/>
      <c r="VNB1" s="1"/>
      <c r="VNC1" s="1"/>
      <c r="VND1" s="1"/>
      <c r="VNE1" s="1"/>
      <c r="VNF1" s="1"/>
      <c r="VNG1" s="1"/>
      <c r="VNH1" s="1"/>
      <c r="VNI1" s="1"/>
      <c r="VNJ1" s="1"/>
      <c r="VNK1" s="1"/>
      <c r="VNL1" s="1"/>
      <c r="VNM1" s="1"/>
      <c r="VNN1" s="1"/>
      <c r="VNO1" s="1"/>
      <c r="VNP1" s="1"/>
      <c r="VNQ1" s="1"/>
      <c r="VNR1" s="1"/>
      <c r="VNS1" s="1"/>
      <c r="VNT1" s="1"/>
      <c r="VNU1" s="1"/>
      <c r="VNV1" s="1"/>
      <c r="VNW1" s="1"/>
      <c r="VNX1" s="1"/>
      <c r="VNY1" s="1"/>
      <c r="VNZ1" s="1"/>
      <c r="VOA1" s="1"/>
      <c r="VOB1" s="1"/>
      <c r="VOC1" s="1"/>
      <c r="VOD1" s="1"/>
      <c r="VOE1" s="1"/>
      <c r="VOF1" s="1"/>
      <c r="VOG1" s="1"/>
      <c r="VOH1" s="1"/>
      <c r="VOI1" s="1"/>
      <c r="VOJ1" s="1"/>
      <c r="VOK1" s="1"/>
      <c r="VOL1" s="1"/>
      <c r="VOM1" s="1"/>
      <c r="VON1" s="1"/>
      <c r="VOO1" s="1"/>
      <c r="VOP1" s="1"/>
      <c r="VOQ1" s="1"/>
      <c r="VOR1" s="1"/>
      <c r="VOS1" s="1"/>
      <c r="VOT1" s="1"/>
      <c r="VOU1" s="1"/>
      <c r="VOV1" s="1"/>
      <c r="VOW1" s="1"/>
      <c r="VOX1" s="1"/>
      <c r="VOY1" s="1"/>
      <c r="VOZ1" s="1"/>
      <c r="VPA1" s="1"/>
      <c r="VPB1" s="1"/>
      <c r="VPC1" s="1"/>
      <c r="VPD1" s="1"/>
      <c r="VPE1" s="1"/>
      <c r="VPF1" s="1"/>
      <c r="VPG1" s="1"/>
      <c r="VPH1" s="1"/>
      <c r="VPI1" s="1"/>
      <c r="VPJ1" s="1"/>
      <c r="VPK1" s="1"/>
      <c r="VPL1" s="1"/>
      <c r="VPM1" s="1"/>
      <c r="VPN1" s="1"/>
      <c r="VPO1" s="1"/>
      <c r="VPP1" s="1"/>
      <c r="VPQ1" s="1"/>
      <c r="VPR1" s="1"/>
      <c r="VPS1" s="1"/>
      <c r="VPT1" s="1"/>
      <c r="VPU1" s="1"/>
      <c r="VPV1" s="1"/>
      <c r="VPW1" s="1"/>
      <c r="VPX1" s="1"/>
      <c r="VPY1" s="1"/>
      <c r="VPZ1" s="1"/>
      <c r="VQA1" s="1"/>
      <c r="VQB1" s="1"/>
      <c r="VQC1" s="1"/>
      <c r="VQD1" s="1"/>
      <c r="VQE1" s="1"/>
      <c r="VQF1" s="1"/>
      <c r="VQG1" s="1"/>
      <c r="VQH1" s="1"/>
      <c r="VQI1" s="1"/>
      <c r="VQJ1" s="1"/>
      <c r="VQK1" s="1"/>
      <c r="VQL1" s="1"/>
      <c r="VQM1" s="1"/>
      <c r="VQN1" s="1"/>
      <c r="VQO1" s="1"/>
      <c r="VQP1" s="1"/>
      <c r="VQQ1" s="1"/>
      <c r="VQR1" s="1"/>
      <c r="VQS1" s="1"/>
      <c r="VQT1" s="1"/>
      <c r="VQU1" s="1"/>
      <c r="VQV1" s="1"/>
      <c r="VQW1" s="1"/>
      <c r="VQX1" s="1"/>
      <c r="VQY1" s="1"/>
      <c r="VQZ1" s="1"/>
      <c r="VRA1" s="1"/>
      <c r="VRB1" s="1"/>
      <c r="VRC1" s="1"/>
      <c r="VRD1" s="1"/>
      <c r="VRE1" s="1"/>
      <c r="VRF1" s="1"/>
      <c r="VRG1" s="1"/>
      <c r="VRH1" s="1"/>
      <c r="VRI1" s="1"/>
      <c r="VRJ1" s="1"/>
      <c r="VRK1" s="1"/>
      <c r="VRL1" s="1"/>
      <c r="VRM1" s="1"/>
      <c r="VRN1" s="1"/>
      <c r="VRO1" s="1"/>
      <c r="VRP1" s="1"/>
      <c r="VRQ1" s="1"/>
      <c r="VRR1" s="1"/>
      <c r="VRS1" s="1"/>
      <c r="VRT1" s="1"/>
      <c r="VRU1" s="1"/>
      <c r="VRV1" s="1"/>
      <c r="VRW1" s="1"/>
      <c r="VRX1" s="1"/>
      <c r="VRY1" s="1"/>
      <c r="VRZ1" s="1"/>
      <c r="VSA1" s="1"/>
      <c r="VSB1" s="1"/>
      <c r="VSC1" s="1"/>
      <c r="VSD1" s="1"/>
      <c r="VSE1" s="1"/>
      <c r="VSF1" s="1"/>
      <c r="VSG1" s="1"/>
      <c r="VSH1" s="1"/>
      <c r="VSI1" s="1"/>
      <c r="VSJ1" s="1"/>
      <c r="VSK1" s="1"/>
      <c r="VSL1" s="1"/>
      <c r="VSM1" s="1"/>
      <c r="VSN1" s="1"/>
      <c r="VSO1" s="1"/>
      <c r="VSP1" s="1"/>
      <c r="VSQ1" s="1"/>
      <c r="VSR1" s="1"/>
      <c r="VSS1" s="1"/>
      <c r="VST1" s="1"/>
      <c r="VSU1" s="1"/>
      <c r="VSV1" s="1"/>
      <c r="VSW1" s="1"/>
      <c r="VSX1" s="1"/>
      <c r="VSY1" s="1"/>
      <c r="VSZ1" s="1"/>
      <c r="VTA1" s="1"/>
      <c r="VTB1" s="1"/>
      <c r="VTC1" s="1"/>
      <c r="VTD1" s="1"/>
      <c r="VTE1" s="1"/>
      <c r="VTF1" s="1"/>
      <c r="VTG1" s="1"/>
      <c r="VTH1" s="1"/>
      <c r="VTI1" s="1"/>
      <c r="VTJ1" s="1"/>
      <c r="VTK1" s="1"/>
      <c r="VTL1" s="1"/>
      <c r="VTM1" s="1"/>
      <c r="VTN1" s="1"/>
      <c r="VTO1" s="1"/>
      <c r="VTP1" s="1"/>
      <c r="VTQ1" s="1"/>
      <c r="VTR1" s="1"/>
      <c r="VTS1" s="1"/>
      <c r="VTT1" s="1"/>
      <c r="VTU1" s="1"/>
      <c r="VTV1" s="1"/>
      <c r="VTW1" s="1"/>
      <c r="VTX1" s="1"/>
      <c r="VTY1" s="1"/>
      <c r="VTZ1" s="1"/>
      <c r="VUA1" s="1"/>
      <c r="VUB1" s="1"/>
      <c r="VUC1" s="1"/>
      <c r="VUD1" s="1"/>
      <c r="VUE1" s="1"/>
      <c r="VUF1" s="1"/>
      <c r="VUG1" s="1"/>
      <c r="VUH1" s="1"/>
      <c r="VUI1" s="1"/>
      <c r="VUJ1" s="1"/>
      <c r="VUK1" s="1"/>
      <c r="VUL1" s="1"/>
      <c r="VUM1" s="1"/>
      <c r="VUN1" s="1"/>
      <c r="VUO1" s="1"/>
      <c r="VUP1" s="1"/>
      <c r="VUQ1" s="1"/>
      <c r="VUR1" s="1"/>
      <c r="VUS1" s="1"/>
      <c r="VUT1" s="1"/>
      <c r="VUU1" s="1"/>
      <c r="VUV1" s="1"/>
      <c r="VUW1" s="1"/>
      <c r="VUX1" s="1"/>
      <c r="VUY1" s="1"/>
      <c r="VUZ1" s="1"/>
      <c r="VVA1" s="1"/>
      <c r="VVB1" s="1"/>
      <c r="VVC1" s="1"/>
      <c r="VVD1" s="1"/>
      <c r="VVE1" s="1"/>
      <c r="VVF1" s="1"/>
      <c r="VVG1" s="1"/>
      <c r="VVH1" s="1"/>
      <c r="VVI1" s="1"/>
      <c r="VVJ1" s="1"/>
      <c r="VVK1" s="1"/>
      <c r="VVL1" s="1"/>
      <c r="VVM1" s="1"/>
      <c r="VVN1" s="1"/>
      <c r="VVO1" s="1"/>
      <c r="VVP1" s="1"/>
      <c r="VVQ1" s="1"/>
      <c r="VVR1" s="1"/>
      <c r="VVS1" s="1"/>
      <c r="VVT1" s="1"/>
      <c r="VVU1" s="1"/>
      <c r="VVV1" s="1"/>
      <c r="VVW1" s="1"/>
      <c r="VVX1" s="1"/>
      <c r="VVY1" s="1"/>
      <c r="VVZ1" s="1"/>
      <c r="VWA1" s="1"/>
      <c r="VWB1" s="1"/>
      <c r="VWC1" s="1"/>
      <c r="VWD1" s="1"/>
      <c r="VWE1" s="1"/>
      <c r="VWF1" s="1"/>
      <c r="VWG1" s="1"/>
      <c r="VWH1" s="1"/>
      <c r="VWI1" s="1"/>
      <c r="VWJ1" s="1"/>
      <c r="VWK1" s="1"/>
      <c r="VWL1" s="1"/>
      <c r="VWM1" s="1"/>
      <c r="VWN1" s="1"/>
      <c r="VWO1" s="1"/>
      <c r="VWP1" s="1"/>
      <c r="VWQ1" s="1"/>
      <c r="VWR1" s="1"/>
      <c r="VWS1" s="1"/>
      <c r="VWT1" s="1"/>
      <c r="VWU1" s="1"/>
      <c r="VWV1" s="1"/>
      <c r="VWW1" s="1"/>
      <c r="VWX1" s="1"/>
      <c r="VWY1" s="1"/>
      <c r="VWZ1" s="1"/>
      <c r="VXA1" s="1"/>
      <c r="VXB1" s="1"/>
      <c r="VXC1" s="1"/>
      <c r="VXD1" s="1"/>
      <c r="VXE1" s="1"/>
      <c r="VXF1" s="1"/>
      <c r="VXG1" s="1"/>
      <c r="VXH1" s="1"/>
      <c r="VXI1" s="1"/>
      <c r="VXJ1" s="1"/>
      <c r="VXK1" s="1"/>
      <c r="VXL1" s="1"/>
      <c r="VXM1" s="1"/>
      <c r="VXN1" s="1"/>
      <c r="VXO1" s="1"/>
      <c r="VXP1" s="1"/>
      <c r="VXQ1" s="1"/>
      <c r="VXR1" s="1"/>
      <c r="VXS1" s="1"/>
      <c r="VXT1" s="1"/>
      <c r="VXU1" s="1"/>
      <c r="VXV1" s="1"/>
      <c r="VXW1" s="1"/>
      <c r="VXX1" s="1"/>
      <c r="VXY1" s="1"/>
      <c r="VXZ1" s="1"/>
      <c r="VYA1" s="1"/>
      <c r="VYB1" s="1"/>
      <c r="VYC1" s="1"/>
      <c r="VYD1" s="1"/>
      <c r="VYE1" s="1"/>
      <c r="VYF1" s="1"/>
      <c r="VYG1" s="1"/>
      <c r="VYH1" s="1"/>
      <c r="VYI1" s="1"/>
      <c r="VYJ1" s="1"/>
      <c r="VYK1" s="1"/>
      <c r="VYL1" s="1"/>
      <c r="VYM1" s="1"/>
      <c r="VYN1" s="1"/>
      <c r="VYO1" s="1"/>
      <c r="VYP1" s="1"/>
      <c r="VYQ1" s="1"/>
      <c r="VYR1" s="1"/>
      <c r="VYS1" s="1"/>
      <c r="VYT1" s="1"/>
      <c r="VYU1" s="1"/>
      <c r="VYV1" s="1"/>
      <c r="VYW1" s="1"/>
      <c r="VYX1" s="1"/>
      <c r="VYY1" s="1"/>
      <c r="VYZ1" s="1"/>
      <c r="VZA1" s="1"/>
      <c r="VZB1" s="1"/>
      <c r="VZC1" s="1"/>
      <c r="VZD1" s="1"/>
      <c r="VZE1" s="1"/>
      <c r="VZF1" s="1"/>
      <c r="VZG1" s="1"/>
      <c r="VZH1" s="1"/>
      <c r="VZI1" s="1"/>
      <c r="VZJ1" s="1"/>
      <c r="VZK1" s="1"/>
      <c r="VZL1" s="1"/>
      <c r="VZM1" s="1"/>
      <c r="VZN1" s="1"/>
      <c r="VZO1" s="1"/>
      <c r="VZP1" s="1"/>
      <c r="VZQ1" s="1"/>
      <c r="VZR1" s="1"/>
      <c r="VZS1" s="1"/>
      <c r="VZT1" s="1"/>
      <c r="VZU1" s="1"/>
      <c r="VZV1" s="1"/>
      <c r="VZW1" s="1"/>
      <c r="VZX1" s="1"/>
      <c r="VZY1" s="1"/>
      <c r="VZZ1" s="1"/>
      <c r="WAA1" s="1"/>
      <c r="WAB1" s="1"/>
      <c r="WAC1" s="1"/>
      <c r="WAD1" s="1"/>
      <c r="WAE1" s="1"/>
      <c r="WAF1" s="1"/>
      <c r="WAG1" s="1"/>
      <c r="WAH1" s="1"/>
      <c r="WAI1" s="1"/>
      <c r="WAJ1" s="1"/>
      <c r="WAK1" s="1"/>
      <c r="WAL1" s="1"/>
      <c r="WAM1" s="1"/>
      <c r="WAN1" s="1"/>
      <c r="WAO1" s="1"/>
      <c r="WAP1" s="1"/>
      <c r="WAQ1" s="1"/>
      <c r="WAR1" s="1"/>
      <c r="WAS1" s="1"/>
      <c r="WAT1" s="1"/>
      <c r="WAU1" s="1"/>
      <c r="WAV1" s="1"/>
      <c r="WAW1" s="1"/>
      <c r="WAX1" s="1"/>
      <c r="WAY1" s="1"/>
      <c r="WAZ1" s="1"/>
      <c r="WBA1" s="1"/>
      <c r="WBB1" s="1"/>
      <c r="WBC1" s="1"/>
      <c r="WBD1" s="1"/>
      <c r="WBE1" s="1"/>
      <c r="WBF1" s="1"/>
      <c r="WBG1" s="1"/>
      <c r="WBH1" s="1"/>
      <c r="WBI1" s="1"/>
      <c r="WBJ1" s="1"/>
      <c r="WBK1" s="1"/>
      <c r="WBL1" s="1"/>
      <c r="WBM1" s="1"/>
      <c r="WBN1" s="1"/>
      <c r="WBO1" s="1"/>
      <c r="WBP1" s="1"/>
      <c r="WBQ1" s="1"/>
      <c r="WBR1" s="1"/>
      <c r="WBS1" s="1"/>
      <c r="WBT1" s="1"/>
      <c r="WBU1" s="1"/>
      <c r="WBV1" s="1"/>
      <c r="WBW1" s="1"/>
      <c r="WBX1" s="1"/>
      <c r="WBY1" s="1"/>
      <c r="WBZ1" s="1"/>
      <c r="WCA1" s="1"/>
      <c r="WCB1" s="1"/>
      <c r="WCC1" s="1"/>
      <c r="WCD1" s="1"/>
      <c r="WCE1" s="1"/>
      <c r="WCF1" s="1"/>
      <c r="WCG1" s="1"/>
      <c r="WCH1" s="1"/>
      <c r="WCI1" s="1"/>
      <c r="WCJ1" s="1"/>
      <c r="WCK1" s="1"/>
      <c r="WCL1" s="1"/>
      <c r="WCM1" s="1"/>
      <c r="WCN1" s="1"/>
      <c r="WCO1" s="1"/>
      <c r="WCP1" s="1"/>
      <c r="WCQ1" s="1"/>
      <c r="WCR1" s="1"/>
      <c r="WCS1" s="1"/>
      <c r="WCT1" s="1"/>
      <c r="WCU1" s="1"/>
      <c r="WCV1" s="1"/>
      <c r="WCW1" s="1"/>
      <c r="WCX1" s="1"/>
      <c r="WCY1" s="1"/>
      <c r="WCZ1" s="1"/>
      <c r="WDA1" s="1"/>
      <c r="WDB1" s="1"/>
      <c r="WDC1" s="1"/>
      <c r="WDD1" s="1"/>
      <c r="WDE1" s="1"/>
      <c r="WDF1" s="1"/>
      <c r="WDG1" s="1"/>
      <c r="WDH1" s="1"/>
      <c r="WDI1" s="1"/>
      <c r="WDJ1" s="1"/>
      <c r="WDK1" s="1"/>
      <c r="WDL1" s="1"/>
      <c r="WDM1" s="1"/>
      <c r="WDN1" s="1"/>
      <c r="WDO1" s="1"/>
      <c r="WDP1" s="1"/>
      <c r="WDQ1" s="1"/>
      <c r="WDR1" s="1"/>
      <c r="WDS1" s="1"/>
      <c r="WDT1" s="1"/>
      <c r="WDU1" s="1"/>
      <c r="WDV1" s="1"/>
      <c r="WDW1" s="1"/>
      <c r="WDX1" s="1"/>
      <c r="WDY1" s="1"/>
      <c r="WDZ1" s="1"/>
      <c r="WEA1" s="1"/>
      <c r="WEB1" s="1"/>
      <c r="WEC1" s="1"/>
      <c r="WED1" s="1"/>
      <c r="WEE1" s="1"/>
      <c r="WEF1" s="1"/>
      <c r="WEG1" s="1"/>
      <c r="WEH1" s="1"/>
      <c r="WEI1" s="1"/>
      <c r="WEJ1" s="1"/>
      <c r="WEK1" s="1"/>
      <c r="WEL1" s="1"/>
      <c r="WEM1" s="1"/>
      <c r="WEN1" s="1"/>
      <c r="WEO1" s="1"/>
      <c r="WEP1" s="1"/>
      <c r="WEQ1" s="1"/>
      <c r="WER1" s="1"/>
      <c r="WES1" s="1"/>
      <c r="WET1" s="1"/>
      <c r="WEU1" s="1"/>
      <c r="WEV1" s="1"/>
      <c r="WEW1" s="1"/>
      <c r="WEX1" s="1"/>
      <c r="WEY1" s="1"/>
      <c r="WEZ1" s="1"/>
      <c r="WFA1" s="1"/>
      <c r="WFB1" s="1"/>
      <c r="WFC1" s="1"/>
      <c r="WFD1" s="1"/>
      <c r="WFE1" s="1"/>
      <c r="WFF1" s="1"/>
      <c r="WFG1" s="1"/>
      <c r="WFH1" s="1"/>
      <c r="WFI1" s="1"/>
      <c r="WFJ1" s="1"/>
      <c r="WFK1" s="1"/>
      <c r="WFL1" s="1"/>
      <c r="WFM1" s="1"/>
      <c r="WFN1" s="1"/>
      <c r="WFO1" s="1"/>
      <c r="WFP1" s="1"/>
      <c r="WFQ1" s="1"/>
      <c r="WFR1" s="1"/>
      <c r="WFS1" s="1"/>
      <c r="WFT1" s="1"/>
      <c r="WFU1" s="1"/>
      <c r="WFV1" s="1"/>
      <c r="WFW1" s="1"/>
      <c r="WFX1" s="1"/>
      <c r="WFY1" s="1"/>
      <c r="WFZ1" s="1"/>
      <c r="WGA1" s="1"/>
      <c r="WGB1" s="1"/>
      <c r="WGC1" s="1"/>
      <c r="WGD1" s="1"/>
      <c r="WGE1" s="1"/>
      <c r="WGF1" s="1"/>
      <c r="WGG1" s="1"/>
      <c r="WGH1" s="1"/>
      <c r="WGI1" s="1"/>
      <c r="WGJ1" s="1"/>
      <c r="WGK1" s="1"/>
      <c r="WGL1" s="1"/>
      <c r="WGM1" s="1"/>
      <c r="WGN1" s="1"/>
      <c r="WGO1" s="1"/>
      <c r="WGP1" s="1"/>
      <c r="WGQ1" s="1"/>
      <c r="WGR1" s="1"/>
      <c r="WGS1" s="1"/>
      <c r="WGT1" s="1"/>
      <c r="WGU1" s="1"/>
      <c r="WGV1" s="1"/>
      <c r="WGW1" s="1"/>
      <c r="WGX1" s="1"/>
      <c r="WGY1" s="1"/>
      <c r="WGZ1" s="1"/>
      <c r="WHA1" s="1"/>
      <c r="WHB1" s="1"/>
      <c r="WHC1" s="1"/>
      <c r="WHD1" s="1"/>
      <c r="WHE1" s="1"/>
      <c r="WHF1" s="1"/>
      <c r="WHG1" s="1"/>
      <c r="WHH1" s="1"/>
      <c r="WHI1" s="1"/>
      <c r="WHJ1" s="1"/>
      <c r="WHK1" s="1"/>
      <c r="WHL1" s="1"/>
      <c r="WHM1" s="1"/>
      <c r="WHN1" s="1"/>
      <c r="WHO1" s="1"/>
      <c r="WHP1" s="1"/>
      <c r="WHQ1" s="1"/>
      <c r="WHR1" s="1"/>
      <c r="WHS1" s="1"/>
      <c r="WHT1" s="1"/>
      <c r="WHU1" s="1"/>
      <c r="WHV1" s="1"/>
      <c r="WHW1" s="1"/>
      <c r="WHX1" s="1"/>
      <c r="WHY1" s="1"/>
      <c r="WHZ1" s="1"/>
      <c r="WIA1" s="1"/>
      <c r="WIB1" s="1"/>
      <c r="WIC1" s="1"/>
      <c r="WID1" s="1"/>
      <c r="WIE1" s="1"/>
      <c r="WIF1" s="1"/>
      <c r="WIG1" s="1"/>
      <c r="WIH1" s="1"/>
      <c r="WII1" s="1"/>
      <c r="WIJ1" s="1"/>
      <c r="WIK1" s="1"/>
      <c r="WIL1" s="1"/>
      <c r="WIM1" s="1"/>
      <c r="WIN1" s="1"/>
      <c r="WIO1" s="1"/>
      <c r="WIP1" s="1"/>
      <c r="WIQ1" s="1"/>
      <c r="WIR1" s="1"/>
      <c r="WIS1" s="1"/>
      <c r="WIT1" s="1"/>
      <c r="WIU1" s="1"/>
      <c r="WIV1" s="1"/>
      <c r="WIW1" s="1"/>
      <c r="WIX1" s="1"/>
      <c r="WIY1" s="1"/>
      <c r="WIZ1" s="1"/>
      <c r="WJA1" s="1"/>
      <c r="WJB1" s="1"/>
      <c r="WJC1" s="1"/>
      <c r="WJD1" s="1"/>
      <c r="WJE1" s="1"/>
      <c r="WJF1" s="1"/>
      <c r="WJG1" s="1"/>
      <c r="WJH1" s="1"/>
      <c r="WJI1" s="1"/>
      <c r="WJJ1" s="1"/>
      <c r="WJK1" s="1"/>
      <c r="WJL1" s="1"/>
      <c r="WJM1" s="1"/>
      <c r="WJN1" s="1"/>
      <c r="WJO1" s="1"/>
      <c r="WJP1" s="1"/>
      <c r="WJQ1" s="1"/>
      <c r="WJR1" s="1"/>
      <c r="WJS1" s="1"/>
      <c r="WJT1" s="1"/>
      <c r="WJU1" s="1"/>
      <c r="WJV1" s="1"/>
      <c r="WJW1" s="1"/>
      <c r="WJX1" s="1"/>
      <c r="WJY1" s="1"/>
      <c r="WJZ1" s="1"/>
      <c r="WKA1" s="1"/>
      <c r="WKB1" s="1"/>
      <c r="WKC1" s="1"/>
      <c r="WKD1" s="1"/>
      <c r="WKE1" s="1"/>
      <c r="WKF1" s="1"/>
      <c r="WKG1" s="1"/>
      <c r="WKH1" s="1"/>
      <c r="WKI1" s="1"/>
      <c r="WKJ1" s="1"/>
      <c r="WKK1" s="1"/>
      <c r="WKL1" s="1"/>
      <c r="WKM1" s="1"/>
      <c r="WKN1" s="1"/>
      <c r="WKO1" s="1"/>
      <c r="WKP1" s="1"/>
      <c r="WKQ1" s="1"/>
      <c r="WKR1" s="1"/>
      <c r="WKS1" s="1"/>
      <c r="WKT1" s="1"/>
      <c r="WKU1" s="1"/>
      <c r="WKV1" s="1"/>
      <c r="WKW1" s="1"/>
      <c r="WKX1" s="1"/>
      <c r="WKY1" s="1"/>
      <c r="WKZ1" s="1"/>
      <c r="WLA1" s="1"/>
      <c r="WLB1" s="1"/>
      <c r="WLC1" s="1"/>
      <c r="WLD1" s="1"/>
      <c r="WLE1" s="1"/>
      <c r="WLF1" s="1"/>
      <c r="WLG1" s="1"/>
      <c r="WLH1" s="1"/>
      <c r="WLI1" s="1"/>
      <c r="WLJ1" s="1"/>
      <c r="WLK1" s="1"/>
      <c r="WLL1" s="1"/>
      <c r="WLM1" s="1"/>
      <c r="WLN1" s="1"/>
      <c r="WLO1" s="1"/>
      <c r="WLP1" s="1"/>
      <c r="WLQ1" s="1"/>
      <c r="WLR1" s="1"/>
      <c r="WLS1" s="1"/>
      <c r="WLT1" s="1"/>
      <c r="WLU1" s="1"/>
      <c r="WLV1" s="1"/>
      <c r="WLW1" s="1"/>
      <c r="WLX1" s="1"/>
      <c r="WLY1" s="1"/>
      <c r="WLZ1" s="1"/>
      <c r="WMA1" s="1"/>
      <c r="WMB1" s="1"/>
      <c r="WMC1" s="1"/>
      <c r="WMD1" s="1"/>
      <c r="WME1" s="1"/>
      <c r="WMF1" s="1"/>
      <c r="WMG1" s="1"/>
      <c r="WMH1" s="1"/>
      <c r="WMI1" s="1"/>
      <c r="WMJ1" s="1"/>
      <c r="WMK1" s="1"/>
      <c r="WML1" s="1"/>
      <c r="WMM1" s="1"/>
      <c r="WMN1" s="1"/>
      <c r="WMO1" s="1"/>
      <c r="WMP1" s="1"/>
      <c r="WMQ1" s="1"/>
      <c r="WMR1" s="1"/>
      <c r="WMS1" s="1"/>
      <c r="WMT1" s="1"/>
      <c r="WMU1" s="1"/>
      <c r="WMV1" s="1"/>
      <c r="WMW1" s="1"/>
      <c r="WMX1" s="1"/>
      <c r="WMY1" s="1"/>
      <c r="WMZ1" s="1"/>
      <c r="WNA1" s="1"/>
      <c r="WNB1" s="1"/>
      <c r="WNC1" s="1"/>
      <c r="WND1" s="1"/>
      <c r="WNE1" s="1"/>
      <c r="WNF1" s="1"/>
      <c r="WNG1" s="1"/>
      <c r="WNH1" s="1"/>
      <c r="WNI1" s="1"/>
      <c r="WNJ1" s="1"/>
      <c r="WNK1" s="1"/>
      <c r="WNL1" s="1"/>
      <c r="WNM1" s="1"/>
      <c r="WNN1" s="1"/>
      <c r="WNO1" s="1"/>
      <c r="WNP1" s="1"/>
      <c r="WNQ1" s="1"/>
      <c r="WNR1" s="1"/>
      <c r="WNS1" s="1"/>
      <c r="WNT1" s="1"/>
      <c r="WNU1" s="1"/>
      <c r="WNV1" s="1"/>
      <c r="WNW1" s="1"/>
      <c r="WNX1" s="1"/>
      <c r="WNY1" s="1"/>
      <c r="WNZ1" s="1"/>
      <c r="WOA1" s="1"/>
      <c r="WOB1" s="1"/>
      <c r="WOC1" s="1"/>
      <c r="WOD1" s="1"/>
      <c r="WOE1" s="1"/>
      <c r="WOF1" s="1"/>
      <c r="WOG1" s="1"/>
      <c r="WOH1" s="1"/>
      <c r="WOI1" s="1"/>
      <c r="WOJ1" s="1"/>
      <c r="WOK1" s="1"/>
      <c r="WOL1" s="1"/>
      <c r="WOM1" s="1"/>
      <c r="WON1" s="1"/>
      <c r="WOO1" s="1"/>
      <c r="WOP1" s="1"/>
      <c r="WOQ1" s="1"/>
      <c r="WOR1" s="1"/>
      <c r="WOS1" s="1"/>
      <c r="WOT1" s="1"/>
      <c r="WOU1" s="1"/>
      <c r="WOV1" s="1"/>
      <c r="WOW1" s="1"/>
      <c r="WOX1" s="1"/>
      <c r="WOY1" s="1"/>
      <c r="WOZ1" s="1"/>
      <c r="WPA1" s="1"/>
      <c r="WPB1" s="1"/>
      <c r="WPC1" s="1"/>
      <c r="WPD1" s="1"/>
      <c r="WPE1" s="1"/>
      <c r="WPF1" s="1"/>
      <c r="WPG1" s="1"/>
      <c r="WPH1" s="1"/>
      <c r="WPI1" s="1"/>
      <c r="WPJ1" s="1"/>
      <c r="WPK1" s="1"/>
      <c r="WPL1" s="1"/>
      <c r="WPM1" s="1"/>
      <c r="WPN1" s="1"/>
      <c r="WPO1" s="1"/>
      <c r="WPP1" s="1"/>
      <c r="WPQ1" s="1"/>
      <c r="WPR1" s="1"/>
      <c r="WPS1" s="1"/>
      <c r="WPT1" s="1"/>
      <c r="WPU1" s="1"/>
      <c r="WPV1" s="1"/>
      <c r="WPW1" s="1"/>
      <c r="WPX1" s="1"/>
      <c r="WPY1" s="1"/>
      <c r="WPZ1" s="1"/>
      <c r="WQA1" s="1"/>
      <c r="WQB1" s="1"/>
      <c r="WQC1" s="1"/>
      <c r="WQD1" s="1"/>
      <c r="WQE1" s="1"/>
      <c r="WQF1" s="1"/>
      <c r="WQG1" s="1"/>
      <c r="WQH1" s="1"/>
      <c r="WQI1" s="1"/>
      <c r="WQJ1" s="1"/>
      <c r="WQK1" s="1"/>
      <c r="WQL1" s="1"/>
      <c r="WQM1" s="1"/>
      <c r="WQN1" s="1"/>
      <c r="WQO1" s="1"/>
      <c r="WQP1" s="1"/>
      <c r="WQQ1" s="1"/>
      <c r="WQR1" s="1"/>
      <c r="WQS1" s="1"/>
      <c r="WQT1" s="1"/>
      <c r="WQU1" s="1"/>
      <c r="WQV1" s="1"/>
      <c r="WQW1" s="1"/>
      <c r="WQX1" s="1"/>
      <c r="WQY1" s="1"/>
      <c r="WQZ1" s="1"/>
      <c r="WRA1" s="1"/>
      <c r="WRB1" s="1"/>
      <c r="WRC1" s="1"/>
      <c r="WRD1" s="1"/>
      <c r="WRE1" s="1"/>
      <c r="WRF1" s="1"/>
      <c r="WRG1" s="1"/>
      <c r="WRH1" s="1"/>
      <c r="WRI1" s="1"/>
      <c r="WRJ1" s="1"/>
      <c r="WRK1" s="1"/>
      <c r="WRL1" s="1"/>
      <c r="WRM1" s="1"/>
      <c r="WRN1" s="1"/>
      <c r="WRO1" s="1"/>
      <c r="WRP1" s="1"/>
      <c r="WRQ1" s="1"/>
      <c r="WRR1" s="1"/>
      <c r="WRS1" s="1"/>
      <c r="WRT1" s="1"/>
      <c r="WRU1" s="1"/>
      <c r="WRV1" s="1"/>
      <c r="WRW1" s="1"/>
      <c r="WRX1" s="1"/>
      <c r="WRY1" s="1"/>
      <c r="WRZ1" s="1"/>
      <c r="WSA1" s="1"/>
      <c r="WSB1" s="1"/>
      <c r="WSC1" s="1"/>
      <c r="WSD1" s="1"/>
      <c r="WSE1" s="1"/>
      <c r="WSF1" s="1"/>
      <c r="WSG1" s="1"/>
      <c r="WSH1" s="1"/>
      <c r="WSI1" s="1"/>
      <c r="WSJ1" s="1"/>
      <c r="WSK1" s="1"/>
      <c r="WSL1" s="1"/>
      <c r="WSM1" s="1"/>
      <c r="WSN1" s="1"/>
      <c r="WSO1" s="1"/>
      <c r="WSP1" s="1"/>
      <c r="WSQ1" s="1"/>
      <c r="WSR1" s="1"/>
      <c r="WSS1" s="1"/>
      <c r="WST1" s="1"/>
      <c r="WSU1" s="1"/>
      <c r="WSV1" s="1"/>
      <c r="WSW1" s="1"/>
      <c r="WSX1" s="1"/>
      <c r="WSY1" s="1"/>
      <c r="WSZ1" s="1"/>
      <c r="WTA1" s="1"/>
      <c r="WTB1" s="1"/>
      <c r="WTC1" s="1"/>
      <c r="WTD1" s="1"/>
      <c r="WTE1" s="1"/>
      <c r="WTF1" s="1"/>
      <c r="WTG1" s="1"/>
      <c r="WTH1" s="1"/>
      <c r="WTI1" s="1"/>
      <c r="WTJ1" s="1"/>
      <c r="WTK1" s="1"/>
      <c r="WTL1" s="1"/>
      <c r="WTM1" s="1"/>
      <c r="WTN1" s="1"/>
      <c r="WTO1" s="1"/>
      <c r="WTP1" s="1"/>
      <c r="WTQ1" s="1"/>
      <c r="WTR1" s="1"/>
      <c r="WTS1" s="1"/>
      <c r="WTT1" s="1"/>
      <c r="WTU1" s="1"/>
      <c r="WTV1" s="1"/>
      <c r="WTW1" s="1"/>
      <c r="WTX1" s="1"/>
      <c r="WTY1" s="1"/>
      <c r="WTZ1" s="1"/>
      <c r="WUA1" s="1"/>
      <c r="WUB1" s="1"/>
      <c r="WUC1" s="1"/>
      <c r="WUD1" s="1"/>
      <c r="WUE1" s="1"/>
      <c r="WUF1" s="1"/>
      <c r="WUG1" s="1"/>
      <c r="WUH1" s="1"/>
      <c r="WUI1" s="1"/>
      <c r="WUJ1" s="1"/>
      <c r="WUK1" s="1"/>
      <c r="WUL1" s="1"/>
      <c r="WUM1" s="1"/>
      <c r="WUN1" s="1"/>
      <c r="WUO1" s="1"/>
      <c r="WUP1" s="1"/>
      <c r="WUQ1" s="1"/>
      <c r="WUR1" s="1"/>
      <c r="WUS1" s="1"/>
      <c r="WUT1" s="1"/>
      <c r="WUU1" s="1"/>
      <c r="WUV1" s="1"/>
      <c r="WUW1" s="1"/>
      <c r="WUX1" s="1"/>
      <c r="WUY1" s="1"/>
      <c r="WUZ1" s="1"/>
      <c r="WVA1" s="1"/>
      <c r="WVB1" s="1"/>
      <c r="WVC1" s="1"/>
      <c r="WVD1" s="1"/>
      <c r="WVE1" s="1"/>
      <c r="WVF1" s="1"/>
      <c r="WVG1" s="1"/>
      <c r="WVH1" s="1"/>
      <c r="WVI1" s="1"/>
      <c r="WVJ1" s="1"/>
      <c r="WVK1" s="1"/>
      <c r="WVL1" s="1"/>
      <c r="WVM1" s="1"/>
      <c r="WVN1" s="1"/>
      <c r="WVO1" s="1"/>
      <c r="WVP1" s="1"/>
      <c r="WVQ1" s="1"/>
      <c r="WVR1" s="1"/>
      <c r="WVS1" s="1"/>
      <c r="WVT1" s="1"/>
      <c r="WVU1" s="1"/>
      <c r="WVV1" s="1"/>
      <c r="WVW1" s="1"/>
      <c r="WVX1" s="1"/>
      <c r="WVY1" s="1"/>
      <c r="WVZ1" s="1"/>
      <c r="WWA1" s="1"/>
      <c r="WWB1" s="1"/>
      <c r="WWC1" s="1"/>
      <c r="WWD1" s="1"/>
      <c r="WWE1" s="1"/>
      <c r="WWF1" s="1"/>
      <c r="WWG1" s="1"/>
      <c r="WWH1" s="1"/>
      <c r="WWI1" s="1"/>
      <c r="WWJ1" s="1"/>
      <c r="WWK1" s="1"/>
      <c r="WWL1" s="1"/>
      <c r="WWM1" s="1"/>
      <c r="WWN1" s="1"/>
      <c r="WWO1" s="1"/>
      <c r="WWP1" s="1"/>
      <c r="WWQ1" s="1"/>
      <c r="WWR1" s="1"/>
      <c r="WWS1" s="1"/>
      <c r="WWT1" s="1"/>
      <c r="WWU1" s="1"/>
      <c r="WWV1" s="1"/>
      <c r="WWW1" s="1"/>
      <c r="WWX1" s="1"/>
      <c r="WWY1" s="1"/>
      <c r="WWZ1" s="1"/>
      <c r="WXA1" s="1"/>
      <c r="WXB1" s="1"/>
      <c r="WXC1" s="1"/>
      <c r="WXD1" s="1"/>
      <c r="WXE1" s="1"/>
      <c r="WXF1" s="1"/>
      <c r="WXG1" s="1"/>
      <c r="WXH1" s="1"/>
      <c r="WXI1" s="1"/>
      <c r="WXJ1" s="1"/>
      <c r="WXK1" s="1"/>
      <c r="WXL1" s="1"/>
      <c r="WXM1" s="1"/>
      <c r="WXN1" s="1"/>
      <c r="WXO1" s="1"/>
      <c r="WXP1" s="1"/>
      <c r="WXQ1" s="1"/>
      <c r="WXR1" s="1"/>
      <c r="WXS1" s="1"/>
      <c r="WXT1" s="1"/>
      <c r="WXU1" s="1"/>
      <c r="WXV1" s="1"/>
      <c r="WXW1" s="1"/>
      <c r="WXX1" s="1"/>
      <c r="WXY1" s="1"/>
      <c r="WXZ1" s="1"/>
      <c r="WYA1" s="1"/>
      <c r="WYB1" s="1"/>
      <c r="WYC1" s="1"/>
      <c r="WYD1" s="1"/>
      <c r="WYE1" s="1"/>
      <c r="WYF1" s="1"/>
      <c r="WYG1" s="1"/>
      <c r="WYH1" s="1"/>
      <c r="WYI1" s="1"/>
      <c r="WYJ1" s="1"/>
      <c r="WYK1" s="1"/>
      <c r="WYL1" s="1"/>
      <c r="WYM1" s="1"/>
      <c r="WYN1" s="1"/>
      <c r="WYO1" s="1"/>
      <c r="WYP1" s="1"/>
      <c r="WYQ1" s="1"/>
      <c r="WYR1" s="1"/>
      <c r="WYS1" s="1"/>
      <c r="WYT1" s="1"/>
      <c r="WYU1" s="1"/>
      <c r="WYV1" s="1"/>
      <c r="WYW1" s="1"/>
      <c r="WYX1" s="1"/>
      <c r="WYY1" s="1"/>
      <c r="WYZ1" s="1"/>
      <c r="WZA1" s="1"/>
      <c r="WZB1" s="1"/>
      <c r="WZC1" s="1"/>
      <c r="WZD1" s="1"/>
      <c r="WZE1" s="1"/>
      <c r="WZF1" s="1"/>
      <c r="WZG1" s="1"/>
      <c r="WZH1" s="1"/>
      <c r="WZI1" s="1"/>
      <c r="WZJ1" s="1"/>
      <c r="WZK1" s="1"/>
      <c r="WZL1" s="1"/>
      <c r="WZM1" s="1"/>
      <c r="WZN1" s="1"/>
      <c r="WZO1" s="1"/>
      <c r="WZP1" s="1"/>
      <c r="WZQ1" s="1"/>
      <c r="WZR1" s="1"/>
      <c r="WZS1" s="1"/>
      <c r="WZT1" s="1"/>
      <c r="WZU1" s="1"/>
      <c r="WZV1" s="1"/>
      <c r="WZW1" s="1"/>
      <c r="WZX1" s="1"/>
      <c r="WZY1" s="1"/>
      <c r="WZZ1" s="1"/>
      <c r="XAA1" s="1"/>
      <c r="XAB1" s="1"/>
      <c r="XAC1" s="1"/>
      <c r="XAD1" s="1"/>
      <c r="XAE1" s="1"/>
      <c r="XAF1" s="1"/>
      <c r="XAG1" s="1"/>
      <c r="XAH1" s="1"/>
      <c r="XAI1" s="1"/>
      <c r="XAJ1" s="1"/>
      <c r="XAK1" s="1"/>
      <c r="XAL1" s="1"/>
      <c r="XAM1" s="1"/>
      <c r="XAN1" s="1"/>
      <c r="XAO1" s="1"/>
      <c r="XAP1" s="1"/>
      <c r="XAQ1" s="1"/>
      <c r="XAR1" s="1"/>
      <c r="XAS1" s="1"/>
      <c r="XAT1" s="1"/>
      <c r="XAU1" s="1"/>
      <c r="XAV1" s="1"/>
      <c r="XAW1" s="1"/>
      <c r="XAX1" s="1"/>
      <c r="XAY1" s="1"/>
      <c r="XAZ1" s="1"/>
      <c r="XBA1" s="1"/>
      <c r="XBB1" s="1"/>
      <c r="XBC1" s="1"/>
      <c r="XBD1" s="1"/>
      <c r="XBE1" s="1"/>
      <c r="XBF1" s="1"/>
      <c r="XBG1" s="1"/>
      <c r="XBH1" s="1"/>
      <c r="XBI1" s="1"/>
      <c r="XBJ1" s="1"/>
      <c r="XBK1" s="1"/>
      <c r="XBL1" s="1"/>
      <c r="XBM1" s="1"/>
      <c r="XBN1" s="1"/>
      <c r="XBO1" s="1"/>
      <c r="XBP1" s="1"/>
      <c r="XBQ1" s="1"/>
      <c r="XBR1" s="1"/>
      <c r="XBS1" s="1"/>
      <c r="XBT1" s="1"/>
      <c r="XBU1" s="1"/>
      <c r="XBV1" s="1"/>
      <c r="XBW1" s="1"/>
      <c r="XBX1" s="1"/>
      <c r="XBY1" s="1"/>
      <c r="XBZ1" s="1"/>
      <c r="XCA1" s="1"/>
      <c r="XCB1" s="1"/>
      <c r="XCC1" s="1"/>
      <c r="XCD1" s="1"/>
      <c r="XCE1" s="1"/>
      <c r="XCF1" s="1"/>
      <c r="XCG1" s="1"/>
      <c r="XCH1" s="1"/>
      <c r="XCI1" s="1"/>
      <c r="XCJ1" s="1"/>
      <c r="XCK1" s="1"/>
      <c r="XCL1" s="1"/>
      <c r="XCM1" s="1"/>
      <c r="XCN1" s="1"/>
      <c r="XCO1" s="1"/>
      <c r="XCP1" s="1"/>
      <c r="XCQ1" s="1"/>
      <c r="XCR1" s="1"/>
      <c r="XCS1" s="1"/>
      <c r="XCT1" s="1"/>
      <c r="XCU1" s="1"/>
      <c r="XCV1" s="1"/>
      <c r="XCW1" s="1"/>
      <c r="XCX1" s="1"/>
      <c r="XCY1" s="1"/>
      <c r="XCZ1" s="1"/>
      <c r="XDA1" s="1"/>
      <c r="XDB1" s="1"/>
      <c r="XDC1" s="1"/>
      <c r="XDD1" s="1"/>
      <c r="XDE1" s="1"/>
      <c r="XDF1" s="1"/>
      <c r="XDG1" s="1"/>
      <c r="XDH1" s="1"/>
      <c r="XDI1" s="1"/>
      <c r="XDJ1" s="1"/>
      <c r="XDK1" s="1"/>
      <c r="XDL1" s="1"/>
      <c r="XDM1" s="1"/>
      <c r="XDN1" s="1"/>
      <c r="XDO1" s="1"/>
      <c r="XDP1" s="1"/>
      <c r="XDQ1" s="1"/>
      <c r="XDR1" s="1"/>
      <c r="XDS1" s="1"/>
      <c r="XDT1" s="1"/>
      <c r="XDU1" s="1"/>
      <c r="XDV1" s="1"/>
      <c r="XDW1" s="1"/>
      <c r="XDX1" s="1"/>
      <c r="XDY1" s="1"/>
      <c r="XDZ1" s="1"/>
      <c r="XEA1" s="1"/>
      <c r="XEB1" s="1"/>
      <c r="XEC1" s="1"/>
      <c r="XED1" s="1"/>
      <c r="XEE1" s="1"/>
      <c r="XEF1" s="1"/>
      <c r="XEG1" s="1"/>
      <c r="XEH1" s="1"/>
      <c r="XEI1" s="1"/>
      <c r="XEJ1" s="1"/>
      <c r="XEK1" s="1"/>
      <c r="XEL1" s="1"/>
      <c r="XEM1" s="1"/>
      <c r="XEN1" s="1"/>
      <c r="XEO1" s="1"/>
      <c r="XEP1" s="1"/>
      <c r="XEQ1" s="1"/>
      <c r="XER1" s="1"/>
      <c r="XES1" s="1"/>
      <c r="XET1" s="1"/>
      <c r="XEU1" s="1"/>
      <c r="XEV1" s="1"/>
      <c r="XEW1" s="1"/>
      <c r="XEX1" s="1"/>
      <c r="XEY1" s="1"/>
      <c r="XEZ1" s="1"/>
      <c r="XFA1" s="1"/>
      <c r="XFB1" s="1"/>
      <c r="XFC1" s="1"/>
    </row>
    <row r="2" spans="1:16383" ht="58">
      <c r="A2" t="s">
        <v>43</v>
      </c>
      <c r="B2" s="3" t="s">
        <v>606</v>
      </c>
      <c r="C2" s="3" t="s">
        <v>607</v>
      </c>
      <c r="F2" t="s">
        <v>19</v>
      </c>
      <c r="G2" t="s">
        <v>1369</v>
      </c>
      <c r="H2" s="8" t="s">
        <v>24</v>
      </c>
      <c r="I2" s="8">
        <v>0</v>
      </c>
      <c r="J2" s="8">
        <v>1</v>
      </c>
      <c r="K2" s="8">
        <v>4</v>
      </c>
      <c r="L2" s="8" t="s">
        <v>1315</v>
      </c>
      <c r="M2" s="8" t="s">
        <v>1258</v>
      </c>
      <c r="N2" s="8" t="s">
        <v>1316</v>
      </c>
      <c r="O2" s="9" t="s">
        <v>1317</v>
      </c>
      <c r="P2" s="8"/>
      <c r="Q2" s="8">
        <v>0</v>
      </c>
      <c r="R2" s="8">
        <v>0</v>
      </c>
      <c r="S2" s="8"/>
      <c r="T2" s="8" t="s">
        <v>1371</v>
      </c>
      <c r="U2" s="8" t="s">
        <v>1371</v>
      </c>
      <c r="V2" s="8"/>
      <c r="W2" s="8"/>
      <c r="X2" s="8"/>
      <c r="Y2" s="8"/>
      <c r="Z2" s="8"/>
      <c r="AA2" s="8" t="s">
        <v>19</v>
      </c>
      <c r="AB2" s="8"/>
      <c r="AC2" s="8"/>
      <c r="AD2" s="8"/>
      <c r="AE2" s="8"/>
      <c r="AF2" s="8"/>
    </row>
    <row r="3" spans="1:16383" ht="43.5">
      <c r="A3" t="s">
        <v>64</v>
      </c>
      <c r="B3" s="3" t="s">
        <v>625</v>
      </c>
      <c r="C3" s="3" t="s">
        <v>626</v>
      </c>
      <c r="H3" s="8" t="s">
        <v>25</v>
      </c>
      <c r="I3" s="8">
        <v>0</v>
      </c>
      <c r="J3" s="8">
        <v>1</v>
      </c>
      <c r="K3" s="8">
        <v>8</v>
      </c>
      <c r="L3" s="8" t="s">
        <v>1315</v>
      </c>
      <c r="M3" s="8" t="s">
        <v>1263</v>
      </c>
      <c r="N3" s="8"/>
      <c r="O3" s="9"/>
      <c r="P3" s="8"/>
      <c r="Q3" s="8">
        <v>3</v>
      </c>
      <c r="R3" s="8">
        <v>1.4750712951125973</v>
      </c>
      <c r="S3" s="8"/>
      <c r="T3" s="8" t="s">
        <v>1371</v>
      </c>
      <c r="U3" s="8" t="s">
        <v>1371</v>
      </c>
      <c r="V3" s="8"/>
      <c r="W3" s="8"/>
      <c r="X3" s="8"/>
      <c r="Y3" s="8"/>
      <c r="Z3" s="8"/>
      <c r="AA3" s="8" t="s">
        <v>19</v>
      </c>
      <c r="AB3" s="8"/>
      <c r="AC3" s="8"/>
      <c r="AD3" s="8"/>
      <c r="AE3" s="8"/>
      <c r="AF3" s="8"/>
    </row>
    <row r="4" spans="1:16383" ht="58">
      <c r="A4" t="s">
        <v>215</v>
      </c>
      <c r="B4" s="3" t="s">
        <v>823</v>
      </c>
      <c r="C4" s="3" t="s">
        <v>822</v>
      </c>
      <c r="F4" t="s">
        <v>19</v>
      </c>
      <c r="G4" t="s">
        <v>1341</v>
      </c>
      <c r="H4" s="8" t="s">
        <v>25</v>
      </c>
      <c r="I4" s="8">
        <v>0</v>
      </c>
      <c r="J4" s="8">
        <v>1</v>
      </c>
      <c r="K4" s="8">
        <v>7</v>
      </c>
      <c r="L4" s="8" t="s">
        <v>1278</v>
      </c>
      <c r="M4" s="8" t="s">
        <v>1258</v>
      </c>
      <c r="N4" s="8" t="s">
        <v>1340</v>
      </c>
      <c r="O4" s="9" t="s">
        <v>1336</v>
      </c>
      <c r="P4" s="8"/>
      <c r="Q4" s="8">
        <v>0</v>
      </c>
      <c r="R4" s="8">
        <v>0</v>
      </c>
      <c r="S4" s="8"/>
      <c r="T4" s="8" t="s">
        <v>1371</v>
      </c>
      <c r="U4" s="8" t="s">
        <v>1371</v>
      </c>
      <c r="V4" s="8"/>
      <c r="W4" s="8"/>
      <c r="X4" s="8"/>
      <c r="Y4" s="8"/>
      <c r="Z4" s="8"/>
      <c r="AA4" s="8" t="s">
        <v>19</v>
      </c>
      <c r="AB4" s="8"/>
      <c r="AC4" s="8"/>
      <c r="AD4" s="8"/>
      <c r="AE4" s="8"/>
      <c r="AF4" s="8"/>
    </row>
    <row r="5" spans="1:16383" ht="29">
      <c r="A5" t="s">
        <v>216</v>
      </c>
      <c r="B5" s="3" t="s">
        <v>826</v>
      </c>
      <c r="C5" s="3" t="s">
        <v>827</v>
      </c>
      <c r="F5" t="s">
        <v>19</v>
      </c>
      <c r="G5" t="s">
        <v>1342</v>
      </c>
      <c r="H5" s="8" t="s">
        <v>25</v>
      </c>
      <c r="I5" s="8">
        <v>0</v>
      </c>
      <c r="J5" s="8">
        <v>1</v>
      </c>
      <c r="K5" s="8">
        <v>6</v>
      </c>
      <c r="L5" s="8" t="s">
        <v>1272</v>
      </c>
      <c r="M5" s="8" t="s">
        <v>1258</v>
      </c>
      <c r="N5" s="8" t="s">
        <v>1340</v>
      </c>
      <c r="O5" s="9" t="s">
        <v>1336</v>
      </c>
      <c r="P5" s="8"/>
      <c r="Q5" s="8">
        <v>0</v>
      </c>
      <c r="R5" s="8">
        <v>0</v>
      </c>
      <c r="S5" s="8"/>
      <c r="T5" s="8" t="s">
        <v>1371</v>
      </c>
      <c r="U5" s="8" t="s">
        <v>1371</v>
      </c>
      <c r="V5" s="8"/>
      <c r="W5" s="8"/>
      <c r="X5" s="8"/>
      <c r="Y5" s="8"/>
      <c r="Z5" s="8"/>
      <c r="AA5" s="8" t="s">
        <v>19</v>
      </c>
      <c r="AB5" s="8"/>
      <c r="AC5" s="8"/>
      <c r="AD5" s="8"/>
      <c r="AE5" s="8"/>
      <c r="AF5" s="8"/>
    </row>
    <row r="6" spans="1:16383" ht="72.5">
      <c r="A6" t="s">
        <v>218</v>
      </c>
      <c r="B6" s="3" t="s">
        <v>835</v>
      </c>
      <c r="C6" s="3" t="s">
        <v>834</v>
      </c>
      <c r="H6" s="8" t="s">
        <v>25</v>
      </c>
      <c r="I6" s="8">
        <v>0</v>
      </c>
      <c r="J6" s="8">
        <v>1</v>
      </c>
      <c r="K6" s="8">
        <v>6</v>
      </c>
      <c r="L6" s="8" t="s">
        <v>1272</v>
      </c>
      <c r="M6" s="8" t="s">
        <v>1263</v>
      </c>
      <c r="N6" s="8"/>
      <c r="O6" s="9"/>
      <c r="P6" s="8"/>
      <c r="Q6" s="8">
        <v>6</v>
      </c>
      <c r="R6" s="8">
        <v>2.9501425902251945</v>
      </c>
      <c r="S6" s="8"/>
      <c r="T6" s="8" t="s">
        <v>1371</v>
      </c>
      <c r="U6" s="8" t="s">
        <v>1371</v>
      </c>
      <c r="V6" s="8"/>
      <c r="W6" s="8"/>
      <c r="X6" s="8"/>
      <c r="Y6" s="8"/>
      <c r="Z6" s="8"/>
      <c r="AA6" s="8" t="s">
        <v>19</v>
      </c>
      <c r="AB6" s="8"/>
      <c r="AC6" s="8"/>
      <c r="AD6" s="8"/>
      <c r="AE6" s="8"/>
      <c r="AF6" s="8"/>
    </row>
    <row r="7" spans="1:16383" ht="87">
      <c r="A7" t="s">
        <v>290</v>
      </c>
      <c r="B7" s="3" t="s">
        <v>936</v>
      </c>
      <c r="C7" s="3" t="s">
        <v>937</v>
      </c>
      <c r="F7" t="s">
        <v>19</v>
      </c>
      <c r="H7" s="8" t="s">
        <v>24</v>
      </c>
      <c r="I7" s="8">
        <v>0</v>
      </c>
      <c r="J7" s="8">
        <v>1</v>
      </c>
      <c r="K7" s="8">
        <v>5</v>
      </c>
      <c r="L7" s="8" t="s">
        <v>1272</v>
      </c>
      <c r="M7" s="8" t="s">
        <v>1258</v>
      </c>
      <c r="N7" s="8" t="s">
        <v>1340</v>
      </c>
      <c r="O7" s="9" t="s">
        <v>1337</v>
      </c>
      <c r="P7" s="8" t="s">
        <v>1259</v>
      </c>
      <c r="Q7" s="8">
        <v>98</v>
      </c>
      <c r="R7" s="8">
        <v>48.185662307011505</v>
      </c>
      <c r="S7" s="8"/>
      <c r="T7" s="8" t="s">
        <v>1371</v>
      </c>
      <c r="U7" s="8" t="s">
        <v>1371</v>
      </c>
      <c r="V7" s="8"/>
      <c r="W7" s="8"/>
      <c r="X7" s="8"/>
      <c r="Y7" s="8"/>
      <c r="Z7" s="8"/>
      <c r="AA7" s="8" t="s">
        <v>19</v>
      </c>
      <c r="AB7" s="8"/>
      <c r="AC7" s="8"/>
      <c r="AD7" s="8"/>
      <c r="AE7" s="8"/>
      <c r="AF7" s="8"/>
    </row>
    <row r="8" spans="1:16383" ht="43.5">
      <c r="A8" t="s">
        <v>601</v>
      </c>
      <c r="B8" s="3" t="s">
        <v>1248</v>
      </c>
      <c r="C8" s="3" t="s">
        <v>1249</v>
      </c>
      <c r="F8" t="s">
        <v>19</v>
      </c>
      <c r="H8" s="8" t="s">
        <v>25</v>
      </c>
      <c r="I8" s="8">
        <v>0</v>
      </c>
      <c r="J8" s="8">
        <v>1</v>
      </c>
      <c r="K8" s="8">
        <v>2</v>
      </c>
      <c r="L8" s="8" t="s">
        <v>1266</v>
      </c>
      <c r="M8" s="8" t="s">
        <v>1304</v>
      </c>
      <c r="N8" s="8"/>
      <c r="O8" s="9"/>
      <c r="P8" s="8"/>
      <c r="Q8" s="8">
        <v>129</v>
      </c>
      <c r="R8" s="8">
        <v>63.428065689841674</v>
      </c>
      <c r="S8" s="8"/>
      <c r="T8" s="8" t="s">
        <v>1371</v>
      </c>
      <c r="U8" s="8" t="s">
        <v>1371</v>
      </c>
      <c r="V8" s="8"/>
      <c r="W8" s="8"/>
      <c r="X8" s="8"/>
      <c r="Y8" s="8"/>
      <c r="Z8" s="8"/>
      <c r="AA8" s="8" t="s">
        <v>19</v>
      </c>
      <c r="AB8" s="8"/>
      <c r="AC8" s="8"/>
      <c r="AD8" s="8"/>
      <c r="AE8" s="8"/>
      <c r="AF8" s="8"/>
    </row>
    <row r="11" spans="1:16383">
      <c r="D11" t="s">
        <v>1407</v>
      </c>
      <c r="E11">
        <v>20338</v>
      </c>
    </row>
    <row r="12" spans="1:16383">
      <c r="D12" t="s">
        <v>1411</v>
      </c>
      <c r="E12">
        <f>MEDIAN(R:R)</f>
        <v>1.4750712951125973</v>
      </c>
    </row>
    <row r="15" spans="1:16383">
      <c r="D15" t="s">
        <v>1412</v>
      </c>
      <c r="E15">
        <f>COUNTIFS(H:H, "Addition", R:R, "&gt;=" &amp; $E$12)</f>
        <v>1</v>
      </c>
      <c r="F15" s="5" t="s">
        <v>1418</v>
      </c>
    </row>
    <row r="16" spans="1:16383">
      <c r="D16" t="s">
        <v>1413</v>
      </c>
      <c r="E16">
        <f>COUNTIFS(H:H, "Omission", R:R, "&gt;=" &amp; $E$12)</f>
        <v>3</v>
      </c>
    </row>
    <row r="17" spans="4:5">
      <c r="D17" t="s">
        <v>1414</v>
      </c>
      <c r="E17">
        <f>E15/(E15+E16)</f>
        <v>0.25</v>
      </c>
    </row>
    <row r="18" spans="4:5">
      <c r="D18" t="s">
        <v>1415</v>
      </c>
      <c r="E18">
        <f>COUNTIFS(H:H, "Addition", R:R, "&lt;" &amp; $E$12)</f>
        <v>1</v>
      </c>
    </row>
    <row r="19" spans="4:5">
      <c r="D19" t="s">
        <v>1416</v>
      </c>
      <c r="E19">
        <f>COUNTIFS(H:H, "Omission", R:R, "&lt;" &amp; $E$12)</f>
        <v>2</v>
      </c>
    </row>
    <row r="20" spans="4:5">
      <c r="D20" t="s">
        <v>1417</v>
      </c>
      <c r="E20">
        <f>E18/(E18+E19)</f>
        <v>0.33333333333333331</v>
      </c>
    </row>
    <row r="21" spans="4:5">
      <c r="D21" t="s">
        <v>1432</v>
      </c>
      <c r="E21">
        <f>E17-E20</f>
        <v>-8.3333333333333315E-2</v>
      </c>
    </row>
  </sheetData>
  <conditionalFormatting sqref="H2:H8">
    <cfRule type="expression" dxfId="133" priority="31">
      <formula>$J2&lt;&gt;""</formula>
    </cfRule>
    <cfRule type="expression" dxfId="132" priority="32">
      <formula>$J2=""</formula>
    </cfRule>
  </conditionalFormatting>
  <conditionalFormatting sqref="I2:M8 P2:Q8">
    <cfRule type="expression" dxfId="131" priority="29">
      <formula>AND(OR($J2="Addition",$J2="Omission"), I2="")</formula>
    </cfRule>
    <cfRule type="expression" dxfId="130" priority="30">
      <formula>AND($J2&lt;&gt;"Addition",$J2&lt;&gt;"Omission",$J2&lt;&gt;"Substitution - Word")</formula>
    </cfRule>
  </conditionalFormatting>
  <conditionalFormatting sqref="I2:Q8">
    <cfRule type="expression" dxfId="129" priority="28">
      <formula>AND(OR($J2="Addition",$J2="Omission"), I2&lt;&gt;"")</formula>
    </cfRule>
  </conditionalFormatting>
  <conditionalFormatting sqref="L2:L8">
    <cfRule type="expression" dxfId="128" priority="23">
      <formula>AND($L2&lt;&gt;"",$L2&gt;1)</formula>
    </cfRule>
  </conditionalFormatting>
  <conditionalFormatting sqref="N2:O8">
    <cfRule type="expression" dxfId="127" priority="22">
      <formula>AND($J2&lt;&gt;"Addition",$J2&lt;&gt;"Omission")</formula>
    </cfRule>
    <cfRule type="expression" dxfId="126" priority="21">
      <formula>AND(OR($J2="Addition",$J2="Omission"), N2="")</formula>
    </cfRule>
    <cfRule type="expression" dxfId="125" priority="19">
      <formula>$O2="Absent"</formula>
    </cfRule>
    <cfRule type="expression" dxfId="124" priority="20">
      <formula>$O2="NA"</formula>
    </cfRule>
  </conditionalFormatting>
  <conditionalFormatting sqref="P2:P8">
    <cfRule type="expression" dxfId="123" priority="24">
      <formula>OR($J2="Addition",$J2="Omission",$J2 = "Substitution - Word")</formula>
    </cfRule>
  </conditionalFormatting>
  <conditionalFormatting sqref="R2:R8">
    <cfRule type="expression" dxfId="122" priority="1">
      <formula>AND(OR($J2="Addition",$J2="Omission"), R2&lt;&gt;"")</formula>
    </cfRule>
    <cfRule type="expression" dxfId="121" priority="2">
      <formula>AND(OR($J2="Addition",$J2="Omission"), R2="")</formula>
    </cfRule>
    <cfRule type="expression" dxfId="120" priority="3">
      <formula>AND($J2&lt;&gt;"Addition",$J2&lt;&gt;"Omission",$J2&lt;&gt;"Substitution - Word")</formula>
    </cfRule>
  </conditionalFormatting>
  <conditionalFormatting sqref="S2:U8">
    <cfRule type="expression" dxfId="119" priority="25">
      <formula>AND(AND(LEFT($J2,3)="Sub", RIGHT($J2,4)&lt;&gt;"Form"),$U2&lt;&gt;"")</formula>
    </cfRule>
    <cfRule type="expression" dxfId="118" priority="26">
      <formula>AND(AND(LEFT($J2,3)="Sub", RIGHT($J2,4)&lt;&gt;"Form"),$U2="")</formula>
    </cfRule>
    <cfRule type="expression" dxfId="117" priority="27">
      <formula>"&lt;&gt;AND(LEFT($J2,3)=""Sub"", RIGHT($J2,4)&lt;&gt;""Form"")"</formula>
    </cfRule>
  </conditionalFormatting>
  <conditionalFormatting sqref="T2:U8">
    <cfRule type="expression" dxfId="116" priority="4">
      <formula>AND(AND(LEFT($J2,3)="Sub", RIGHT($J2,4)&lt;&gt;"Form"),$U2&lt;&gt;"")</formula>
    </cfRule>
    <cfRule type="expression" dxfId="115" priority="5">
      <formula>AND(AND(LEFT($J2,3)="Sub", RIGHT($J2,4)&lt;&gt;"Form"),$U2="")</formula>
    </cfRule>
    <cfRule type="expression" dxfId="114" priority="6">
      <formula>"&lt;&gt;AND(LEFT($J2,3)=""Sub"", RIGHT($J2,4)&lt;&gt;""Form"")"</formula>
    </cfRule>
  </conditionalFormatting>
  <conditionalFormatting sqref="V2:V8">
    <cfRule type="expression" dxfId="113" priority="14">
      <formula>AND($J2&lt;&gt;"",$J2&lt;&gt;"Unclear due to correction")</formula>
    </cfRule>
    <cfRule type="expression" dxfId="112" priority="17">
      <formula>OR($J2="",$J2="Unclear due to correction")</formula>
    </cfRule>
    <cfRule type="expression" dxfId="111" priority="18">
      <formula>AND($AF2&lt;&gt;"Yes",$AG2="")</formula>
    </cfRule>
    <cfRule type="expression" dxfId="110" priority="12">
      <formula>AND($X2&lt;&gt;"",OR($AF2="Yes",$AG2&lt;&gt;""))</formula>
    </cfRule>
    <cfRule type="expression" dxfId="109" priority="13">
      <formula>OR($AF2="Yes",$AG2&lt;&gt;"")</formula>
    </cfRule>
  </conditionalFormatting>
  <conditionalFormatting sqref="W2:W8">
    <cfRule type="expression" dxfId="108" priority="11">
      <formula>AND($J2&lt;&gt;"",$J2&lt;&gt;"Unclear due to correction",$Y2="")</formula>
    </cfRule>
  </conditionalFormatting>
  <conditionalFormatting sqref="W2:AF8">
    <cfRule type="expression" dxfId="107" priority="33">
      <formula>AND($J2&lt;&gt;"",$J2&lt;&gt;"Unclear due to correction")</formula>
    </cfRule>
    <cfRule type="expression" dxfId="106" priority="34">
      <formula>OR($J2="",$J2="Unclear due to correction")</formula>
    </cfRule>
  </conditionalFormatting>
  <conditionalFormatting sqref="X2:X8">
    <cfRule type="expression" dxfId="105" priority="16">
      <formula>$Y2=""</formula>
    </cfRule>
    <cfRule type="expression" dxfId="104" priority="15">
      <formula>AND($Y2="Yes",$Z2="")</formula>
    </cfRule>
  </conditionalFormatting>
  <conditionalFormatting sqref="Y2:Y8">
    <cfRule type="expression" dxfId="103" priority="9">
      <formula>$AA2&lt;&gt;""</formula>
    </cfRule>
  </conditionalFormatting>
  <conditionalFormatting sqref="Z2:AA8">
    <cfRule type="expression" dxfId="102" priority="8">
      <formula>$AA2&lt;&gt;""</formula>
    </cfRule>
    <cfRule type="expression" dxfId="101" priority="7">
      <formula>AND($AA2&lt;&gt;"",Z2&lt;&gt;"")</formula>
    </cfRule>
  </conditionalFormatting>
  <conditionalFormatting sqref="AD2:AD8">
    <cfRule type="expression" dxfId="100" priority="10">
      <formula>AND(OR($AD2&lt;&gt;"",$AE2&lt;&gt;""),$AF2="")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0094B40C-37F3-49F4-8A6A-54738B5AFA0F}">
          <x14:formula1>
            <xm:f>'Data Regularization'!$R$2:$R$1048576</xm:f>
          </x14:formula1>
          <xm:sqref>AF2:AF8</xm:sqref>
        </x14:dataValidation>
        <x14:dataValidation type="list" allowBlank="1" showInputMessage="1" xr:uid="{B78EBA0C-B238-4D06-9426-07A543B82643}">
          <x14:formula1>
            <xm:f>'Data Regularization'!$J$2:$J$1048576</xm:f>
          </x14:formula1>
          <xm:sqref>W2:W8</xm:sqref>
        </x14:dataValidation>
        <x14:dataValidation type="list" allowBlank="1" showInputMessage="1" showErrorMessage="1" xr:uid="{6DBA732D-B295-45AD-956F-43E0D499221D}">
          <x14:formula1>
            <xm:f>'Data Regularization'!$H$2:$H$1048576</xm:f>
          </x14:formula1>
          <xm:sqref>V2:V8</xm:sqref>
        </x14:dataValidation>
        <x14:dataValidation type="list" allowBlank="1" showInputMessage="1" showErrorMessage="1" xr:uid="{13198FEA-B1BA-4BFE-B5B1-F6265CB5C533}">
          <x14:formula1>
            <xm:f>'Data Regularization'!$Q$2:$Q$1048576</xm:f>
          </x14:formula1>
          <xm:sqref>AE2:AE8</xm:sqref>
        </x14:dataValidation>
        <x14:dataValidation type="list" allowBlank="1" showInputMessage="1" showErrorMessage="1" xr:uid="{51BD3FE0-CBA4-48C3-A318-70A7BC1E5EC4}">
          <x14:formula1>
            <xm:f>'Data Regularization'!$P$2:$P$1048576</xm:f>
          </x14:formula1>
          <xm:sqref>AD2:AD8</xm:sqref>
        </x14:dataValidation>
        <x14:dataValidation type="list" allowBlank="1" showInputMessage="1" showErrorMessage="1" xr:uid="{D08B63D0-406E-4856-AFB3-BE606ECB9BA3}">
          <x14:formula1>
            <xm:f>'Data Regularization'!$O$2:$O$1048576</xm:f>
          </x14:formula1>
          <xm:sqref>AB2:AB8</xm:sqref>
        </x14:dataValidation>
        <x14:dataValidation type="list" allowBlank="1" showInputMessage="1" showErrorMessage="1" xr:uid="{A8F30243-A59E-4856-9289-B897D0C90B10}">
          <x14:formula1>
            <xm:f>'Data Regularization'!$N$2:$N$1048576</xm:f>
          </x14:formula1>
          <xm:sqref>AA2:AA8</xm:sqref>
        </x14:dataValidation>
        <x14:dataValidation type="list" allowBlank="1" showInputMessage="1" showErrorMessage="1" xr:uid="{9BE4467F-5B54-43B3-95C7-7BDD8C1D26E9}">
          <x14:formula1>
            <xm:f>'Data Regularization'!$L$2:$L$1048576</xm:f>
          </x14:formula1>
          <xm:sqref>Y2:Y8</xm:sqref>
        </x14:dataValidation>
        <x14:dataValidation type="list" allowBlank="1" showInputMessage="1" showErrorMessage="1" xr:uid="{3B92F600-7CFF-4F8F-814C-4523ADE00111}">
          <x14:formula1>
            <xm:f>'Data Regularization'!$K$2:$K$1048576</xm:f>
          </x14:formula1>
          <xm:sqref>X2:X8</xm:sqref>
        </x14:dataValidation>
        <x14:dataValidation type="list" allowBlank="1" showInputMessage="1" showErrorMessage="1" xr:uid="{643B47A8-139F-4620-B316-5D56D6907D4D}">
          <x14:formula1>
            <xm:f>'Data Regularization'!$G$2:$G$1048576</xm:f>
          </x14:formula1>
          <xm:sqref>P2:P8</xm:sqref>
        </x14:dataValidation>
        <x14:dataValidation type="list" allowBlank="1" showInputMessage="1" showErrorMessage="1" xr:uid="{B0088CEB-6E29-4057-B442-375EFA0A3D13}">
          <x14:formula1>
            <xm:f>'Data Regularization'!$F$2:$F$1048576</xm:f>
          </x14:formula1>
          <xm:sqref>M2:M8</xm:sqref>
        </x14:dataValidation>
        <x14:dataValidation type="list" allowBlank="1" showInputMessage="1" showErrorMessage="1" xr:uid="{1C19706E-3685-481F-803E-45282DE3DE6F}">
          <x14:formula1>
            <xm:f>'Data Regularization'!$E$2:$E$1048576</xm:f>
          </x14:formula1>
          <xm:sqref>L2:L8</xm:sqref>
        </x14:dataValidation>
        <x14:dataValidation type="list" allowBlank="1" showInputMessage="1" showErrorMessage="1" xr:uid="{2BBACC96-31BA-4B1D-AEA1-61E5AFEB6A1D}">
          <x14:formula1>
            <xm:f>'Data Regularization'!$D$2:$D$1048576</xm:f>
          </x14:formula1>
          <xm:sqref>Z2:Z8 H2:H8</xm:sqref>
        </x14:dataValidation>
        <x14:dataValidation type="list" allowBlank="1" showInputMessage="1" showErrorMessage="1" xr:uid="{488093C0-C722-4B9D-A839-291D64E20746}">
          <x14:formula1>
            <xm:f>'Data Regularization'!$B$2:$B$1048576</xm:f>
          </x14:formula1>
          <xm:sqref>E2:E8</xm:sqref>
        </x14:dataValidation>
        <x14:dataValidation type="list" allowBlank="1" showInputMessage="1" showErrorMessage="1" xr:uid="{4249532F-1057-4C7D-9CC3-3B0EB8B60EE8}">
          <x14:formula1>
            <xm:f>'Data Regularization'!$A$2:$A$1048576</xm:f>
          </x14:formula1>
          <xm:sqref>D2:D8</xm:sqref>
        </x14:dataValidation>
        <x14:dataValidation type="list" allowBlank="1" showInputMessage="1" showErrorMessage="1" xr:uid="{9185BEFA-DDF6-457E-BDCA-B0F4A7849A62}">
          <x14:formula1>
            <xm:f>'Data Regularization'!$C$2:$C$25</xm:f>
          </x14:formula1>
          <xm:sqref>F2:F8</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C5F6D-3DA4-46A3-876F-071439126011}">
  <dimension ref="A1:AH37"/>
  <sheetViews>
    <sheetView workbookViewId="0">
      <pane xSplit="3" ySplit="1" topLeftCell="D9" activePane="bottomRight" state="frozen"/>
      <selection pane="topRight" activeCell="D1" sqref="D1"/>
      <selection pane="bottomLeft" activeCell="A2" sqref="A2"/>
      <selection pane="bottomRight" activeCell="D2" sqref="D2"/>
    </sheetView>
  </sheetViews>
  <sheetFormatPr defaultRowHeight="14.5"/>
  <sheetData>
    <row r="1" spans="1:34" s="1" customFormat="1">
      <c r="A1" s="1" t="s">
        <v>0</v>
      </c>
      <c r="B1" s="1" t="s">
        <v>5</v>
      </c>
      <c r="C1" s="1" t="s">
        <v>6</v>
      </c>
      <c r="D1" s="1" t="s">
        <v>1292</v>
      </c>
      <c r="E1" s="1" t="s">
        <v>1293</v>
      </c>
      <c r="F1" s="1" t="s">
        <v>1294</v>
      </c>
      <c r="G1" s="1" t="s">
        <v>7</v>
      </c>
      <c r="H1" s="1" t="s">
        <v>3</v>
      </c>
      <c r="I1" s="1" t="s">
        <v>1280</v>
      </c>
      <c r="J1" s="1" t="s">
        <v>1281</v>
      </c>
      <c r="K1" s="1" t="s">
        <v>1282</v>
      </c>
      <c r="L1" s="1" t="s">
        <v>1295</v>
      </c>
      <c r="M1" s="1" t="s">
        <v>1252</v>
      </c>
      <c r="N1" s="1" t="s">
        <v>1283</v>
      </c>
      <c r="O1" s="7" t="s">
        <v>1284</v>
      </c>
      <c r="P1" s="1" t="s">
        <v>1253</v>
      </c>
      <c r="Q1" s="1" t="s">
        <v>1285</v>
      </c>
      <c r="R1" s="1" t="s">
        <v>1286</v>
      </c>
      <c r="S1" s="1" t="s">
        <v>1408</v>
      </c>
      <c r="T1" s="1" t="s">
        <v>1409</v>
      </c>
      <c r="U1" s="1" t="s">
        <v>1422</v>
      </c>
      <c r="V1" s="1" t="s">
        <v>1423</v>
      </c>
      <c r="W1" s="1" t="s">
        <v>1424</v>
      </c>
      <c r="X1" s="1" t="s">
        <v>1297</v>
      </c>
      <c r="Y1" s="1" t="s">
        <v>1298</v>
      </c>
      <c r="Z1" s="1" t="s">
        <v>1299</v>
      </c>
      <c r="AA1" s="1" t="s">
        <v>1254</v>
      </c>
      <c r="AB1" s="1" t="s">
        <v>1372</v>
      </c>
      <c r="AC1" s="1" t="s">
        <v>1255</v>
      </c>
      <c r="AD1" s="1" t="s">
        <v>1256</v>
      </c>
      <c r="AE1" s="1" t="s">
        <v>1296</v>
      </c>
      <c r="AF1" s="1" t="s">
        <v>1300</v>
      </c>
      <c r="AG1" s="1" t="s">
        <v>1287</v>
      </c>
      <c r="AH1" s="1" t="s">
        <v>1301</v>
      </c>
    </row>
    <row r="2" spans="1:34">
      <c r="A2" t="s">
        <v>53</v>
      </c>
      <c r="B2" s="3" t="s">
        <v>54</v>
      </c>
      <c r="C2" s="3" t="s">
        <v>55</v>
      </c>
      <c r="F2" t="s">
        <v>19</v>
      </c>
      <c r="G2" t="s">
        <v>1324</v>
      </c>
      <c r="H2" s="8" t="s">
        <v>1303</v>
      </c>
      <c r="I2" s="8"/>
      <c r="J2" s="8"/>
      <c r="K2" s="8"/>
      <c r="L2" s="8"/>
      <c r="M2" s="8"/>
      <c r="N2" s="8"/>
      <c r="O2" s="9"/>
      <c r="P2" s="8"/>
      <c r="Q2" s="8"/>
      <c r="R2" s="8">
        <v>-4</v>
      </c>
      <c r="S2" s="8">
        <v>4</v>
      </c>
      <c r="T2" s="8">
        <v>0</v>
      </c>
      <c r="U2" s="11">
        <f>IF(ISNUMBER(S2), (S2/$E$21)*10000, "")</f>
        <v>1.9667617268167963</v>
      </c>
      <c r="V2" s="11">
        <f>IF(ISNUMBER(T2), (T2/$E$21)*10000, "")</f>
        <v>0</v>
      </c>
      <c r="W2" s="11">
        <f>IF(ISNUMBER(R2), V2-U2, "")</f>
        <v>-1.9667617268167963</v>
      </c>
      <c r="X2" s="8"/>
      <c r="Y2" s="8"/>
      <c r="Z2" s="8"/>
      <c r="AA2" s="8"/>
      <c r="AB2" s="8"/>
      <c r="AC2" s="8" t="s">
        <v>19</v>
      </c>
      <c r="AD2" s="8"/>
      <c r="AE2" s="8"/>
      <c r="AF2" s="8"/>
      <c r="AG2" s="8"/>
      <c r="AH2" s="8"/>
    </row>
    <row r="3" spans="1:34" ht="29">
      <c r="A3" t="s">
        <v>75</v>
      </c>
      <c r="B3" s="3" t="s">
        <v>634</v>
      </c>
      <c r="C3" s="3" t="s">
        <v>1746</v>
      </c>
      <c r="F3" t="s">
        <v>19</v>
      </c>
      <c r="H3" s="8" t="s">
        <v>1303</v>
      </c>
      <c r="I3" s="8"/>
      <c r="J3" s="8"/>
      <c r="K3" s="8"/>
      <c r="L3" s="8"/>
      <c r="M3" s="8"/>
      <c r="N3" s="8"/>
      <c r="O3" s="9"/>
      <c r="P3" s="8"/>
      <c r="Q3" s="8"/>
      <c r="R3" s="8">
        <v>-2271</v>
      </c>
      <c r="S3" s="8">
        <v>2475</v>
      </c>
      <c r="T3" s="8">
        <v>204</v>
      </c>
      <c r="U3" s="11">
        <f t="shared" ref="U3:U18" si="0">IF(ISNUMBER(S3), (S3/$E$21)*10000, "")</f>
        <v>1216.9338184678927</v>
      </c>
      <c r="V3" s="11">
        <f t="shared" ref="V3:V18" si="1">IF(ISNUMBER(T3), (T3/$E$21)*10000, "")</f>
        <v>100.30484806765661</v>
      </c>
      <c r="W3" s="11">
        <f t="shared" ref="W3:W18" si="2">IF(ISNUMBER(R3), V3-U3, "")</f>
        <v>-1116.6289704002361</v>
      </c>
      <c r="X3" s="8"/>
      <c r="Y3" s="8"/>
      <c r="Z3" s="8"/>
      <c r="AA3" s="8"/>
      <c r="AB3" s="8"/>
      <c r="AC3" s="8" t="s">
        <v>19</v>
      </c>
      <c r="AD3" s="8"/>
      <c r="AE3" s="8"/>
      <c r="AF3" s="8"/>
      <c r="AG3" s="8"/>
      <c r="AH3" s="8"/>
    </row>
    <row r="4" spans="1:34" ht="58">
      <c r="A4" t="s">
        <v>97</v>
      </c>
      <c r="B4" s="3" t="s">
        <v>666</v>
      </c>
      <c r="C4" s="3" t="s">
        <v>667</v>
      </c>
      <c r="F4" t="s">
        <v>19</v>
      </c>
      <c r="H4" s="8" t="s">
        <v>1303</v>
      </c>
      <c r="I4" s="8"/>
      <c r="J4" s="8"/>
      <c r="K4" s="8"/>
      <c r="L4" s="8"/>
      <c r="M4" s="8"/>
      <c r="N4" s="8"/>
      <c r="O4" s="9"/>
      <c r="P4" s="8"/>
      <c r="Q4" s="8"/>
      <c r="R4" s="8">
        <v>3</v>
      </c>
      <c r="S4" s="8">
        <v>3</v>
      </c>
      <c r="T4" s="8">
        <v>6</v>
      </c>
      <c r="U4" s="11">
        <f t="shared" si="0"/>
        <v>1.4750712951125973</v>
      </c>
      <c r="V4" s="11">
        <f t="shared" si="1"/>
        <v>2.9501425902251945</v>
      </c>
      <c r="W4" s="11">
        <f t="shared" si="2"/>
        <v>1.4750712951125973</v>
      </c>
      <c r="X4" s="8"/>
      <c r="Y4" s="8"/>
      <c r="Z4" s="8"/>
      <c r="AA4" s="8"/>
      <c r="AB4" s="8"/>
      <c r="AC4" s="8" t="s">
        <v>19</v>
      </c>
      <c r="AD4" s="8"/>
      <c r="AE4" s="8"/>
      <c r="AF4" s="8"/>
      <c r="AG4" s="8"/>
      <c r="AH4" s="8"/>
    </row>
    <row r="5" spans="1:34" ht="29">
      <c r="A5" t="s">
        <v>111</v>
      </c>
      <c r="B5" s="3" t="s">
        <v>110</v>
      </c>
      <c r="C5" s="3" t="s">
        <v>112</v>
      </c>
      <c r="H5" s="8" t="s">
        <v>1303</v>
      </c>
      <c r="I5" s="8"/>
      <c r="J5" s="8"/>
      <c r="K5" s="8"/>
      <c r="L5" s="8"/>
      <c r="M5" s="8"/>
      <c r="N5" s="8"/>
      <c r="O5" s="9"/>
      <c r="P5" s="8"/>
      <c r="Q5" s="8"/>
      <c r="R5" s="8">
        <v>-2</v>
      </c>
      <c r="S5" s="8">
        <v>2</v>
      </c>
      <c r="T5" s="8">
        <v>0</v>
      </c>
      <c r="U5" s="11">
        <f t="shared" si="0"/>
        <v>0.98338086340839814</v>
      </c>
      <c r="V5" s="11">
        <f t="shared" si="1"/>
        <v>0</v>
      </c>
      <c r="W5" s="11">
        <f t="shared" si="2"/>
        <v>-0.98338086340839814</v>
      </c>
      <c r="X5" s="8"/>
      <c r="Y5" s="8"/>
      <c r="Z5" s="8"/>
      <c r="AA5" s="8"/>
      <c r="AB5" s="8"/>
      <c r="AC5" s="8" t="s">
        <v>19</v>
      </c>
      <c r="AD5" s="8"/>
      <c r="AE5" s="8"/>
      <c r="AF5" s="8"/>
      <c r="AG5" s="8"/>
      <c r="AH5" s="8"/>
    </row>
    <row r="6" spans="1:34" ht="43.5">
      <c r="A6" t="s">
        <v>136</v>
      </c>
      <c r="B6" s="3" t="s">
        <v>716</v>
      </c>
      <c r="C6" s="3" t="s">
        <v>717</v>
      </c>
      <c r="F6" t="s">
        <v>19</v>
      </c>
      <c r="G6" t="s">
        <v>1328</v>
      </c>
      <c r="H6" s="8" t="s">
        <v>1303</v>
      </c>
      <c r="I6" s="8"/>
      <c r="J6" s="8"/>
      <c r="K6" s="8"/>
      <c r="L6" s="8"/>
      <c r="M6" s="8"/>
      <c r="N6" s="8"/>
      <c r="O6" s="9"/>
      <c r="P6" s="8"/>
      <c r="Q6" s="8"/>
      <c r="R6" s="8">
        <v>-28</v>
      </c>
      <c r="S6" s="8">
        <v>31</v>
      </c>
      <c r="T6" s="8">
        <v>3</v>
      </c>
      <c r="U6" s="11">
        <f t="shared" si="0"/>
        <v>15.242403382830171</v>
      </c>
      <c r="V6" s="11">
        <f t="shared" si="1"/>
        <v>1.4750712951125973</v>
      </c>
      <c r="W6" s="11">
        <f t="shared" si="2"/>
        <v>-13.767332087717573</v>
      </c>
      <c r="X6" s="8"/>
      <c r="Y6" s="8"/>
      <c r="Z6" s="8"/>
      <c r="AA6" s="8"/>
      <c r="AB6" s="8"/>
      <c r="AC6" s="8" t="s">
        <v>19</v>
      </c>
      <c r="AD6" s="8"/>
      <c r="AE6" s="8"/>
      <c r="AF6" s="8"/>
      <c r="AG6" s="8"/>
      <c r="AH6" s="8"/>
    </row>
    <row r="7" spans="1:34" ht="43.5">
      <c r="A7" t="s">
        <v>196</v>
      </c>
      <c r="B7" s="3" t="s">
        <v>1742</v>
      </c>
      <c r="C7" s="3" t="s">
        <v>790</v>
      </c>
      <c r="F7" t="s">
        <v>19</v>
      </c>
      <c r="G7" s="5"/>
      <c r="H7" s="8" t="s">
        <v>1303</v>
      </c>
      <c r="I7" s="8"/>
      <c r="J7" s="8"/>
      <c r="K7" s="8"/>
      <c r="L7" s="8"/>
      <c r="M7" s="8"/>
      <c r="N7" s="8"/>
      <c r="O7" s="9"/>
      <c r="P7" s="8"/>
      <c r="Q7" s="8"/>
      <c r="R7" s="8">
        <v>0</v>
      </c>
      <c r="S7" s="8">
        <v>0</v>
      </c>
      <c r="T7" s="8">
        <v>0</v>
      </c>
      <c r="U7" s="11">
        <f t="shared" si="0"/>
        <v>0</v>
      </c>
      <c r="V7" s="11">
        <f t="shared" si="1"/>
        <v>0</v>
      </c>
      <c r="W7" s="11">
        <f t="shared" si="2"/>
        <v>0</v>
      </c>
      <c r="X7" s="8"/>
      <c r="Y7" s="8"/>
      <c r="Z7" s="8"/>
      <c r="AA7" s="8"/>
      <c r="AB7" s="8"/>
      <c r="AC7" s="8" t="s">
        <v>19</v>
      </c>
      <c r="AD7" s="8"/>
      <c r="AE7" s="8"/>
      <c r="AF7" s="8"/>
      <c r="AG7" s="8"/>
      <c r="AH7" s="8"/>
    </row>
    <row r="8" spans="1:34" ht="72.5">
      <c r="A8" t="s">
        <v>213</v>
      </c>
      <c r="B8" s="3" t="s">
        <v>817</v>
      </c>
      <c r="C8" s="3" t="s">
        <v>818</v>
      </c>
      <c r="F8" t="s">
        <v>19</v>
      </c>
      <c r="G8" s="5" t="s">
        <v>1339</v>
      </c>
      <c r="H8" s="8" t="s">
        <v>1303</v>
      </c>
      <c r="I8" s="8"/>
      <c r="J8" s="8"/>
      <c r="K8" s="8"/>
      <c r="L8" s="8"/>
      <c r="M8" s="8"/>
      <c r="N8" s="8"/>
      <c r="O8" s="9"/>
      <c r="P8" s="8"/>
      <c r="Q8" s="8"/>
      <c r="R8" s="8">
        <v>0</v>
      </c>
      <c r="S8" s="8">
        <v>0</v>
      </c>
      <c r="T8" s="8">
        <v>0</v>
      </c>
      <c r="U8" s="11">
        <f t="shared" si="0"/>
        <v>0</v>
      </c>
      <c r="V8" s="11">
        <f t="shared" si="1"/>
        <v>0</v>
      </c>
      <c r="W8" s="11">
        <f t="shared" si="2"/>
        <v>0</v>
      </c>
      <c r="X8" s="8"/>
      <c r="Y8" s="8"/>
      <c r="Z8" s="8"/>
      <c r="AA8" s="8"/>
      <c r="AB8" s="8"/>
      <c r="AC8" s="8" t="s">
        <v>19</v>
      </c>
      <c r="AD8" s="8"/>
      <c r="AE8" s="8"/>
      <c r="AF8" s="8"/>
      <c r="AG8" s="8"/>
      <c r="AH8" s="8"/>
    </row>
    <row r="9" spans="1:34" ht="72.5">
      <c r="A9" t="s">
        <v>283</v>
      </c>
      <c r="B9" s="3" t="s">
        <v>921</v>
      </c>
      <c r="C9" s="3" t="s">
        <v>922</v>
      </c>
      <c r="H9" s="8" t="s">
        <v>1303</v>
      </c>
      <c r="I9" s="8"/>
      <c r="J9" s="8"/>
      <c r="K9" s="8"/>
      <c r="L9" s="8"/>
      <c r="M9" s="8"/>
      <c r="N9" s="8"/>
      <c r="O9" s="9"/>
      <c r="P9" s="8"/>
      <c r="Q9" s="8"/>
      <c r="R9" s="8">
        <v>-34</v>
      </c>
      <c r="S9" s="8">
        <v>34</v>
      </c>
      <c r="T9" s="8">
        <v>0</v>
      </c>
      <c r="U9" s="11">
        <f t="shared" si="0"/>
        <v>16.717474677942768</v>
      </c>
      <c r="V9" s="11">
        <f t="shared" si="1"/>
        <v>0</v>
      </c>
      <c r="W9" s="11">
        <f t="shared" si="2"/>
        <v>-16.717474677942768</v>
      </c>
      <c r="X9" s="8"/>
      <c r="Y9" s="8"/>
      <c r="Z9" s="8"/>
      <c r="AA9" s="8"/>
      <c r="AB9" s="8"/>
      <c r="AC9" s="8" t="s">
        <v>19</v>
      </c>
      <c r="AD9" s="8"/>
      <c r="AE9" s="8"/>
      <c r="AF9" s="8"/>
      <c r="AG9" s="8"/>
      <c r="AH9" s="8"/>
    </row>
    <row r="10" spans="1:34" ht="58">
      <c r="A10" t="s">
        <v>323</v>
      </c>
      <c r="B10" s="3" t="s">
        <v>963</v>
      </c>
      <c r="C10" s="3" t="s">
        <v>962</v>
      </c>
      <c r="F10" t="s">
        <v>19</v>
      </c>
      <c r="H10" s="8" t="s">
        <v>1306</v>
      </c>
      <c r="I10" s="8"/>
      <c r="J10" s="8"/>
      <c r="K10" s="8"/>
      <c r="L10" s="8"/>
      <c r="M10" s="8"/>
      <c r="N10" s="8"/>
      <c r="O10" s="9"/>
      <c r="P10" s="8"/>
      <c r="Q10" s="8"/>
      <c r="R10" s="8">
        <v>4</v>
      </c>
      <c r="S10" s="8">
        <v>34</v>
      </c>
      <c r="T10" s="8">
        <v>38</v>
      </c>
      <c r="U10" s="11">
        <f t="shared" si="0"/>
        <v>16.717474677942768</v>
      </c>
      <c r="V10" s="11">
        <f t="shared" si="1"/>
        <v>18.684236404759563</v>
      </c>
      <c r="W10" s="11">
        <f t="shared" si="2"/>
        <v>1.9667617268167952</v>
      </c>
      <c r="X10" s="8"/>
      <c r="Y10" s="8"/>
      <c r="Z10" s="8"/>
      <c r="AA10" s="8"/>
      <c r="AB10" s="8"/>
      <c r="AC10" s="8" t="s">
        <v>19</v>
      </c>
      <c r="AD10" s="8"/>
      <c r="AE10" s="8"/>
      <c r="AF10" s="8"/>
      <c r="AG10" s="8"/>
      <c r="AH10" s="8"/>
    </row>
    <row r="11" spans="1:34" ht="43.5">
      <c r="A11" t="s">
        <v>352</v>
      </c>
      <c r="B11" s="3" t="s">
        <v>990</v>
      </c>
      <c r="C11" s="3" t="s">
        <v>991</v>
      </c>
      <c r="H11" s="8" t="s">
        <v>1303</v>
      </c>
      <c r="I11" s="8"/>
      <c r="J11" s="8"/>
      <c r="K11" s="8"/>
      <c r="L11" s="8"/>
      <c r="M11" s="8"/>
      <c r="N11" s="8"/>
      <c r="O11" s="9"/>
      <c r="P11" s="8"/>
      <c r="Q11" s="8"/>
      <c r="R11" s="8">
        <v>6</v>
      </c>
      <c r="S11" s="8">
        <v>0</v>
      </c>
      <c r="T11" s="8">
        <v>6</v>
      </c>
      <c r="U11" s="11">
        <f t="shared" si="0"/>
        <v>0</v>
      </c>
      <c r="V11" s="11">
        <f t="shared" si="1"/>
        <v>2.9501425902251945</v>
      </c>
      <c r="W11" s="11">
        <f t="shared" si="2"/>
        <v>2.9501425902251945</v>
      </c>
      <c r="X11" s="8"/>
      <c r="Y11" s="8"/>
      <c r="Z11" s="8"/>
      <c r="AA11" s="8"/>
      <c r="AB11" s="8"/>
      <c r="AC11" s="8" t="s">
        <v>19</v>
      </c>
      <c r="AD11" s="8"/>
      <c r="AE11" s="8"/>
      <c r="AF11" s="8"/>
      <c r="AG11" s="8"/>
      <c r="AH11" s="8"/>
    </row>
    <row r="12" spans="1:34" ht="29">
      <c r="A12" t="s">
        <v>373</v>
      </c>
      <c r="B12" s="3" t="s">
        <v>377</v>
      </c>
      <c r="C12" s="3" t="s">
        <v>378</v>
      </c>
      <c r="F12" t="s">
        <v>19</v>
      </c>
      <c r="H12" s="8" t="s">
        <v>1303</v>
      </c>
      <c r="I12" s="8"/>
      <c r="J12" s="8"/>
      <c r="K12" s="8"/>
      <c r="L12" s="8"/>
      <c r="M12" s="8"/>
      <c r="N12" s="8"/>
      <c r="O12" s="9"/>
      <c r="P12" s="8"/>
      <c r="Q12" s="8"/>
      <c r="R12" s="8">
        <v>0</v>
      </c>
      <c r="S12" s="8">
        <v>5</v>
      </c>
      <c r="T12" s="8">
        <v>5</v>
      </c>
      <c r="U12" s="11">
        <f t="shared" si="0"/>
        <v>2.4584521585209949</v>
      </c>
      <c r="V12" s="11">
        <f t="shared" si="1"/>
        <v>2.4584521585209949</v>
      </c>
      <c r="W12" s="11">
        <f t="shared" si="2"/>
        <v>0</v>
      </c>
      <c r="X12" s="8"/>
      <c r="Y12" s="8"/>
      <c r="Z12" s="8"/>
      <c r="AA12" s="8"/>
      <c r="AB12" s="8"/>
      <c r="AC12" s="8" t="s">
        <v>19</v>
      </c>
      <c r="AD12" s="8"/>
      <c r="AE12" s="8"/>
      <c r="AF12" s="8"/>
      <c r="AG12" s="8"/>
      <c r="AH12" s="8"/>
    </row>
    <row r="13" spans="1:34" ht="43.5">
      <c r="A13" t="s">
        <v>408</v>
      </c>
      <c r="B13" s="3" t="s">
        <v>1040</v>
      </c>
      <c r="C13" s="3" t="s">
        <v>1041</v>
      </c>
      <c r="F13" t="s">
        <v>19</v>
      </c>
      <c r="G13" t="s">
        <v>1357</v>
      </c>
      <c r="H13" s="8" t="s">
        <v>1303</v>
      </c>
      <c r="I13" s="8"/>
      <c r="J13" s="8"/>
      <c r="K13" s="8"/>
      <c r="L13" s="8"/>
      <c r="M13" s="8"/>
      <c r="N13" s="8"/>
      <c r="O13" s="9"/>
      <c r="P13" s="8"/>
      <c r="Q13" s="8"/>
      <c r="R13" s="8">
        <v>0</v>
      </c>
      <c r="S13" s="8">
        <v>3</v>
      </c>
      <c r="T13" s="8">
        <v>3</v>
      </c>
      <c r="U13" s="11">
        <f t="shared" si="0"/>
        <v>1.4750712951125973</v>
      </c>
      <c r="V13" s="11">
        <f t="shared" si="1"/>
        <v>1.4750712951125973</v>
      </c>
      <c r="W13" s="11">
        <f t="shared" si="2"/>
        <v>0</v>
      </c>
      <c r="X13" s="8"/>
      <c r="Y13" s="8"/>
      <c r="Z13" s="8"/>
      <c r="AA13" s="8"/>
      <c r="AB13" s="8"/>
      <c r="AC13" s="8" t="s">
        <v>19</v>
      </c>
      <c r="AD13" s="8"/>
      <c r="AE13" s="8"/>
      <c r="AF13" s="8"/>
      <c r="AG13" s="8"/>
      <c r="AH13" s="8"/>
    </row>
    <row r="14" spans="1:34" ht="43.5">
      <c r="A14" t="s">
        <v>443</v>
      </c>
      <c r="B14" s="3" t="s">
        <v>1091</v>
      </c>
      <c r="C14" s="3" t="s">
        <v>1092</v>
      </c>
      <c r="H14" s="8" t="s">
        <v>1303</v>
      </c>
      <c r="I14" s="8"/>
      <c r="J14" s="8"/>
      <c r="K14" s="8"/>
      <c r="L14" s="8"/>
      <c r="M14" s="8"/>
      <c r="N14" s="8"/>
      <c r="O14" s="9"/>
      <c r="P14" s="8"/>
      <c r="Q14" s="8"/>
      <c r="R14" s="8">
        <v>118</v>
      </c>
      <c r="S14" s="8">
        <v>132</v>
      </c>
      <c r="T14" s="8">
        <v>250</v>
      </c>
      <c r="U14" s="11">
        <f t="shared" si="0"/>
        <v>64.903136984954273</v>
      </c>
      <c r="V14" s="11">
        <f t="shared" si="1"/>
        <v>122.92260792604976</v>
      </c>
      <c r="W14" s="11">
        <f t="shared" si="2"/>
        <v>58.019470941095491</v>
      </c>
      <c r="X14" s="8"/>
      <c r="Y14" s="8"/>
      <c r="Z14" s="8"/>
      <c r="AA14" s="8"/>
      <c r="AB14" s="8"/>
      <c r="AC14" s="8" t="s">
        <v>19</v>
      </c>
      <c r="AD14" s="8"/>
      <c r="AE14" s="8"/>
      <c r="AF14" s="8"/>
      <c r="AG14" s="8"/>
      <c r="AH14" s="8"/>
    </row>
    <row r="15" spans="1:34" ht="29">
      <c r="A15" t="s">
        <v>444</v>
      </c>
      <c r="B15" s="3" t="s">
        <v>1095</v>
      </c>
      <c r="C15" s="3" t="s">
        <v>1096</v>
      </c>
      <c r="H15" s="8" t="s">
        <v>1303</v>
      </c>
      <c r="I15" s="8"/>
      <c r="J15" s="8"/>
      <c r="K15" s="8"/>
      <c r="L15" s="8"/>
      <c r="M15" s="8"/>
      <c r="N15" s="8"/>
      <c r="O15" s="9"/>
      <c r="P15" s="8"/>
      <c r="Q15" s="8"/>
      <c r="R15" s="8">
        <v>-118</v>
      </c>
      <c r="S15" s="8">
        <v>250</v>
      </c>
      <c r="T15" s="8">
        <v>132</v>
      </c>
      <c r="U15" s="11">
        <f t="shared" si="0"/>
        <v>122.92260792604976</v>
      </c>
      <c r="V15" s="11">
        <f t="shared" si="1"/>
        <v>64.903136984954273</v>
      </c>
      <c r="W15" s="11">
        <f t="shared" si="2"/>
        <v>-58.019470941095491</v>
      </c>
      <c r="X15" s="8"/>
      <c r="Y15" s="8"/>
      <c r="Z15" s="8"/>
      <c r="AA15" s="8"/>
      <c r="AB15" s="8"/>
      <c r="AC15" s="8" t="s">
        <v>19</v>
      </c>
      <c r="AD15" s="8"/>
      <c r="AE15" s="8"/>
      <c r="AF15" s="8"/>
      <c r="AG15" s="8"/>
      <c r="AH15" s="8"/>
    </row>
    <row r="16" spans="1:34" ht="29">
      <c r="A16" t="s">
        <v>525</v>
      </c>
      <c r="B16" s="3" t="s">
        <v>1187</v>
      </c>
      <c r="C16" s="3" t="s">
        <v>1188</v>
      </c>
      <c r="F16" t="s">
        <v>19</v>
      </c>
      <c r="H16" s="8" t="s">
        <v>1303</v>
      </c>
      <c r="I16" s="8"/>
      <c r="J16" s="8"/>
      <c r="K16" s="8"/>
      <c r="L16" s="8"/>
      <c r="M16" s="8"/>
      <c r="N16" s="8"/>
      <c r="O16" s="9"/>
      <c r="P16" s="8"/>
      <c r="Q16" s="8"/>
      <c r="R16" s="8">
        <v>-87</v>
      </c>
      <c r="S16" s="8">
        <v>830</v>
      </c>
      <c r="T16" s="8">
        <v>743</v>
      </c>
      <c r="U16" s="11">
        <f t="shared" si="0"/>
        <v>408.10305831448517</v>
      </c>
      <c r="V16" s="11">
        <f t="shared" si="1"/>
        <v>365.32599075621988</v>
      </c>
      <c r="W16" s="11">
        <f t="shared" si="2"/>
        <v>-42.777067558265287</v>
      </c>
      <c r="X16" s="8"/>
      <c r="Y16" s="8"/>
      <c r="Z16" s="8"/>
      <c r="AA16" s="8"/>
      <c r="AB16" s="8"/>
      <c r="AC16" s="8" t="s">
        <v>19</v>
      </c>
      <c r="AD16" s="8"/>
      <c r="AE16" s="8"/>
      <c r="AF16" s="8"/>
      <c r="AG16" s="8"/>
      <c r="AH16" s="8"/>
    </row>
    <row r="17" spans="1:34" ht="43.5">
      <c r="A17" t="s">
        <v>558</v>
      </c>
      <c r="B17" s="3" t="s">
        <v>1215</v>
      </c>
      <c r="C17" s="3" t="s">
        <v>1216</v>
      </c>
      <c r="H17" s="8" t="s">
        <v>1303</v>
      </c>
      <c r="I17" s="8"/>
      <c r="J17" s="8"/>
      <c r="K17" s="8"/>
      <c r="L17" s="8"/>
      <c r="M17" s="8"/>
      <c r="N17" s="8"/>
      <c r="O17" s="9"/>
      <c r="P17" s="8"/>
      <c r="Q17" s="8"/>
      <c r="R17" s="8">
        <v>-1</v>
      </c>
      <c r="S17" s="8">
        <v>1</v>
      </c>
      <c r="T17" s="8">
        <v>0</v>
      </c>
      <c r="U17" s="11">
        <f t="shared" si="0"/>
        <v>0.49169043170419907</v>
      </c>
      <c r="V17" s="11">
        <f t="shared" si="1"/>
        <v>0</v>
      </c>
      <c r="W17" s="11">
        <f t="shared" si="2"/>
        <v>-0.49169043170419907</v>
      </c>
      <c r="X17" s="8"/>
      <c r="Y17" s="8"/>
      <c r="Z17" s="8"/>
      <c r="AA17" s="8"/>
      <c r="AB17" s="8"/>
      <c r="AC17" s="8" t="s">
        <v>19</v>
      </c>
      <c r="AD17" s="8"/>
      <c r="AE17" s="8"/>
      <c r="AF17" s="8"/>
      <c r="AG17" s="8"/>
      <c r="AH17" s="8"/>
    </row>
    <row r="18" spans="1:34" ht="43.5">
      <c r="A18" t="s">
        <v>574</v>
      </c>
      <c r="B18" s="3" t="s">
        <v>1229</v>
      </c>
      <c r="C18" s="3" t="s">
        <v>1230</v>
      </c>
      <c r="F18" t="s">
        <v>19</v>
      </c>
      <c r="H18" s="8" t="s">
        <v>1303</v>
      </c>
      <c r="I18" s="8"/>
      <c r="J18" s="8"/>
      <c r="K18" s="8"/>
      <c r="L18" s="8"/>
      <c r="M18" s="8"/>
      <c r="N18" s="8"/>
      <c r="O18" s="9"/>
      <c r="P18" s="8"/>
      <c r="Q18" s="8"/>
      <c r="R18" s="8">
        <v>1515</v>
      </c>
      <c r="S18" s="8">
        <v>186</v>
      </c>
      <c r="T18" s="8">
        <v>1701</v>
      </c>
      <c r="U18" s="11">
        <f t="shared" si="0"/>
        <v>91.454420296981013</v>
      </c>
      <c r="V18" s="11">
        <f t="shared" si="1"/>
        <v>836.36542432884255</v>
      </c>
      <c r="W18" s="11">
        <f t="shared" si="2"/>
        <v>744.91100403186158</v>
      </c>
      <c r="X18" s="8"/>
      <c r="Y18" s="8"/>
      <c r="Z18" s="8"/>
      <c r="AA18" s="8"/>
      <c r="AB18" s="8"/>
      <c r="AC18" s="8" t="s">
        <v>19</v>
      </c>
      <c r="AD18" s="8"/>
      <c r="AE18" s="8"/>
      <c r="AF18" s="8"/>
      <c r="AG18" s="8"/>
      <c r="AH18" s="8"/>
    </row>
    <row r="21" spans="1:34">
      <c r="D21" t="s">
        <v>1407</v>
      </c>
      <c r="E21">
        <v>20338</v>
      </c>
    </row>
    <row r="24" spans="1:34">
      <c r="D24" t="s">
        <v>1425</v>
      </c>
      <c r="E24">
        <f>COUNTIF(R:R, "&gt;0")</f>
        <v>5</v>
      </c>
    </row>
    <row r="25" spans="1:34">
      <c r="D25" t="s">
        <v>1426</v>
      </c>
      <c r="E25">
        <f>COUNTIF(R:R, "&lt;0")</f>
        <v>8</v>
      </c>
    </row>
    <row r="26" spans="1:34">
      <c r="D26" t="s">
        <v>1427</v>
      </c>
      <c r="E26">
        <f>_xlfn.BINOM.DIST(MIN(E24,E25),(E24+E25),0.5,TRUE)*2</f>
        <v>0.5810546875</v>
      </c>
    </row>
    <row r="28" spans="1:34">
      <c r="D28" t="s">
        <v>1428</v>
      </c>
      <c r="E28">
        <f>AVERAGE(R:R)</f>
        <v>-52.882352941176471</v>
      </c>
    </row>
    <row r="29" spans="1:34">
      <c r="D29" t="s">
        <v>1429</v>
      </c>
      <c r="E29">
        <f>_xlfn.STDEV.S(R:R)</f>
        <v>682.02656494752284</v>
      </c>
    </row>
    <row r="32" spans="1:34">
      <c r="D32" t="s">
        <v>1430</v>
      </c>
      <c r="E32">
        <f>AVERAGE(W:W)</f>
        <v>-26.001746947180884</v>
      </c>
    </row>
    <row r="33" spans="4:5">
      <c r="D33" t="s">
        <v>1431</v>
      </c>
      <c r="E33">
        <f>_xlfn.STDEV.S(W:W)</f>
        <v>335.34593615277947</v>
      </c>
    </row>
    <row r="36" spans="4:5">
      <c r="D36" t="s">
        <v>1433</v>
      </c>
      <c r="E36">
        <f>COUNT(W:W)</f>
        <v>17</v>
      </c>
    </row>
    <row r="37" spans="4:5">
      <c r="D37" t="s">
        <v>1434</v>
      </c>
      <c r="E37">
        <f>_xlfn.STDEV.P(W:W)</f>
        <v>325.33334491283432</v>
      </c>
    </row>
  </sheetData>
  <conditionalFormatting sqref="H2:H18">
    <cfRule type="expression" dxfId="99" priority="34">
      <formula>$J2&lt;&gt;""</formula>
    </cfRule>
    <cfRule type="expression" dxfId="98" priority="35">
      <formula>$J2=""</formula>
    </cfRule>
  </conditionalFormatting>
  <conditionalFormatting sqref="I2:M18 P2:Q18">
    <cfRule type="expression" dxfId="97" priority="32">
      <formula>AND(OR($J2="Addition",$J2="Omission"), I2="")</formula>
    </cfRule>
    <cfRule type="expression" dxfId="96" priority="33">
      <formula>AND($J2&lt;&gt;"Addition",$J2&lt;&gt;"Omission",$J2&lt;&gt;"Substitution - Word")</formula>
    </cfRule>
  </conditionalFormatting>
  <conditionalFormatting sqref="I2:Q18">
    <cfRule type="expression" dxfId="95" priority="31">
      <formula>AND(OR($J2="Addition",$J2="Omission"), I2&lt;&gt;"")</formula>
    </cfRule>
  </conditionalFormatting>
  <conditionalFormatting sqref="L2:L18">
    <cfRule type="expression" dxfId="94" priority="26">
      <formula>AND($L2&lt;&gt;"",$L2&gt;1)</formula>
    </cfRule>
  </conditionalFormatting>
  <conditionalFormatting sqref="N2:O18">
    <cfRule type="expression" dxfId="93" priority="22">
      <formula>$O2="Absent"</formula>
    </cfRule>
    <cfRule type="expression" dxfId="92" priority="23">
      <formula>$O2="NA"</formula>
    </cfRule>
    <cfRule type="expression" dxfId="91" priority="24">
      <formula>AND(OR($J2="Addition",$J2="Omission"), N2="")</formula>
    </cfRule>
    <cfRule type="expression" dxfId="90" priority="25">
      <formula>AND($J2&lt;&gt;"Addition",$J2&lt;&gt;"Omission")</formula>
    </cfRule>
  </conditionalFormatting>
  <conditionalFormatting sqref="P2:P18">
    <cfRule type="expression" dxfId="89" priority="27">
      <formula>OR($J2="Addition",$J2="Omission",$J2 = "Substitution - Word")</formula>
    </cfRule>
  </conditionalFormatting>
  <conditionalFormatting sqref="R2:T18">
    <cfRule type="expression" dxfId="88" priority="28">
      <formula>AND(AND(LEFT($J2,3)="Sub", RIGHT($J2,4)&lt;&gt;"Form"),$T2&lt;&gt;"")</formula>
    </cfRule>
    <cfRule type="expression" dxfId="87" priority="29">
      <formula>AND(AND(LEFT($J2,3)="Sub", RIGHT($J2,4)&lt;&gt;"Form"),$T2="")</formula>
    </cfRule>
    <cfRule type="expression" dxfId="86" priority="30">
      <formula>"&lt;&gt;AND(LEFT($J2,3)=""Sub"", RIGHT($J2,4)&lt;&gt;""Form"")"</formula>
    </cfRule>
  </conditionalFormatting>
  <conditionalFormatting sqref="S2:W18">
    <cfRule type="expression" dxfId="85" priority="1">
      <formula>AND(AND(LEFT($J2,3)="Sub", RIGHT($J2,4)&lt;&gt;"Form"),$T2&lt;&gt;"")</formula>
    </cfRule>
    <cfRule type="expression" dxfId="84" priority="2">
      <formula>AND(AND(LEFT($J2,3)="Sub", RIGHT($J2,4)&lt;&gt;"Form"),$T2="")</formula>
    </cfRule>
    <cfRule type="expression" dxfId="83" priority="3">
      <formula>"&lt;&gt;AND(LEFT($J2,3)=""Sub"", RIGHT($J2,4)&lt;&gt;""Form"")"</formula>
    </cfRule>
  </conditionalFormatting>
  <conditionalFormatting sqref="X2:X18">
    <cfRule type="expression" dxfId="82" priority="15">
      <formula>AND($Z2&lt;&gt;"",OR($AH2="Yes",$AI2&lt;&gt;""))</formula>
    </cfRule>
    <cfRule type="expression" dxfId="81" priority="16">
      <formula>OR($AH2="Yes",$AI2&lt;&gt;"")</formula>
    </cfRule>
    <cfRule type="expression" dxfId="80" priority="17">
      <formula>AND($J2&lt;&gt;"",$J2&lt;&gt;"Unclear due to correction")</formula>
    </cfRule>
    <cfRule type="expression" dxfId="79" priority="20">
      <formula>OR($J2="",$J2="Unclear due to correction")</formula>
    </cfRule>
    <cfRule type="expression" dxfId="78" priority="21">
      <formula>AND($AH2&lt;&gt;"Yes",$AI2="")</formula>
    </cfRule>
  </conditionalFormatting>
  <conditionalFormatting sqref="Y2:Y18">
    <cfRule type="expression" dxfId="77" priority="14">
      <formula>AND($J2&lt;&gt;"",$J2&lt;&gt;"Unclear due to correction",$AA2="")</formula>
    </cfRule>
  </conditionalFormatting>
  <conditionalFormatting sqref="Y2:AH18">
    <cfRule type="expression" dxfId="76" priority="36">
      <formula>AND($J2&lt;&gt;"",$J2&lt;&gt;"Unclear due to correction")</formula>
    </cfRule>
    <cfRule type="expression" dxfId="75" priority="37">
      <formula>OR($J2="",$J2="Unclear due to correction")</formula>
    </cfRule>
  </conditionalFormatting>
  <conditionalFormatting sqref="Z2:Z18">
    <cfRule type="expression" dxfId="74" priority="18">
      <formula>AND($AA2="Yes",$AB2="")</formula>
    </cfRule>
    <cfRule type="expression" dxfId="73" priority="19">
      <formula>$AA2=""</formula>
    </cfRule>
  </conditionalFormatting>
  <conditionalFormatting sqref="AA2:AA18">
    <cfRule type="expression" dxfId="72" priority="12">
      <formula>$AC2&lt;&gt;""</formula>
    </cfRule>
  </conditionalFormatting>
  <conditionalFormatting sqref="AB2:AC18">
    <cfRule type="expression" dxfId="71" priority="10">
      <formula>AND($AC2&lt;&gt;"",AB2&lt;&gt;"")</formula>
    </cfRule>
    <cfRule type="expression" dxfId="70" priority="11">
      <formula>$AC2&lt;&gt;""</formula>
    </cfRule>
  </conditionalFormatting>
  <conditionalFormatting sqref="AF2:AF18">
    <cfRule type="expression" dxfId="69" priority="13">
      <formula>AND(OR($AF2&lt;&gt;"",$AG2&lt;&gt;""),$AH2="")</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6">
        <x14:dataValidation type="list" allowBlank="1" showInputMessage="1" showErrorMessage="1" xr:uid="{FC343D28-1898-4098-BDD8-895127ABAD5D}">
          <x14:formula1>
            <xm:f>'Data Regularization'!$C$2:$C$25</xm:f>
          </x14:formula1>
          <xm:sqref>F2:F13 F15:F18</xm:sqref>
        </x14:dataValidation>
        <x14:dataValidation type="list" allowBlank="1" showInputMessage="1" showErrorMessage="1" xr:uid="{5A258B44-CC6B-469E-9C69-E0775BB1B158}">
          <x14:formula1>
            <xm:f>'Data Regularization'!$A$2:$A$1048576</xm:f>
          </x14:formula1>
          <xm:sqref>D2:D13 D15:D18</xm:sqref>
        </x14:dataValidation>
        <x14:dataValidation type="list" allowBlank="1" showInputMessage="1" showErrorMessage="1" xr:uid="{5F9800FD-DFDD-428B-A293-A369386F371F}">
          <x14:formula1>
            <xm:f>'Data Regularization'!$B$2:$B$1048576</xm:f>
          </x14:formula1>
          <xm:sqref>E2:E13 E15:E18</xm:sqref>
        </x14:dataValidation>
        <x14:dataValidation type="list" allowBlank="1" showInputMessage="1" showErrorMessage="1" xr:uid="{1E6A6394-1361-4AC5-B17C-0A6217B923A0}">
          <x14:formula1>
            <xm:f>'Data Regularization'!$D$2:$D$1048576</xm:f>
          </x14:formula1>
          <xm:sqref>AB2:AB18 H2:H18</xm:sqref>
        </x14:dataValidation>
        <x14:dataValidation type="list" allowBlank="1" showInputMessage="1" showErrorMessage="1" xr:uid="{EE4FE692-B188-423C-8DDC-3BB6EF50789D}">
          <x14:formula1>
            <xm:f>'Data Regularization'!$E$2:$E$1048576</xm:f>
          </x14:formula1>
          <xm:sqref>L2:L18</xm:sqref>
        </x14:dataValidation>
        <x14:dataValidation type="list" allowBlank="1" showInputMessage="1" showErrorMessage="1" xr:uid="{E9D8FD15-0E9A-4DA2-8CEB-F669749613EF}">
          <x14:formula1>
            <xm:f>'Data Regularization'!$F$2:$F$1048576</xm:f>
          </x14:formula1>
          <xm:sqref>M2:M18</xm:sqref>
        </x14:dataValidation>
        <x14:dataValidation type="list" allowBlank="1" showInputMessage="1" showErrorMessage="1" xr:uid="{AF3F2A03-3677-42C2-9282-E6BD40911E54}">
          <x14:formula1>
            <xm:f>'Data Regularization'!$G$2:$G$1048576</xm:f>
          </x14:formula1>
          <xm:sqref>P2:P18</xm:sqref>
        </x14:dataValidation>
        <x14:dataValidation type="list" allowBlank="1" showInputMessage="1" showErrorMessage="1" xr:uid="{459FDDD9-8AFE-4440-ABDC-E2183B691DD1}">
          <x14:formula1>
            <xm:f>'Data Regularization'!$K$2:$K$1048576</xm:f>
          </x14:formula1>
          <xm:sqref>Z2:Z18</xm:sqref>
        </x14:dataValidation>
        <x14:dataValidation type="list" allowBlank="1" showInputMessage="1" showErrorMessage="1" xr:uid="{B9D54396-1C7F-4795-92A1-90E0DE91EB78}">
          <x14:formula1>
            <xm:f>'Data Regularization'!$L$2:$L$1048576</xm:f>
          </x14:formula1>
          <xm:sqref>AA2:AA18</xm:sqref>
        </x14:dataValidation>
        <x14:dataValidation type="list" allowBlank="1" showInputMessage="1" showErrorMessage="1" xr:uid="{4AD13AA9-5E34-4195-8A41-64CB452A38EB}">
          <x14:formula1>
            <xm:f>'Data Regularization'!$N$2:$N$1048576</xm:f>
          </x14:formula1>
          <xm:sqref>AC2:AC18</xm:sqref>
        </x14:dataValidation>
        <x14:dataValidation type="list" allowBlank="1" showInputMessage="1" showErrorMessage="1" xr:uid="{8F8E2B63-282B-41C3-86FE-A44F438A3223}">
          <x14:formula1>
            <xm:f>'Data Regularization'!$O$2:$O$1048576</xm:f>
          </x14:formula1>
          <xm:sqref>AD2:AD18</xm:sqref>
        </x14:dataValidation>
        <x14:dataValidation type="list" allowBlank="1" showInputMessage="1" showErrorMessage="1" xr:uid="{9E3897FA-A44B-4D4E-9ECF-550DB6762AD8}">
          <x14:formula1>
            <xm:f>'Data Regularization'!$P$2:$P$1048576</xm:f>
          </x14:formula1>
          <xm:sqref>AF2:AF18</xm:sqref>
        </x14:dataValidation>
        <x14:dataValidation type="list" allowBlank="1" showInputMessage="1" showErrorMessage="1" xr:uid="{9D0B837F-61B6-46FF-A19F-9F0533F03324}">
          <x14:formula1>
            <xm:f>'Data Regularization'!$Q$2:$Q$1048576</xm:f>
          </x14:formula1>
          <xm:sqref>AG2:AG18</xm:sqref>
        </x14:dataValidation>
        <x14:dataValidation type="list" allowBlank="1" showInputMessage="1" showErrorMessage="1" xr:uid="{5723B835-B215-469E-9C92-41BAF414B1CD}">
          <x14:formula1>
            <xm:f>'Data Regularization'!$H$2:$H$1048576</xm:f>
          </x14:formula1>
          <xm:sqref>X2:X18</xm:sqref>
        </x14:dataValidation>
        <x14:dataValidation type="list" allowBlank="1" showInputMessage="1" xr:uid="{FF03CC62-08C7-417C-90F6-5AFB46A36AE5}">
          <x14:formula1>
            <xm:f>'Data Regularization'!$J$2:$J$1048576</xm:f>
          </x14:formula1>
          <xm:sqref>Y2:Y18</xm:sqref>
        </x14:dataValidation>
        <x14:dataValidation type="list" allowBlank="1" showInputMessage="1" showErrorMessage="1" xr:uid="{3819407C-9613-45DE-83A4-B8D06EFC050A}">
          <x14:formula1>
            <xm:f>'Data Regularization'!$R$2:$R$1048576</xm:f>
          </x14:formula1>
          <xm:sqref>AH2:AH18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96959-BC11-4062-9A87-E3EC254BDABE}">
  <dimension ref="A1:AF7"/>
  <sheetViews>
    <sheetView workbookViewId="0"/>
  </sheetViews>
  <sheetFormatPr defaultRowHeight="14.5"/>
  <sheetData>
    <row r="1" spans="1:32" s="1" customFormat="1">
      <c r="A1" s="1" t="s">
        <v>0</v>
      </c>
      <c r="B1" s="1" t="s">
        <v>5</v>
      </c>
      <c r="C1" s="1" t="s">
        <v>6</v>
      </c>
      <c r="D1" s="1" t="s">
        <v>1292</v>
      </c>
      <c r="E1" s="1" t="s">
        <v>1293</v>
      </c>
      <c r="F1" s="1" t="s">
        <v>1294</v>
      </c>
      <c r="G1" s="1" t="s">
        <v>7</v>
      </c>
      <c r="H1" s="1" t="s">
        <v>3</v>
      </c>
      <c r="I1" s="1" t="s">
        <v>1280</v>
      </c>
      <c r="J1" s="1" t="s">
        <v>1281</v>
      </c>
      <c r="K1" s="1" t="s">
        <v>1282</v>
      </c>
      <c r="L1" s="1" t="s">
        <v>1295</v>
      </c>
      <c r="M1" s="1" t="s">
        <v>1252</v>
      </c>
      <c r="N1" s="1" t="s">
        <v>1283</v>
      </c>
      <c r="O1" s="7" t="s">
        <v>1284</v>
      </c>
      <c r="P1" s="1" t="s">
        <v>1253</v>
      </c>
      <c r="Q1" s="1" t="s">
        <v>1285</v>
      </c>
      <c r="R1" s="1" t="s">
        <v>1286</v>
      </c>
      <c r="S1" s="1" t="s">
        <v>1408</v>
      </c>
      <c r="T1" s="1" t="s">
        <v>1409</v>
      </c>
      <c r="U1" s="1" t="s">
        <v>1297</v>
      </c>
      <c r="V1" s="1" t="s">
        <v>1758</v>
      </c>
      <c r="W1" s="1" t="s">
        <v>1298</v>
      </c>
      <c r="X1" s="1" t="s">
        <v>1299</v>
      </c>
      <c r="Y1" s="1" t="s">
        <v>1254</v>
      </c>
      <c r="Z1" s="1" t="s">
        <v>1372</v>
      </c>
      <c r="AA1" s="1" t="s">
        <v>1255</v>
      </c>
      <c r="AB1" s="1" t="s">
        <v>1256</v>
      </c>
      <c r="AC1" s="1" t="s">
        <v>1296</v>
      </c>
      <c r="AD1" s="1" t="s">
        <v>1300</v>
      </c>
      <c r="AE1" s="1" t="s">
        <v>1287</v>
      </c>
      <c r="AF1" s="1" t="s">
        <v>1301</v>
      </c>
    </row>
    <row r="2" spans="1:32" ht="43.5">
      <c r="A2" t="s">
        <v>47</v>
      </c>
      <c r="B2" s="3" t="s">
        <v>1321</v>
      </c>
      <c r="C2" s="3" t="s">
        <v>1320</v>
      </c>
      <c r="G2" t="s">
        <v>1366</v>
      </c>
      <c r="H2" s="8" t="s">
        <v>1305</v>
      </c>
      <c r="I2" s="8"/>
      <c r="J2" s="8"/>
      <c r="K2" s="8"/>
      <c r="L2" s="8"/>
      <c r="M2" s="8"/>
      <c r="N2" s="8"/>
      <c r="O2" s="9"/>
      <c r="P2" s="8"/>
      <c r="Q2" s="8"/>
      <c r="R2" s="8"/>
      <c r="S2" s="8" t="s">
        <v>1371</v>
      </c>
      <c r="T2" s="8" t="s">
        <v>1371</v>
      </c>
      <c r="U2" s="8" t="s">
        <v>1302</v>
      </c>
      <c r="V2" s="8" t="s">
        <v>1759</v>
      </c>
      <c r="W2" s="8"/>
      <c r="X2" s="8"/>
      <c r="Y2" s="8"/>
      <c r="Z2" s="8"/>
      <c r="AA2" s="8" t="s">
        <v>19</v>
      </c>
      <c r="AB2" s="8"/>
      <c r="AC2" s="8"/>
      <c r="AD2" s="8"/>
      <c r="AE2" s="8"/>
      <c r="AF2" s="8"/>
    </row>
    <row r="5" spans="1:32">
      <c r="D5" t="s">
        <v>1435</v>
      </c>
      <c r="E5">
        <f>COUNTIF(U:U, "Harmonizing")</f>
        <v>0</v>
      </c>
    </row>
    <row r="6" spans="1:32">
      <c r="D6" t="s">
        <v>1436</v>
      </c>
      <c r="E6">
        <f>COUNTIF(U:U, "Disharmonizing")</f>
        <v>1</v>
      </c>
    </row>
    <row r="7" spans="1:32">
      <c r="D7" t="s">
        <v>1437</v>
      </c>
      <c r="E7">
        <f>E5/(E5+E6)</f>
        <v>0</v>
      </c>
    </row>
  </sheetData>
  <conditionalFormatting sqref="H2">
    <cfRule type="expression" dxfId="68" priority="28">
      <formula>$J2&lt;&gt;""</formula>
    </cfRule>
    <cfRule type="expression" dxfId="67" priority="29">
      <formula>$J2=""</formula>
    </cfRule>
  </conditionalFormatting>
  <conditionalFormatting sqref="I2:M2 P2:Q2">
    <cfRule type="expression" dxfId="66" priority="26">
      <formula>AND(OR($J2="Addition",$J2="Omission"), I2="")</formula>
    </cfRule>
    <cfRule type="expression" dxfId="65" priority="27">
      <formula>AND($J2&lt;&gt;"Addition",$J2&lt;&gt;"Omission",$J2&lt;&gt;"Substitution - Word")</formula>
    </cfRule>
  </conditionalFormatting>
  <conditionalFormatting sqref="I2:Q2">
    <cfRule type="expression" dxfId="64" priority="25">
      <formula>AND(OR($J2="Addition",$J2="Omission"), I2&lt;&gt;"")</formula>
    </cfRule>
  </conditionalFormatting>
  <conditionalFormatting sqref="L2">
    <cfRule type="expression" dxfId="63" priority="20">
      <formula>AND($L2&lt;&gt;"",$L2&gt;1)</formula>
    </cfRule>
  </conditionalFormatting>
  <conditionalFormatting sqref="N2:O2">
    <cfRule type="expression" dxfId="62" priority="16">
      <formula>$O2="Absent"</formula>
    </cfRule>
    <cfRule type="expression" dxfId="61" priority="17">
      <formula>$O2="NA"</formula>
    </cfRule>
    <cfRule type="expression" dxfId="60" priority="18">
      <formula>AND(OR($J2="Addition",$J2="Omission"), N2="")</formula>
    </cfRule>
    <cfRule type="expression" dxfId="59" priority="19">
      <formula>AND($J2&lt;&gt;"Addition",$J2&lt;&gt;"Omission")</formula>
    </cfRule>
  </conditionalFormatting>
  <conditionalFormatting sqref="P2">
    <cfRule type="expression" dxfId="58" priority="21">
      <formula>OR($J2="Addition",$J2="Omission",$J2 = "Substitution - Word")</formula>
    </cfRule>
  </conditionalFormatting>
  <conditionalFormatting sqref="R2:T2">
    <cfRule type="expression" dxfId="57" priority="22">
      <formula>AND(AND(LEFT($J2,3)="Sub", RIGHT($J2,4)&lt;&gt;"Form"),$T2&lt;&gt;"")</formula>
    </cfRule>
    <cfRule type="expression" dxfId="56" priority="23">
      <formula>AND(AND(LEFT($J2,3)="Sub", RIGHT($J2,4)&lt;&gt;"Form"),$T2="")</formula>
    </cfRule>
    <cfRule type="expression" dxfId="55" priority="24">
      <formula>"&lt;&gt;AND(LEFT($J2,3)=""Sub"", RIGHT($J2,4)&lt;&gt;""Form"")"</formula>
    </cfRule>
  </conditionalFormatting>
  <conditionalFormatting sqref="S2:T2">
    <cfRule type="expression" dxfId="54" priority="1">
      <formula>AND(AND(LEFT($J2,3)="Sub", RIGHT($J2,4)&lt;&gt;"Form"),$T2&lt;&gt;"")</formula>
    </cfRule>
    <cfRule type="expression" dxfId="53" priority="2">
      <formula>AND(AND(LEFT($J2,3)="Sub", RIGHT($J2,4)&lt;&gt;"Form"),$T2="")</formula>
    </cfRule>
    <cfRule type="expression" dxfId="52" priority="3">
      <formula>"&lt;&gt;AND(LEFT($J2,3)=""Sub"", RIGHT($J2,4)&lt;&gt;""Form"")"</formula>
    </cfRule>
  </conditionalFormatting>
  <conditionalFormatting sqref="U2:V2">
    <cfRule type="expression" dxfId="51" priority="9">
      <formula>AND($X2&lt;&gt;"",OR($AF2="Yes",$AG2&lt;&gt;""))</formula>
    </cfRule>
    <cfRule type="expression" dxfId="50" priority="10">
      <formula>OR($AF2="Yes",$AG2&lt;&gt;"")</formula>
    </cfRule>
    <cfRule type="expression" dxfId="49" priority="11">
      <formula>AND($J2&lt;&gt;"",$J2&lt;&gt;"Unclear due to correction")</formula>
    </cfRule>
    <cfRule type="expression" dxfId="48" priority="14">
      <formula>OR($J2="",$J2="Unclear due to correction")</formula>
    </cfRule>
    <cfRule type="expression" dxfId="47" priority="15">
      <formula>AND($AF2&lt;&gt;"Yes",$AG2="")</formula>
    </cfRule>
  </conditionalFormatting>
  <conditionalFormatting sqref="W2">
    <cfRule type="expression" dxfId="46" priority="8">
      <formula>AND($J2&lt;&gt;"",$J2&lt;&gt;"Unclear due to correction",$Y2="")</formula>
    </cfRule>
  </conditionalFormatting>
  <conditionalFormatting sqref="W2:AF2">
    <cfRule type="expression" dxfId="45" priority="30">
      <formula>AND($J2&lt;&gt;"",$J2&lt;&gt;"Unclear due to correction")</formula>
    </cfRule>
    <cfRule type="expression" dxfId="44" priority="31">
      <formula>OR($J2="",$J2="Unclear due to correction")</formula>
    </cfRule>
  </conditionalFormatting>
  <conditionalFormatting sqref="X2">
    <cfRule type="expression" dxfId="43" priority="12">
      <formula>AND($Y2="Yes",$Z2="")</formula>
    </cfRule>
    <cfRule type="expression" dxfId="42" priority="13">
      <formula>$Y2=""</formula>
    </cfRule>
  </conditionalFormatting>
  <conditionalFormatting sqref="Y2">
    <cfRule type="expression" dxfId="41" priority="6">
      <formula>$AA2&lt;&gt;""</formula>
    </cfRule>
  </conditionalFormatting>
  <conditionalFormatting sqref="Z2:AA2">
    <cfRule type="expression" dxfId="40" priority="4">
      <formula>AND($AA2&lt;&gt;"",Z2&lt;&gt;"")</formula>
    </cfRule>
    <cfRule type="expression" dxfId="39" priority="5">
      <formula>$AA2&lt;&gt;""</formula>
    </cfRule>
  </conditionalFormatting>
  <conditionalFormatting sqref="AD2">
    <cfRule type="expression" dxfId="38" priority="7">
      <formula>AND(OR($AD2&lt;&gt;"",$AE2&lt;&gt;""),$AF2="")</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7">
        <x14:dataValidation type="list" allowBlank="1" showInputMessage="1" showErrorMessage="1" xr:uid="{852A373A-7CF0-4843-8C67-644328044A57}">
          <x14:formula1>
            <xm:f>'Data Regularization'!$I$2:$I$5</xm:f>
          </x14:formula1>
          <xm:sqref>V2</xm:sqref>
        </x14:dataValidation>
        <x14:dataValidation type="list" allowBlank="1" showInputMessage="1" showErrorMessage="1" xr:uid="{AB00E1F8-C3BB-4E6D-8225-1DDAE8C8B2EB}">
          <x14:formula1>
            <xm:f>'Data Regularization'!$C$2:$C$25</xm:f>
          </x14:formula1>
          <xm:sqref>F2</xm:sqref>
        </x14:dataValidation>
        <x14:dataValidation type="list" allowBlank="1" showInputMessage="1" showErrorMessage="1" xr:uid="{3A500BD6-1A55-425B-9832-911AAF4E419A}">
          <x14:formula1>
            <xm:f>'Data Regularization'!$A$2:$A$1048576</xm:f>
          </x14:formula1>
          <xm:sqref>D2</xm:sqref>
        </x14:dataValidation>
        <x14:dataValidation type="list" allowBlank="1" showInputMessage="1" showErrorMessage="1" xr:uid="{66D82384-3C06-405C-A36A-C8C87C902470}">
          <x14:formula1>
            <xm:f>'Data Regularization'!$B$2:$B$1048576</xm:f>
          </x14:formula1>
          <xm:sqref>E2</xm:sqref>
        </x14:dataValidation>
        <x14:dataValidation type="list" allowBlank="1" showInputMessage="1" showErrorMessage="1" xr:uid="{A01323F5-A913-487A-8113-B7E768489597}">
          <x14:formula1>
            <xm:f>'Data Regularization'!$D$2:$D$1048576</xm:f>
          </x14:formula1>
          <xm:sqref>Z2 H2</xm:sqref>
        </x14:dataValidation>
        <x14:dataValidation type="list" allowBlank="1" showInputMessage="1" showErrorMessage="1" xr:uid="{C2C3EEF5-1989-41B8-B7C0-53DD26C5E533}">
          <x14:formula1>
            <xm:f>'Data Regularization'!$E$2:$E$1048576</xm:f>
          </x14:formula1>
          <xm:sqref>L2</xm:sqref>
        </x14:dataValidation>
        <x14:dataValidation type="list" allowBlank="1" showInputMessage="1" showErrorMessage="1" xr:uid="{EB704F42-C41C-4E61-8949-1B0AC83F64F7}">
          <x14:formula1>
            <xm:f>'Data Regularization'!$F$2:$F$1048576</xm:f>
          </x14:formula1>
          <xm:sqref>M2</xm:sqref>
        </x14:dataValidation>
        <x14:dataValidation type="list" allowBlank="1" showInputMessage="1" showErrorMessage="1" xr:uid="{85768FE9-FEF5-47D6-A2B9-31A8054F44F4}">
          <x14:formula1>
            <xm:f>'Data Regularization'!$G$2:$G$1048576</xm:f>
          </x14:formula1>
          <xm:sqref>P2</xm:sqref>
        </x14:dataValidation>
        <x14:dataValidation type="list" allowBlank="1" showInputMessage="1" showErrorMessage="1" xr:uid="{2117AFCB-5EC8-4CE7-8972-5DA5B1A25B75}">
          <x14:formula1>
            <xm:f>'Data Regularization'!$K$2:$K$1048576</xm:f>
          </x14:formula1>
          <xm:sqref>X2</xm:sqref>
        </x14:dataValidation>
        <x14:dataValidation type="list" allowBlank="1" showInputMessage="1" showErrorMessage="1" xr:uid="{AE8CA4A8-7B46-458E-A1CE-974E2214E055}">
          <x14:formula1>
            <xm:f>'Data Regularization'!$L$2:$L$1048576</xm:f>
          </x14:formula1>
          <xm:sqref>Y2</xm:sqref>
        </x14:dataValidation>
        <x14:dataValidation type="list" allowBlank="1" showInputMessage="1" showErrorMessage="1" xr:uid="{D2B8E35D-8856-4A22-8039-66B438B002DA}">
          <x14:formula1>
            <xm:f>'Data Regularization'!$N$2:$N$1048576</xm:f>
          </x14:formula1>
          <xm:sqref>AA2</xm:sqref>
        </x14:dataValidation>
        <x14:dataValidation type="list" allowBlank="1" showInputMessage="1" showErrorMessage="1" xr:uid="{AA9F29D9-1115-4C5D-943C-B9B851A7CB68}">
          <x14:formula1>
            <xm:f>'Data Regularization'!$O$2:$O$1048576</xm:f>
          </x14:formula1>
          <xm:sqref>AB2</xm:sqref>
        </x14:dataValidation>
        <x14:dataValidation type="list" allowBlank="1" showInputMessage="1" showErrorMessage="1" xr:uid="{0503D94D-7D48-471A-AF6F-58432066E18C}">
          <x14:formula1>
            <xm:f>'Data Regularization'!$P$2:$P$1048576</xm:f>
          </x14:formula1>
          <xm:sqref>AD2</xm:sqref>
        </x14:dataValidation>
        <x14:dataValidation type="list" allowBlank="1" showInputMessage="1" showErrorMessage="1" xr:uid="{0440D55E-E33C-4AB2-8B2B-8F21C904BC61}">
          <x14:formula1>
            <xm:f>'Data Regularization'!$Q$2:$Q$1048576</xm:f>
          </x14:formula1>
          <xm:sqref>AE2</xm:sqref>
        </x14:dataValidation>
        <x14:dataValidation type="list" allowBlank="1" showInputMessage="1" showErrorMessage="1" xr:uid="{C34F9701-1451-47AD-AF60-345D0F2D3E0A}">
          <x14:formula1>
            <xm:f>'Data Regularization'!$H$2:$H$1048576</xm:f>
          </x14:formula1>
          <xm:sqref>U2</xm:sqref>
        </x14:dataValidation>
        <x14:dataValidation type="list" allowBlank="1" showInputMessage="1" xr:uid="{18CFB103-4801-4102-9BC4-575519186901}">
          <x14:formula1>
            <xm:f>'Data Regularization'!$J$2:$J$1048576</xm:f>
          </x14:formula1>
          <xm:sqref>W2</xm:sqref>
        </x14:dataValidation>
        <x14:dataValidation type="list" allowBlank="1" showInputMessage="1" showErrorMessage="1" xr:uid="{71383314-5735-4B57-95C1-3FA042D35BD0}">
          <x14:formula1>
            <xm:f>'Data Regularization'!$R$2:$R$1048576</xm:f>
          </x14:formula1>
          <xm:sqref>AF2</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1B162-4825-488F-B437-8660ECA9A916}">
  <dimension ref="A1:B6"/>
  <sheetViews>
    <sheetView workbookViewId="0"/>
  </sheetViews>
  <sheetFormatPr defaultRowHeight="14.5"/>
  <cols>
    <col min="1" max="1" width="12.90625" bestFit="1" customWidth="1"/>
  </cols>
  <sheetData>
    <row r="1" spans="1:2">
      <c r="A1" t="s">
        <v>1438</v>
      </c>
      <c r="B1">
        <v>20272</v>
      </c>
    </row>
    <row r="2" spans="1:2">
      <c r="A2" t="s">
        <v>1439</v>
      </c>
      <c r="B2">
        <f>COUNTA('Unfiltered Data'!A:A) - 1</f>
        <v>462</v>
      </c>
    </row>
    <row r="3" spans="1:2">
      <c r="A3" t="s">
        <v>1440</v>
      </c>
      <c r="B3">
        <f>COUNTA('Gen-filters'!A:A) - 1</f>
        <v>62</v>
      </c>
    </row>
    <row r="5" spans="1:2">
      <c r="A5" t="s">
        <v>1441</v>
      </c>
      <c r="B5">
        <f>(B2/B1)*1000</f>
        <v>22.790055248618785</v>
      </c>
    </row>
    <row r="6" spans="1:2">
      <c r="A6" t="s">
        <v>1442</v>
      </c>
      <c r="B6">
        <f>(B3/B1)*1000</f>
        <v>3.0584056827150752</v>
      </c>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9CA86-D68F-43BD-A18F-93FAAE43C99B}">
  <dimension ref="A2:D12"/>
  <sheetViews>
    <sheetView workbookViewId="0"/>
  </sheetViews>
  <sheetFormatPr defaultRowHeight="14.5"/>
  <sheetData>
    <row r="2" spans="1:4">
      <c r="A2" t="s">
        <v>1732</v>
      </c>
    </row>
    <row r="3" spans="1:4">
      <c r="A3" t="s">
        <v>19</v>
      </c>
      <c r="B3">
        <f>COUNTIF('Unfiltered Data'!G:G, "Yes")</f>
        <v>11</v>
      </c>
    </row>
    <row r="4" spans="1:4">
      <c r="A4" t="s">
        <v>20</v>
      </c>
      <c r="B4">
        <f>COUNTIF('Unfiltered Data'!G:G, "No")</f>
        <v>0</v>
      </c>
    </row>
    <row r="5" spans="1:4">
      <c r="A5" t="s">
        <v>1733</v>
      </c>
      <c r="B5">
        <f>B3/SUM(B3:B4)</f>
        <v>1</v>
      </c>
    </row>
    <row r="8" spans="1:4">
      <c r="A8" t="s">
        <v>1734</v>
      </c>
    </row>
    <row r="9" spans="1:4">
      <c r="B9" t="s">
        <v>1735</v>
      </c>
      <c r="C9" t="s">
        <v>1736</v>
      </c>
      <c r="D9" t="s">
        <v>1737</v>
      </c>
    </row>
    <row r="10" spans="1:4">
      <c r="A10" t="s">
        <v>19</v>
      </c>
      <c r="B10">
        <f>COUNTIF('Unfiltered Data'!H:H, "Yes")</f>
        <v>104</v>
      </c>
      <c r="C10">
        <f>B10/'Gen-Error-Rates'!$B$2</f>
        <v>0.22510822510822512</v>
      </c>
      <c r="D10">
        <f>B10/SUM($B$10:$B$12)</f>
        <v>0.9719626168224299</v>
      </c>
    </row>
    <row r="11" spans="1:4">
      <c r="A11" t="s">
        <v>1738</v>
      </c>
      <c r="B11">
        <f>COUNTIF('Unfiltered Data'!H:H, "Yes, partially")</f>
        <v>0</v>
      </c>
      <c r="C11">
        <f>B11/'Gen-Error-Rates'!$B$2</f>
        <v>0</v>
      </c>
      <c r="D11">
        <f t="shared" ref="D11:D12" si="0">B11/SUM($B$10:$B$12)</f>
        <v>0</v>
      </c>
    </row>
    <row r="12" spans="1:4">
      <c r="A12" t="s">
        <v>1739</v>
      </c>
      <c r="B12">
        <f>COUNTIF('Unfiltered Data'!H:H, "Yes, to another error")</f>
        <v>3</v>
      </c>
      <c r="C12">
        <f>B12/'Gen-Error-Rates'!$B$2</f>
        <v>6.4935064935064939E-3</v>
      </c>
      <c r="D12">
        <f t="shared" si="0"/>
        <v>2.8037383177570093E-2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8CC19-6CEE-454B-A51C-84C52E37D269}">
  <dimension ref="A1:AE185"/>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RowHeight="14.5"/>
  <cols>
    <col min="1" max="1" width="10.453125" bestFit="1" customWidth="1"/>
    <col min="4" max="6" width="8.90625" customWidth="1"/>
    <col min="7" max="7" width="36" style="3" customWidth="1"/>
    <col min="9" max="9" width="0" hidden="1" customWidth="1"/>
    <col min="13" max="20" width="0" hidden="1" customWidth="1"/>
  </cols>
  <sheetData>
    <row r="1" spans="1:31" s="1" customFormat="1">
      <c r="A1" s="1" t="s">
        <v>0</v>
      </c>
      <c r="B1" s="1" t="s">
        <v>5</v>
      </c>
      <c r="C1" s="1" t="s">
        <v>6</v>
      </c>
      <c r="D1" s="1" t="s">
        <v>1292</v>
      </c>
      <c r="E1" s="1" t="s">
        <v>1293</v>
      </c>
      <c r="F1" s="1" t="s">
        <v>1294</v>
      </c>
      <c r="G1" s="2" t="s">
        <v>7</v>
      </c>
      <c r="H1" s="1" t="s">
        <v>3</v>
      </c>
      <c r="I1" s="1" t="s">
        <v>1280</v>
      </c>
      <c r="J1" s="1" t="s">
        <v>1281</v>
      </c>
      <c r="K1" s="1" t="s">
        <v>1282</v>
      </c>
      <c r="L1" s="1" t="s">
        <v>1295</v>
      </c>
      <c r="M1" s="1" t="s">
        <v>1252</v>
      </c>
      <c r="N1" s="1" t="s">
        <v>1283</v>
      </c>
      <c r="O1" s="7" t="s">
        <v>1284</v>
      </c>
      <c r="P1" s="1" t="s">
        <v>1253</v>
      </c>
      <c r="Q1" s="1" t="s">
        <v>1285</v>
      </c>
      <c r="R1" s="1" t="s">
        <v>1286</v>
      </c>
      <c r="S1" s="1" t="s">
        <v>1408</v>
      </c>
      <c r="T1" s="1" t="s">
        <v>1409</v>
      </c>
      <c r="U1" s="1" t="s">
        <v>1297</v>
      </c>
      <c r="V1" s="1" t="s">
        <v>1298</v>
      </c>
      <c r="W1" s="1" t="s">
        <v>1299</v>
      </c>
      <c r="X1" s="1" t="s">
        <v>1254</v>
      </c>
      <c r="Y1" s="1" t="s">
        <v>1726</v>
      </c>
      <c r="Z1" s="1" t="s">
        <v>1255</v>
      </c>
      <c r="AA1" s="1" t="s">
        <v>1256</v>
      </c>
      <c r="AB1" s="1" t="s">
        <v>1296</v>
      </c>
      <c r="AC1" s="1" t="s">
        <v>1300</v>
      </c>
      <c r="AD1" s="1" t="s">
        <v>1287</v>
      </c>
      <c r="AE1" s="1" t="s">
        <v>1301</v>
      </c>
    </row>
    <row r="2" spans="1:31" ht="87">
      <c r="A2" t="s">
        <v>38</v>
      </c>
      <c r="B2" s="3" t="s">
        <v>1313</v>
      </c>
      <c r="C2" s="3" t="s">
        <v>1314</v>
      </c>
      <c r="F2" t="s">
        <v>19</v>
      </c>
      <c r="G2"/>
      <c r="H2" s="8" t="s">
        <v>25</v>
      </c>
      <c r="I2" s="8">
        <v>0</v>
      </c>
      <c r="J2" s="8">
        <v>3</v>
      </c>
      <c r="K2" s="8">
        <v>8</v>
      </c>
      <c r="L2" s="8"/>
      <c r="M2" s="8" t="s">
        <v>1263</v>
      </c>
      <c r="N2" s="8"/>
      <c r="O2" s="9"/>
      <c r="P2" s="8"/>
      <c r="Q2" s="8">
        <v>146</v>
      </c>
      <c r="R2" s="8"/>
      <c r="S2" s="8" t="s">
        <v>1371</v>
      </c>
      <c r="T2" s="8" t="s">
        <v>1371</v>
      </c>
      <c r="U2" s="8"/>
      <c r="V2" s="8"/>
      <c r="W2" s="8"/>
      <c r="X2" s="8" t="s">
        <v>1260</v>
      </c>
      <c r="Y2" s="8" t="s">
        <v>1727</v>
      </c>
      <c r="Z2" s="8" t="s">
        <v>19</v>
      </c>
      <c r="AA2" s="8"/>
      <c r="AB2" s="8"/>
      <c r="AC2" s="8"/>
      <c r="AD2" s="8"/>
      <c r="AE2" s="8"/>
    </row>
    <row r="3" spans="1:31" ht="43.5">
      <c r="A3" t="s">
        <v>39</v>
      </c>
      <c r="B3" s="3" t="s">
        <v>604</v>
      </c>
      <c r="C3" s="3" t="s">
        <v>605</v>
      </c>
      <c r="G3"/>
      <c r="H3" s="8" t="s">
        <v>1305</v>
      </c>
      <c r="I3" s="8"/>
      <c r="J3" s="8"/>
      <c r="K3" s="8"/>
      <c r="L3" s="8"/>
      <c r="M3" s="8"/>
      <c r="N3" s="8"/>
      <c r="O3" s="9"/>
      <c r="P3" s="8"/>
      <c r="Q3" s="8"/>
      <c r="R3" s="8"/>
      <c r="S3" s="8" t="s">
        <v>1371</v>
      </c>
      <c r="T3" s="8" t="s">
        <v>1371</v>
      </c>
      <c r="U3" s="8"/>
      <c r="V3" s="8"/>
      <c r="W3" s="8"/>
      <c r="X3" s="8" t="s">
        <v>1444</v>
      </c>
      <c r="Y3" s="8" t="s">
        <v>1727</v>
      </c>
      <c r="Z3" s="8" t="s">
        <v>19</v>
      </c>
      <c r="AA3" s="8"/>
      <c r="AB3" s="8"/>
      <c r="AC3" s="8"/>
      <c r="AD3" s="8"/>
      <c r="AE3" s="8"/>
    </row>
    <row r="4" spans="1:31" ht="58">
      <c r="A4" t="s">
        <v>43</v>
      </c>
      <c r="B4" s="3" t="s">
        <v>606</v>
      </c>
      <c r="C4" s="3" t="s">
        <v>607</v>
      </c>
      <c r="F4" t="s">
        <v>19</v>
      </c>
      <c r="G4" t="s">
        <v>1369</v>
      </c>
      <c r="H4" s="8" t="s">
        <v>24</v>
      </c>
      <c r="I4" s="8">
        <v>0</v>
      </c>
      <c r="J4" s="8">
        <v>1</v>
      </c>
      <c r="K4" s="8">
        <v>4</v>
      </c>
      <c r="L4" s="8" t="s">
        <v>1315</v>
      </c>
      <c r="M4" s="8" t="s">
        <v>1258</v>
      </c>
      <c r="N4" s="8" t="s">
        <v>1316</v>
      </c>
      <c r="O4" s="9" t="s">
        <v>1317</v>
      </c>
      <c r="P4" s="8"/>
      <c r="Q4" s="8">
        <v>0</v>
      </c>
      <c r="R4" s="8"/>
      <c r="S4" s="8" t="s">
        <v>1371</v>
      </c>
      <c r="T4" s="8" t="s">
        <v>1371</v>
      </c>
      <c r="U4" s="8"/>
      <c r="V4" s="8"/>
      <c r="W4" s="8"/>
      <c r="X4" s="8" t="s">
        <v>1260</v>
      </c>
      <c r="Y4" s="8" t="s">
        <v>1727</v>
      </c>
      <c r="Z4" s="8" t="s">
        <v>19</v>
      </c>
      <c r="AA4" s="8"/>
      <c r="AB4" s="8"/>
      <c r="AC4" s="8"/>
      <c r="AD4" s="8"/>
      <c r="AE4" s="8"/>
    </row>
    <row r="5" spans="1:31" s="12" customFormat="1" ht="43.5">
      <c r="A5" s="12" t="s">
        <v>44</v>
      </c>
      <c r="B5" s="13" t="s">
        <v>1445</v>
      </c>
      <c r="C5" s="13" t="s">
        <v>1445</v>
      </c>
      <c r="G5" s="13" t="s">
        <v>1446</v>
      </c>
      <c r="H5" s="14" t="s">
        <v>25</v>
      </c>
      <c r="I5" s="14"/>
      <c r="J5" s="14">
        <v>3</v>
      </c>
      <c r="K5" s="14">
        <v>17</v>
      </c>
      <c r="L5" s="14"/>
      <c r="M5" s="14" t="s">
        <v>1258</v>
      </c>
      <c r="N5" s="14" t="s">
        <v>1447</v>
      </c>
      <c r="O5" s="15" t="s">
        <v>1448</v>
      </c>
      <c r="P5" s="14"/>
      <c r="Q5" s="14">
        <v>4</v>
      </c>
      <c r="R5" s="14"/>
      <c r="S5" s="14"/>
      <c r="T5" s="14"/>
      <c r="U5" s="14"/>
      <c r="V5" s="14"/>
      <c r="W5" s="14"/>
      <c r="X5" s="14" t="s">
        <v>1443</v>
      </c>
      <c r="Y5" s="14" t="s">
        <v>1729</v>
      </c>
      <c r="Z5" s="14"/>
      <c r="AA5" s="14"/>
      <c r="AB5" s="14"/>
      <c r="AC5" s="14"/>
      <c r="AD5" s="14"/>
      <c r="AE5" s="14"/>
    </row>
    <row r="6" spans="1:31" s="12" customFormat="1" ht="43.5">
      <c r="A6" s="12" t="s">
        <v>45</v>
      </c>
      <c r="B6" s="13" t="s">
        <v>1449</v>
      </c>
      <c r="C6" s="13" t="s">
        <v>1449</v>
      </c>
      <c r="G6" s="13" t="s">
        <v>1450</v>
      </c>
      <c r="H6" s="14" t="s">
        <v>1303</v>
      </c>
      <c r="I6" s="14"/>
      <c r="J6" s="14"/>
      <c r="K6" s="14"/>
      <c r="L6" s="14"/>
      <c r="M6" s="14"/>
      <c r="N6" s="14"/>
      <c r="O6" s="15"/>
      <c r="P6" s="14"/>
      <c r="Q6" s="14"/>
      <c r="R6" s="14">
        <v>0</v>
      </c>
      <c r="S6" s="14">
        <v>0</v>
      </c>
      <c r="T6" s="14">
        <v>0</v>
      </c>
      <c r="U6" s="14"/>
      <c r="V6" s="14"/>
      <c r="W6" s="14"/>
      <c r="X6" s="14" t="s">
        <v>1443</v>
      </c>
      <c r="Y6" s="14" t="s">
        <v>1729</v>
      </c>
      <c r="Z6" s="14"/>
      <c r="AA6" s="14"/>
      <c r="AB6" s="14"/>
      <c r="AC6" s="14"/>
      <c r="AD6" s="14"/>
      <c r="AE6" s="14"/>
    </row>
    <row r="7" spans="1:31" ht="43.5">
      <c r="A7" t="s">
        <v>47</v>
      </c>
      <c r="B7" s="3" t="s">
        <v>1321</v>
      </c>
      <c r="C7" s="3" t="s">
        <v>1320</v>
      </c>
      <c r="G7" t="s">
        <v>1366</v>
      </c>
      <c r="H7" s="8" t="s">
        <v>1305</v>
      </c>
      <c r="I7" s="8"/>
      <c r="J7" s="8"/>
      <c r="K7" s="8"/>
      <c r="L7" s="8"/>
      <c r="M7" s="8"/>
      <c r="N7" s="8"/>
      <c r="O7" s="9"/>
      <c r="P7" s="8"/>
      <c r="Q7" s="8"/>
      <c r="R7" s="8"/>
      <c r="S7" s="8" t="s">
        <v>1371</v>
      </c>
      <c r="T7" s="8" t="s">
        <v>1371</v>
      </c>
      <c r="U7" s="8" t="s">
        <v>1302</v>
      </c>
      <c r="V7" s="8"/>
      <c r="W7" s="8"/>
      <c r="X7" s="8" t="s">
        <v>1260</v>
      </c>
      <c r="Y7" s="8" t="s">
        <v>1727</v>
      </c>
      <c r="Z7" s="8" t="s">
        <v>19</v>
      </c>
      <c r="AA7" s="8"/>
      <c r="AB7" s="8"/>
      <c r="AC7" s="8"/>
      <c r="AD7" s="8"/>
      <c r="AE7" s="8"/>
    </row>
    <row r="8" spans="1:31">
      <c r="A8" t="s">
        <v>53</v>
      </c>
      <c r="B8" s="3" t="s">
        <v>54</v>
      </c>
      <c r="C8" s="3" t="s">
        <v>55</v>
      </c>
      <c r="F8" t="s">
        <v>19</v>
      </c>
      <c r="G8" t="s">
        <v>1324</v>
      </c>
      <c r="H8" s="8" t="s">
        <v>1303</v>
      </c>
      <c r="I8" s="8"/>
      <c r="J8" s="8"/>
      <c r="K8" s="8"/>
      <c r="L8" s="8"/>
      <c r="M8" s="8"/>
      <c r="N8" s="8"/>
      <c r="O8" s="9"/>
      <c r="P8" s="8"/>
      <c r="Q8" s="8"/>
      <c r="R8" s="8">
        <v>-4</v>
      </c>
      <c r="S8" s="8">
        <v>4</v>
      </c>
      <c r="T8" s="8">
        <v>0</v>
      </c>
      <c r="U8" s="8"/>
      <c r="V8" s="8"/>
      <c r="W8" s="8"/>
      <c r="X8" s="8" t="s">
        <v>1260</v>
      </c>
      <c r="Y8" s="8" t="s">
        <v>1727</v>
      </c>
      <c r="Z8" s="8" t="s">
        <v>19</v>
      </c>
      <c r="AA8" s="8"/>
      <c r="AB8" s="8"/>
      <c r="AC8" s="8"/>
      <c r="AD8" s="8"/>
      <c r="AE8" s="8"/>
    </row>
    <row r="9" spans="1:31" s="12" customFormat="1" ht="58">
      <c r="A9" s="12" t="s">
        <v>53</v>
      </c>
      <c r="B9" s="13" t="s">
        <v>1451</v>
      </c>
      <c r="C9" s="13" t="s">
        <v>1451</v>
      </c>
      <c r="G9" s="13" t="s">
        <v>1452</v>
      </c>
      <c r="H9" s="14" t="s">
        <v>1303</v>
      </c>
      <c r="I9" s="14"/>
      <c r="J9" s="14"/>
      <c r="K9" s="14"/>
      <c r="L9" s="14"/>
      <c r="M9" s="14"/>
      <c r="N9" s="14"/>
      <c r="O9" s="15"/>
      <c r="P9" s="14"/>
      <c r="Q9" s="14"/>
      <c r="R9" s="14">
        <f>86-11</f>
        <v>75</v>
      </c>
      <c r="S9" s="14">
        <v>11</v>
      </c>
      <c r="T9" s="14">
        <v>86</v>
      </c>
      <c r="U9" s="14"/>
      <c r="V9" s="14"/>
      <c r="W9" s="14"/>
      <c r="X9" s="14" t="s">
        <v>1443</v>
      </c>
      <c r="Y9" s="14" t="s">
        <v>1729</v>
      </c>
      <c r="Z9" s="14"/>
      <c r="AA9" s="14"/>
      <c r="AB9" s="14"/>
      <c r="AC9" s="14"/>
      <c r="AD9" s="14"/>
      <c r="AE9" s="14"/>
    </row>
    <row r="10" spans="1:31" ht="29">
      <c r="A10" t="s">
        <v>56</v>
      </c>
      <c r="B10" s="3" t="s">
        <v>618</v>
      </c>
      <c r="C10" s="3" t="s">
        <v>619</v>
      </c>
      <c r="F10" t="s">
        <v>19</v>
      </c>
      <c r="G10"/>
      <c r="H10" s="8" t="s">
        <v>24</v>
      </c>
      <c r="I10" s="8">
        <v>0</v>
      </c>
      <c r="J10" s="8">
        <v>1</v>
      </c>
      <c r="K10" s="8">
        <v>1</v>
      </c>
      <c r="L10" s="8" t="s">
        <v>1262</v>
      </c>
      <c r="M10" s="8" t="s">
        <v>1304</v>
      </c>
      <c r="N10" s="8"/>
      <c r="O10" s="9"/>
      <c r="P10" s="8"/>
      <c r="Q10" s="8">
        <v>2475</v>
      </c>
      <c r="R10" s="8"/>
      <c r="S10" s="8" t="s">
        <v>1371</v>
      </c>
      <c r="T10" s="8" t="s">
        <v>1371</v>
      </c>
      <c r="U10" s="8"/>
      <c r="V10" s="8"/>
      <c r="W10" s="8"/>
      <c r="X10" s="8" t="s">
        <v>1260</v>
      </c>
      <c r="Y10" s="8" t="s">
        <v>1727</v>
      </c>
      <c r="Z10" s="8" t="s">
        <v>19</v>
      </c>
      <c r="AA10" s="8"/>
      <c r="AB10" s="8"/>
      <c r="AC10" s="8"/>
      <c r="AD10" s="8"/>
      <c r="AE10" s="8"/>
    </row>
    <row r="11" spans="1:31" ht="43.5">
      <c r="A11" t="s">
        <v>64</v>
      </c>
      <c r="B11" s="3" t="s">
        <v>625</v>
      </c>
      <c r="C11" s="3" t="s">
        <v>626</v>
      </c>
      <c r="G11" t="s">
        <v>1325</v>
      </c>
      <c r="H11" s="8" t="s">
        <v>25</v>
      </c>
      <c r="I11" s="8">
        <v>0</v>
      </c>
      <c r="J11" s="8">
        <v>1</v>
      </c>
      <c r="K11" s="8">
        <v>8</v>
      </c>
      <c r="L11" s="8" t="s">
        <v>1315</v>
      </c>
      <c r="M11" s="8" t="s">
        <v>1258</v>
      </c>
      <c r="N11" s="8" t="s">
        <v>1316</v>
      </c>
      <c r="O11" s="9" t="s">
        <v>1318</v>
      </c>
      <c r="P11" s="8"/>
      <c r="Q11" s="8">
        <v>3</v>
      </c>
      <c r="R11" s="8"/>
      <c r="S11" s="8" t="s">
        <v>1371</v>
      </c>
      <c r="T11" s="8" t="s">
        <v>1371</v>
      </c>
      <c r="U11" s="8"/>
      <c r="V11" s="8"/>
      <c r="W11" s="8"/>
      <c r="X11" s="8" t="s">
        <v>1260</v>
      </c>
      <c r="Y11" s="8" t="s">
        <v>1727</v>
      </c>
      <c r="Z11" s="8" t="s">
        <v>19</v>
      </c>
      <c r="AA11" s="8"/>
      <c r="AB11" s="8"/>
      <c r="AC11" s="8"/>
      <c r="AD11" s="8"/>
      <c r="AE11" s="8"/>
    </row>
    <row r="12" spans="1:31" ht="29">
      <c r="A12" t="s">
        <v>75</v>
      </c>
      <c r="B12" s="3" t="s">
        <v>634</v>
      </c>
      <c r="C12" s="3" t="s">
        <v>635</v>
      </c>
      <c r="F12" t="s">
        <v>19</v>
      </c>
      <c r="G12"/>
      <c r="H12" s="8" t="s">
        <v>1303</v>
      </c>
      <c r="I12" s="8"/>
      <c r="J12" s="8"/>
      <c r="K12" s="8"/>
      <c r="L12" s="8"/>
      <c r="M12" s="8"/>
      <c r="N12" s="8"/>
      <c r="O12" s="9"/>
      <c r="P12" s="8"/>
      <c r="Q12" s="8"/>
      <c r="R12" s="8">
        <v>-2271</v>
      </c>
      <c r="S12" s="8">
        <v>2475</v>
      </c>
      <c r="T12" s="8">
        <v>204</v>
      </c>
      <c r="U12" s="8"/>
      <c r="V12" s="8"/>
      <c r="W12" s="8"/>
      <c r="X12" s="8" t="s">
        <v>1260</v>
      </c>
      <c r="Y12" s="8" t="s">
        <v>1727</v>
      </c>
      <c r="Z12" s="8" t="s">
        <v>19</v>
      </c>
      <c r="AA12" s="8"/>
      <c r="AB12" s="8"/>
      <c r="AC12" s="8"/>
      <c r="AD12" s="8"/>
      <c r="AE12" s="8"/>
    </row>
    <row r="13" spans="1:31">
      <c r="A13" t="s">
        <v>77</v>
      </c>
      <c r="B13" s="3" t="s">
        <v>78</v>
      </c>
      <c r="C13" s="3" t="s">
        <v>79</v>
      </c>
      <c r="F13" t="s">
        <v>19</v>
      </c>
      <c r="G13"/>
      <c r="H13" s="8" t="s">
        <v>1305</v>
      </c>
      <c r="I13" s="8"/>
      <c r="J13" s="8"/>
      <c r="K13" s="8"/>
      <c r="L13" s="8"/>
      <c r="M13" s="8"/>
      <c r="N13" s="8"/>
      <c r="O13" s="9"/>
      <c r="P13" s="8"/>
      <c r="Q13" s="8"/>
      <c r="R13" s="8"/>
      <c r="S13" s="8" t="s">
        <v>1371</v>
      </c>
      <c r="T13" s="8" t="s">
        <v>1371</v>
      </c>
      <c r="U13" s="8"/>
      <c r="V13" s="8"/>
      <c r="W13" s="8"/>
      <c r="X13" s="8" t="s">
        <v>1260</v>
      </c>
      <c r="Y13" s="8" t="s">
        <v>1727</v>
      </c>
      <c r="Z13" s="8" t="s">
        <v>19</v>
      </c>
      <c r="AA13" s="8"/>
      <c r="AB13" s="8"/>
      <c r="AC13" s="8"/>
      <c r="AD13" s="8"/>
      <c r="AE13" s="8"/>
    </row>
    <row r="14" spans="1:31" ht="29">
      <c r="A14" t="s">
        <v>80</v>
      </c>
      <c r="B14" s="3" t="s">
        <v>82</v>
      </c>
      <c r="C14" s="3" t="s">
        <v>83</v>
      </c>
      <c r="F14" t="s">
        <v>19</v>
      </c>
      <c r="G14" t="s">
        <v>1327</v>
      </c>
      <c r="H14" s="8" t="s">
        <v>1305</v>
      </c>
      <c r="I14" s="8"/>
      <c r="J14" s="8"/>
      <c r="K14" s="8"/>
      <c r="L14" s="8"/>
      <c r="M14" s="8"/>
      <c r="N14" s="8"/>
      <c r="O14" s="9"/>
      <c r="P14" s="8"/>
      <c r="Q14" s="8"/>
      <c r="R14" s="8"/>
      <c r="S14" s="8" t="s">
        <v>1371</v>
      </c>
      <c r="T14" s="8" t="s">
        <v>1371</v>
      </c>
      <c r="U14" s="8"/>
      <c r="V14" s="8"/>
      <c r="W14" s="8"/>
      <c r="X14" s="8" t="s">
        <v>1260</v>
      </c>
      <c r="Y14" s="8" t="s">
        <v>1727</v>
      </c>
      <c r="Z14" s="8" t="s">
        <v>19</v>
      </c>
      <c r="AA14" s="8"/>
      <c r="AB14" s="8"/>
      <c r="AC14" s="8"/>
      <c r="AD14" s="8"/>
      <c r="AE14" s="8"/>
    </row>
    <row r="15" spans="1:31" s="12" customFormat="1" ht="101.5">
      <c r="A15" s="12" t="s">
        <v>84</v>
      </c>
      <c r="B15" s="13" t="s">
        <v>1453</v>
      </c>
      <c r="C15" s="13" t="s">
        <v>1453</v>
      </c>
      <c r="G15" s="13" t="s">
        <v>1456</v>
      </c>
      <c r="H15" s="14" t="s">
        <v>25</v>
      </c>
      <c r="I15" s="14"/>
      <c r="J15" s="14">
        <v>7</v>
      </c>
      <c r="K15" s="14">
        <v>35</v>
      </c>
      <c r="L15" s="14"/>
      <c r="M15" s="14" t="s">
        <v>1258</v>
      </c>
      <c r="N15" s="14" t="s">
        <v>1454</v>
      </c>
      <c r="O15" s="15" t="s">
        <v>1455</v>
      </c>
      <c r="P15" s="14"/>
      <c r="Q15" s="14">
        <v>10</v>
      </c>
      <c r="R15" s="14"/>
      <c r="S15" s="14"/>
      <c r="T15" s="14"/>
      <c r="U15" s="14"/>
      <c r="V15" s="14"/>
      <c r="W15" s="14"/>
      <c r="X15" s="14" t="s">
        <v>1443</v>
      </c>
      <c r="Y15" s="14" t="s">
        <v>1729</v>
      </c>
      <c r="Z15" s="14"/>
      <c r="AA15" s="14"/>
      <c r="AB15" s="14"/>
      <c r="AC15" s="14"/>
      <c r="AD15" s="14"/>
      <c r="AE15" s="14"/>
    </row>
    <row r="16" spans="1:31" s="12" customFormat="1" ht="43.5">
      <c r="A16" s="12" t="s">
        <v>87</v>
      </c>
      <c r="B16" s="13" t="s">
        <v>655</v>
      </c>
      <c r="C16" s="13" t="s">
        <v>655</v>
      </c>
      <c r="G16" s="13" t="s">
        <v>1457</v>
      </c>
      <c r="H16" s="14" t="s">
        <v>1305</v>
      </c>
      <c r="I16" s="14"/>
      <c r="J16" s="14"/>
      <c r="K16" s="14"/>
      <c r="L16" s="14"/>
      <c r="M16" s="14"/>
      <c r="N16" s="14"/>
      <c r="O16" s="15"/>
      <c r="P16" s="14"/>
      <c r="Q16" s="14"/>
      <c r="R16" s="14"/>
      <c r="S16" s="14"/>
      <c r="T16" s="14"/>
      <c r="U16" s="14"/>
      <c r="V16" s="14"/>
      <c r="W16" s="14"/>
      <c r="X16" s="14" t="s">
        <v>1443</v>
      </c>
      <c r="Y16" s="14" t="s">
        <v>1727</v>
      </c>
      <c r="Z16" s="14"/>
      <c r="AA16" s="14"/>
      <c r="AB16" s="14"/>
      <c r="AC16" s="14"/>
      <c r="AD16" s="14"/>
      <c r="AE16" s="14"/>
    </row>
    <row r="17" spans="1:31" s="12" customFormat="1" ht="101.5">
      <c r="A17" s="12" t="s">
        <v>90</v>
      </c>
      <c r="B17" s="13" t="s">
        <v>1458</v>
      </c>
      <c r="C17" s="13" t="s">
        <v>1458</v>
      </c>
      <c r="G17" s="13" t="s">
        <v>1459</v>
      </c>
      <c r="H17" s="14" t="s">
        <v>1305</v>
      </c>
      <c r="I17" s="14"/>
      <c r="J17" s="14"/>
      <c r="K17" s="14"/>
      <c r="L17" s="14"/>
      <c r="M17" s="14"/>
      <c r="N17" s="14"/>
      <c r="O17" s="15"/>
      <c r="P17" s="14"/>
      <c r="Q17" s="14"/>
      <c r="R17" s="14"/>
      <c r="S17" s="14"/>
      <c r="T17" s="14"/>
      <c r="U17" s="14"/>
      <c r="V17" s="14"/>
      <c r="W17" s="14"/>
      <c r="X17" s="14" t="s">
        <v>1443</v>
      </c>
      <c r="Y17" s="14" t="s">
        <v>1729</v>
      </c>
      <c r="Z17" s="14"/>
      <c r="AA17" s="14"/>
      <c r="AB17" s="14"/>
      <c r="AC17" s="14"/>
      <c r="AD17" s="14"/>
      <c r="AE17" s="14"/>
    </row>
    <row r="18" spans="1:31" s="12" customFormat="1" ht="101.5">
      <c r="A18" s="12" t="s">
        <v>90</v>
      </c>
      <c r="B18" s="13" t="s">
        <v>1460</v>
      </c>
      <c r="C18" s="13" t="s">
        <v>1460</v>
      </c>
      <c r="G18" s="13" t="s">
        <v>1461</v>
      </c>
      <c r="H18" s="14" t="s">
        <v>24</v>
      </c>
      <c r="I18" s="14"/>
      <c r="J18" s="14">
        <v>3</v>
      </c>
      <c r="K18" s="14">
        <v>11</v>
      </c>
      <c r="L18" s="14"/>
      <c r="M18" s="14" t="s">
        <v>1263</v>
      </c>
      <c r="N18" s="14"/>
      <c r="O18" s="15"/>
      <c r="P18" s="14"/>
      <c r="Q18" s="14">
        <v>25</v>
      </c>
      <c r="R18" s="14"/>
      <c r="S18" s="14"/>
      <c r="T18" s="14"/>
      <c r="U18" s="14"/>
      <c r="V18" s="14"/>
      <c r="W18" s="14"/>
      <c r="X18" s="14" t="s">
        <v>1443</v>
      </c>
      <c r="Y18" s="14" t="s">
        <v>1729</v>
      </c>
      <c r="Z18" s="14"/>
      <c r="AA18" s="14"/>
      <c r="AB18" s="14"/>
      <c r="AC18" s="14"/>
      <c r="AD18" s="14"/>
      <c r="AE18" s="14"/>
    </row>
    <row r="19" spans="1:31" s="12" customFormat="1" ht="58">
      <c r="A19" s="12" t="s">
        <v>1462</v>
      </c>
      <c r="B19" s="13" t="s">
        <v>1463</v>
      </c>
      <c r="C19" s="13" t="s">
        <v>1463</v>
      </c>
      <c r="G19" s="13" t="s">
        <v>1464</v>
      </c>
      <c r="H19" s="14" t="s">
        <v>25</v>
      </c>
      <c r="I19" s="14"/>
      <c r="J19" s="14">
        <v>1</v>
      </c>
      <c r="K19" s="14">
        <v>3</v>
      </c>
      <c r="L19" s="14" t="s">
        <v>1274</v>
      </c>
      <c r="M19" s="14" t="s">
        <v>1263</v>
      </c>
      <c r="N19" s="14"/>
      <c r="O19" s="15"/>
      <c r="P19" s="14"/>
      <c r="Q19" s="14">
        <v>768</v>
      </c>
      <c r="R19" s="14"/>
      <c r="S19" s="14"/>
      <c r="T19" s="14"/>
      <c r="U19" s="14"/>
      <c r="V19" s="14"/>
      <c r="W19" s="14"/>
      <c r="X19" s="14" t="s">
        <v>1443</v>
      </c>
      <c r="Y19" s="14" t="s">
        <v>1729</v>
      </c>
      <c r="Z19" s="14"/>
      <c r="AA19" s="14"/>
      <c r="AB19" s="14"/>
      <c r="AC19" s="14"/>
      <c r="AD19" s="14"/>
      <c r="AE19" s="14"/>
    </row>
    <row r="20" spans="1:31" s="12" customFormat="1" ht="87">
      <c r="A20" s="12" t="s">
        <v>1465</v>
      </c>
      <c r="B20" s="13" t="s">
        <v>1466</v>
      </c>
      <c r="C20" s="13" t="s">
        <v>1466</v>
      </c>
      <c r="G20" s="13" t="s">
        <v>1467</v>
      </c>
      <c r="H20" s="14" t="s">
        <v>24</v>
      </c>
      <c r="I20" s="14"/>
      <c r="J20" s="14">
        <v>1</v>
      </c>
      <c r="K20" s="14">
        <v>3</v>
      </c>
      <c r="L20" s="14" t="s">
        <v>1268</v>
      </c>
      <c r="M20" s="14" t="s">
        <v>1263</v>
      </c>
      <c r="N20" s="14"/>
      <c r="O20" s="15"/>
      <c r="P20" s="14"/>
      <c r="Q20" s="14">
        <v>1759</v>
      </c>
      <c r="R20" s="14"/>
      <c r="S20" s="14"/>
      <c r="T20" s="14"/>
      <c r="U20" s="14"/>
      <c r="V20" s="14"/>
      <c r="W20" s="14"/>
      <c r="X20" s="14" t="s">
        <v>1443</v>
      </c>
      <c r="Y20" s="14" t="s">
        <v>1729</v>
      </c>
      <c r="Z20" s="14"/>
      <c r="AA20" s="14"/>
      <c r="AB20" s="14"/>
      <c r="AC20" s="14"/>
      <c r="AD20" s="14"/>
      <c r="AE20" s="14"/>
    </row>
    <row r="21" spans="1:31" s="12" customFormat="1" ht="58">
      <c r="A21" s="12" t="s">
        <v>97</v>
      </c>
      <c r="B21" s="13" t="s">
        <v>1468</v>
      </c>
      <c r="C21" s="13" t="s">
        <v>1468</v>
      </c>
      <c r="G21" s="13" t="s">
        <v>1469</v>
      </c>
      <c r="H21" s="14" t="s">
        <v>25</v>
      </c>
      <c r="I21" s="14"/>
      <c r="J21" s="14">
        <v>1</v>
      </c>
      <c r="K21" s="14">
        <v>2</v>
      </c>
      <c r="L21" s="14" t="s">
        <v>1276</v>
      </c>
      <c r="M21" s="14" t="s">
        <v>1304</v>
      </c>
      <c r="N21" s="14"/>
      <c r="O21" s="15"/>
      <c r="P21" s="14"/>
      <c r="Q21" s="14">
        <v>316</v>
      </c>
      <c r="R21" s="14"/>
      <c r="S21" s="14"/>
      <c r="T21" s="14"/>
      <c r="U21" s="14"/>
      <c r="V21" s="14"/>
      <c r="W21" s="14"/>
      <c r="X21" s="14" t="s">
        <v>1443</v>
      </c>
      <c r="Y21" s="14" t="s">
        <v>1729</v>
      </c>
      <c r="Z21" s="14"/>
      <c r="AA21" s="14"/>
      <c r="AB21" s="14"/>
      <c r="AC21" s="14"/>
      <c r="AD21" s="14"/>
      <c r="AE21" s="14"/>
    </row>
    <row r="22" spans="1:31" ht="58">
      <c r="A22" t="s">
        <v>97</v>
      </c>
      <c r="B22" s="3" t="s">
        <v>666</v>
      </c>
      <c r="C22" s="3" t="s">
        <v>667</v>
      </c>
      <c r="F22" t="s">
        <v>19</v>
      </c>
      <c r="G22"/>
      <c r="H22" s="8" t="s">
        <v>1303</v>
      </c>
      <c r="I22" s="8"/>
      <c r="J22" s="8"/>
      <c r="K22" s="8"/>
      <c r="L22" s="8"/>
      <c r="M22" s="8"/>
      <c r="N22" s="8"/>
      <c r="O22" s="9"/>
      <c r="P22" s="8"/>
      <c r="Q22" s="8"/>
      <c r="R22" s="8">
        <v>3</v>
      </c>
      <c r="S22" s="8">
        <v>3</v>
      </c>
      <c r="T22" s="8">
        <v>6</v>
      </c>
      <c r="U22" s="8"/>
      <c r="V22" s="8"/>
      <c r="W22" s="8"/>
      <c r="X22" s="8" t="s">
        <v>1260</v>
      </c>
      <c r="Y22" s="8" t="s">
        <v>1727</v>
      </c>
      <c r="Z22" s="8" t="s">
        <v>19</v>
      </c>
      <c r="AA22" s="8"/>
      <c r="AB22" s="8"/>
      <c r="AC22" s="8"/>
      <c r="AD22" s="8"/>
      <c r="AE22" s="8"/>
    </row>
    <row r="23" spans="1:31" s="12" customFormat="1" ht="29">
      <c r="A23" s="12" t="s">
        <v>1470</v>
      </c>
      <c r="B23" s="13" t="s">
        <v>1471</v>
      </c>
      <c r="C23" s="13" t="s">
        <v>1471</v>
      </c>
      <c r="G23" s="13" t="s">
        <v>1472</v>
      </c>
      <c r="H23" s="14" t="s">
        <v>25</v>
      </c>
      <c r="I23" s="14"/>
      <c r="J23" s="14">
        <v>1</v>
      </c>
      <c r="K23" s="14">
        <v>3</v>
      </c>
      <c r="L23" s="14" t="s">
        <v>1308</v>
      </c>
      <c r="M23" s="14" t="s">
        <v>1263</v>
      </c>
      <c r="N23" s="14"/>
      <c r="O23" s="15"/>
      <c r="P23" s="14"/>
      <c r="Q23" s="14">
        <v>204</v>
      </c>
      <c r="R23" s="14"/>
      <c r="S23" s="14"/>
      <c r="T23" s="14"/>
      <c r="U23" s="14"/>
      <c r="V23" s="14"/>
      <c r="W23" s="14"/>
      <c r="X23" s="14" t="s">
        <v>1443</v>
      </c>
      <c r="Y23" s="14" t="s">
        <v>1729</v>
      </c>
      <c r="Z23" s="14"/>
      <c r="AA23" s="14"/>
      <c r="AB23" s="14"/>
      <c r="AC23" s="14"/>
      <c r="AD23" s="14"/>
      <c r="AE23" s="14"/>
    </row>
    <row r="24" spans="1:31" ht="43.5">
      <c r="A24" t="s">
        <v>99</v>
      </c>
      <c r="B24" s="3" t="s">
        <v>671</v>
      </c>
      <c r="C24" s="3" t="s">
        <v>670</v>
      </c>
      <c r="G24"/>
      <c r="H24" s="8" t="s">
        <v>25</v>
      </c>
      <c r="I24" s="8">
        <v>0</v>
      </c>
      <c r="J24" s="8">
        <v>1</v>
      </c>
      <c r="K24" s="8">
        <v>3</v>
      </c>
      <c r="L24" s="8" t="s">
        <v>1262</v>
      </c>
      <c r="M24" s="8" t="s">
        <v>1263</v>
      </c>
      <c r="N24" s="8"/>
      <c r="O24" s="9"/>
      <c r="P24" s="8"/>
      <c r="Q24" s="8">
        <v>2475</v>
      </c>
      <c r="R24" s="8"/>
      <c r="S24" s="8" t="s">
        <v>1371</v>
      </c>
      <c r="T24" s="8" t="s">
        <v>1371</v>
      </c>
      <c r="U24" s="8"/>
      <c r="V24" s="8"/>
      <c r="W24" s="8"/>
      <c r="X24" s="8" t="s">
        <v>1260</v>
      </c>
      <c r="Y24" s="8" t="s">
        <v>1727</v>
      </c>
      <c r="Z24" s="8" t="s">
        <v>19</v>
      </c>
      <c r="AA24" s="8"/>
      <c r="AB24" s="8"/>
      <c r="AC24" s="8"/>
      <c r="AD24" s="8"/>
      <c r="AE24" s="8"/>
    </row>
    <row r="25" spans="1:31" s="12" customFormat="1" ht="72.5">
      <c r="A25" s="12" t="s">
        <v>99</v>
      </c>
      <c r="B25" s="13" t="s">
        <v>1473</v>
      </c>
      <c r="C25" s="13" t="s">
        <v>1473</v>
      </c>
      <c r="G25" s="13" t="s">
        <v>1474</v>
      </c>
      <c r="H25" s="14" t="s">
        <v>1305</v>
      </c>
      <c r="I25" s="14"/>
      <c r="J25" s="14"/>
      <c r="K25" s="14"/>
      <c r="L25" s="14"/>
      <c r="M25" s="14"/>
      <c r="N25" s="14"/>
      <c r="O25" s="15"/>
      <c r="P25" s="14"/>
      <c r="Q25" s="14"/>
      <c r="R25" s="14"/>
      <c r="S25" s="14"/>
      <c r="T25" s="14"/>
      <c r="U25" s="14"/>
      <c r="V25" s="14"/>
      <c r="W25" s="14"/>
      <c r="X25" s="14" t="s">
        <v>1443</v>
      </c>
      <c r="Y25" s="14" t="s">
        <v>1729</v>
      </c>
      <c r="Z25" s="14"/>
      <c r="AA25" s="14"/>
      <c r="AB25" s="14"/>
      <c r="AC25" s="14"/>
      <c r="AD25" s="14"/>
      <c r="AE25" s="14"/>
    </row>
    <row r="26" spans="1:31" s="12" customFormat="1" ht="43.5">
      <c r="A26" s="12" t="s">
        <v>107</v>
      </c>
      <c r="B26" s="13" t="s">
        <v>1475</v>
      </c>
      <c r="C26" s="13" t="s">
        <v>1475</v>
      </c>
      <c r="G26" s="13" t="s">
        <v>1476</v>
      </c>
      <c r="H26" s="14" t="s">
        <v>1303</v>
      </c>
      <c r="I26" s="14"/>
      <c r="J26" s="14"/>
      <c r="K26" s="14"/>
      <c r="L26" s="14"/>
      <c r="M26" s="14"/>
      <c r="N26" s="14"/>
      <c r="O26" s="15"/>
      <c r="P26" s="14"/>
      <c r="Q26" s="14"/>
      <c r="R26" s="14">
        <f>T26-S26</f>
        <v>2400</v>
      </c>
      <c r="S26" s="14">
        <v>75</v>
      </c>
      <c r="T26" s="14">
        <v>2475</v>
      </c>
      <c r="U26" s="14"/>
      <c r="V26" s="14"/>
      <c r="W26" s="14"/>
      <c r="X26" s="14" t="s">
        <v>1443</v>
      </c>
      <c r="Y26" s="14" t="s">
        <v>1729</v>
      </c>
      <c r="Z26" s="14"/>
      <c r="AA26" s="14"/>
      <c r="AB26" s="14"/>
      <c r="AC26" s="14"/>
      <c r="AD26" s="14"/>
      <c r="AE26" s="14"/>
    </row>
    <row r="27" spans="1:31" ht="29">
      <c r="A27" t="s">
        <v>111</v>
      </c>
      <c r="B27" s="3" t="s">
        <v>110</v>
      </c>
      <c r="C27" s="3" t="s">
        <v>112</v>
      </c>
      <c r="G27"/>
      <c r="H27" s="8" t="s">
        <v>1303</v>
      </c>
      <c r="I27" s="8"/>
      <c r="J27" s="8"/>
      <c r="K27" s="8"/>
      <c r="L27" s="8"/>
      <c r="M27" s="8"/>
      <c r="N27" s="8"/>
      <c r="O27" s="9"/>
      <c r="P27" s="8"/>
      <c r="Q27" s="8"/>
      <c r="R27" s="8">
        <v>-2</v>
      </c>
      <c r="S27" s="8">
        <v>2</v>
      </c>
      <c r="T27" s="8">
        <v>0</v>
      </c>
      <c r="U27" s="8"/>
      <c r="V27" s="8"/>
      <c r="W27" s="8"/>
      <c r="X27" s="8" t="s">
        <v>1260</v>
      </c>
      <c r="Y27" s="8" t="s">
        <v>1727</v>
      </c>
      <c r="Z27" s="8" t="s">
        <v>19</v>
      </c>
      <c r="AA27" s="8"/>
      <c r="AB27" s="8"/>
      <c r="AC27" s="8"/>
      <c r="AD27" s="8"/>
      <c r="AE27" s="8"/>
    </row>
    <row r="28" spans="1:31" s="12" customFormat="1" ht="58">
      <c r="A28" s="12" t="s">
        <v>117</v>
      </c>
      <c r="B28" s="13" t="s">
        <v>1477</v>
      </c>
      <c r="C28" s="13" t="s">
        <v>1477</v>
      </c>
      <c r="G28" s="13" t="s">
        <v>1478</v>
      </c>
      <c r="H28" s="14" t="s">
        <v>1303</v>
      </c>
      <c r="I28" s="14"/>
      <c r="J28" s="14"/>
      <c r="K28" s="14"/>
      <c r="L28" s="14"/>
      <c r="M28" s="14"/>
      <c r="N28" s="14"/>
      <c r="O28" s="15"/>
      <c r="P28" s="14"/>
      <c r="Q28" s="14"/>
      <c r="R28" s="14">
        <f>T28-S28</f>
        <v>-52</v>
      </c>
      <c r="S28" s="14">
        <v>79</v>
      </c>
      <c r="T28" s="14">
        <v>27</v>
      </c>
      <c r="U28" s="14"/>
      <c r="V28" s="14"/>
      <c r="W28" s="14"/>
      <c r="X28" s="14" t="s">
        <v>1443</v>
      </c>
      <c r="Y28" s="14" t="s">
        <v>1729</v>
      </c>
      <c r="Z28" s="14"/>
      <c r="AA28" s="14"/>
      <c r="AB28" s="14"/>
      <c r="AC28" s="14"/>
      <c r="AD28" s="14"/>
      <c r="AE28" s="14"/>
    </row>
    <row r="29" spans="1:31">
      <c r="A29" t="s">
        <v>125</v>
      </c>
      <c r="B29" t="s">
        <v>702</v>
      </c>
      <c r="C29" t="s">
        <v>701</v>
      </c>
      <c r="G29"/>
      <c r="H29" s="8" t="s">
        <v>25</v>
      </c>
      <c r="I29" s="8">
        <v>0</v>
      </c>
      <c r="J29" s="8">
        <v>1</v>
      </c>
      <c r="K29" s="8">
        <v>1</v>
      </c>
      <c r="L29" s="8" t="s">
        <v>1262</v>
      </c>
      <c r="M29" s="8" t="s">
        <v>1304</v>
      </c>
      <c r="N29" s="8"/>
      <c r="O29" s="9"/>
      <c r="P29" s="8"/>
      <c r="Q29" s="8">
        <v>2475</v>
      </c>
      <c r="R29" s="8"/>
      <c r="S29" s="8" t="s">
        <v>1371</v>
      </c>
      <c r="T29" s="8" t="s">
        <v>1371</v>
      </c>
      <c r="U29" s="8"/>
      <c r="V29" s="8"/>
      <c r="W29" s="8"/>
      <c r="X29" s="8" t="s">
        <v>1260</v>
      </c>
      <c r="Y29" s="8" t="s">
        <v>1727</v>
      </c>
      <c r="Z29" s="8" t="s">
        <v>19</v>
      </c>
      <c r="AA29" s="8"/>
      <c r="AB29" s="8"/>
      <c r="AC29" s="8"/>
      <c r="AD29" s="8"/>
      <c r="AE29" s="8"/>
    </row>
    <row r="30" spans="1:31" ht="43.5">
      <c r="A30" t="s">
        <v>127</v>
      </c>
      <c r="B30" s="3" t="s">
        <v>707</v>
      </c>
      <c r="C30" s="3" t="s">
        <v>708</v>
      </c>
      <c r="F30" t="s">
        <v>19</v>
      </c>
      <c r="G30"/>
      <c r="H30" s="8" t="s">
        <v>1305</v>
      </c>
      <c r="I30" s="8"/>
      <c r="J30" s="8"/>
      <c r="K30" s="8"/>
      <c r="L30" s="8"/>
      <c r="M30" s="8"/>
      <c r="N30" s="8"/>
      <c r="O30" s="9"/>
      <c r="P30" s="8"/>
      <c r="Q30" s="8"/>
      <c r="R30" s="8"/>
      <c r="S30" s="8" t="s">
        <v>1371</v>
      </c>
      <c r="T30" s="8" t="s">
        <v>1371</v>
      </c>
      <c r="U30" s="8"/>
      <c r="V30" s="8"/>
      <c r="W30" s="8"/>
      <c r="X30" s="8" t="s">
        <v>1260</v>
      </c>
      <c r="Y30" s="8" t="s">
        <v>1727</v>
      </c>
      <c r="Z30" s="8" t="s">
        <v>19</v>
      </c>
      <c r="AA30" s="8"/>
      <c r="AB30" s="8"/>
      <c r="AC30" s="8"/>
      <c r="AD30" s="8"/>
      <c r="AE30" s="8"/>
    </row>
    <row r="31" spans="1:31" ht="43.5">
      <c r="A31" t="s">
        <v>128</v>
      </c>
      <c r="B31" s="3" t="s">
        <v>709</v>
      </c>
      <c r="C31" s="3" t="s">
        <v>710</v>
      </c>
      <c r="F31" t="s">
        <v>19</v>
      </c>
      <c r="G31"/>
      <c r="H31" s="8" t="s">
        <v>1305</v>
      </c>
      <c r="I31" s="8"/>
      <c r="J31" s="8"/>
      <c r="K31" s="8"/>
      <c r="L31" s="8"/>
      <c r="M31" s="8"/>
      <c r="N31" s="8"/>
      <c r="O31" s="9"/>
      <c r="P31" s="8"/>
      <c r="Q31" s="8"/>
      <c r="R31" s="8"/>
      <c r="S31" s="8" t="s">
        <v>1371</v>
      </c>
      <c r="T31" s="8" t="s">
        <v>1371</v>
      </c>
      <c r="U31" s="8"/>
      <c r="V31" s="8"/>
      <c r="W31" s="8"/>
      <c r="X31" s="8" t="s">
        <v>1260</v>
      </c>
      <c r="Y31" s="8" t="s">
        <v>1727</v>
      </c>
      <c r="Z31" s="8" t="s">
        <v>19</v>
      </c>
      <c r="AA31" s="8"/>
      <c r="AB31" s="8"/>
      <c r="AC31" s="8"/>
      <c r="AD31" s="8"/>
      <c r="AE31" s="8"/>
    </row>
    <row r="32" spans="1:31" s="12" customFormat="1" ht="58">
      <c r="A32" s="12" t="s">
        <v>130</v>
      </c>
      <c r="B32" s="13" t="s">
        <v>1479</v>
      </c>
      <c r="C32" s="13" t="s">
        <v>1479</v>
      </c>
      <c r="G32" s="13" t="s">
        <v>1480</v>
      </c>
      <c r="H32" s="14" t="s">
        <v>1303</v>
      </c>
      <c r="I32" s="14"/>
      <c r="J32" s="14"/>
      <c r="K32" s="14"/>
      <c r="L32" s="14"/>
      <c r="M32" s="14"/>
      <c r="N32" s="14"/>
      <c r="O32" s="15"/>
      <c r="P32" s="14"/>
      <c r="Q32" s="14"/>
      <c r="R32" s="14">
        <f>T32-S32</f>
        <v>-2195</v>
      </c>
      <c r="S32" s="14">
        <v>2475</v>
      </c>
      <c r="T32" s="14">
        <v>280</v>
      </c>
      <c r="U32" s="14"/>
      <c r="V32" s="14"/>
      <c r="W32" s="14"/>
      <c r="X32" s="14" t="s">
        <v>1443</v>
      </c>
      <c r="Y32" s="14" t="s">
        <v>1729</v>
      </c>
      <c r="Z32" s="14"/>
      <c r="AA32" s="14"/>
      <c r="AB32" s="14"/>
      <c r="AC32" s="14"/>
      <c r="AD32" s="14"/>
      <c r="AE32" s="14"/>
    </row>
    <row r="33" spans="1:31" s="12" customFormat="1" ht="58">
      <c r="A33" s="12" t="s">
        <v>1481</v>
      </c>
      <c r="B33" s="13" t="s">
        <v>1482</v>
      </c>
      <c r="C33" s="13" t="s">
        <v>1482</v>
      </c>
      <c r="G33" s="13" t="s">
        <v>1483</v>
      </c>
      <c r="H33" s="14" t="s">
        <v>1303</v>
      </c>
      <c r="I33" s="14"/>
      <c r="J33" s="14"/>
      <c r="K33" s="14"/>
      <c r="L33" s="14"/>
      <c r="M33" s="14"/>
      <c r="N33" s="14"/>
      <c r="O33" s="15"/>
      <c r="P33" s="14"/>
      <c r="Q33" s="14"/>
      <c r="R33" s="14">
        <f>T33-S33</f>
        <v>-1518</v>
      </c>
      <c r="S33" s="14">
        <v>1759</v>
      </c>
      <c r="T33" s="14">
        <v>241</v>
      </c>
      <c r="U33" s="14"/>
      <c r="V33" s="14"/>
      <c r="W33" s="14"/>
      <c r="X33" s="14" t="s">
        <v>1443</v>
      </c>
      <c r="Y33" s="14" t="s">
        <v>1729</v>
      </c>
      <c r="Z33" s="14"/>
      <c r="AA33" s="14"/>
      <c r="AB33" s="14"/>
      <c r="AC33" s="14"/>
      <c r="AD33" s="14"/>
      <c r="AE33" s="14"/>
    </row>
    <row r="34" spans="1:31" ht="43.5">
      <c r="A34" t="s">
        <v>136</v>
      </c>
      <c r="B34" s="3" t="s">
        <v>716</v>
      </c>
      <c r="C34" s="3" t="s">
        <v>717</v>
      </c>
      <c r="F34" t="s">
        <v>19</v>
      </c>
      <c r="G34" t="s">
        <v>1328</v>
      </c>
      <c r="H34" s="8" t="s">
        <v>1303</v>
      </c>
      <c r="I34" s="8"/>
      <c r="J34" s="8"/>
      <c r="K34" s="8"/>
      <c r="L34" s="8"/>
      <c r="M34" s="8"/>
      <c r="N34" s="8"/>
      <c r="O34" s="9"/>
      <c r="P34" s="8"/>
      <c r="Q34" s="8"/>
      <c r="R34" s="8">
        <v>-28</v>
      </c>
      <c r="S34" s="8">
        <v>31</v>
      </c>
      <c r="T34" s="8">
        <v>3</v>
      </c>
      <c r="U34" s="8"/>
      <c r="V34" s="8"/>
      <c r="W34" s="8"/>
      <c r="X34" s="8" t="s">
        <v>1260</v>
      </c>
      <c r="Y34" s="8" t="s">
        <v>1727</v>
      </c>
      <c r="Z34" s="8" t="s">
        <v>19</v>
      </c>
      <c r="AA34" s="8"/>
      <c r="AB34" s="8"/>
      <c r="AC34" s="8"/>
      <c r="AD34" s="8"/>
      <c r="AE34" s="8"/>
    </row>
    <row r="35" spans="1:31" s="12" customFormat="1" ht="43.5">
      <c r="A35" s="12" t="s">
        <v>153</v>
      </c>
      <c r="B35" s="13" t="s">
        <v>1484</v>
      </c>
      <c r="C35" s="13" t="s">
        <v>1484</v>
      </c>
      <c r="G35" s="13" t="s">
        <v>1485</v>
      </c>
      <c r="H35" s="14" t="s">
        <v>1305</v>
      </c>
      <c r="I35" s="14"/>
      <c r="J35" s="14"/>
      <c r="K35" s="14"/>
      <c r="L35" s="14"/>
      <c r="M35" s="14"/>
      <c r="N35" s="14"/>
      <c r="O35" s="15"/>
      <c r="P35" s="14"/>
      <c r="Q35" s="14"/>
      <c r="R35" s="14"/>
      <c r="S35" s="14"/>
      <c r="T35" s="14"/>
      <c r="U35" s="14"/>
      <c r="V35" s="14"/>
      <c r="W35" s="14"/>
      <c r="X35" s="14" t="s">
        <v>1443</v>
      </c>
      <c r="Y35" s="14" t="s">
        <v>1727</v>
      </c>
      <c r="Z35" s="14"/>
      <c r="AA35" s="14"/>
      <c r="AB35" s="14"/>
      <c r="AC35" s="14"/>
      <c r="AD35" s="14"/>
      <c r="AE35" s="14"/>
    </row>
    <row r="36" spans="1:31" s="12" customFormat="1" ht="43.5">
      <c r="A36" s="12" t="s">
        <v>155</v>
      </c>
      <c r="B36" s="13" t="s">
        <v>1486</v>
      </c>
      <c r="C36" s="13" t="s">
        <v>1486</v>
      </c>
      <c r="G36" s="13" t="s">
        <v>1487</v>
      </c>
      <c r="H36" s="14" t="s">
        <v>24</v>
      </c>
      <c r="I36" s="14"/>
      <c r="J36" s="14">
        <v>1</v>
      </c>
      <c r="K36" s="14">
        <v>2</v>
      </c>
      <c r="L36" s="14" t="s">
        <v>1308</v>
      </c>
      <c r="M36" s="14" t="s">
        <v>1304</v>
      </c>
      <c r="N36" s="14"/>
      <c r="O36" s="15"/>
      <c r="P36" s="14"/>
      <c r="Q36" s="14">
        <v>124</v>
      </c>
      <c r="R36" s="14"/>
      <c r="S36" s="14"/>
      <c r="T36" s="14"/>
      <c r="U36" s="14"/>
      <c r="V36" s="14"/>
      <c r="W36" s="14"/>
      <c r="X36" s="14" t="s">
        <v>1443</v>
      </c>
      <c r="Y36" s="14" t="s">
        <v>1727</v>
      </c>
      <c r="Z36" s="14"/>
      <c r="AA36" s="14"/>
      <c r="AB36" s="14"/>
      <c r="AC36" s="14"/>
      <c r="AD36" s="14"/>
      <c r="AE36" s="14"/>
    </row>
    <row r="37" spans="1:31" s="12" customFormat="1" ht="29">
      <c r="A37" s="12" t="s">
        <v>161</v>
      </c>
      <c r="B37" s="13" t="s">
        <v>1488</v>
      </c>
      <c r="C37" s="13" t="s">
        <v>1488</v>
      </c>
      <c r="G37" s="13" t="s">
        <v>1489</v>
      </c>
      <c r="H37" s="14" t="s">
        <v>1305</v>
      </c>
      <c r="I37" s="14"/>
      <c r="J37" s="14"/>
      <c r="K37" s="14"/>
      <c r="L37" s="14"/>
      <c r="M37" s="14"/>
      <c r="N37" s="14"/>
      <c r="O37" s="15"/>
      <c r="P37" s="14"/>
      <c r="Q37" s="14"/>
      <c r="R37" s="14"/>
      <c r="S37" s="14"/>
      <c r="T37" s="14"/>
      <c r="U37" s="14"/>
      <c r="V37" s="14"/>
      <c r="W37" s="14"/>
      <c r="X37" s="14" t="s">
        <v>1443</v>
      </c>
      <c r="Y37" s="14" t="s">
        <v>1729</v>
      </c>
      <c r="Z37" s="14"/>
      <c r="AA37" s="14"/>
      <c r="AB37" s="14"/>
      <c r="AC37" s="14"/>
      <c r="AD37" s="14"/>
      <c r="AE37" s="14"/>
    </row>
    <row r="38" spans="1:31" s="12" customFormat="1" ht="43.5">
      <c r="A38" s="12" t="s">
        <v>1490</v>
      </c>
      <c r="B38" s="13" t="s">
        <v>1491</v>
      </c>
      <c r="C38" s="13" t="s">
        <v>1491</v>
      </c>
      <c r="G38" s="13" t="s">
        <v>1492</v>
      </c>
      <c r="H38" s="14" t="s">
        <v>24</v>
      </c>
      <c r="I38" s="14"/>
      <c r="J38" s="14">
        <v>2</v>
      </c>
      <c r="K38" s="14">
        <v>8</v>
      </c>
      <c r="L38" s="14"/>
      <c r="M38" s="14" t="s">
        <v>1263</v>
      </c>
      <c r="N38" s="14"/>
      <c r="O38" s="15"/>
      <c r="P38" s="14"/>
      <c r="Q38" s="14">
        <v>115</v>
      </c>
      <c r="R38" s="14"/>
      <c r="S38" s="14"/>
      <c r="T38" s="14"/>
      <c r="U38" s="14"/>
      <c r="V38" s="14"/>
      <c r="W38" s="14"/>
      <c r="X38" s="14" t="s">
        <v>1443</v>
      </c>
      <c r="Y38" s="14" t="s">
        <v>1729</v>
      </c>
      <c r="Z38" s="14"/>
      <c r="AA38" s="14"/>
      <c r="AB38" s="14"/>
      <c r="AC38" s="14"/>
      <c r="AD38" s="14"/>
      <c r="AE38" s="14"/>
    </row>
    <row r="39" spans="1:31" s="12" customFormat="1" ht="43.5">
      <c r="A39" s="12" t="s">
        <v>164</v>
      </c>
      <c r="B39" s="13" t="s">
        <v>1493</v>
      </c>
      <c r="C39" s="13" t="s">
        <v>1493</v>
      </c>
      <c r="G39" s="13" t="s">
        <v>1494</v>
      </c>
      <c r="H39" s="14" t="s">
        <v>1305</v>
      </c>
      <c r="I39" s="14"/>
      <c r="J39" s="14"/>
      <c r="K39" s="14"/>
      <c r="L39" s="14"/>
      <c r="M39" s="14"/>
      <c r="N39" s="14"/>
      <c r="O39" s="15"/>
      <c r="P39" s="14"/>
      <c r="Q39" s="14"/>
      <c r="R39" s="14"/>
      <c r="S39" s="14"/>
      <c r="T39" s="14"/>
      <c r="U39" s="14"/>
      <c r="V39" s="14"/>
      <c r="W39" s="14"/>
      <c r="X39" s="14" t="s">
        <v>1443</v>
      </c>
      <c r="Y39" s="14" t="s">
        <v>1727</v>
      </c>
      <c r="Z39" s="14"/>
      <c r="AA39" s="14"/>
      <c r="AB39" s="14"/>
      <c r="AC39" s="14"/>
      <c r="AD39" s="14"/>
      <c r="AE39" s="14"/>
    </row>
    <row r="40" spans="1:31" ht="58">
      <c r="A40" t="s">
        <v>184</v>
      </c>
      <c r="B40" s="3" t="s">
        <v>777</v>
      </c>
      <c r="C40" s="3" t="s">
        <v>778</v>
      </c>
      <c r="F40" t="s">
        <v>19</v>
      </c>
      <c r="G40"/>
      <c r="H40" s="8" t="s">
        <v>24</v>
      </c>
      <c r="I40" s="8">
        <v>0</v>
      </c>
      <c r="J40" s="8">
        <v>1</v>
      </c>
      <c r="K40" s="8">
        <v>3</v>
      </c>
      <c r="L40" s="8" t="s">
        <v>1268</v>
      </c>
      <c r="M40" s="8" t="s">
        <v>1263</v>
      </c>
      <c r="N40" s="8"/>
      <c r="O40" s="9"/>
      <c r="P40" s="8"/>
      <c r="Q40" s="8">
        <v>1701</v>
      </c>
      <c r="R40" s="8"/>
      <c r="S40" s="8" t="s">
        <v>1371</v>
      </c>
      <c r="T40" s="8" t="s">
        <v>1371</v>
      </c>
      <c r="U40" s="8"/>
      <c r="V40" s="8"/>
      <c r="W40" s="8"/>
      <c r="X40" s="8" t="s">
        <v>1444</v>
      </c>
      <c r="Y40" s="8" t="s">
        <v>1727</v>
      </c>
      <c r="Z40" s="8" t="s">
        <v>19</v>
      </c>
      <c r="AA40" s="8"/>
      <c r="AB40" s="8"/>
      <c r="AC40" s="8"/>
      <c r="AD40" s="8"/>
      <c r="AE40" s="8"/>
    </row>
    <row r="41" spans="1:31" s="12" customFormat="1" ht="43.5">
      <c r="A41" s="12" t="s">
        <v>190</v>
      </c>
      <c r="B41" s="13" t="s">
        <v>1495</v>
      </c>
      <c r="C41" s="13" t="s">
        <v>1495</v>
      </c>
      <c r="G41" s="13" t="s">
        <v>1496</v>
      </c>
      <c r="H41" s="14" t="s">
        <v>24</v>
      </c>
      <c r="I41" s="14"/>
      <c r="J41" s="14">
        <v>1</v>
      </c>
      <c r="K41" s="14">
        <v>5</v>
      </c>
      <c r="L41" s="14" t="s">
        <v>1272</v>
      </c>
      <c r="M41" s="14" t="s">
        <v>1263</v>
      </c>
      <c r="N41" s="14"/>
      <c r="O41" s="15"/>
      <c r="P41" s="14"/>
      <c r="Q41" s="14">
        <v>13</v>
      </c>
      <c r="R41" s="14"/>
      <c r="S41" s="14"/>
      <c r="T41" s="14"/>
      <c r="U41" s="14"/>
      <c r="V41" s="14"/>
      <c r="W41" s="14"/>
      <c r="X41" s="14" t="s">
        <v>1443</v>
      </c>
      <c r="Y41" s="14" t="s">
        <v>1729</v>
      </c>
      <c r="Z41" s="14"/>
      <c r="AA41" s="14"/>
      <c r="AB41" s="14"/>
      <c r="AC41" s="14"/>
      <c r="AD41" s="14"/>
      <c r="AE41" s="14"/>
    </row>
    <row r="42" spans="1:31" s="12" customFormat="1" ht="58">
      <c r="A42" s="12" t="s">
        <v>1497</v>
      </c>
      <c r="B42" s="13" t="s">
        <v>1498</v>
      </c>
      <c r="C42" s="13" t="s">
        <v>1498</v>
      </c>
      <c r="G42" s="13" t="s">
        <v>1499</v>
      </c>
      <c r="H42" s="14" t="s">
        <v>25</v>
      </c>
      <c r="I42" s="14"/>
      <c r="J42" s="14">
        <v>1</v>
      </c>
      <c r="K42" s="14">
        <v>8</v>
      </c>
      <c r="L42" s="14" t="s">
        <v>1315</v>
      </c>
      <c r="M42" s="14" t="s">
        <v>1263</v>
      </c>
      <c r="N42" s="14"/>
      <c r="O42" s="15"/>
      <c r="P42" s="14"/>
      <c r="Q42" s="14">
        <v>5</v>
      </c>
      <c r="R42" s="14"/>
      <c r="S42" s="14"/>
      <c r="T42" s="14"/>
      <c r="U42" s="14"/>
      <c r="V42" s="14"/>
      <c r="W42" s="14"/>
      <c r="X42" s="14" t="s">
        <v>1443</v>
      </c>
      <c r="Y42" s="14" t="s">
        <v>1729</v>
      </c>
      <c r="Z42" s="14"/>
      <c r="AA42" s="14"/>
      <c r="AB42" s="14"/>
      <c r="AC42" s="14"/>
      <c r="AD42" s="14"/>
      <c r="AE42" s="14"/>
    </row>
    <row r="43" spans="1:31" s="12" customFormat="1" ht="58">
      <c r="A43" s="12" t="s">
        <v>1497</v>
      </c>
      <c r="B43" s="13" t="s">
        <v>1500</v>
      </c>
      <c r="C43" s="13" t="s">
        <v>1500</v>
      </c>
      <c r="G43" s="13" t="s">
        <v>1501</v>
      </c>
      <c r="H43" s="14" t="s">
        <v>1305</v>
      </c>
      <c r="I43" s="14"/>
      <c r="J43" s="14"/>
      <c r="K43" s="14"/>
      <c r="L43" s="14"/>
      <c r="M43" s="14"/>
      <c r="N43" s="14"/>
      <c r="O43" s="15"/>
      <c r="P43" s="14"/>
      <c r="Q43" s="14"/>
      <c r="R43" s="14"/>
      <c r="S43" s="14"/>
      <c r="T43" s="14"/>
      <c r="U43" s="14"/>
      <c r="V43" s="14"/>
      <c r="W43" s="14"/>
      <c r="X43" s="14" t="s">
        <v>1443</v>
      </c>
      <c r="Y43" s="14" t="s">
        <v>1729</v>
      </c>
      <c r="Z43" s="14"/>
      <c r="AA43" s="14"/>
      <c r="AB43" s="14"/>
      <c r="AC43" s="14"/>
      <c r="AD43" s="14"/>
      <c r="AE43" s="14"/>
    </row>
    <row r="44" spans="1:31" ht="43.5">
      <c r="A44" t="s">
        <v>196</v>
      </c>
      <c r="B44" s="3" t="s">
        <v>1332</v>
      </c>
      <c r="C44" s="3" t="s">
        <v>790</v>
      </c>
      <c r="F44" t="s">
        <v>19</v>
      </c>
      <c r="G44" s="5"/>
      <c r="H44" s="8" t="s">
        <v>1303</v>
      </c>
      <c r="I44" s="8"/>
      <c r="J44" s="8"/>
      <c r="K44" s="8"/>
      <c r="L44" s="8"/>
      <c r="M44" s="8"/>
      <c r="N44" s="8"/>
      <c r="O44" s="9"/>
      <c r="P44" s="8"/>
      <c r="Q44" s="8"/>
      <c r="R44" s="8">
        <v>0</v>
      </c>
      <c r="S44" s="8">
        <v>0</v>
      </c>
      <c r="T44" s="8">
        <v>0</v>
      </c>
      <c r="U44" s="8"/>
      <c r="V44" s="8"/>
      <c r="W44" s="8"/>
      <c r="X44" s="8" t="s">
        <v>1260</v>
      </c>
      <c r="Y44" s="8" t="s">
        <v>1727</v>
      </c>
      <c r="Z44" s="8" t="s">
        <v>19</v>
      </c>
      <c r="AA44" s="8"/>
      <c r="AB44" s="8"/>
      <c r="AC44" s="8"/>
      <c r="AD44" s="8"/>
      <c r="AE44" s="8"/>
    </row>
    <row r="45" spans="1:31" ht="72.5">
      <c r="A45" t="s">
        <v>197</v>
      </c>
      <c r="B45" s="3" t="s">
        <v>1333</v>
      </c>
      <c r="C45" s="3" t="s">
        <v>1334</v>
      </c>
      <c r="F45" t="s">
        <v>19</v>
      </c>
      <c r="G45"/>
      <c r="H45" s="8" t="s">
        <v>1305</v>
      </c>
      <c r="I45" s="8"/>
      <c r="J45" s="8"/>
      <c r="K45" s="8"/>
      <c r="L45" s="8"/>
      <c r="M45" s="8"/>
      <c r="N45" s="8"/>
      <c r="O45" s="9"/>
      <c r="P45" s="8"/>
      <c r="Q45" s="8"/>
      <c r="R45" s="8"/>
      <c r="S45" s="8" t="s">
        <v>1371</v>
      </c>
      <c r="T45" s="8" t="s">
        <v>1371</v>
      </c>
      <c r="U45" s="8"/>
      <c r="V45" s="8"/>
      <c r="W45" s="8"/>
      <c r="X45" s="8" t="s">
        <v>1260</v>
      </c>
      <c r="Y45" s="8" t="s">
        <v>1727</v>
      </c>
      <c r="Z45" s="8" t="s">
        <v>19</v>
      </c>
      <c r="AA45" s="8"/>
      <c r="AB45" s="8"/>
      <c r="AC45" s="8"/>
      <c r="AD45" s="8"/>
      <c r="AE45" s="8"/>
    </row>
    <row r="46" spans="1:31" ht="43.5">
      <c r="A46" t="s">
        <v>208</v>
      </c>
      <c r="B46" s="3" t="s">
        <v>801</v>
      </c>
      <c r="C46" s="3" t="s">
        <v>802</v>
      </c>
      <c r="F46" t="s">
        <v>19</v>
      </c>
      <c r="G46"/>
      <c r="H46" s="8" t="s">
        <v>24</v>
      </c>
      <c r="I46" s="8">
        <v>0</v>
      </c>
      <c r="J46" s="8">
        <v>1</v>
      </c>
      <c r="K46" s="8">
        <v>3</v>
      </c>
      <c r="L46" s="8" t="s">
        <v>1274</v>
      </c>
      <c r="M46" s="8" t="s">
        <v>1263</v>
      </c>
      <c r="N46" s="8"/>
      <c r="O46" s="9"/>
      <c r="P46" s="8"/>
      <c r="Q46" s="8">
        <v>743</v>
      </c>
      <c r="R46" s="8"/>
      <c r="S46" s="8" t="s">
        <v>1371</v>
      </c>
      <c r="T46" s="8" t="s">
        <v>1371</v>
      </c>
      <c r="U46" s="8"/>
      <c r="V46" s="8"/>
      <c r="W46" s="8"/>
      <c r="X46" s="8" t="s">
        <v>1260</v>
      </c>
      <c r="Y46" s="8" t="s">
        <v>1727</v>
      </c>
      <c r="Z46" s="8" t="s">
        <v>19</v>
      </c>
      <c r="AA46" s="8"/>
      <c r="AB46" s="8"/>
      <c r="AC46" s="8"/>
      <c r="AD46" s="8"/>
      <c r="AE46" s="8"/>
    </row>
    <row r="47" spans="1:31" s="12" customFormat="1" ht="72.5">
      <c r="A47" s="12" t="s">
        <v>209</v>
      </c>
      <c r="B47" s="13" t="s">
        <v>1502</v>
      </c>
      <c r="C47" s="13" t="s">
        <v>1502</v>
      </c>
      <c r="G47" s="13" t="s">
        <v>1503</v>
      </c>
      <c r="H47" s="14" t="s">
        <v>1303</v>
      </c>
      <c r="I47" s="14"/>
      <c r="J47" s="14"/>
      <c r="K47" s="14"/>
      <c r="L47" s="14"/>
      <c r="M47" s="14"/>
      <c r="N47" s="14"/>
      <c r="O47" s="15"/>
      <c r="P47" s="14"/>
      <c r="Q47" s="14"/>
      <c r="R47" s="14">
        <f>T47-S47</f>
        <v>1</v>
      </c>
      <c r="S47" s="14">
        <v>0</v>
      </c>
      <c r="T47" s="14">
        <v>1</v>
      </c>
      <c r="U47" s="14"/>
      <c r="V47" s="14"/>
      <c r="W47" s="14"/>
      <c r="X47" s="14" t="s">
        <v>1443</v>
      </c>
      <c r="Y47" s="14" t="s">
        <v>1727</v>
      </c>
      <c r="Z47" s="14"/>
      <c r="AA47" s="14"/>
      <c r="AB47" s="14"/>
      <c r="AC47" s="14"/>
      <c r="AD47" s="14"/>
      <c r="AE47" s="14"/>
    </row>
    <row r="48" spans="1:31" s="12" customFormat="1" ht="43.5">
      <c r="A48" s="12" t="s">
        <v>213</v>
      </c>
      <c r="B48" s="13" t="s">
        <v>1504</v>
      </c>
      <c r="C48" s="13" t="s">
        <v>1504</v>
      </c>
      <c r="G48" s="13" t="s">
        <v>1505</v>
      </c>
      <c r="H48" s="14" t="s">
        <v>25</v>
      </c>
      <c r="I48" s="14"/>
      <c r="J48" s="14">
        <v>1</v>
      </c>
      <c r="K48" s="14">
        <v>2</v>
      </c>
      <c r="L48" s="14" t="s">
        <v>1276</v>
      </c>
      <c r="M48" s="14" t="s">
        <v>1304</v>
      </c>
      <c r="N48" s="14"/>
      <c r="O48" s="15"/>
      <c r="P48" s="14"/>
      <c r="Q48" s="14">
        <v>613</v>
      </c>
      <c r="R48" s="14"/>
      <c r="S48" s="14"/>
      <c r="T48" s="14"/>
      <c r="U48" s="14"/>
      <c r="V48" s="14"/>
      <c r="W48" s="14"/>
      <c r="X48" s="14" t="s">
        <v>1443</v>
      </c>
      <c r="Y48" s="14" t="s">
        <v>1727</v>
      </c>
      <c r="Z48" s="14"/>
      <c r="AA48" s="14"/>
      <c r="AB48" s="14"/>
      <c r="AC48" s="14"/>
      <c r="AD48" s="14"/>
      <c r="AE48" s="14"/>
    </row>
    <row r="49" spans="1:31" ht="72.5">
      <c r="A49" t="s">
        <v>213</v>
      </c>
      <c r="B49" s="3" t="s">
        <v>817</v>
      </c>
      <c r="C49" s="3" t="s">
        <v>818</v>
      </c>
      <c r="F49" t="s">
        <v>19</v>
      </c>
      <c r="G49" s="5" t="s">
        <v>1339</v>
      </c>
      <c r="H49" s="8" t="s">
        <v>1303</v>
      </c>
      <c r="I49" s="8"/>
      <c r="J49" s="8"/>
      <c r="K49" s="8"/>
      <c r="L49" s="8"/>
      <c r="M49" s="8"/>
      <c r="N49" s="8"/>
      <c r="O49" s="9"/>
      <c r="P49" s="8"/>
      <c r="Q49" s="8"/>
      <c r="R49" s="8">
        <v>0</v>
      </c>
      <c r="S49" s="8">
        <v>0</v>
      </c>
      <c r="T49" s="8">
        <v>0</v>
      </c>
      <c r="U49" s="8"/>
      <c r="V49" s="8"/>
      <c r="W49" s="8"/>
      <c r="X49" s="8" t="s">
        <v>1260</v>
      </c>
      <c r="Y49" s="8" t="s">
        <v>1727</v>
      </c>
      <c r="Z49" s="8" t="s">
        <v>19</v>
      </c>
      <c r="AA49" s="8"/>
      <c r="AB49" s="8"/>
      <c r="AC49" s="8"/>
      <c r="AD49" s="8"/>
      <c r="AE49" s="8"/>
    </row>
    <row r="50" spans="1:31" ht="58">
      <c r="A50" t="s">
        <v>215</v>
      </c>
      <c r="B50" s="3" t="s">
        <v>823</v>
      </c>
      <c r="C50" s="3" t="s">
        <v>822</v>
      </c>
      <c r="F50" t="s">
        <v>19</v>
      </c>
      <c r="G50" t="s">
        <v>1341</v>
      </c>
      <c r="H50" s="8" t="s">
        <v>25</v>
      </c>
      <c r="I50" s="8">
        <v>0</v>
      </c>
      <c r="J50" s="8">
        <v>1</v>
      </c>
      <c r="K50" s="8">
        <v>7</v>
      </c>
      <c r="L50" s="8" t="s">
        <v>1278</v>
      </c>
      <c r="M50" s="8" t="s">
        <v>1258</v>
      </c>
      <c r="N50" s="8" t="s">
        <v>1340</v>
      </c>
      <c r="O50" s="9" t="s">
        <v>1336</v>
      </c>
      <c r="P50" s="8"/>
      <c r="Q50" s="8">
        <v>0</v>
      </c>
      <c r="R50" s="8"/>
      <c r="S50" s="8" t="s">
        <v>1371</v>
      </c>
      <c r="T50" s="8" t="s">
        <v>1371</v>
      </c>
      <c r="U50" s="8"/>
      <c r="V50" s="8"/>
      <c r="W50" s="8"/>
      <c r="X50" s="8" t="s">
        <v>1260</v>
      </c>
      <c r="Y50" s="8" t="s">
        <v>1727</v>
      </c>
      <c r="Z50" s="8" t="s">
        <v>19</v>
      </c>
      <c r="AA50" s="8"/>
      <c r="AB50" s="8"/>
      <c r="AC50" s="8"/>
      <c r="AD50" s="8"/>
      <c r="AE50" s="8"/>
    </row>
    <row r="51" spans="1:31" ht="29">
      <c r="A51" t="s">
        <v>216</v>
      </c>
      <c r="B51" s="3" t="s">
        <v>826</v>
      </c>
      <c r="C51" s="3" t="s">
        <v>827</v>
      </c>
      <c r="F51" t="s">
        <v>19</v>
      </c>
      <c r="G51" t="s">
        <v>1342</v>
      </c>
      <c r="H51" s="8" t="s">
        <v>25</v>
      </c>
      <c r="I51" s="8">
        <v>0</v>
      </c>
      <c r="J51" s="8">
        <v>1</v>
      </c>
      <c r="K51" s="8">
        <v>6</v>
      </c>
      <c r="L51" s="8" t="s">
        <v>1272</v>
      </c>
      <c r="M51" s="8" t="s">
        <v>1258</v>
      </c>
      <c r="N51" s="8" t="s">
        <v>1340</v>
      </c>
      <c r="O51" s="9" t="s">
        <v>1336</v>
      </c>
      <c r="P51" s="8"/>
      <c r="Q51" s="8">
        <v>0</v>
      </c>
      <c r="R51" s="8"/>
      <c r="S51" s="8" t="s">
        <v>1371</v>
      </c>
      <c r="T51" s="8" t="s">
        <v>1371</v>
      </c>
      <c r="U51" s="8"/>
      <c r="V51" s="8"/>
      <c r="W51" s="8"/>
      <c r="X51" s="8" t="s">
        <v>1260</v>
      </c>
      <c r="Y51" s="8" t="s">
        <v>1727</v>
      </c>
      <c r="Z51" s="8" t="s">
        <v>19</v>
      </c>
      <c r="AA51" s="8"/>
      <c r="AB51" s="8"/>
      <c r="AC51" s="8"/>
      <c r="AD51" s="8"/>
      <c r="AE51" s="8"/>
    </row>
    <row r="52" spans="1:31" ht="43.5">
      <c r="A52" t="s">
        <v>216</v>
      </c>
      <c r="B52" s="3" t="s">
        <v>829</v>
      </c>
      <c r="C52" s="3" t="s">
        <v>828</v>
      </c>
      <c r="F52" t="s">
        <v>19</v>
      </c>
      <c r="G52"/>
      <c r="H52" s="8" t="s">
        <v>25</v>
      </c>
      <c r="I52" s="8">
        <v>0</v>
      </c>
      <c r="J52" s="8">
        <v>1</v>
      </c>
      <c r="K52" s="8">
        <v>3</v>
      </c>
      <c r="L52" s="8" t="s">
        <v>1268</v>
      </c>
      <c r="M52" s="8" t="s">
        <v>1263</v>
      </c>
      <c r="N52" s="8"/>
      <c r="O52" s="9"/>
      <c r="P52" s="8"/>
      <c r="Q52" s="8">
        <v>1700</v>
      </c>
      <c r="R52" s="8"/>
      <c r="S52" s="8" t="s">
        <v>1371</v>
      </c>
      <c r="T52" s="8" t="s">
        <v>1371</v>
      </c>
      <c r="U52" s="8"/>
      <c r="V52" s="8"/>
      <c r="W52" s="8"/>
      <c r="X52" s="8" t="s">
        <v>1260</v>
      </c>
      <c r="Y52" s="8" t="s">
        <v>1727</v>
      </c>
      <c r="Z52" s="8" t="s">
        <v>19</v>
      </c>
      <c r="AA52" s="8"/>
      <c r="AB52" s="8"/>
      <c r="AC52" s="8"/>
      <c r="AD52" s="8"/>
      <c r="AE52" s="8"/>
    </row>
    <row r="53" spans="1:31" ht="87">
      <c r="A53" t="s">
        <v>217</v>
      </c>
      <c r="B53" s="3" t="s">
        <v>1343</v>
      </c>
      <c r="C53" s="3" t="s">
        <v>1344</v>
      </c>
      <c r="F53" t="s">
        <v>19</v>
      </c>
      <c r="G53"/>
      <c r="H53" s="8" t="s">
        <v>25</v>
      </c>
      <c r="I53" s="8">
        <v>0</v>
      </c>
      <c r="J53" s="8">
        <v>1</v>
      </c>
      <c r="K53" s="8">
        <v>5</v>
      </c>
      <c r="L53" s="8" t="s">
        <v>1274</v>
      </c>
      <c r="M53" s="8" t="s">
        <v>1263</v>
      </c>
      <c r="N53" s="8"/>
      <c r="O53" s="9"/>
      <c r="P53" s="8"/>
      <c r="Q53" s="8">
        <v>829</v>
      </c>
      <c r="R53" s="8"/>
      <c r="S53" s="8" t="s">
        <v>1371</v>
      </c>
      <c r="T53" s="8" t="s">
        <v>1371</v>
      </c>
      <c r="U53" s="8"/>
      <c r="V53" s="8"/>
      <c r="W53" s="8"/>
      <c r="X53" s="8" t="s">
        <v>1260</v>
      </c>
      <c r="Y53" s="8" t="s">
        <v>1727</v>
      </c>
      <c r="Z53" s="8" t="s">
        <v>19</v>
      </c>
      <c r="AA53" s="8"/>
      <c r="AB53" s="8"/>
      <c r="AC53" s="8"/>
      <c r="AD53" s="8"/>
      <c r="AE53" s="8"/>
    </row>
    <row r="54" spans="1:31" ht="72.5">
      <c r="A54" t="s">
        <v>218</v>
      </c>
      <c r="B54" s="3" t="s">
        <v>835</v>
      </c>
      <c r="C54" s="3" t="s">
        <v>834</v>
      </c>
      <c r="G54"/>
      <c r="H54" s="8" t="s">
        <v>25</v>
      </c>
      <c r="I54" s="8">
        <v>0</v>
      </c>
      <c r="J54" s="8">
        <v>1</v>
      </c>
      <c r="K54" s="8">
        <v>6</v>
      </c>
      <c r="L54" s="8" t="s">
        <v>1272</v>
      </c>
      <c r="M54" s="8" t="s">
        <v>1263</v>
      </c>
      <c r="N54" s="8"/>
      <c r="O54" s="9"/>
      <c r="P54" s="8"/>
      <c r="Q54" s="8">
        <v>6</v>
      </c>
      <c r="R54" s="8"/>
      <c r="S54" s="8" t="s">
        <v>1371</v>
      </c>
      <c r="T54" s="8" t="s">
        <v>1371</v>
      </c>
      <c r="U54" s="8"/>
      <c r="V54" s="8"/>
      <c r="W54" s="8"/>
      <c r="X54" s="8" t="s">
        <v>1260</v>
      </c>
      <c r="Y54" s="8" t="s">
        <v>1727</v>
      </c>
      <c r="Z54" s="8" t="s">
        <v>19</v>
      </c>
      <c r="AA54" s="8"/>
      <c r="AB54" s="8"/>
      <c r="AC54" s="8"/>
      <c r="AD54" s="8"/>
      <c r="AE54" s="8"/>
    </row>
    <row r="55" spans="1:31" s="12" customFormat="1" ht="58">
      <c r="A55" s="12" t="s">
        <v>226</v>
      </c>
      <c r="B55" s="13" t="s">
        <v>1506</v>
      </c>
      <c r="C55" s="13" t="s">
        <v>1506</v>
      </c>
      <c r="G55" s="13" t="s">
        <v>1507</v>
      </c>
      <c r="H55" s="14" t="s">
        <v>1303</v>
      </c>
      <c r="I55" s="14"/>
      <c r="J55" s="14"/>
      <c r="K55" s="14"/>
      <c r="L55" s="14"/>
      <c r="M55" s="14"/>
      <c r="N55" s="14"/>
      <c r="O55" s="15"/>
      <c r="P55" s="14"/>
      <c r="Q55" s="14"/>
      <c r="R55" s="14">
        <v>0</v>
      </c>
      <c r="S55" s="14">
        <v>0</v>
      </c>
      <c r="T55" s="14">
        <v>0</v>
      </c>
      <c r="U55" s="14"/>
      <c r="V55" s="14"/>
      <c r="W55" s="14"/>
      <c r="X55" s="14" t="s">
        <v>1443</v>
      </c>
      <c r="Y55" s="14" t="s">
        <v>1729</v>
      </c>
      <c r="Z55" s="14"/>
      <c r="AA55" s="14"/>
      <c r="AB55" s="14"/>
      <c r="AC55" s="14"/>
      <c r="AD55" s="14"/>
      <c r="AE55" s="14"/>
    </row>
    <row r="56" spans="1:31" s="12" customFormat="1" ht="101.5">
      <c r="A56" s="12" t="s">
        <v>230</v>
      </c>
      <c r="B56" s="13" t="s">
        <v>1508</v>
      </c>
      <c r="C56" s="13" t="s">
        <v>1508</v>
      </c>
      <c r="G56" s="13" t="s">
        <v>1510</v>
      </c>
      <c r="H56" s="14" t="s">
        <v>1303</v>
      </c>
      <c r="I56" s="14"/>
      <c r="J56" s="14"/>
      <c r="K56" s="14"/>
      <c r="L56" s="14"/>
      <c r="M56" s="14"/>
      <c r="N56" s="14"/>
      <c r="O56" s="15"/>
      <c r="P56" s="14"/>
      <c r="Q56" s="14"/>
      <c r="R56" s="14">
        <f>T56-S56</f>
        <v>-2</v>
      </c>
      <c r="S56" s="14">
        <v>4</v>
      </c>
      <c r="T56" s="14">
        <v>2</v>
      </c>
      <c r="U56" s="14"/>
      <c r="V56" s="14"/>
      <c r="W56" s="14"/>
      <c r="X56" s="14" t="s">
        <v>1443</v>
      </c>
      <c r="Y56" s="14" t="s">
        <v>1729</v>
      </c>
      <c r="Z56" s="14"/>
      <c r="AA56" s="14"/>
      <c r="AB56" s="14"/>
      <c r="AC56" s="14"/>
      <c r="AD56" s="14"/>
      <c r="AE56" s="14"/>
    </row>
    <row r="57" spans="1:31" s="12" customFormat="1" ht="101.5">
      <c r="A57" s="12" t="s">
        <v>230</v>
      </c>
      <c r="B57" s="13" t="s">
        <v>1511</v>
      </c>
      <c r="C57" s="13" t="s">
        <v>1511</v>
      </c>
      <c r="G57" s="13" t="s">
        <v>1509</v>
      </c>
      <c r="H57" s="14" t="s">
        <v>24</v>
      </c>
      <c r="I57" s="14"/>
      <c r="J57" s="14">
        <v>1</v>
      </c>
      <c r="K57" s="14">
        <v>3</v>
      </c>
      <c r="L57" s="14" t="s">
        <v>1276</v>
      </c>
      <c r="M57" s="14" t="s">
        <v>1263</v>
      </c>
      <c r="N57" s="14"/>
      <c r="O57" s="15"/>
      <c r="P57" s="14"/>
      <c r="Q57" s="14">
        <v>10</v>
      </c>
      <c r="R57" s="14"/>
      <c r="S57" s="14"/>
      <c r="T57" s="14"/>
      <c r="U57" s="14"/>
      <c r="V57" s="14"/>
      <c r="W57" s="14"/>
      <c r="X57" s="14" t="s">
        <v>1443</v>
      </c>
      <c r="Y57" s="14" t="s">
        <v>1727</v>
      </c>
      <c r="Z57" s="14"/>
      <c r="AA57" s="14"/>
      <c r="AB57" s="14"/>
      <c r="AC57" s="14"/>
      <c r="AD57" s="14"/>
      <c r="AE57" s="14"/>
    </row>
    <row r="58" spans="1:31" ht="58">
      <c r="A58" t="s">
        <v>231</v>
      </c>
      <c r="B58" s="3" t="s">
        <v>856</v>
      </c>
      <c r="C58" s="3" t="s">
        <v>855</v>
      </c>
      <c r="G58"/>
      <c r="H58" s="8" t="s">
        <v>24</v>
      </c>
      <c r="I58" s="8">
        <v>0</v>
      </c>
      <c r="J58" s="8">
        <v>1</v>
      </c>
      <c r="K58" s="8">
        <v>2</v>
      </c>
      <c r="L58" s="8" t="s">
        <v>1262</v>
      </c>
      <c r="M58" s="8" t="s">
        <v>1304</v>
      </c>
      <c r="N58" s="8"/>
      <c r="O58" s="9"/>
      <c r="P58" s="8"/>
      <c r="Q58" s="8">
        <v>2475</v>
      </c>
      <c r="R58" s="8"/>
      <c r="S58" s="8" t="s">
        <v>1371</v>
      </c>
      <c r="T58" s="8" t="s">
        <v>1371</v>
      </c>
      <c r="U58" s="8"/>
      <c r="V58" s="8"/>
      <c r="W58" s="8"/>
      <c r="X58" s="8" t="s">
        <v>1260</v>
      </c>
      <c r="Y58" s="8" t="s">
        <v>1727</v>
      </c>
      <c r="Z58" s="8" t="s">
        <v>19</v>
      </c>
      <c r="AA58" s="8"/>
      <c r="AB58" s="8"/>
      <c r="AC58" s="8"/>
      <c r="AD58" s="8"/>
      <c r="AE58" s="8"/>
    </row>
    <row r="59" spans="1:31" ht="72.5">
      <c r="A59" t="s">
        <v>234</v>
      </c>
      <c r="B59" s="3" t="s">
        <v>860</v>
      </c>
      <c r="C59" s="3" t="s">
        <v>861</v>
      </c>
      <c r="F59" t="s">
        <v>19</v>
      </c>
      <c r="G59"/>
      <c r="H59" s="8" t="s">
        <v>24</v>
      </c>
      <c r="I59" s="8">
        <v>0</v>
      </c>
      <c r="J59" s="8">
        <v>1</v>
      </c>
      <c r="K59" s="8">
        <v>6</v>
      </c>
      <c r="L59" s="8" t="s">
        <v>1274</v>
      </c>
      <c r="M59" s="8" t="s">
        <v>1258</v>
      </c>
      <c r="N59" s="8" t="s">
        <v>1340</v>
      </c>
      <c r="O59" s="9" t="s">
        <v>1338</v>
      </c>
      <c r="P59" s="8" t="s">
        <v>1259</v>
      </c>
      <c r="Q59" s="8">
        <v>830</v>
      </c>
      <c r="R59" s="8"/>
      <c r="S59" s="8" t="s">
        <v>1371</v>
      </c>
      <c r="T59" s="8" t="s">
        <v>1371</v>
      </c>
      <c r="U59" s="8"/>
      <c r="V59" s="8"/>
      <c r="W59" s="8"/>
      <c r="X59" s="8" t="s">
        <v>1260</v>
      </c>
      <c r="Y59" s="8" t="s">
        <v>1727</v>
      </c>
      <c r="Z59" s="8" t="s">
        <v>19</v>
      </c>
      <c r="AA59" s="8"/>
      <c r="AB59" s="8"/>
      <c r="AC59" s="8"/>
      <c r="AD59" s="8"/>
      <c r="AE59" s="8"/>
    </row>
    <row r="60" spans="1:31" s="12" customFormat="1" ht="29">
      <c r="A60" s="12" t="s">
        <v>235</v>
      </c>
      <c r="B60" s="13" t="s">
        <v>1512</v>
      </c>
      <c r="C60" s="13" t="s">
        <v>1512</v>
      </c>
      <c r="G60" s="13" t="s">
        <v>1513</v>
      </c>
      <c r="H60" s="14" t="s">
        <v>25</v>
      </c>
      <c r="I60" s="14"/>
      <c r="J60" s="14">
        <v>1</v>
      </c>
      <c r="K60" s="14">
        <v>2</v>
      </c>
      <c r="L60" s="14" t="s">
        <v>1262</v>
      </c>
      <c r="M60" s="14" t="s">
        <v>1304</v>
      </c>
      <c r="N60" s="14"/>
      <c r="O60" s="15"/>
      <c r="P60" s="14"/>
      <c r="Q60" s="14">
        <v>2475</v>
      </c>
      <c r="R60" s="14"/>
      <c r="S60" s="14"/>
      <c r="T60" s="14"/>
      <c r="U60" s="14"/>
      <c r="V60" s="14"/>
      <c r="W60" s="14"/>
      <c r="X60" s="14" t="s">
        <v>1443</v>
      </c>
      <c r="Y60" s="14" t="s">
        <v>1727</v>
      </c>
      <c r="Z60" s="14"/>
      <c r="AA60" s="14"/>
      <c r="AB60" s="14"/>
      <c r="AC60" s="14"/>
      <c r="AD60" s="14"/>
      <c r="AE60" s="14"/>
    </row>
    <row r="61" spans="1:31" s="12" customFormat="1" ht="43.5">
      <c r="A61" s="12" t="s">
        <v>235</v>
      </c>
      <c r="B61" s="13" t="s">
        <v>1514</v>
      </c>
      <c r="C61" s="13" t="s">
        <v>1514</v>
      </c>
      <c r="G61" s="13" t="s">
        <v>1515</v>
      </c>
      <c r="H61" s="14" t="s">
        <v>1305</v>
      </c>
      <c r="I61" s="14"/>
      <c r="J61" s="14"/>
      <c r="K61" s="14"/>
      <c r="L61" s="14"/>
      <c r="M61" s="14"/>
      <c r="N61" s="14"/>
      <c r="O61" s="15"/>
      <c r="P61" s="14"/>
      <c r="Q61" s="14"/>
      <c r="R61" s="14"/>
      <c r="S61" s="14"/>
      <c r="T61" s="14"/>
      <c r="U61" s="14"/>
      <c r="V61" s="14"/>
      <c r="W61" s="14"/>
      <c r="X61" s="14" t="s">
        <v>1443</v>
      </c>
      <c r="Y61" s="14" t="s">
        <v>1729</v>
      </c>
      <c r="Z61" s="14"/>
      <c r="AA61" s="14"/>
      <c r="AB61" s="14"/>
      <c r="AC61" s="14"/>
      <c r="AD61" s="14"/>
      <c r="AE61" s="14"/>
    </row>
    <row r="62" spans="1:31" s="12" customFormat="1" ht="72.5">
      <c r="A62" s="12" t="s">
        <v>240</v>
      </c>
      <c r="B62" s="13" t="s">
        <v>1518</v>
      </c>
      <c r="C62" s="13" t="s">
        <v>1518</v>
      </c>
      <c r="G62" s="13" t="s">
        <v>1519</v>
      </c>
      <c r="H62" s="14" t="s">
        <v>1303</v>
      </c>
      <c r="I62" s="14"/>
      <c r="J62" s="14"/>
      <c r="K62" s="14"/>
      <c r="L62" s="14"/>
      <c r="M62" s="14"/>
      <c r="N62" s="14"/>
      <c r="O62" s="15"/>
      <c r="P62" s="14"/>
      <c r="Q62" s="14"/>
      <c r="R62" s="14">
        <v>2475</v>
      </c>
      <c r="S62" s="14">
        <v>0</v>
      </c>
      <c r="T62" s="14">
        <v>2475</v>
      </c>
      <c r="U62" s="14"/>
      <c r="V62" s="14"/>
      <c r="W62" s="14"/>
      <c r="X62" s="14" t="s">
        <v>1443</v>
      </c>
      <c r="Y62" s="14" t="s">
        <v>1729</v>
      </c>
      <c r="Z62" s="14"/>
      <c r="AA62" s="14"/>
      <c r="AB62" s="14"/>
      <c r="AC62" s="14"/>
      <c r="AD62" s="14"/>
      <c r="AE62" s="14"/>
    </row>
    <row r="63" spans="1:31" s="12" customFormat="1" ht="72.5">
      <c r="A63" s="12" t="s">
        <v>240</v>
      </c>
      <c r="B63" s="13" t="s">
        <v>1517</v>
      </c>
      <c r="C63" s="13" t="s">
        <v>1517</v>
      </c>
      <c r="G63" s="13" t="s">
        <v>1516</v>
      </c>
      <c r="H63" s="14" t="s">
        <v>24</v>
      </c>
      <c r="I63" s="14"/>
      <c r="J63" s="14">
        <v>2</v>
      </c>
      <c r="K63" s="14">
        <v>6</v>
      </c>
      <c r="L63" s="14"/>
      <c r="M63" s="14" t="s">
        <v>1263</v>
      </c>
      <c r="N63" s="14"/>
      <c r="O63" s="15"/>
      <c r="P63" s="14"/>
      <c r="Q63" s="14">
        <v>44</v>
      </c>
      <c r="R63" s="14"/>
      <c r="S63" s="14"/>
      <c r="T63" s="14"/>
      <c r="U63" s="14"/>
      <c r="V63" s="14"/>
      <c r="W63" s="14"/>
      <c r="X63" s="14" t="s">
        <v>1443</v>
      </c>
      <c r="Y63" s="14" t="s">
        <v>1729</v>
      </c>
      <c r="Z63" s="14"/>
      <c r="AA63" s="14"/>
      <c r="AB63" s="14"/>
      <c r="AC63" s="14"/>
      <c r="AD63" s="14"/>
      <c r="AE63" s="14"/>
    </row>
    <row r="64" spans="1:31" s="12" customFormat="1" ht="43.5">
      <c r="A64" s="12" t="s">
        <v>240</v>
      </c>
      <c r="B64" s="13" t="s">
        <v>1520</v>
      </c>
      <c r="C64" s="13" t="s">
        <v>1520</v>
      </c>
      <c r="G64" s="13" t="s">
        <v>1521</v>
      </c>
      <c r="H64" s="14" t="s">
        <v>1305</v>
      </c>
      <c r="I64" s="14"/>
      <c r="J64" s="14"/>
      <c r="K64" s="14"/>
      <c r="L64" s="14"/>
      <c r="M64" s="14"/>
      <c r="N64" s="14"/>
      <c r="O64" s="15"/>
      <c r="P64" s="14"/>
      <c r="Q64" s="14"/>
      <c r="R64" s="14"/>
      <c r="S64" s="14"/>
      <c r="T64" s="14"/>
      <c r="U64" s="14"/>
      <c r="V64" s="14"/>
      <c r="W64" s="14"/>
      <c r="X64" s="14" t="s">
        <v>1443</v>
      </c>
      <c r="Y64" s="14" t="s">
        <v>1729</v>
      </c>
      <c r="Z64" s="14"/>
      <c r="AA64" s="14"/>
      <c r="AB64" s="14"/>
      <c r="AC64" s="14"/>
      <c r="AD64" s="14"/>
      <c r="AE64" s="14"/>
    </row>
    <row r="65" spans="1:31" ht="72.5">
      <c r="A65" t="s">
        <v>251</v>
      </c>
      <c r="B65" s="3" t="s">
        <v>872</v>
      </c>
      <c r="C65" s="3" t="s">
        <v>871</v>
      </c>
      <c r="G65"/>
      <c r="H65" s="8" t="s">
        <v>24</v>
      </c>
      <c r="I65" s="8">
        <v>0</v>
      </c>
      <c r="J65" s="8">
        <v>1</v>
      </c>
      <c r="K65" s="8">
        <v>3</v>
      </c>
      <c r="L65" s="8" t="s">
        <v>1262</v>
      </c>
      <c r="M65" s="8" t="s">
        <v>1258</v>
      </c>
      <c r="N65" s="8" t="s">
        <v>1340</v>
      </c>
      <c r="O65" s="9" t="s">
        <v>1336</v>
      </c>
      <c r="P65" s="8" t="s">
        <v>1259</v>
      </c>
      <c r="Q65" s="8">
        <v>2475</v>
      </c>
      <c r="R65" s="8"/>
      <c r="S65" s="8" t="s">
        <v>1371</v>
      </c>
      <c r="T65" s="8" t="s">
        <v>1371</v>
      </c>
      <c r="U65" s="8"/>
      <c r="V65" s="8"/>
      <c r="W65" s="8"/>
      <c r="X65" s="8" t="s">
        <v>1444</v>
      </c>
      <c r="Y65" s="8" t="s">
        <v>1728</v>
      </c>
      <c r="Z65" s="8" t="s">
        <v>19</v>
      </c>
      <c r="AA65" s="8"/>
      <c r="AB65" s="8"/>
      <c r="AC65" s="8"/>
      <c r="AD65" s="8"/>
      <c r="AE65" s="8"/>
    </row>
    <row r="66" spans="1:31">
      <c r="A66" t="s">
        <v>261</v>
      </c>
      <c r="B66" s="3" t="s">
        <v>262</v>
      </c>
      <c r="C66" s="3" t="s">
        <v>263</v>
      </c>
      <c r="F66" t="s">
        <v>19</v>
      </c>
      <c r="G66"/>
      <c r="H66" s="8" t="s">
        <v>1305</v>
      </c>
      <c r="I66" s="8"/>
      <c r="J66" s="8"/>
      <c r="K66" s="8"/>
      <c r="L66" s="8"/>
      <c r="M66" s="8"/>
      <c r="N66" s="8"/>
      <c r="O66" s="9"/>
      <c r="P66" s="8"/>
      <c r="Q66" s="8"/>
      <c r="R66" s="8"/>
      <c r="S66" s="8" t="s">
        <v>1371</v>
      </c>
      <c r="T66" s="8" t="s">
        <v>1371</v>
      </c>
      <c r="U66" s="8"/>
      <c r="V66" s="8"/>
      <c r="W66" s="8"/>
      <c r="X66" s="8" t="s">
        <v>1260</v>
      </c>
      <c r="Y66" s="8" t="s">
        <v>1728</v>
      </c>
      <c r="Z66" s="8" t="s">
        <v>19</v>
      </c>
      <c r="AA66" s="8"/>
      <c r="AB66" s="8"/>
      <c r="AC66" s="8"/>
      <c r="AD66" s="8"/>
      <c r="AE66" s="8"/>
    </row>
    <row r="67" spans="1:31" s="12" customFormat="1" ht="43.5">
      <c r="A67" s="12" t="s">
        <v>1522</v>
      </c>
      <c r="B67" s="13" t="s">
        <v>1523</v>
      </c>
      <c r="C67" s="13" t="s">
        <v>1523</v>
      </c>
      <c r="G67" s="13" t="s">
        <v>1524</v>
      </c>
      <c r="H67" s="14" t="s">
        <v>1305</v>
      </c>
      <c r="I67" s="14"/>
      <c r="J67" s="14"/>
      <c r="K67" s="14"/>
      <c r="L67" s="14"/>
      <c r="M67" s="14"/>
      <c r="N67" s="14"/>
      <c r="O67" s="15"/>
      <c r="P67" s="14"/>
      <c r="Q67" s="14"/>
      <c r="R67" s="14"/>
      <c r="S67" s="14"/>
      <c r="T67" s="14"/>
      <c r="U67" s="14"/>
      <c r="V67" s="14"/>
      <c r="W67" s="14"/>
      <c r="X67" s="14" t="s">
        <v>1443</v>
      </c>
      <c r="Y67" s="14" t="s">
        <v>1729</v>
      </c>
      <c r="Z67" s="14"/>
      <c r="AA67" s="14"/>
      <c r="AB67" s="14"/>
      <c r="AC67" s="14"/>
      <c r="AD67" s="14"/>
      <c r="AE67" s="14"/>
    </row>
    <row r="68" spans="1:31" s="12" customFormat="1" ht="43.5">
      <c r="A68" s="12" t="s">
        <v>1526</v>
      </c>
      <c r="B68" s="13" t="s">
        <v>1525</v>
      </c>
      <c r="C68" s="13" t="s">
        <v>1525</v>
      </c>
      <c r="G68" s="13" t="s">
        <v>1527</v>
      </c>
      <c r="H68" s="14" t="s">
        <v>1305</v>
      </c>
      <c r="I68" s="14"/>
      <c r="J68" s="14"/>
      <c r="K68" s="14"/>
      <c r="L68" s="14"/>
      <c r="M68" s="14"/>
      <c r="N68" s="14"/>
      <c r="O68" s="15"/>
      <c r="P68" s="14"/>
      <c r="Q68" s="14"/>
      <c r="R68" s="14"/>
      <c r="S68" s="14"/>
      <c r="T68" s="14"/>
      <c r="U68" s="14"/>
      <c r="V68" s="14"/>
      <c r="W68" s="14"/>
      <c r="X68" s="14" t="s">
        <v>1443</v>
      </c>
      <c r="Y68" s="14" t="s">
        <v>1729</v>
      </c>
      <c r="Z68" s="14"/>
      <c r="AA68" s="14"/>
      <c r="AB68" s="14"/>
      <c r="AC68" s="14"/>
      <c r="AD68" s="14"/>
      <c r="AE68" s="14"/>
    </row>
    <row r="69" spans="1:31" s="12" customFormat="1" ht="58">
      <c r="A69" s="12" t="s">
        <v>271</v>
      </c>
      <c r="B69" s="13" t="s">
        <v>1528</v>
      </c>
      <c r="C69" s="13" t="s">
        <v>1529</v>
      </c>
      <c r="G69" s="13" t="s">
        <v>1530</v>
      </c>
      <c r="H69" s="14" t="s">
        <v>24</v>
      </c>
      <c r="I69" s="14"/>
      <c r="J69" s="14">
        <v>2</v>
      </c>
      <c r="K69" s="14">
        <v>8</v>
      </c>
      <c r="L69" s="14"/>
      <c r="M69" s="14"/>
      <c r="N69" s="14"/>
      <c r="O69" s="15"/>
      <c r="P69" s="14"/>
      <c r="Q69" s="14">
        <v>116</v>
      </c>
      <c r="R69" s="14"/>
      <c r="S69" s="14"/>
      <c r="T69" s="14"/>
      <c r="U69" s="14"/>
      <c r="V69" s="14"/>
      <c r="W69" s="14"/>
      <c r="X69" s="14" t="s">
        <v>1443</v>
      </c>
      <c r="Y69" s="14" t="s">
        <v>1727</v>
      </c>
      <c r="Z69" s="14"/>
      <c r="AA69" s="14"/>
      <c r="AB69" s="14"/>
      <c r="AC69" s="14"/>
      <c r="AD69" s="14"/>
      <c r="AE69" s="14"/>
    </row>
    <row r="70" spans="1:31" ht="29">
      <c r="A70" t="s">
        <v>271</v>
      </c>
      <c r="B70" s="3" t="s">
        <v>899</v>
      </c>
      <c r="C70" s="3" t="s">
        <v>900</v>
      </c>
      <c r="F70" t="s">
        <v>19</v>
      </c>
      <c r="G70"/>
      <c r="H70" s="8" t="s">
        <v>25</v>
      </c>
      <c r="I70" s="8">
        <v>0</v>
      </c>
      <c r="J70" s="8">
        <v>1</v>
      </c>
      <c r="K70" s="8">
        <v>2</v>
      </c>
      <c r="L70" s="8" t="s">
        <v>1262</v>
      </c>
      <c r="M70" s="8" t="s">
        <v>1304</v>
      </c>
      <c r="N70" s="8"/>
      <c r="O70" s="9"/>
      <c r="P70" s="8"/>
      <c r="Q70" s="8">
        <v>2474</v>
      </c>
      <c r="R70" s="8"/>
      <c r="S70" s="8" t="s">
        <v>1371</v>
      </c>
      <c r="T70" s="8" t="s">
        <v>1371</v>
      </c>
      <c r="U70" s="8"/>
      <c r="V70" s="8"/>
      <c r="W70" s="8"/>
      <c r="X70" s="8" t="s">
        <v>1260</v>
      </c>
      <c r="Y70" s="8" t="s">
        <v>1727</v>
      </c>
      <c r="Z70" s="8" t="s">
        <v>19</v>
      </c>
      <c r="AA70" s="8"/>
      <c r="AB70" s="8"/>
      <c r="AC70" s="8"/>
      <c r="AD70" s="8"/>
      <c r="AE70" s="8"/>
    </row>
    <row r="71" spans="1:31" s="12" customFormat="1" ht="101.5">
      <c r="A71" s="12" t="s">
        <v>1532</v>
      </c>
      <c r="B71" s="13" t="s">
        <v>1533</v>
      </c>
      <c r="C71" s="13" t="s">
        <v>1533</v>
      </c>
      <c r="G71" s="13" t="s">
        <v>1535</v>
      </c>
      <c r="H71" s="14" t="s">
        <v>25</v>
      </c>
      <c r="I71" s="14"/>
      <c r="J71" s="14">
        <v>12</v>
      </c>
      <c r="K71" s="14">
        <v>71</v>
      </c>
      <c r="L71" s="14"/>
      <c r="M71" s="14" t="s">
        <v>1258</v>
      </c>
      <c r="N71" s="14" t="s">
        <v>1345</v>
      </c>
      <c r="O71" s="15" t="s">
        <v>1534</v>
      </c>
      <c r="P71" s="14"/>
      <c r="Q71" s="14">
        <v>1</v>
      </c>
      <c r="R71" s="14"/>
      <c r="S71" s="14"/>
      <c r="T71" s="14"/>
      <c r="U71" s="14"/>
      <c r="V71" s="14"/>
      <c r="W71" s="14"/>
      <c r="X71" s="14" t="s">
        <v>1443</v>
      </c>
      <c r="Y71" s="14" t="s">
        <v>1729</v>
      </c>
      <c r="Z71" s="14"/>
      <c r="AA71" s="14"/>
      <c r="AB71" s="14"/>
      <c r="AC71" s="14"/>
      <c r="AD71" s="14"/>
      <c r="AE71" s="14"/>
    </row>
    <row r="72" spans="1:31" s="12" customFormat="1" ht="43.5">
      <c r="A72" s="12" t="s">
        <v>1531</v>
      </c>
      <c r="B72" s="13" t="s">
        <v>1536</v>
      </c>
      <c r="C72" s="13" t="s">
        <v>1536</v>
      </c>
      <c r="G72" s="13" t="s">
        <v>1537</v>
      </c>
      <c r="H72" s="14" t="s">
        <v>24</v>
      </c>
      <c r="I72" s="14"/>
      <c r="J72" s="14">
        <v>1</v>
      </c>
      <c r="K72" s="14">
        <v>3</v>
      </c>
      <c r="L72" s="14" t="s">
        <v>1308</v>
      </c>
      <c r="M72" s="14" t="s">
        <v>1263</v>
      </c>
      <c r="N72" s="14"/>
      <c r="O72" s="15"/>
      <c r="P72" s="14"/>
      <c r="Q72" s="14">
        <v>204</v>
      </c>
      <c r="R72" s="14"/>
      <c r="S72" s="14"/>
      <c r="T72" s="14"/>
      <c r="U72" s="14"/>
      <c r="V72" s="14"/>
      <c r="W72" s="14"/>
      <c r="X72" s="14" t="s">
        <v>1443</v>
      </c>
      <c r="Y72" s="14" t="s">
        <v>1729</v>
      </c>
      <c r="Z72" s="14"/>
      <c r="AA72" s="14"/>
      <c r="AB72" s="14"/>
      <c r="AC72" s="14"/>
      <c r="AD72" s="14"/>
      <c r="AE72" s="14"/>
    </row>
    <row r="73" spans="1:31" s="12" customFormat="1" ht="58">
      <c r="A73" s="12" t="s">
        <v>1539</v>
      </c>
      <c r="B73" s="13" t="s">
        <v>1538</v>
      </c>
      <c r="C73" s="13" t="s">
        <v>1538</v>
      </c>
      <c r="G73" s="13" t="s">
        <v>1540</v>
      </c>
      <c r="H73" s="14" t="s">
        <v>24</v>
      </c>
      <c r="I73" s="14"/>
      <c r="J73" s="14">
        <v>1</v>
      </c>
      <c r="K73" s="14">
        <v>7</v>
      </c>
      <c r="L73" s="14" t="s">
        <v>1315</v>
      </c>
      <c r="M73" s="14" t="s">
        <v>1263</v>
      </c>
      <c r="N73" s="14"/>
      <c r="O73" s="15"/>
      <c r="P73" s="14"/>
      <c r="Q73" s="14">
        <v>14</v>
      </c>
      <c r="R73" s="14"/>
      <c r="S73" s="14"/>
      <c r="T73" s="14"/>
      <c r="U73" s="14"/>
      <c r="V73" s="14"/>
      <c r="W73" s="14"/>
      <c r="X73" s="14" t="s">
        <v>1443</v>
      </c>
      <c r="Y73" s="14" t="s">
        <v>1729</v>
      </c>
      <c r="Z73" s="14"/>
      <c r="AA73" s="14"/>
      <c r="AB73" s="14"/>
      <c r="AC73" s="14"/>
      <c r="AD73" s="14"/>
      <c r="AE73" s="14"/>
    </row>
    <row r="74" spans="1:31" s="12" customFormat="1" ht="43.5">
      <c r="A74" s="12" t="s">
        <v>1542</v>
      </c>
      <c r="B74" s="13" t="s">
        <v>1541</v>
      </c>
      <c r="C74" s="13" t="s">
        <v>1541</v>
      </c>
      <c r="G74" s="13" t="s">
        <v>1543</v>
      </c>
      <c r="H74" s="14" t="s">
        <v>1303</v>
      </c>
      <c r="I74" s="14"/>
      <c r="J74" s="14"/>
      <c r="K74" s="14"/>
      <c r="L74" s="14"/>
      <c r="M74" s="14"/>
      <c r="N74" s="14"/>
      <c r="O74" s="15"/>
      <c r="P74" s="14"/>
      <c r="Q74" s="14"/>
      <c r="R74" s="14">
        <f>T74-S74</f>
        <v>-447</v>
      </c>
      <c r="S74" s="14">
        <v>613</v>
      </c>
      <c r="T74" s="14">
        <v>166</v>
      </c>
      <c r="U74" s="14"/>
      <c r="V74" s="14"/>
      <c r="W74" s="14"/>
      <c r="X74" s="14" t="s">
        <v>1443</v>
      </c>
      <c r="Y74" s="14" t="s">
        <v>1727</v>
      </c>
      <c r="Z74" s="14"/>
      <c r="AA74" s="14"/>
      <c r="AB74" s="14"/>
      <c r="AC74" s="14"/>
      <c r="AD74" s="14"/>
      <c r="AE74" s="14"/>
    </row>
    <row r="75" spans="1:31" ht="72.5">
      <c r="A75" t="s">
        <v>283</v>
      </c>
      <c r="B75" s="3" t="s">
        <v>921</v>
      </c>
      <c r="C75" s="3" t="s">
        <v>922</v>
      </c>
      <c r="G75"/>
      <c r="H75" s="8" t="s">
        <v>1303</v>
      </c>
      <c r="I75" s="8"/>
      <c r="J75" s="8"/>
      <c r="K75" s="8"/>
      <c r="L75" s="8"/>
      <c r="M75" s="8"/>
      <c r="N75" s="8"/>
      <c r="O75" s="9"/>
      <c r="P75" s="8"/>
      <c r="Q75" s="8"/>
      <c r="R75" s="8">
        <v>-34</v>
      </c>
      <c r="S75" s="8">
        <v>34</v>
      </c>
      <c r="T75" s="8">
        <v>0</v>
      </c>
      <c r="U75" s="8"/>
      <c r="V75" s="8"/>
      <c r="W75" s="8"/>
      <c r="X75" s="8" t="s">
        <v>1260</v>
      </c>
      <c r="Y75" s="8" t="s">
        <v>1727</v>
      </c>
      <c r="Z75" s="8" t="s">
        <v>19</v>
      </c>
      <c r="AA75" s="8"/>
      <c r="AB75" s="8"/>
      <c r="AC75" s="8"/>
      <c r="AD75" s="8"/>
      <c r="AE75" s="8"/>
    </row>
    <row r="76" spans="1:31" s="12" customFormat="1" ht="72.5">
      <c r="A76" s="12" t="s">
        <v>283</v>
      </c>
      <c r="B76" s="13" t="s">
        <v>1544</v>
      </c>
      <c r="C76" s="13" t="s">
        <v>1544</v>
      </c>
      <c r="G76" s="13" t="s">
        <v>1545</v>
      </c>
      <c r="H76" s="14" t="s">
        <v>24</v>
      </c>
      <c r="I76" s="14"/>
      <c r="J76" s="14">
        <v>1</v>
      </c>
      <c r="K76" s="14">
        <v>4</v>
      </c>
      <c r="L76" s="14" t="s">
        <v>1272</v>
      </c>
      <c r="M76" s="14" t="s">
        <v>1304</v>
      </c>
      <c r="N76" s="14"/>
      <c r="O76" s="15"/>
      <c r="P76" s="14"/>
      <c r="Q76" s="14">
        <v>132</v>
      </c>
      <c r="R76" s="14"/>
      <c r="S76" s="14"/>
      <c r="T76" s="14"/>
      <c r="U76" s="14"/>
      <c r="V76" s="14"/>
      <c r="W76" s="14"/>
      <c r="X76" s="14" t="s">
        <v>1443</v>
      </c>
      <c r="Y76" s="14" t="s">
        <v>1729</v>
      </c>
      <c r="Z76" s="14"/>
      <c r="AA76" s="14"/>
      <c r="AB76" s="14"/>
      <c r="AC76" s="14"/>
      <c r="AD76" s="14"/>
      <c r="AE76" s="14"/>
    </row>
    <row r="77" spans="1:31" s="12" customFormat="1" ht="58">
      <c r="A77" s="12" t="s">
        <v>1546</v>
      </c>
      <c r="B77" s="13" t="s">
        <v>1547</v>
      </c>
      <c r="C77" s="13" t="s">
        <v>1547</v>
      </c>
      <c r="G77" s="13" t="s">
        <v>1548</v>
      </c>
      <c r="H77" s="14" t="s">
        <v>1305</v>
      </c>
      <c r="I77" s="14"/>
      <c r="J77" s="14"/>
      <c r="K77" s="14"/>
      <c r="L77" s="14"/>
      <c r="M77" s="14"/>
      <c r="N77" s="14"/>
      <c r="O77" s="15"/>
      <c r="P77" s="14"/>
      <c r="Q77" s="14"/>
      <c r="R77" s="14"/>
      <c r="S77" s="14"/>
      <c r="T77" s="14"/>
      <c r="U77" s="14"/>
      <c r="V77" s="14"/>
      <c r="W77" s="14"/>
      <c r="X77" s="14" t="s">
        <v>1443</v>
      </c>
      <c r="Y77" s="14" t="s">
        <v>1729</v>
      </c>
      <c r="Z77" s="14"/>
      <c r="AA77" s="14"/>
      <c r="AB77" s="14"/>
      <c r="AC77" s="14"/>
      <c r="AD77" s="14"/>
      <c r="AE77" s="14"/>
    </row>
    <row r="78" spans="1:31" ht="43.5">
      <c r="A78" t="s">
        <v>286</v>
      </c>
      <c r="B78" s="3" t="s">
        <v>932</v>
      </c>
      <c r="C78" s="3" t="s">
        <v>931</v>
      </c>
      <c r="F78" t="s">
        <v>19</v>
      </c>
      <c r="G78"/>
      <c r="H78" s="8" t="s">
        <v>24</v>
      </c>
      <c r="I78" s="8">
        <v>0</v>
      </c>
      <c r="J78" s="8">
        <v>1</v>
      </c>
      <c r="K78" s="8">
        <v>1</v>
      </c>
      <c r="L78" s="8" t="s">
        <v>1262</v>
      </c>
      <c r="M78" s="8" t="s">
        <v>1304</v>
      </c>
      <c r="N78" s="8"/>
      <c r="O78" s="9"/>
      <c r="P78" s="8" t="s">
        <v>1259</v>
      </c>
      <c r="Q78" s="8">
        <v>2475</v>
      </c>
      <c r="R78" s="8"/>
      <c r="S78" s="8" t="s">
        <v>1371</v>
      </c>
      <c r="T78" s="8" t="s">
        <v>1371</v>
      </c>
      <c r="U78" s="8"/>
      <c r="V78" s="8"/>
      <c r="W78" s="8"/>
      <c r="X78" s="8" t="s">
        <v>1444</v>
      </c>
      <c r="Y78" s="8" t="s">
        <v>1727</v>
      </c>
      <c r="Z78" s="8" t="s">
        <v>19</v>
      </c>
      <c r="AA78" s="8"/>
      <c r="AB78" s="8"/>
      <c r="AC78" s="8"/>
      <c r="AD78" s="8"/>
      <c r="AE78" s="8"/>
    </row>
    <row r="79" spans="1:31" s="12" customFormat="1" ht="72.5">
      <c r="A79" s="12" t="s">
        <v>288</v>
      </c>
      <c r="B79" s="13" t="s">
        <v>1549</v>
      </c>
      <c r="C79" s="13" t="s">
        <v>1549</v>
      </c>
      <c r="G79" s="13" t="s">
        <v>1550</v>
      </c>
      <c r="H79" s="14" t="s">
        <v>25</v>
      </c>
      <c r="I79" s="14"/>
      <c r="J79" s="14">
        <v>6</v>
      </c>
      <c r="K79" s="14">
        <v>22</v>
      </c>
      <c r="L79" s="14"/>
      <c r="M79" s="14" t="s">
        <v>1263</v>
      </c>
      <c r="N79" s="14"/>
      <c r="O79" s="15"/>
      <c r="P79" s="14"/>
      <c r="Q79" s="14">
        <v>23</v>
      </c>
      <c r="R79" s="14"/>
      <c r="S79" s="14"/>
      <c r="T79" s="14"/>
      <c r="U79" s="14"/>
      <c r="V79" s="14"/>
      <c r="W79" s="14"/>
      <c r="X79" s="14" t="s">
        <v>1443</v>
      </c>
      <c r="Y79" s="14" t="s">
        <v>1729</v>
      </c>
      <c r="Z79" s="14"/>
      <c r="AA79" s="14"/>
      <c r="AB79" s="14"/>
      <c r="AC79" s="14"/>
      <c r="AD79" s="14"/>
      <c r="AE79" s="14"/>
    </row>
    <row r="80" spans="1:31" ht="87">
      <c r="A80" t="s">
        <v>290</v>
      </c>
      <c r="B80" s="3" t="s">
        <v>936</v>
      </c>
      <c r="C80" s="3" t="s">
        <v>937</v>
      </c>
      <c r="F80" t="s">
        <v>19</v>
      </c>
      <c r="G80"/>
      <c r="H80" s="8" t="s">
        <v>24</v>
      </c>
      <c r="I80" s="8">
        <v>0</v>
      </c>
      <c r="J80" s="8">
        <v>1</v>
      </c>
      <c r="K80" s="8">
        <v>5</v>
      </c>
      <c r="L80" s="8" t="s">
        <v>1272</v>
      </c>
      <c r="M80" s="8" t="s">
        <v>1258</v>
      </c>
      <c r="N80" s="8" t="s">
        <v>1340</v>
      </c>
      <c r="O80" s="9" t="s">
        <v>1337</v>
      </c>
      <c r="P80" s="8" t="s">
        <v>1259</v>
      </c>
      <c r="Q80" s="8">
        <v>98</v>
      </c>
      <c r="R80" s="8"/>
      <c r="S80" s="8" t="s">
        <v>1371</v>
      </c>
      <c r="T80" s="8" t="s">
        <v>1371</v>
      </c>
      <c r="U80" s="8"/>
      <c r="V80" s="8"/>
      <c r="W80" s="8"/>
      <c r="X80" s="8" t="s">
        <v>1260</v>
      </c>
      <c r="Y80" s="8" t="s">
        <v>1727</v>
      </c>
      <c r="Z80" s="8" t="s">
        <v>19</v>
      </c>
      <c r="AA80" s="8"/>
      <c r="AB80" s="8"/>
      <c r="AC80" s="8"/>
      <c r="AD80" s="8"/>
      <c r="AE80" s="8"/>
    </row>
    <row r="81" spans="1:31" s="12" customFormat="1" ht="58">
      <c r="A81" s="12" t="s">
        <v>290</v>
      </c>
      <c r="B81" s="13" t="s">
        <v>1551</v>
      </c>
      <c r="C81" s="13" t="s">
        <v>1551</v>
      </c>
      <c r="G81" s="13" t="s">
        <v>1552</v>
      </c>
      <c r="H81" s="14" t="s">
        <v>1305</v>
      </c>
      <c r="I81" s="14"/>
      <c r="J81" s="14"/>
      <c r="K81" s="14"/>
      <c r="L81" s="14"/>
      <c r="M81" s="14"/>
      <c r="N81" s="14"/>
      <c r="O81" s="15"/>
      <c r="P81" s="14"/>
      <c r="Q81" s="14"/>
      <c r="R81" s="14"/>
      <c r="S81" s="14"/>
      <c r="T81" s="14"/>
      <c r="U81" s="14"/>
      <c r="V81" s="14"/>
      <c r="W81" s="14"/>
      <c r="X81" s="14" t="s">
        <v>1443</v>
      </c>
      <c r="Y81" s="14" t="s">
        <v>1727</v>
      </c>
      <c r="Z81" s="14"/>
      <c r="AA81" s="14"/>
      <c r="AB81" s="14"/>
      <c r="AC81" s="14"/>
      <c r="AD81" s="14"/>
      <c r="AE81" s="14"/>
    </row>
    <row r="82" spans="1:31" s="12" customFormat="1" ht="43.5">
      <c r="A82" s="12" t="s">
        <v>295</v>
      </c>
      <c r="B82" s="13" t="s">
        <v>1553</v>
      </c>
      <c r="C82" s="13" t="s">
        <v>1553</v>
      </c>
      <c r="G82" s="13" t="s">
        <v>1554</v>
      </c>
      <c r="H82" s="14" t="s">
        <v>1305</v>
      </c>
      <c r="I82" s="14"/>
      <c r="J82" s="14"/>
      <c r="K82" s="14"/>
      <c r="L82" s="14"/>
      <c r="M82" s="14"/>
      <c r="N82" s="14"/>
      <c r="O82" s="15"/>
      <c r="P82" s="14"/>
      <c r="Q82" s="14"/>
      <c r="R82" s="14"/>
      <c r="S82" s="14"/>
      <c r="T82" s="14"/>
      <c r="U82" s="14"/>
      <c r="V82" s="14"/>
      <c r="W82" s="14"/>
      <c r="X82" s="14" t="s">
        <v>1443</v>
      </c>
      <c r="Y82" s="14" t="s">
        <v>1727</v>
      </c>
      <c r="Z82" s="14"/>
      <c r="AA82" s="14"/>
      <c r="AB82" s="14"/>
      <c r="AC82" s="14"/>
      <c r="AD82" s="14"/>
      <c r="AE82" s="14"/>
    </row>
    <row r="83" spans="1:31" s="12" customFormat="1" ht="43.5">
      <c r="A83" s="12" t="s">
        <v>1555</v>
      </c>
      <c r="B83" s="13" t="s">
        <v>1556</v>
      </c>
      <c r="C83" s="13" t="s">
        <v>1556</v>
      </c>
      <c r="G83" s="13" t="s">
        <v>1557</v>
      </c>
      <c r="H83" s="14" t="s">
        <v>1303</v>
      </c>
      <c r="I83" s="14"/>
      <c r="J83" s="14"/>
      <c r="K83" s="14"/>
      <c r="L83" s="14"/>
      <c r="M83" s="14"/>
      <c r="N83" s="14"/>
      <c r="O83" s="15"/>
      <c r="P83" s="14"/>
      <c r="Q83" s="14"/>
      <c r="R83" s="14">
        <v>0</v>
      </c>
      <c r="S83" s="14">
        <v>0</v>
      </c>
      <c r="T83" s="14">
        <v>0</v>
      </c>
      <c r="U83" s="14"/>
      <c r="V83" s="14"/>
      <c r="W83" s="14"/>
      <c r="X83" s="14" t="s">
        <v>1443</v>
      </c>
      <c r="Y83" s="14" t="s">
        <v>1727</v>
      </c>
      <c r="Z83" s="14"/>
      <c r="AA83" s="14"/>
      <c r="AB83" s="14"/>
      <c r="AC83" s="14"/>
      <c r="AD83" s="14"/>
      <c r="AE83" s="14"/>
    </row>
    <row r="84" spans="1:31" ht="58">
      <c r="A84" t="s">
        <v>298</v>
      </c>
      <c r="B84" s="3" t="s">
        <v>944</v>
      </c>
      <c r="C84" s="3" t="s">
        <v>945</v>
      </c>
      <c r="G84"/>
      <c r="H84" s="8" t="s">
        <v>1305</v>
      </c>
      <c r="I84" s="8"/>
      <c r="J84" s="8"/>
      <c r="K84" s="8"/>
      <c r="L84" s="8"/>
      <c r="M84" s="8"/>
      <c r="N84" s="8"/>
      <c r="O84" s="9"/>
      <c r="P84" s="8"/>
      <c r="Q84" s="8"/>
      <c r="R84" s="8"/>
      <c r="S84" s="8" t="s">
        <v>1371</v>
      </c>
      <c r="T84" s="8" t="s">
        <v>1371</v>
      </c>
      <c r="U84" s="8"/>
      <c r="V84" s="8"/>
      <c r="W84" s="8"/>
      <c r="X84" s="8" t="s">
        <v>1444</v>
      </c>
      <c r="Y84" s="8" t="s">
        <v>1728</v>
      </c>
      <c r="Z84" s="8" t="s">
        <v>19</v>
      </c>
      <c r="AA84" s="8"/>
      <c r="AB84" s="8"/>
      <c r="AC84" s="8"/>
      <c r="AD84" s="8"/>
      <c r="AE84" s="8"/>
    </row>
    <row r="85" spans="1:31" ht="58">
      <c r="A85" t="s">
        <v>298</v>
      </c>
      <c r="B85" s="3" t="s">
        <v>947</v>
      </c>
      <c r="C85" s="3" t="s">
        <v>946</v>
      </c>
      <c r="G85"/>
      <c r="H85" s="8" t="s">
        <v>1305</v>
      </c>
      <c r="I85" s="8"/>
      <c r="J85" s="8"/>
      <c r="K85" s="8"/>
      <c r="L85" s="8"/>
      <c r="M85" s="8"/>
      <c r="N85" s="8"/>
      <c r="O85" s="9"/>
      <c r="P85" s="8"/>
      <c r="Q85" s="8"/>
      <c r="R85" s="8"/>
      <c r="S85" s="8" t="s">
        <v>1371</v>
      </c>
      <c r="T85" s="8" t="s">
        <v>1371</v>
      </c>
      <c r="U85" s="8"/>
      <c r="V85" s="8"/>
      <c r="W85" s="8"/>
      <c r="X85" s="8" t="s">
        <v>1444</v>
      </c>
      <c r="Y85" s="8" t="s">
        <v>1727</v>
      </c>
      <c r="Z85" s="8" t="s">
        <v>19</v>
      </c>
      <c r="AA85" s="8"/>
      <c r="AB85" s="8"/>
      <c r="AC85" s="8"/>
      <c r="AD85" s="8"/>
      <c r="AE85" s="8"/>
    </row>
    <row r="86" spans="1:31" s="12" customFormat="1" ht="43.5">
      <c r="A86" s="12" t="s">
        <v>304</v>
      </c>
      <c r="B86" s="13" t="s">
        <v>1558</v>
      </c>
      <c r="C86" s="13" t="s">
        <v>1558</v>
      </c>
      <c r="G86" s="13" t="s">
        <v>1559</v>
      </c>
      <c r="H86" s="14" t="s">
        <v>1303</v>
      </c>
      <c r="I86" s="14"/>
      <c r="J86" s="14"/>
      <c r="K86" s="14"/>
      <c r="L86" s="14"/>
      <c r="M86" s="14"/>
      <c r="N86" s="14"/>
      <c r="O86" s="15"/>
      <c r="P86" s="14"/>
      <c r="Q86" s="14"/>
      <c r="R86" s="14">
        <f>T86-S86</f>
        <v>59</v>
      </c>
      <c r="S86" s="14">
        <v>19</v>
      </c>
      <c r="T86" s="14">
        <v>78</v>
      </c>
      <c r="U86" s="14"/>
      <c r="V86" s="14"/>
      <c r="W86" s="14"/>
      <c r="X86" s="14" t="s">
        <v>1443</v>
      </c>
      <c r="Y86" s="14" t="s">
        <v>1729</v>
      </c>
      <c r="Z86" s="14"/>
      <c r="AA86" s="14"/>
      <c r="AB86" s="14"/>
      <c r="AC86" s="14"/>
      <c r="AD86" s="14"/>
      <c r="AE86" s="14"/>
    </row>
    <row r="87" spans="1:31" ht="58">
      <c r="A87" t="s">
        <v>323</v>
      </c>
      <c r="B87" s="3" t="s">
        <v>963</v>
      </c>
      <c r="C87" s="3" t="s">
        <v>962</v>
      </c>
      <c r="F87" t="s">
        <v>19</v>
      </c>
      <c r="G87"/>
      <c r="H87" s="8" t="s">
        <v>1306</v>
      </c>
      <c r="I87" s="8"/>
      <c r="J87" s="8"/>
      <c r="K87" s="8"/>
      <c r="L87" s="8"/>
      <c r="M87" s="8"/>
      <c r="N87" s="8"/>
      <c r="O87" s="9"/>
      <c r="P87" s="8"/>
      <c r="Q87" s="8"/>
      <c r="R87" s="8">
        <v>4</v>
      </c>
      <c r="S87" s="8">
        <v>34</v>
      </c>
      <c r="T87" s="8">
        <v>38</v>
      </c>
      <c r="U87" s="8"/>
      <c r="V87" s="8"/>
      <c r="W87" s="8"/>
      <c r="X87" s="8" t="s">
        <v>1260</v>
      </c>
      <c r="Y87" s="8" t="s">
        <v>1727</v>
      </c>
      <c r="Z87" s="8" t="s">
        <v>19</v>
      </c>
      <c r="AA87" s="8"/>
      <c r="AB87" s="8"/>
      <c r="AC87" s="8"/>
      <c r="AD87" s="8"/>
      <c r="AE87" s="8"/>
    </row>
    <row r="88" spans="1:31" ht="29">
      <c r="A88" t="s">
        <v>329</v>
      </c>
      <c r="B88" s="3" t="s">
        <v>974</v>
      </c>
      <c r="C88" s="3" t="s">
        <v>975</v>
      </c>
      <c r="F88" t="s">
        <v>19</v>
      </c>
      <c r="G88"/>
      <c r="H88" s="8" t="s">
        <v>24</v>
      </c>
      <c r="I88" s="8">
        <v>0</v>
      </c>
      <c r="J88" s="8">
        <v>1</v>
      </c>
      <c r="K88" s="8">
        <v>1</v>
      </c>
      <c r="L88" s="8" t="s">
        <v>1274</v>
      </c>
      <c r="M88" s="8" t="s">
        <v>1304</v>
      </c>
      <c r="N88" s="8"/>
      <c r="O88" s="9"/>
      <c r="P88" s="8"/>
      <c r="Q88" s="8">
        <v>99</v>
      </c>
      <c r="R88" s="8"/>
      <c r="S88" s="8" t="s">
        <v>1371</v>
      </c>
      <c r="T88" s="8" t="s">
        <v>1371</v>
      </c>
      <c r="U88" s="8"/>
      <c r="V88" s="8"/>
      <c r="W88" s="8"/>
      <c r="X88" s="8" t="s">
        <v>1260</v>
      </c>
      <c r="Y88" s="8" t="s">
        <v>1727</v>
      </c>
      <c r="Z88" s="8" t="s">
        <v>19</v>
      </c>
      <c r="AA88" s="8"/>
      <c r="AB88" s="8"/>
      <c r="AC88" s="8"/>
      <c r="AD88" s="8"/>
      <c r="AE88" s="8"/>
    </row>
    <row r="89" spans="1:31" s="12" customFormat="1" ht="29">
      <c r="A89" s="12" t="s">
        <v>1560</v>
      </c>
      <c r="B89" s="13" t="s">
        <v>1561</v>
      </c>
      <c r="C89" s="13" t="s">
        <v>1561</v>
      </c>
      <c r="G89" s="13" t="s">
        <v>1562</v>
      </c>
      <c r="H89" s="14" t="s">
        <v>24</v>
      </c>
      <c r="I89" s="14"/>
      <c r="J89" s="14">
        <v>1</v>
      </c>
      <c r="K89" s="14">
        <v>1</v>
      </c>
      <c r="L89" s="14" t="s">
        <v>1257</v>
      </c>
      <c r="M89" s="14" t="s">
        <v>1304</v>
      </c>
      <c r="N89" s="14"/>
      <c r="O89" s="15"/>
      <c r="P89" s="14"/>
      <c r="Q89" s="14">
        <v>5</v>
      </c>
      <c r="R89" s="14"/>
      <c r="S89" s="14"/>
      <c r="T89" s="14"/>
      <c r="U89" s="14"/>
      <c r="V89" s="14"/>
      <c r="W89" s="14"/>
      <c r="X89" s="14" t="s">
        <v>1443</v>
      </c>
      <c r="Y89" s="14" t="s">
        <v>1727</v>
      </c>
      <c r="Z89" s="14"/>
      <c r="AA89" s="14"/>
      <c r="AB89" s="14"/>
      <c r="AC89" s="14"/>
      <c r="AD89" s="14"/>
      <c r="AE89" s="14"/>
    </row>
    <row r="90" spans="1:31" ht="72.5">
      <c r="A90" t="s">
        <v>335</v>
      </c>
      <c r="B90" s="3" t="s">
        <v>1352</v>
      </c>
      <c r="C90" s="3" t="s">
        <v>1351</v>
      </c>
      <c r="G90" t="s">
        <v>1377</v>
      </c>
      <c r="H90" s="8" t="s">
        <v>1305</v>
      </c>
      <c r="I90" s="8"/>
      <c r="J90" s="8"/>
      <c r="K90" s="8"/>
      <c r="L90" s="8"/>
      <c r="M90" s="8"/>
      <c r="N90" s="8"/>
      <c r="O90" s="9"/>
      <c r="P90" s="8"/>
      <c r="Q90" s="8"/>
      <c r="R90" s="8"/>
      <c r="S90" s="8" t="s">
        <v>1371</v>
      </c>
      <c r="T90" s="8" t="s">
        <v>1371</v>
      </c>
      <c r="U90" s="8"/>
      <c r="V90" s="8"/>
      <c r="W90" s="8"/>
      <c r="X90" s="8" t="s">
        <v>1444</v>
      </c>
      <c r="Y90" s="8" t="s">
        <v>1728</v>
      </c>
      <c r="Z90" s="8" t="s">
        <v>19</v>
      </c>
      <c r="AA90" s="8"/>
      <c r="AB90" s="8"/>
      <c r="AC90" s="8"/>
      <c r="AD90" s="8"/>
      <c r="AE90" s="8" t="s">
        <v>19</v>
      </c>
    </row>
    <row r="91" spans="1:31" s="12" customFormat="1" ht="72.5">
      <c r="A91" s="12" t="s">
        <v>347</v>
      </c>
      <c r="B91" s="13" t="s">
        <v>1563</v>
      </c>
      <c r="C91" s="13" t="s">
        <v>1563</v>
      </c>
      <c r="G91" s="13" t="s">
        <v>1565</v>
      </c>
      <c r="H91" s="14" t="s">
        <v>25</v>
      </c>
      <c r="I91" s="14"/>
      <c r="J91" s="14">
        <v>3</v>
      </c>
      <c r="K91" s="14">
        <v>16</v>
      </c>
      <c r="L91" s="14"/>
      <c r="M91" s="14" t="s">
        <v>1258</v>
      </c>
      <c r="N91" s="14" t="s">
        <v>1447</v>
      </c>
      <c r="O91" s="15" t="s">
        <v>1564</v>
      </c>
      <c r="P91" s="14"/>
      <c r="Q91" s="14">
        <v>61</v>
      </c>
      <c r="R91" s="14"/>
      <c r="S91" s="14"/>
      <c r="T91" s="14"/>
      <c r="U91" s="14"/>
      <c r="V91" s="14"/>
      <c r="W91" s="14"/>
      <c r="X91" s="14" t="s">
        <v>1443</v>
      </c>
      <c r="Y91" s="14" t="s">
        <v>1729</v>
      </c>
      <c r="Z91" s="14"/>
      <c r="AA91" s="14"/>
      <c r="AB91" s="14"/>
      <c r="AC91" s="14"/>
      <c r="AD91" s="14"/>
      <c r="AE91" s="14"/>
    </row>
    <row r="92" spans="1:31" ht="43.5">
      <c r="A92" t="s">
        <v>352</v>
      </c>
      <c r="B92" s="3" t="s">
        <v>990</v>
      </c>
      <c r="C92" s="3" t="s">
        <v>991</v>
      </c>
      <c r="G92"/>
      <c r="H92" s="8" t="s">
        <v>1303</v>
      </c>
      <c r="I92" s="8"/>
      <c r="J92" s="8"/>
      <c r="K92" s="8"/>
      <c r="L92" s="8"/>
      <c r="M92" s="8"/>
      <c r="N92" s="8"/>
      <c r="O92" s="9"/>
      <c r="P92" s="8"/>
      <c r="Q92" s="8"/>
      <c r="R92" s="8">
        <v>6</v>
      </c>
      <c r="S92" s="8">
        <v>0</v>
      </c>
      <c r="T92" s="8">
        <v>6</v>
      </c>
      <c r="U92" s="8"/>
      <c r="V92" s="8"/>
      <c r="W92" s="8"/>
      <c r="X92" s="8" t="s">
        <v>1260</v>
      </c>
      <c r="Y92" s="8" t="s">
        <v>1727</v>
      </c>
      <c r="Z92" s="8" t="s">
        <v>19</v>
      </c>
      <c r="AA92" s="8"/>
      <c r="AB92" s="8"/>
      <c r="AC92" s="8"/>
      <c r="AD92" s="8"/>
      <c r="AE92" s="8"/>
    </row>
    <row r="93" spans="1:31" s="12" customFormat="1" ht="43.5">
      <c r="A93" s="12" t="s">
        <v>1566</v>
      </c>
      <c r="B93" s="13" t="s">
        <v>1567</v>
      </c>
      <c r="C93" s="13" t="s">
        <v>1567</v>
      </c>
      <c r="G93" s="13" t="s">
        <v>1568</v>
      </c>
      <c r="H93" s="14" t="s">
        <v>1303</v>
      </c>
      <c r="I93" s="14"/>
      <c r="J93" s="14"/>
      <c r="K93" s="14"/>
      <c r="L93" s="14"/>
      <c r="M93" s="14"/>
      <c r="N93" s="14"/>
      <c r="O93" s="15"/>
      <c r="P93" s="14"/>
      <c r="Q93" s="14"/>
      <c r="R93" s="14">
        <f>T93-S93</f>
        <v>-160</v>
      </c>
      <c r="S93" s="14">
        <v>166</v>
      </c>
      <c r="T93" s="14">
        <v>6</v>
      </c>
      <c r="U93" s="14"/>
      <c r="V93" s="14"/>
      <c r="W93" s="14"/>
      <c r="X93" s="14" t="s">
        <v>1443</v>
      </c>
      <c r="Y93" s="14" t="s">
        <v>1729</v>
      </c>
      <c r="Z93" s="14"/>
      <c r="AA93" s="14"/>
      <c r="AB93" s="14"/>
      <c r="AC93" s="14"/>
      <c r="AD93" s="14"/>
      <c r="AE93" s="14"/>
    </row>
    <row r="94" spans="1:31" ht="58">
      <c r="A94" t="s">
        <v>361</v>
      </c>
      <c r="B94" s="3" t="s">
        <v>998</v>
      </c>
      <c r="C94" s="3" t="s">
        <v>999</v>
      </c>
      <c r="F94" t="s">
        <v>19</v>
      </c>
      <c r="G94"/>
      <c r="H94" s="8" t="s">
        <v>1305</v>
      </c>
      <c r="I94" s="8"/>
      <c r="J94" s="8"/>
      <c r="K94" s="8"/>
      <c r="L94" s="8"/>
      <c r="M94" s="8"/>
      <c r="N94" s="8"/>
      <c r="O94" s="9"/>
      <c r="P94" s="8"/>
      <c r="Q94" s="8"/>
      <c r="R94" s="8"/>
      <c r="S94" s="8" t="s">
        <v>1371</v>
      </c>
      <c r="T94" s="8" t="s">
        <v>1371</v>
      </c>
      <c r="U94" s="8"/>
      <c r="V94" s="8"/>
      <c r="W94" s="8"/>
      <c r="X94" s="8" t="s">
        <v>1444</v>
      </c>
      <c r="Y94" s="8" t="s">
        <v>1727</v>
      </c>
      <c r="Z94" s="8" t="s">
        <v>19</v>
      </c>
      <c r="AA94" s="8"/>
      <c r="AB94" s="8"/>
      <c r="AC94" s="8"/>
      <c r="AD94" s="8"/>
      <c r="AE94" s="8"/>
    </row>
    <row r="95" spans="1:31" s="12" customFormat="1" ht="29">
      <c r="A95" s="12" t="s">
        <v>370</v>
      </c>
      <c r="B95" s="13" t="s">
        <v>1569</v>
      </c>
      <c r="C95" s="13" t="s">
        <v>1569</v>
      </c>
      <c r="G95" s="13" t="s">
        <v>1570</v>
      </c>
      <c r="H95" s="14" t="s">
        <v>25</v>
      </c>
      <c r="I95" s="14"/>
      <c r="J95" s="14">
        <v>1</v>
      </c>
      <c r="K95" s="14">
        <v>3</v>
      </c>
      <c r="L95" s="14" t="s">
        <v>1268</v>
      </c>
      <c r="M95" s="14" t="s">
        <v>1263</v>
      </c>
      <c r="N95" s="14"/>
      <c r="O95" s="15"/>
      <c r="P95" s="14"/>
      <c r="Q95" s="14">
        <v>61</v>
      </c>
      <c r="R95" s="14"/>
      <c r="S95" s="14"/>
      <c r="T95" s="14"/>
      <c r="U95" s="14"/>
      <c r="V95" s="14"/>
      <c r="W95" s="14"/>
      <c r="X95" s="14" t="s">
        <v>1443</v>
      </c>
      <c r="Y95" s="14" t="s">
        <v>1729</v>
      </c>
      <c r="Z95" s="14"/>
      <c r="AA95" s="14"/>
      <c r="AB95" s="14"/>
      <c r="AC95" s="14"/>
      <c r="AD95" s="14"/>
      <c r="AE95" s="14"/>
    </row>
    <row r="96" spans="1:31" ht="29">
      <c r="A96" t="s">
        <v>370</v>
      </c>
      <c r="B96" s="3" t="s">
        <v>372</v>
      </c>
      <c r="C96" s="3" t="s">
        <v>371</v>
      </c>
      <c r="G96"/>
      <c r="H96" s="8" t="s">
        <v>1305</v>
      </c>
      <c r="I96" s="8"/>
      <c r="J96" s="8"/>
      <c r="K96" s="8"/>
      <c r="L96" s="8"/>
      <c r="M96" s="8"/>
      <c r="N96" s="8"/>
      <c r="O96" s="9"/>
      <c r="P96" s="8"/>
      <c r="Q96" s="8"/>
      <c r="R96" s="8"/>
      <c r="S96" s="8" t="s">
        <v>1371</v>
      </c>
      <c r="T96" s="8" t="s">
        <v>1371</v>
      </c>
      <c r="U96" s="8"/>
      <c r="V96" s="8"/>
      <c r="W96" s="8"/>
      <c r="X96" s="8" t="s">
        <v>1444</v>
      </c>
      <c r="Y96" s="8" t="s">
        <v>1727</v>
      </c>
      <c r="Z96" s="8" t="s">
        <v>19</v>
      </c>
      <c r="AA96" s="8"/>
      <c r="AB96" s="8"/>
      <c r="AC96" s="8"/>
      <c r="AD96" s="8"/>
      <c r="AE96" s="8"/>
    </row>
    <row r="97" spans="1:31" s="12" customFormat="1" ht="43.5">
      <c r="A97" s="12" t="s">
        <v>1571</v>
      </c>
      <c r="B97" s="13" t="s">
        <v>1572</v>
      </c>
      <c r="C97" s="13" t="s">
        <v>1572</v>
      </c>
      <c r="G97" s="13" t="s">
        <v>1573</v>
      </c>
      <c r="H97" s="14" t="s">
        <v>1305</v>
      </c>
      <c r="I97" s="14"/>
      <c r="J97" s="14"/>
      <c r="K97" s="14"/>
      <c r="L97" s="14"/>
      <c r="M97" s="14"/>
      <c r="N97" s="14"/>
      <c r="O97" s="15"/>
      <c r="P97" s="14"/>
      <c r="Q97" s="14"/>
      <c r="R97" s="14"/>
      <c r="S97" s="14"/>
      <c r="T97" s="14"/>
      <c r="U97" s="14"/>
      <c r="V97" s="14"/>
      <c r="W97" s="14"/>
      <c r="X97" s="14" t="s">
        <v>1443</v>
      </c>
      <c r="Y97" s="14" t="s">
        <v>1727</v>
      </c>
      <c r="Z97" s="14"/>
      <c r="AA97" s="14"/>
      <c r="AB97" s="14"/>
      <c r="AC97" s="14"/>
      <c r="AD97" s="14"/>
      <c r="AE97" s="14"/>
    </row>
    <row r="98" spans="1:31" s="12" customFormat="1" ht="58">
      <c r="A98" s="12" t="s">
        <v>373</v>
      </c>
      <c r="B98" s="13" t="s">
        <v>1574</v>
      </c>
      <c r="C98" s="13" t="s">
        <v>1574</v>
      </c>
      <c r="G98" s="13" t="s">
        <v>1575</v>
      </c>
      <c r="H98" s="14" t="s">
        <v>1305</v>
      </c>
      <c r="I98" s="14"/>
      <c r="J98" s="14"/>
      <c r="K98" s="14"/>
      <c r="L98" s="14"/>
      <c r="M98" s="14"/>
      <c r="N98" s="14"/>
      <c r="O98" s="15"/>
      <c r="P98" s="14"/>
      <c r="Q98" s="14"/>
      <c r="R98" s="14"/>
      <c r="S98" s="14"/>
      <c r="T98" s="14"/>
      <c r="U98" s="14"/>
      <c r="V98" s="14"/>
      <c r="W98" s="14"/>
      <c r="X98" s="14" t="s">
        <v>1443</v>
      </c>
      <c r="Y98" s="14" t="s">
        <v>1727</v>
      </c>
      <c r="Z98" s="14"/>
      <c r="AA98" s="14"/>
      <c r="AB98" s="14"/>
      <c r="AC98" s="14"/>
      <c r="AD98" s="14"/>
      <c r="AE98" s="14"/>
    </row>
    <row r="99" spans="1:31" ht="29">
      <c r="A99" t="s">
        <v>373</v>
      </c>
      <c r="B99" s="3" t="s">
        <v>377</v>
      </c>
      <c r="C99" s="3" t="s">
        <v>378</v>
      </c>
      <c r="F99" t="s">
        <v>19</v>
      </c>
      <c r="G99"/>
      <c r="H99" s="8" t="s">
        <v>1303</v>
      </c>
      <c r="I99" s="8"/>
      <c r="J99" s="8"/>
      <c r="K99" s="8"/>
      <c r="L99" s="8"/>
      <c r="M99" s="8"/>
      <c r="N99" s="8"/>
      <c r="O99" s="9"/>
      <c r="P99" s="8"/>
      <c r="Q99" s="8"/>
      <c r="R99" s="8">
        <v>0</v>
      </c>
      <c r="S99" s="8">
        <v>5</v>
      </c>
      <c r="T99" s="8">
        <v>5</v>
      </c>
      <c r="U99" s="8"/>
      <c r="V99" s="8"/>
      <c r="W99" s="8"/>
      <c r="X99" s="8" t="s">
        <v>1260</v>
      </c>
      <c r="Y99" s="8" t="s">
        <v>1727</v>
      </c>
      <c r="Z99" s="8" t="s">
        <v>19</v>
      </c>
      <c r="AA99" s="8"/>
      <c r="AB99" s="8"/>
      <c r="AC99" s="8"/>
      <c r="AD99" s="8"/>
      <c r="AE99" s="8"/>
    </row>
    <row r="100" spans="1:31" s="12" customFormat="1" ht="43.5">
      <c r="A100" s="12" t="s">
        <v>382</v>
      </c>
      <c r="B100" s="13" t="s">
        <v>1576</v>
      </c>
      <c r="C100" s="13" t="s">
        <v>1576</v>
      </c>
      <c r="G100" s="13" t="s">
        <v>1577</v>
      </c>
      <c r="H100" s="14" t="s">
        <v>24</v>
      </c>
      <c r="I100" s="14"/>
      <c r="J100" s="14">
        <v>1</v>
      </c>
      <c r="K100" s="14">
        <v>4</v>
      </c>
      <c r="L100" s="14" t="s">
        <v>1274</v>
      </c>
      <c r="M100" s="14" t="s">
        <v>1263</v>
      </c>
      <c r="N100" s="14"/>
      <c r="O100" s="15"/>
      <c r="P100" s="14"/>
      <c r="Q100" s="14">
        <v>312</v>
      </c>
      <c r="R100" s="14"/>
      <c r="S100" s="14"/>
      <c r="T100" s="14"/>
      <c r="U100" s="14"/>
      <c r="V100" s="14"/>
      <c r="W100" s="14"/>
      <c r="X100" s="14" t="s">
        <v>1443</v>
      </c>
      <c r="Y100" s="14" t="s">
        <v>1727</v>
      </c>
      <c r="Z100" s="14"/>
      <c r="AA100" s="14"/>
      <c r="AB100" s="14"/>
      <c r="AC100" s="14"/>
      <c r="AD100" s="14"/>
      <c r="AE100" s="14"/>
    </row>
    <row r="101" spans="1:31" ht="29">
      <c r="A101" t="s">
        <v>383</v>
      </c>
      <c r="B101" s="3" t="s">
        <v>384</v>
      </c>
      <c r="C101" s="3" t="s">
        <v>385</v>
      </c>
      <c r="G101"/>
      <c r="H101" s="8" t="s">
        <v>1305</v>
      </c>
      <c r="I101" s="8"/>
      <c r="J101" s="8"/>
      <c r="K101" s="8"/>
      <c r="L101" s="8"/>
      <c r="M101" s="8"/>
      <c r="N101" s="8"/>
      <c r="O101" s="9"/>
      <c r="P101" s="8"/>
      <c r="Q101" s="8"/>
      <c r="R101" s="8"/>
      <c r="S101" s="8" t="s">
        <v>1371</v>
      </c>
      <c r="T101" s="8" t="s">
        <v>1371</v>
      </c>
      <c r="U101" s="8"/>
      <c r="V101" s="8"/>
      <c r="W101" s="8"/>
      <c r="X101" s="8" t="s">
        <v>1260</v>
      </c>
      <c r="Y101" s="8" t="s">
        <v>1727</v>
      </c>
      <c r="Z101" s="8" t="s">
        <v>19</v>
      </c>
      <c r="AA101" s="8"/>
      <c r="AB101" s="8"/>
      <c r="AC101" s="8"/>
      <c r="AD101" s="8"/>
      <c r="AE101" s="8"/>
    </row>
    <row r="102" spans="1:31" s="12" customFormat="1" ht="43.5">
      <c r="A102" s="12" t="s">
        <v>390</v>
      </c>
      <c r="B102" s="13" t="s">
        <v>1578</v>
      </c>
      <c r="C102" s="13" t="s">
        <v>1578</v>
      </c>
      <c r="G102" s="13" t="s">
        <v>1579</v>
      </c>
      <c r="H102" s="14" t="s">
        <v>1305</v>
      </c>
      <c r="I102" s="14"/>
      <c r="J102" s="14"/>
      <c r="K102" s="14"/>
      <c r="L102" s="14"/>
      <c r="M102" s="14"/>
      <c r="N102" s="14"/>
      <c r="O102" s="15"/>
      <c r="P102" s="14"/>
      <c r="Q102" s="14"/>
      <c r="R102" s="14"/>
      <c r="S102" s="14"/>
      <c r="T102" s="14"/>
      <c r="U102" s="14"/>
      <c r="V102" s="14"/>
      <c r="W102" s="14"/>
      <c r="X102" s="14" t="s">
        <v>1443</v>
      </c>
      <c r="Y102" s="14" t="s">
        <v>1727</v>
      </c>
      <c r="Z102" s="14"/>
      <c r="AA102" s="14"/>
      <c r="AB102" s="14"/>
      <c r="AC102" s="14"/>
      <c r="AD102" s="14"/>
      <c r="AE102" s="14"/>
    </row>
    <row r="103" spans="1:31" s="12" customFormat="1" ht="43.5">
      <c r="A103" s="12" t="s">
        <v>391</v>
      </c>
      <c r="B103" s="13" t="s">
        <v>1580</v>
      </c>
      <c r="C103" s="13" t="s">
        <v>1580</v>
      </c>
      <c r="G103" s="13" t="s">
        <v>1581</v>
      </c>
      <c r="H103" s="14" t="s">
        <v>25</v>
      </c>
      <c r="I103" s="14"/>
      <c r="J103" s="14">
        <v>1</v>
      </c>
      <c r="K103" s="14">
        <v>2</v>
      </c>
      <c r="L103" s="14" t="s">
        <v>1274</v>
      </c>
      <c r="M103" s="14" t="s">
        <v>1304</v>
      </c>
      <c r="N103" s="14"/>
      <c r="O103" s="15"/>
      <c r="P103" s="14"/>
      <c r="Q103" s="14">
        <v>768</v>
      </c>
      <c r="R103" s="14"/>
      <c r="S103" s="14"/>
      <c r="T103" s="14"/>
      <c r="U103" s="14"/>
      <c r="V103" s="14"/>
      <c r="W103" s="14"/>
      <c r="X103" s="14" t="s">
        <v>1443</v>
      </c>
      <c r="Y103" s="14" t="s">
        <v>1727</v>
      </c>
      <c r="Z103" s="14"/>
      <c r="AA103" s="14"/>
      <c r="AB103" s="14"/>
      <c r="AC103" s="14"/>
      <c r="AD103" s="14"/>
      <c r="AE103" s="14"/>
    </row>
    <row r="104" spans="1:31" s="12" customFormat="1" ht="58">
      <c r="A104" s="12" t="s">
        <v>1582</v>
      </c>
      <c r="B104" s="13" t="s">
        <v>1585</v>
      </c>
      <c r="C104" s="13" t="s">
        <v>1585</v>
      </c>
      <c r="G104" s="13" t="s">
        <v>1586</v>
      </c>
      <c r="H104" s="14" t="s">
        <v>24</v>
      </c>
      <c r="I104" s="14"/>
      <c r="J104" s="14">
        <v>1</v>
      </c>
      <c r="K104" s="14">
        <v>7</v>
      </c>
      <c r="L104" s="14" t="s">
        <v>1257</v>
      </c>
      <c r="M104" s="14" t="s">
        <v>1263</v>
      </c>
      <c r="N104" s="14"/>
      <c r="O104" s="15"/>
      <c r="P104" s="14"/>
      <c r="Q104" s="14">
        <v>1</v>
      </c>
      <c r="R104" s="14"/>
      <c r="S104" s="14"/>
      <c r="T104" s="14"/>
      <c r="U104" s="14"/>
      <c r="V104" s="14"/>
      <c r="W104" s="14"/>
      <c r="X104" s="14" t="s">
        <v>1443</v>
      </c>
      <c r="Y104" s="14" t="s">
        <v>1729</v>
      </c>
      <c r="Z104" s="14"/>
      <c r="AA104" s="14"/>
      <c r="AB104" s="14"/>
      <c r="AC104" s="14"/>
      <c r="AD104" s="14"/>
      <c r="AE104" s="14"/>
    </row>
    <row r="105" spans="1:31" s="12" customFormat="1" ht="72.5">
      <c r="A105" s="12" t="s">
        <v>1583</v>
      </c>
      <c r="B105" s="13" t="s">
        <v>1587</v>
      </c>
      <c r="C105" s="13" t="s">
        <v>1587</v>
      </c>
      <c r="G105" s="13" t="s">
        <v>1588</v>
      </c>
      <c r="H105" s="14" t="s">
        <v>1303</v>
      </c>
      <c r="I105" s="14"/>
      <c r="J105" s="14"/>
      <c r="K105" s="14"/>
      <c r="L105" s="14"/>
      <c r="M105" s="14"/>
      <c r="N105" s="14"/>
      <c r="O105" s="15"/>
      <c r="P105" s="14"/>
      <c r="Q105" s="14"/>
      <c r="R105" s="14">
        <f>T105-S105</f>
        <v>-813</v>
      </c>
      <c r="S105" s="14">
        <v>830</v>
      </c>
      <c r="T105" s="14">
        <v>17</v>
      </c>
      <c r="U105" s="14"/>
      <c r="V105" s="14"/>
      <c r="W105" s="14"/>
      <c r="X105" s="14" t="s">
        <v>1443</v>
      </c>
      <c r="Y105" s="14" t="s">
        <v>1727</v>
      </c>
      <c r="Z105" s="14"/>
      <c r="AA105" s="14"/>
      <c r="AB105" s="14"/>
      <c r="AC105" s="14"/>
      <c r="AD105" s="14"/>
      <c r="AE105" s="14"/>
    </row>
    <row r="106" spans="1:31" s="12" customFormat="1" ht="29">
      <c r="A106" s="12" t="s">
        <v>1584</v>
      </c>
      <c r="B106" s="13" t="s">
        <v>1589</v>
      </c>
      <c r="C106" s="13" t="s">
        <v>1589</v>
      </c>
      <c r="G106" s="13" t="s">
        <v>1590</v>
      </c>
      <c r="H106" s="14" t="s">
        <v>25</v>
      </c>
      <c r="I106" s="14"/>
      <c r="J106" s="14">
        <v>1</v>
      </c>
      <c r="K106" s="14">
        <v>1</v>
      </c>
      <c r="L106" s="14" t="s">
        <v>1262</v>
      </c>
      <c r="M106" s="14" t="s">
        <v>1304</v>
      </c>
      <c r="N106" s="14"/>
      <c r="O106" s="15"/>
      <c r="P106" s="14" t="s">
        <v>1259</v>
      </c>
      <c r="Q106" s="14">
        <v>2475</v>
      </c>
      <c r="R106" s="14"/>
      <c r="S106" s="14"/>
      <c r="T106" s="14"/>
      <c r="U106" s="14"/>
      <c r="V106" s="14"/>
      <c r="W106" s="14"/>
      <c r="X106" s="14" t="s">
        <v>1443</v>
      </c>
      <c r="Y106" s="14" t="s">
        <v>1729</v>
      </c>
      <c r="Z106" s="14"/>
      <c r="AA106" s="14"/>
      <c r="AB106" s="14"/>
      <c r="AC106" s="14"/>
      <c r="AD106" s="14"/>
      <c r="AE106" s="14"/>
    </row>
    <row r="107" spans="1:31" s="12" customFormat="1" ht="29">
      <c r="A107" s="12" t="s">
        <v>397</v>
      </c>
      <c r="B107" s="13" t="s">
        <v>1593</v>
      </c>
      <c r="C107" s="13" t="s">
        <v>1593</v>
      </c>
      <c r="G107" s="13" t="s">
        <v>1594</v>
      </c>
      <c r="H107" s="14" t="s">
        <v>1303</v>
      </c>
      <c r="I107" s="14"/>
      <c r="J107" s="14"/>
      <c r="K107" s="14"/>
      <c r="L107" s="14"/>
      <c r="M107" s="14"/>
      <c r="N107" s="14"/>
      <c r="O107" s="15"/>
      <c r="P107" s="14"/>
      <c r="Q107" s="14"/>
      <c r="R107" s="14">
        <v>0</v>
      </c>
      <c r="S107" s="14">
        <v>0</v>
      </c>
      <c r="T107" s="14">
        <v>0</v>
      </c>
      <c r="U107" s="14"/>
      <c r="V107" s="14"/>
      <c r="W107" s="14"/>
      <c r="X107" s="14" t="s">
        <v>1443</v>
      </c>
      <c r="Y107" s="14" t="s">
        <v>1727</v>
      </c>
      <c r="Z107" s="14"/>
      <c r="AA107" s="14"/>
      <c r="AB107" s="14"/>
      <c r="AC107" s="14"/>
      <c r="AD107" s="14"/>
      <c r="AE107" s="14"/>
    </row>
    <row r="108" spans="1:31" s="12" customFormat="1" ht="58">
      <c r="A108" s="12" t="s">
        <v>1591</v>
      </c>
      <c r="B108" s="13" t="s">
        <v>1595</v>
      </c>
      <c r="C108" s="13" t="s">
        <v>1595</v>
      </c>
      <c r="G108" s="13" t="s">
        <v>1596</v>
      </c>
      <c r="H108" s="14" t="s">
        <v>1305</v>
      </c>
      <c r="I108" s="14"/>
      <c r="J108" s="14"/>
      <c r="K108" s="14"/>
      <c r="L108" s="14"/>
      <c r="M108" s="14"/>
      <c r="N108" s="14"/>
      <c r="O108" s="15"/>
      <c r="P108" s="14"/>
      <c r="Q108" s="14"/>
      <c r="R108" s="14"/>
      <c r="S108" s="14"/>
      <c r="T108" s="14"/>
      <c r="U108" s="14"/>
      <c r="V108" s="14"/>
      <c r="W108" s="14"/>
      <c r="X108" s="14" t="s">
        <v>1443</v>
      </c>
      <c r="Y108" s="14" t="s">
        <v>1729</v>
      </c>
      <c r="Z108" s="14"/>
      <c r="AA108" s="14"/>
      <c r="AB108" s="14"/>
      <c r="AC108" s="14"/>
      <c r="AD108" s="14"/>
      <c r="AE108" s="14"/>
    </row>
    <row r="109" spans="1:31" s="12" customFormat="1" ht="43.5">
      <c r="A109" s="12" t="s">
        <v>1592</v>
      </c>
      <c r="B109" s="13" t="s">
        <v>1597</v>
      </c>
      <c r="C109" s="13" t="s">
        <v>1597</v>
      </c>
      <c r="G109" s="13" t="s">
        <v>1598</v>
      </c>
      <c r="H109" s="14" t="s">
        <v>1305</v>
      </c>
      <c r="I109" s="14"/>
      <c r="J109" s="14"/>
      <c r="K109" s="14"/>
      <c r="L109" s="14"/>
      <c r="M109" s="14"/>
      <c r="N109" s="14"/>
      <c r="O109" s="15"/>
      <c r="P109" s="14"/>
      <c r="Q109" s="14"/>
      <c r="R109" s="14"/>
      <c r="S109" s="14"/>
      <c r="T109" s="14"/>
      <c r="U109" s="14"/>
      <c r="V109" s="14"/>
      <c r="W109" s="14"/>
      <c r="X109" s="14" t="s">
        <v>1443</v>
      </c>
      <c r="Y109" s="14" t="s">
        <v>1727</v>
      </c>
      <c r="Z109" s="14"/>
      <c r="AA109" s="14"/>
      <c r="AB109" s="14"/>
      <c r="AC109" s="14"/>
      <c r="AD109" s="14"/>
      <c r="AE109" s="14"/>
    </row>
    <row r="110" spans="1:31" s="12" customFormat="1" ht="43.5">
      <c r="A110" s="12" t="s">
        <v>403</v>
      </c>
      <c r="B110" s="13" t="s">
        <v>1599</v>
      </c>
      <c r="C110" s="13" t="s">
        <v>1599</v>
      </c>
      <c r="G110" s="13" t="s">
        <v>1600</v>
      </c>
      <c r="H110" s="14" t="s">
        <v>25</v>
      </c>
      <c r="I110" s="14"/>
      <c r="J110" s="14">
        <v>1</v>
      </c>
      <c r="K110" s="14">
        <v>3</v>
      </c>
      <c r="L110" s="14" t="s">
        <v>1268</v>
      </c>
      <c r="M110" s="14" t="s">
        <v>1263</v>
      </c>
      <c r="N110" s="14"/>
      <c r="O110" s="15"/>
      <c r="P110" s="14"/>
      <c r="Q110" s="14">
        <v>1759</v>
      </c>
      <c r="R110" s="14"/>
      <c r="S110" s="14"/>
      <c r="T110" s="14"/>
      <c r="U110" s="14"/>
      <c r="V110" s="14"/>
      <c r="W110" s="14"/>
      <c r="X110" s="14" t="s">
        <v>1443</v>
      </c>
      <c r="Y110" s="14" t="s">
        <v>1729</v>
      </c>
      <c r="Z110" s="14"/>
      <c r="AA110" s="14"/>
      <c r="AB110" s="14"/>
      <c r="AC110" s="14"/>
      <c r="AD110" s="14"/>
      <c r="AE110" s="14"/>
    </row>
    <row r="111" spans="1:31" s="17" customFormat="1" ht="29">
      <c r="A111" s="17" t="s">
        <v>403</v>
      </c>
      <c r="B111" s="17" t="s">
        <v>1037</v>
      </c>
      <c r="C111" s="18" t="s">
        <v>1036</v>
      </c>
      <c r="G111" s="17" t="s">
        <v>1725</v>
      </c>
      <c r="H111" s="19" t="s">
        <v>1305</v>
      </c>
      <c r="I111" s="8"/>
      <c r="J111" s="19"/>
      <c r="K111" s="19"/>
      <c r="L111" s="19"/>
      <c r="M111" s="8"/>
      <c r="N111" s="8"/>
      <c r="O111" s="9"/>
      <c r="P111" s="8"/>
      <c r="Q111" s="8"/>
      <c r="R111" s="8"/>
      <c r="S111" s="8" t="s">
        <v>1371</v>
      </c>
      <c r="T111" s="8" t="s">
        <v>1371</v>
      </c>
      <c r="U111" s="19"/>
      <c r="V111" s="19"/>
      <c r="W111" s="19"/>
      <c r="X111" s="19" t="s">
        <v>1443</v>
      </c>
      <c r="Y111" s="19" t="s">
        <v>1727</v>
      </c>
      <c r="Z111" s="19" t="s">
        <v>19</v>
      </c>
      <c r="AA111" s="19"/>
      <c r="AB111" s="19"/>
      <c r="AC111" s="19"/>
      <c r="AD111" s="19"/>
      <c r="AE111" s="19"/>
    </row>
    <row r="112" spans="1:31" s="12" customFormat="1" ht="58">
      <c r="A112" s="12" t="s">
        <v>403</v>
      </c>
      <c r="B112" s="12" t="s">
        <v>1601</v>
      </c>
      <c r="C112" s="13" t="s">
        <v>1601</v>
      </c>
      <c r="G112" s="13" t="s">
        <v>1602</v>
      </c>
      <c r="H112" s="14"/>
      <c r="I112" s="14"/>
      <c r="J112" s="14"/>
      <c r="K112" s="14"/>
      <c r="L112" s="14"/>
      <c r="M112" s="14"/>
      <c r="N112" s="14"/>
      <c r="O112" s="15"/>
      <c r="P112" s="14"/>
      <c r="Q112" s="14"/>
      <c r="R112" s="14"/>
      <c r="S112" s="14"/>
      <c r="T112" s="14"/>
      <c r="U112" s="14"/>
      <c r="V112" s="14"/>
      <c r="W112" s="14"/>
      <c r="X112" s="14" t="s">
        <v>1443</v>
      </c>
      <c r="Y112" s="14" t="s">
        <v>1729</v>
      </c>
      <c r="Z112" s="14"/>
      <c r="AA112" s="14"/>
      <c r="AB112" s="14"/>
      <c r="AC112" s="14"/>
      <c r="AD112" s="14"/>
      <c r="AE112" s="14"/>
    </row>
    <row r="113" spans="1:31" s="12" customFormat="1" ht="29">
      <c r="A113" s="12" t="s">
        <v>403</v>
      </c>
      <c r="B113" s="13" t="s">
        <v>1603</v>
      </c>
      <c r="C113" s="13" t="s">
        <v>1603</v>
      </c>
      <c r="G113" s="13" t="s">
        <v>1604</v>
      </c>
      <c r="H113" s="14" t="s">
        <v>1303</v>
      </c>
      <c r="I113" s="14"/>
      <c r="J113" s="14"/>
      <c r="K113" s="14"/>
      <c r="L113" s="14"/>
      <c r="M113" s="14"/>
      <c r="N113" s="14"/>
      <c r="O113" s="15"/>
      <c r="P113" s="14"/>
      <c r="Q113" s="14"/>
      <c r="R113" s="14">
        <v>129</v>
      </c>
      <c r="S113" s="14">
        <v>0</v>
      </c>
      <c r="T113" s="14">
        <v>129</v>
      </c>
      <c r="U113" s="14"/>
      <c r="V113" s="14"/>
      <c r="W113" s="14"/>
      <c r="X113" s="14" t="s">
        <v>1443</v>
      </c>
      <c r="Y113" s="14" t="s">
        <v>1729</v>
      </c>
      <c r="Z113" s="14"/>
      <c r="AA113" s="14"/>
      <c r="AB113" s="14"/>
      <c r="AC113" s="14"/>
      <c r="AD113" s="14"/>
      <c r="AE113" s="14"/>
    </row>
    <row r="114" spans="1:31" s="12" customFormat="1" ht="72.5">
      <c r="A114" s="12" t="s">
        <v>1605</v>
      </c>
      <c r="B114" s="13" t="s">
        <v>1606</v>
      </c>
      <c r="C114" s="13" t="s">
        <v>1606</v>
      </c>
      <c r="G114" s="13" t="s">
        <v>1607</v>
      </c>
      <c r="H114" s="14" t="s">
        <v>25</v>
      </c>
      <c r="I114" s="14"/>
      <c r="J114" s="14">
        <v>10</v>
      </c>
      <c r="K114" s="14">
        <v>41</v>
      </c>
      <c r="L114" s="14"/>
      <c r="M114" s="14" t="s">
        <v>1258</v>
      </c>
      <c r="N114" s="14" t="s">
        <v>1316</v>
      </c>
      <c r="O114" s="15" t="s">
        <v>1317</v>
      </c>
      <c r="P114" s="14"/>
      <c r="Q114" s="14">
        <v>7</v>
      </c>
      <c r="R114" s="14"/>
      <c r="S114" s="14"/>
      <c r="T114" s="14"/>
      <c r="U114" s="14"/>
      <c r="V114" s="14"/>
      <c r="W114" s="14"/>
      <c r="X114" s="14" t="s">
        <v>1443</v>
      </c>
      <c r="Y114" s="14" t="s">
        <v>1729</v>
      </c>
      <c r="Z114" s="14"/>
      <c r="AA114" s="14"/>
      <c r="AB114" s="14"/>
      <c r="AC114" s="14"/>
      <c r="AD114" s="14"/>
      <c r="AE114" s="14"/>
    </row>
    <row r="115" spans="1:31" s="12" customFormat="1" ht="43.5">
      <c r="A115" s="12" t="s">
        <v>1608</v>
      </c>
      <c r="B115" s="13" t="s">
        <v>1609</v>
      </c>
      <c r="C115" s="13" t="s">
        <v>1609</v>
      </c>
      <c r="G115" s="13" t="s">
        <v>1610</v>
      </c>
      <c r="H115" s="14" t="s">
        <v>1305</v>
      </c>
      <c r="I115" s="14"/>
      <c r="J115" s="14"/>
      <c r="K115" s="14"/>
      <c r="L115" s="14"/>
      <c r="M115" s="14"/>
      <c r="N115" s="14"/>
      <c r="O115" s="15"/>
      <c r="P115" s="14"/>
      <c r="Q115" s="14"/>
      <c r="R115" s="14"/>
      <c r="S115" s="14"/>
      <c r="T115" s="14"/>
      <c r="U115" s="14"/>
      <c r="V115" s="14"/>
      <c r="W115" s="14"/>
      <c r="X115" s="14" t="s">
        <v>1443</v>
      </c>
      <c r="Y115" s="14" t="s">
        <v>1727</v>
      </c>
      <c r="Z115" s="14"/>
      <c r="AA115" s="14"/>
      <c r="AB115" s="14"/>
      <c r="AC115" s="14"/>
      <c r="AD115" s="14"/>
      <c r="AE115" s="14"/>
    </row>
    <row r="116" spans="1:31" s="12" customFormat="1" ht="43.5">
      <c r="A116" s="12" t="s">
        <v>404</v>
      </c>
      <c r="B116" s="13" t="s">
        <v>1611</v>
      </c>
      <c r="C116" s="13" t="s">
        <v>1611</v>
      </c>
      <c r="G116" s="13" t="s">
        <v>1588</v>
      </c>
      <c r="H116" s="14" t="s">
        <v>1305</v>
      </c>
      <c r="I116" s="14"/>
      <c r="J116" s="14"/>
      <c r="K116" s="14"/>
      <c r="L116" s="14"/>
      <c r="M116" s="14"/>
      <c r="N116" s="14"/>
      <c r="O116" s="15"/>
      <c r="P116" s="14"/>
      <c r="Q116" s="14"/>
      <c r="R116" s="14"/>
      <c r="S116" s="14"/>
      <c r="T116" s="14"/>
      <c r="U116" s="14"/>
      <c r="V116" s="14"/>
      <c r="W116" s="14"/>
      <c r="X116" s="14" t="s">
        <v>1443</v>
      </c>
      <c r="Y116" s="14" t="s">
        <v>1727</v>
      </c>
      <c r="Z116" s="14"/>
      <c r="AA116" s="14"/>
      <c r="AB116" s="14"/>
      <c r="AC116" s="14"/>
      <c r="AD116" s="14"/>
      <c r="AE116" s="14"/>
    </row>
    <row r="117" spans="1:31" ht="43.5">
      <c r="A117" t="s">
        <v>408</v>
      </c>
      <c r="B117" s="3" t="s">
        <v>1040</v>
      </c>
      <c r="C117" s="3" t="s">
        <v>1041</v>
      </c>
      <c r="F117" t="s">
        <v>19</v>
      </c>
      <c r="G117" t="s">
        <v>1357</v>
      </c>
      <c r="H117" s="8" t="s">
        <v>1303</v>
      </c>
      <c r="I117" s="8"/>
      <c r="J117" s="8"/>
      <c r="K117" s="8"/>
      <c r="L117" s="8"/>
      <c r="M117" s="8"/>
      <c r="N117" s="8"/>
      <c r="O117" s="9"/>
      <c r="P117" s="8"/>
      <c r="Q117" s="8"/>
      <c r="R117" s="8">
        <v>0</v>
      </c>
      <c r="S117" s="8">
        <v>3</v>
      </c>
      <c r="T117" s="8">
        <v>3</v>
      </c>
      <c r="U117" s="8"/>
      <c r="V117" s="8"/>
      <c r="W117" s="8"/>
      <c r="X117" s="8" t="s">
        <v>1260</v>
      </c>
      <c r="Y117" s="8" t="s">
        <v>1727</v>
      </c>
      <c r="Z117" s="8" t="s">
        <v>19</v>
      </c>
      <c r="AA117" s="8"/>
      <c r="AB117" s="8"/>
      <c r="AC117" s="8"/>
      <c r="AD117" s="8"/>
      <c r="AE117" s="8"/>
    </row>
    <row r="118" spans="1:31" ht="43.5">
      <c r="A118" t="s">
        <v>415</v>
      </c>
      <c r="B118" s="3" t="s">
        <v>1049</v>
      </c>
      <c r="C118" s="3" t="s">
        <v>1050</v>
      </c>
      <c r="F118" t="s">
        <v>19</v>
      </c>
      <c r="G118"/>
      <c r="H118" s="8" t="s">
        <v>24</v>
      </c>
      <c r="I118" s="8">
        <v>0</v>
      </c>
      <c r="J118" s="8">
        <v>1</v>
      </c>
      <c r="K118" s="8">
        <v>3</v>
      </c>
      <c r="L118" s="8" t="s">
        <v>1268</v>
      </c>
      <c r="M118" s="8" t="s">
        <v>1263</v>
      </c>
      <c r="N118" s="8"/>
      <c r="O118" s="9"/>
      <c r="P118" s="8"/>
      <c r="Q118" s="8">
        <v>1701</v>
      </c>
      <c r="R118" s="8"/>
      <c r="S118" s="8" t="s">
        <v>1371</v>
      </c>
      <c r="T118" s="8" t="s">
        <v>1371</v>
      </c>
      <c r="U118" s="8"/>
      <c r="V118" s="8"/>
      <c r="W118" s="8"/>
      <c r="X118" s="8" t="s">
        <v>1260</v>
      </c>
      <c r="Y118" s="8" t="s">
        <v>1727</v>
      </c>
      <c r="Z118" s="8" t="s">
        <v>19</v>
      </c>
      <c r="AA118" s="8"/>
      <c r="AB118" s="8"/>
      <c r="AC118" s="8"/>
      <c r="AD118" s="8"/>
      <c r="AE118" s="8"/>
    </row>
    <row r="119" spans="1:31" s="12" customFormat="1" ht="58">
      <c r="A119" s="12" t="s">
        <v>1612</v>
      </c>
      <c r="B119" s="13" t="s">
        <v>1613</v>
      </c>
      <c r="C119" s="13" t="s">
        <v>1613</v>
      </c>
      <c r="G119" s="13" t="s">
        <v>1713</v>
      </c>
      <c r="H119" s="14" t="s">
        <v>1303</v>
      </c>
      <c r="I119" s="14"/>
      <c r="J119" s="14"/>
      <c r="K119" s="14"/>
      <c r="L119" s="14"/>
      <c r="M119" s="14"/>
      <c r="N119" s="14"/>
      <c r="O119" s="15"/>
      <c r="P119" s="14"/>
      <c r="Q119" s="14"/>
      <c r="R119" s="14">
        <v>22</v>
      </c>
      <c r="S119" s="14">
        <v>2</v>
      </c>
      <c r="T119" s="14">
        <v>24</v>
      </c>
      <c r="U119" s="14"/>
      <c r="V119" s="14"/>
      <c r="W119" s="14"/>
      <c r="X119" s="14" t="s">
        <v>1443</v>
      </c>
      <c r="Y119" s="14" t="s">
        <v>1729</v>
      </c>
      <c r="Z119" s="14"/>
      <c r="AA119" s="14"/>
      <c r="AB119" s="14"/>
      <c r="AC119" s="14"/>
      <c r="AD119" s="14"/>
      <c r="AE119" s="14"/>
    </row>
    <row r="120" spans="1:31" ht="29">
      <c r="A120" t="s">
        <v>416</v>
      </c>
      <c r="B120" s="3" t="s">
        <v>1051</v>
      </c>
      <c r="C120" s="3" t="s">
        <v>1052</v>
      </c>
      <c r="G120"/>
      <c r="H120" s="8" t="s">
        <v>25</v>
      </c>
      <c r="I120" s="8">
        <v>0</v>
      </c>
      <c r="J120" s="8">
        <v>1</v>
      </c>
      <c r="K120" s="8">
        <v>3</v>
      </c>
      <c r="L120" s="8" t="s">
        <v>1308</v>
      </c>
      <c r="M120" s="8" t="s">
        <v>1263</v>
      </c>
      <c r="N120" s="8"/>
      <c r="O120" s="9"/>
      <c r="P120" s="8"/>
      <c r="Q120" s="8">
        <v>204</v>
      </c>
      <c r="R120" s="8"/>
      <c r="S120" s="8" t="s">
        <v>1371</v>
      </c>
      <c r="T120" s="8" t="s">
        <v>1371</v>
      </c>
      <c r="U120" s="8"/>
      <c r="V120" s="8"/>
      <c r="W120" s="8"/>
      <c r="X120" s="8" t="s">
        <v>1260</v>
      </c>
      <c r="Y120" s="8" t="s">
        <v>1727</v>
      </c>
      <c r="Z120" s="8" t="s">
        <v>19</v>
      </c>
      <c r="AA120" s="8"/>
      <c r="AB120" s="8"/>
      <c r="AC120" s="8"/>
      <c r="AD120" s="8"/>
      <c r="AE120" s="8"/>
    </row>
    <row r="121" spans="1:31" s="12" customFormat="1" ht="29">
      <c r="A121" s="12" t="s">
        <v>416</v>
      </c>
      <c r="B121" s="13" t="s">
        <v>1614</v>
      </c>
      <c r="C121" s="13" t="s">
        <v>1614</v>
      </c>
      <c r="G121" s="13" t="s">
        <v>1615</v>
      </c>
      <c r="H121" s="14" t="s">
        <v>1305</v>
      </c>
      <c r="I121" s="14"/>
      <c r="J121" s="14"/>
      <c r="K121" s="14"/>
      <c r="L121" s="14"/>
      <c r="M121" s="14"/>
      <c r="N121" s="14"/>
      <c r="O121" s="15"/>
      <c r="P121" s="14"/>
      <c r="Q121" s="14"/>
      <c r="R121" s="14"/>
      <c r="S121" s="14"/>
      <c r="T121" s="14"/>
      <c r="U121" s="14"/>
      <c r="V121" s="14"/>
      <c r="W121" s="14"/>
      <c r="X121" s="14" t="s">
        <v>1443</v>
      </c>
      <c r="Y121" s="14" t="s">
        <v>1729</v>
      </c>
      <c r="Z121" s="14"/>
      <c r="AA121" s="14"/>
      <c r="AB121" s="14"/>
      <c r="AC121" s="14"/>
      <c r="AD121" s="14"/>
      <c r="AE121" s="14"/>
    </row>
    <row r="122" spans="1:31" s="12" customFormat="1" ht="72.5">
      <c r="A122" s="12" t="s">
        <v>422</v>
      </c>
      <c r="B122" s="13" t="s">
        <v>1616</v>
      </c>
      <c r="C122" s="13" t="s">
        <v>1616</v>
      </c>
      <c r="G122" s="13" t="s">
        <v>1617</v>
      </c>
      <c r="H122" s="14" t="s">
        <v>1303</v>
      </c>
      <c r="I122" s="14"/>
      <c r="J122" s="14"/>
      <c r="K122" s="14"/>
      <c r="L122" s="14"/>
      <c r="M122" s="14"/>
      <c r="N122" s="14"/>
      <c r="O122" s="15"/>
      <c r="P122" s="14"/>
      <c r="Q122" s="14"/>
      <c r="R122" s="14">
        <v>-2</v>
      </c>
      <c r="S122" s="14">
        <v>2</v>
      </c>
      <c r="T122" s="14">
        <v>0</v>
      </c>
      <c r="U122" s="14"/>
      <c r="V122" s="14"/>
      <c r="W122" s="14"/>
      <c r="X122" s="14" t="s">
        <v>1443</v>
      </c>
      <c r="Y122" s="14" t="s">
        <v>1727</v>
      </c>
      <c r="Z122" s="14"/>
      <c r="AA122" s="14"/>
      <c r="AB122" s="14"/>
      <c r="AC122" s="14"/>
      <c r="AD122" s="14"/>
      <c r="AE122" s="14"/>
    </row>
    <row r="123" spans="1:31" s="12" customFormat="1" ht="43.5">
      <c r="A123" s="12" t="s">
        <v>1618</v>
      </c>
      <c r="B123" s="13" t="s">
        <v>1619</v>
      </c>
      <c r="C123" s="13" t="s">
        <v>1619</v>
      </c>
      <c r="G123" s="13" t="s">
        <v>1620</v>
      </c>
      <c r="H123" s="14" t="s">
        <v>24</v>
      </c>
      <c r="I123" s="14"/>
      <c r="J123" s="14">
        <v>1</v>
      </c>
      <c r="K123" s="14">
        <v>3</v>
      </c>
      <c r="L123" s="14" t="s">
        <v>1266</v>
      </c>
      <c r="M123" s="14" t="s">
        <v>1263</v>
      </c>
      <c r="N123" s="14"/>
      <c r="O123" s="15"/>
      <c r="P123" s="14"/>
      <c r="Q123" s="14">
        <v>0</v>
      </c>
      <c r="R123" s="14"/>
      <c r="S123" s="14"/>
      <c r="T123" s="14"/>
      <c r="U123" s="14"/>
      <c r="V123" s="14"/>
      <c r="W123" s="14"/>
      <c r="X123" s="14" t="s">
        <v>1443</v>
      </c>
      <c r="Y123" s="14" t="s">
        <v>1727</v>
      </c>
      <c r="Z123" s="14"/>
      <c r="AA123" s="14"/>
      <c r="AB123" s="14"/>
      <c r="AC123" s="14"/>
      <c r="AD123" s="14"/>
      <c r="AE123" s="14"/>
    </row>
    <row r="124" spans="1:31" s="12" customFormat="1" ht="87">
      <c r="A124" s="12" t="s">
        <v>434</v>
      </c>
      <c r="B124" s="13" t="s">
        <v>1621</v>
      </c>
      <c r="C124" s="13" t="s">
        <v>1621</v>
      </c>
      <c r="G124" s="13" t="s">
        <v>1622</v>
      </c>
      <c r="H124" s="14" t="s">
        <v>25</v>
      </c>
      <c r="I124" s="14"/>
      <c r="J124" s="14">
        <v>1</v>
      </c>
      <c r="K124" s="14">
        <v>2</v>
      </c>
      <c r="L124" s="14" t="s">
        <v>1276</v>
      </c>
      <c r="M124" s="14" t="s">
        <v>1304</v>
      </c>
      <c r="N124" s="14"/>
      <c r="O124" s="15"/>
      <c r="P124" s="14"/>
      <c r="Q124" s="14">
        <v>613</v>
      </c>
      <c r="R124" s="14"/>
      <c r="S124" s="14"/>
      <c r="T124" s="14"/>
      <c r="U124" s="14"/>
      <c r="V124" s="14"/>
      <c r="W124" s="14"/>
      <c r="X124" s="14" t="s">
        <v>1443</v>
      </c>
      <c r="Y124" s="14" t="s">
        <v>1727</v>
      </c>
      <c r="Z124" s="14"/>
      <c r="AA124" s="14"/>
      <c r="AB124" s="14"/>
      <c r="AC124" s="14"/>
      <c r="AD124" s="14"/>
      <c r="AE124" s="14"/>
    </row>
    <row r="125" spans="1:31" ht="43.5">
      <c r="A125" t="s">
        <v>440</v>
      </c>
      <c r="B125" s="3" t="s">
        <v>1088</v>
      </c>
      <c r="C125" s="3" t="s">
        <v>1089</v>
      </c>
      <c r="F125" t="s">
        <v>19</v>
      </c>
      <c r="G125"/>
      <c r="H125" s="8" t="s">
        <v>24</v>
      </c>
      <c r="I125" s="8">
        <v>0</v>
      </c>
      <c r="J125" s="8">
        <v>1</v>
      </c>
      <c r="K125" s="8">
        <v>3</v>
      </c>
      <c r="L125" s="8" t="s">
        <v>1308</v>
      </c>
      <c r="M125" s="8" t="s">
        <v>1263</v>
      </c>
      <c r="N125" s="8"/>
      <c r="O125" s="9"/>
      <c r="P125" s="8"/>
      <c r="Q125" s="8">
        <v>14</v>
      </c>
      <c r="R125" s="8"/>
      <c r="S125" s="8" t="s">
        <v>1371</v>
      </c>
      <c r="T125" s="8" t="s">
        <v>1371</v>
      </c>
      <c r="U125" s="8"/>
      <c r="V125" s="8"/>
      <c r="W125" s="8"/>
      <c r="X125" s="8" t="s">
        <v>1260</v>
      </c>
      <c r="Y125" s="8" t="s">
        <v>1727</v>
      </c>
      <c r="Z125" s="8" t="s">
        <v>19</v>
      </c>
      <c r="AA125" s="8"/>
      <c r="AB125" s="8"/>
      <c r="AC125" s="8"/>
      <c r="AD125" s="8"/>
      <c r="AE125" s="8"/>
    </row>
    <row r="126" spans="1:31" ht="43.5">
      <c r="A126" t="s">
        <v>443</v>
      </c>
      <c r="B126" s="3" t="s">
        <v>1091</v>
      </c>
      <c r="C126" s="3" t="s">
        <v>1092</v>
      </c>
      <c r="G126"/>
      <c r="H126" s="8" t="s">
        <v>1303</v>
      </c>
      <c r="I126" s="8"/>
      <c r="J126" s="8"/>
      <c r="K126" s="8"/>
      <c r="L126" s="8"/>
      <c r="M126" s="8"/>
      <c r="N126" s="8"/>
      <c r="O126" s="9"/>
      <c r="P126" s="8"/>
      <c r="Q126" s="8"/>
      <c r="R126" s="8">
        <v>118</v>
      </c>
      <c r="S126" s="8">
        <v>132</v>
      </c>
      <c r="T126" s="8">
        <v>250</v>
      </c>
      <c r="U126" s="8"/>
      <c r="V126" s="8"/>
      <c r="W126" s="8"/>
      <c r="X126" s="8" t="s">
        <v>1444</v>
      </c>
      <c r="Y126" s="8" t="s">
        <v>1727</v>
      </c>
      <c r="Z126" s="8" t="s">
        <v>19</v>
      </c>
      <c r="AA126" s="8"/>
      <c r="AB126" s="8"/>
      <c r="AC126" s="8"/>
      <c r="AD126" s="8"/>
      <c r="AE126" s="8"/>
    </row>
    <row r="127" spans="1:31" ht="29">
      <c r="A127" t="s">
        <v>444</v>
      </c>
      <c r="B127" s="3" t="s">
        <v>1095</v>
      </c>
      <c r="C127" s="3" t="s">
        <v>1096</v>
      </c>
      <c r="G127"/>
      <c r="H127" s="8" t="s">
        <v>1303</v>
      </c>
      <c r="I127" s="8"/>
      <c r="J127" s="8"/>
      <c r="K127" s="8"/>
      <c r="L127" s="8"/>
      <c r="M127" s="8"/>
      <c r="N127" s="8"/>
      <c r="O127" s="9"/>
      <c r="P127" s="8"/>
      <c r="Q127" s="8"/>
      <c r="R127" s="8">
        <v>-118</v>
      </c>
      <c r="S127" s="8">
        <v>250</v>
      </c>
      <c r="T127" s="8">
        <v>132</v>
      </c>
      <c r="U127" s="8"/>
      <c r="V127" s="8"/>
      <c r="W127" s="8"/>
      <c r="X127" s="8" t="s">
        <v>1260</v>
      </c>
      <c r="Y127" s="8" t="s">
        <v>1727</v>
      </c>
      <c r="Z127" s="8" t="s">
        <v>19</v>
      </c>
      <c r="AA127" s="8"/>
      <c r="AB127" s="8"/>
      <c r="AC127" s="8"/>
      <c r="AD127" s="8"/>
      <c r="AE127" s="8"/>
    </row>
    <row r="128" spans="1:31" s="12" customFormat="1" ht="43.5">
      <c r="A128" s="12" t="s">
        <v>445</v>
      </c>
      <c r="B128" s="13" t="s">
        <v>1624</v>
      </c>
      <c r="C128" s="13" t="s">
        <v>1624</v>
      </c>
      <c r="G128" s="13" t="s">
        <v>1625</v>
      </c>
      <c r="H128" s="14" t="s">
        <v>1303</v>
      </c>
      <c r="I128" s="14"/>
      <c r="J128" s="14"/>
      <c r="K128" s="14"/>
      <c r="L128" s="14"/>
      <c r="M128" s="14"/>
      <c r="N128" s="14"/>
      <c r="O128" s="15"/>
      <c r="P128" s="14"/>
      <c r="Q128" s="14"/>
      <c r="R128" s="14">
        <v>8</v>
      </c>
      <c r="S128" s="14">
        <v>2</v>
      </c>
      <c r="T128" s="14">
        <v>10</v>
      </c>
      <c r="U128" s="14"/>
      <c r="V128" s="14"/>
      <c r="W128" s="14"/>
      <c r="X128" s="14" t="s">
        <v>1443</v>
      </c>
      <c r="Y128" s="14" t="s">
        <v>1729</v>
      </c>
      <c r="Z128" s="14"/>
      <c r="AA128" s="14"/>
      <c r="AB128" s="14"/>
      <c r="AC128" s="14"/>
      <c r="AD128" s="14"/>
      <c r="AE128" s="14"/>
    </row>
    <row r="129" spans="1:31" s="12" customFormat="1" ht="29">
      <c r="A129" s="12" t="s">
        <v>1623</v>
      </c>
      <c r="B129" s="13" t="s">
        <v>1626</v>
      </c>
      <c r="C129" s="13" t="s">
        <v>1626</v>
      </c>
      <c r="G129" s="13" t="s">
        <v>1627</v>
      </c>
      <c r="H129" s="14" t="s">
        <v>24</v>
      </c>
      <c r="I129" s="14"/>
      <c r="J129" s="14">
        <v>1</v>
      </c>
      <c r="K129" s="14">
        <v>1</v>
      </c>
      <c r="L129" s="14" t="s">
        <v>1262</v>
      </c>
      <c r="M129" s="14" t="s">
        <v>1304</v>
      </c>
      <c r="N129" s="14"/>
      <c r="O129" s="15"/>
      <c r="P129" s="14"/>
      <c r="Q129" s="14">
        <v>2475</v>
      </c>
      <c r="R129" s="14"/>
      <c r="S129" s="14"/>
      <c r="T129" s="14"/>
      <c r="U129" s="14"/>
      <c r="V129" s="14"/>
      <c r="W129" s="14"/>
      <c r="X129" s="14" t="s">
        <v>1443</v>
      </c>
      <c r="Y129" s="14" t="s">
        <v>1729</v>
      </c>
      <c r="Z129" s="14"/>
      <c r="AA129" s="14"/>
      <c r="AB129" s="14"/>
      <c r="AC129" s="14"/>
      <c r="AD129" s="14"/>
      <c r="AE129" s="14"/>
    </row>
    <row r="130" spans="1:31" s="12" customFormat="1" ht="43.5">
      <c r="A130" s="12" t="s">
        <v>460</v>
      </c>
      <c r="B130" s="13" t="s">
        <v>1628</v>
      </c>
      <c r="C130" s="13" t="s">
        <v>1628</v>
      </c>
      <c r="G130" s="13" t="s">
        <v>1629</v>
      </c>
      <c r="H130" s="14" t="s">
        <v>25</v>
      </c>
      <c r="I130" s="14"/>
      <c r="J130" s="14">
        <v>2</v>
      </c>
      <c r="K130" s="14">
        <v>8</v>
      </c>
      <c r="L130" s="14"/>
      <c r="M130" s="14"/>
      <c r="N130" s="14"/>
      <c r="O130" s="15"/>
      <c r="P130" s="14"/>
      <c r="Q130" s="14">
        <v>6</v>
      </c>
      <c r="R130" s="14"/>
      <c r="S130" s="14"/>
      <c r="T130" s="14"/>
      <c r="U130" s="14"/>
      <c r="V130" s="14"/>
      <c r="W130" s="14"/>
      <c r="X130" s="14" t="s">
        <v>1443</v>
      </c>
      <c r="Y130" s="14" t="s">
        <v>1729</v>
      </c>
      <c r="Z130" s="14"/>
      <c r="AA130" s="14"/>
      <c r="AB130" s="14"/>
      <c r="AC130" s="14"/>
      <c r="AD130" s="14"/>
      <c r="AE130" s="14"/>
    </row>
    <row r="131" spans="1:31" s="12" customFormat="1" ht="58">
      <c r="A131" s="12" t="s">
        <v>1630</v>
      </c>
      <c r="B131" s="13" t="s">
        <v>1631</v>
      </c>
      <c r="C131" s="13" t="s">
        <v>1631</v>
      </c>
      <c r="G131" s="13" t="s">
        <v>1632</v>
      </c>
      <c r="H131" s="14" t="s">
        <v>1303</v>
      </c>
      <c r="I131" s="14"/>
      <c r="J131" s="14"/>
      <c r="K131" s="14"/>
      <c r="L131" s="14"/>
      <c r="M131" s="14"/>
      <c r="N131" s="14"/>
      <c r="O131" s="15"/>
      <c r="P131" s="14"/>
      <c r="Q131" s="14"/>
      <c r="R131" s="14">
        <v>-6</v>
      </c>
      <c r="S131" s="14">
        <v>6</v>
      </c>
      <c r="T131" s="14">
        <v>0</v>
      </c>
      <c r="U131" s="14"/>
      <c r="V131" s="14"/>
      <c r="W131" s="14"/>
      <c r="X131" s="14" t="s">
        <v>1443</v>
      </c>
      <c r="Y131" s="14" t="s">
        <v>1729</v>
      </c>
      <c r="Z131" s="14"/>
      <c r="AA131" s="14"/>
      <c r="AB131" s="14"/>
      <c r="AC131" s="14"/>
      <c r="AD131" s="14"/>
      <c r="AE131" s="14"/>
    </row>
    <row r="132" spans="1:31" s="12" customFormat="1" ht="43.5">
      <c r="A132" s="12" t="s">
        <v>465</v>
      </c>
      <c r="B132" s="13" t="s">
        <v>1634</v>
      </c>
      <c r="C132" s="13" t="s">
        <v>1634</v>
      </c>
      <c r="G132" s="13" t="s">
        <v>1635</v>
      </c>
      <c r="H132" s="14" t="s">
        <v>1305</v>
      </c>
      <c r="I132" s="14"/>
      <c r="J132" s="14"/>
      <c r="K132" s="14"/>
      <c r="L132" s="14"/>
      <c r="M132" s="14"/>
      <c r="N132" s="14"/>
      <c r="O132" s="15"/>
      <c r="P132" s="14"/>
      <c r="Q132" s="14"/>
      <c r="R132" s="14"/>
      <c r="S132" s="14"/>
      <c r="T132" s="14"/>
      <c r="U132" s="14"/>
      <c r="V132" s="14"/>
      <c r="W132" s="14"/>
      <c r="X132" s="14" t="s">
        <v>1443</v>
      </c>
      <c r="Y132" s="14" t="s">
        <v>1729</v>
      </c>
      <c r="Z132" s="14"/>
      <c r="AA132" s="14"/>
      <c r="AB132" s="14"/>
      <c r="AC132" s="14"/>
      <c r="AD132" s="14"/>
      <c r="AE132" s="14"/>
    </row>
    <row r="133" spans="1:31" s="12" customFormat="1" ht="43.5">
      <c r="A133" s="12" t="s">
        <v>1633</v>
      </c>
      <c r="B133" s="13" t="s">
        <v>1636</v>
      </c>
      <c r="C133" s="13" t="s">
        <v>1636</v>
      </c>
      <c r="G133" s="13" t="s">
        <v>1637</v>
      </c>
      <c r="H133" s="14" t="s">
        <v>1305</v>
      </c>
      <c r="I133" s="14"/>
      <c r="J133" s="14"/>
      <c r="K133" s="14"/>
      <c r="L133" s="14"/>
      <c r="M133" s="14"/>
      <c r="N133" s="14"/>
      <c r="O133" s="15"/>
      <c r="P133" s="14"/>
      <c r="Q133" s="14"/>
      <c r="R133" s="14"/>
      <c r="S133" s="14"/>
      <c r="T133" s="14"/>
      <c r="U133" s="14"/>
      <c r="V133" s="14"/>
      <c r="W133" s="14"/>
      <c r="X133" s="14" t="s">
        <v>1443</v>
      </c>
      <c r="Y133" s="14" t="s">
        <v>1729</v>
      </c>
      <c r="Z133" s="14"/>
      <c r="AA133" s="14"/>
      <c r="AB133" s="14"/>
      <c r="AC133" s="14"/>
      <c r="AD133" s="14"/>
      <c r="AE133" s="14"/>
    </row>
    <row r="134" spans="1:31" s="12" customFormat="1" ht="43.5">
      <c r="A134" s="12" t="s">
        <v>1638</v>
      </c>
      <c r="B134" s="13" t="s">
        <v>1639</v>
      </c>
      <c r="C134" s="13" t="s">
        <v>1639</v>
      </c>
      <c r="G134" s="13" t="s">
        <v>1640</v>
      </c>
      <c r="H134" s="14"/>
      <c r="I134" s="14"/>
      <c r="J134" s="14"/>
      <c r="K134" s="14"/>
      <c r="L134" s="14"/>
      <c r="M134" s="14"/>
      <c r="N134" s="14"/>
      <c r="O134" s="15"/>
      <c r="P134" s="14"/>
      <c r="Q134" s="14"/>
      <c r="R134" s="14">
        <v>-7</v>
      </c>
      <c r="S134" s="14">
        <v>14</v>
      </c>
      <c r="T134" s="14">
        <v>7</v>
      </c>
      <c r="U134" s="14"/>
      <c r="V134" s="14"/>
      <c r="W134" s="14"/>
      <c r="X134" s="14" t="s">
        <v>1443</v>
      </c>
      <c r="Y134" s="14" t="s">
        <v>1727</v>
      </c>
      <c r="Z134" s="14"/>
      <c r="AA134" s="14"/>
      <c r="AB134" s="14"/>
      <c r="AC134" s="14"/>
      <c r="AD134" s="14"/>
      <c r="AE134" s="14"/>
    </row>
    <row r="135" spans="1:31" s="12" customFormat="1" ht="58">
      <c r="A135" s="12" t="s">
        <v>1641</v>
      </c>
      <c r="B135" s="13" t="s">
        <v>1642</v>
      </c>
      <c r="C135" s="13" t="s">
        <v>1642</v>
      </c>
      <c r="G135" s="13" t="s">
        <v>1643</v>
      </c>
      <c r="H135" s="14" t="s">
        <v>25</v>
      </c>
      <c r="I135" s="14"/>
      <c r="J135" s="14">
        <v>1</v>
      </c>
      <c r="K135" s="14">
        <v>4</v>
      </c>
      <c r="L135" s="14" t="s">
        <v>1257</v>
      </c>
      <c r="M135" s="14" t="s">
        <v>1258</v>
      </c>
      <c r="N135" s="14" t="s">
        <v>1447</v>
      </c>
      <c r="O135" s="15" t="s">
        <v>1360</v>
      </c>
      <c r="P135" s="14"/>
      <c r="Q135" s="14">
        <v>10</v>
      </c>
      <c r="R135" s="14"/>
      <c r="S135" s="14"/>
      <c r="T135" s="14"/>
      <c r="U135" s="14"/>
      <c r="V135" s="14"/>
      <c r="W135" s="14"/>
      <c r="X135" s="14" t="s">
        <v>1443</v>
      </c>
      <c r="Y135" s="14" t="s">
        <v>1727</v>
      </c>
      <c r="Z135" s="14"/>
      <c r="AA135" s="14"/>
      <c r="AB135" s="14"/>
      <c r="AC135" s="14"/>
      <c r="AD135" s="14"/>
      <c r="AE135" s="14"/>
    </row>
    <row r="136" spans="1:31" s="12" customFormat="1" ht="58">
      <c r="A136" s="12" t="s">
        <v>1644</v>
      </c>
      <c r="B136" s="13" t="s">
        <v>1645</v>
      </c>
      <c r="C136" s="13" t="s">
        <v>1645</v>
      </c>
      <c r="G136" s="13" t="s">
        <v>1646</v>
      </c>
      <c r="H136" s="14" t="s">
        <v>1303</v>
      </c>
      <c r="I136" s="14"/>
      <c r="J136" s="14"/>
      <c r="K136" s="14"/>
      <c r="L136" s="14"/>
      <c r="M136" s="14"/>
      <c r="N136" s="14"/>
      <c r="O136" s="15"/>
      <c r="P136" s="14"/>
      <c r="Q136" s="14"/>
      <c r="R136" s="14">
        <v>-16</v>
      </c>
      <c r="S136" s="14">
        <v>20</v>
      </c>
      <c r="T136" s="14">
        <v>4</v>
      </c>
      <c r="U136" s="14"/>
      <c r="V136" s="14"/>
      <c r="W136" s="14"/>
      <c r="X136" s="14" t="s">
        <v>1443</v>
      </c>
      <c r="Y136" s="14" t="s">
        <v>1729</v>
      </c>
      <c r="Z136" s="14"/>
      <c r="AA136" s="14"/>
      <c r="AB136" s="14"/>
      <c r="AC136" s="14"/>
      <c r="AD136" s="14"/>
      <c r="AE136" s="14"/>
    </row>
    <row r="137" spans="1:31" ht="29">
      <c r="A137" t="s">
        <v>479</v>
      </c>
      <c r="B137" s="3" t="s">
        <v>1051</v>
      </c>
      <c r="C137" s="3" t="s">
        <v>1052</v>
      </c>
      <c r="F137" t="s">
        <v>19</v>
      </c>
      <c r="G137"/>
      <c r="H137" s="8" t="s">
        <v>25</v>
      </c>
      <c r="I137" s="8">
        <v>0</v>
      </c>
      <c r="J137" s="8">
        <v>1</v>
      </c>
      <c r="K137" s="8">
        <v>3</v>
      </c>
      <c r="L137" s="8" t="s">
        <v>1308</v>
      </c>
      <c r="M137" s="8" t="s">
        <v>1263</v>
      </c>
      <c r="N137" s="8"/>
      <c r="O137" s="9"/>
      <c r="P137" s="8"/>
      <c r="Q137" s="8">
        <v>204</v>
      </c>
      <c r="R137" s="8"/>
      <c r="S137" s="8" t="s">
        <v>1371</v>
      </c>
      <c r="T137" s="8" t="s">
        <v>1371</v>
      </c>
      <c r="U137" s="8"/>
      <c r="V137" s="8"/>
      <c r="W137" s="8"/>
      <c r="X137" s="8" t="s">
        <v>1444</v>
      </c>
      <c r="Y137" s="8" t="s">
        <v>1727</v>
      </c>
      <c r="Z137" s="8" t="s">
        <v>19</v>
      </c>
      <c r="AA137" s="8"/>
      <c r="AB137" s="8"/>
      <c r="AC137" s="8"/>
      <c r="AD137" s="8"/>
      <c r="AE137" s="8"/>
    </row>
    <row r="138" spans="1:31" s="12" customFormat="1" ht="58">
      <c r="A138" s="12" t="s">
        <v>1647</v>
      </c>
      <c r="B138" s="13" t="s">
        <v>1648</v>
      </c>
      <c r="C138" s="13" t="s">
        <v>1648</v>
      </c>
      <c r="G138" s="13" t="s">
        <v>1649</v>
      </c>
      <c r="H138" s="14" t="s">
        <v>1306</v>
      </c>
      <c r="I138" s="14"/>
      <c r="J138" s="14"/>
      <c r="K138" s="14"/>
      <c r="L138" s="14"/>
      <c r="M138" s="14"/>
      <c r="N138" s="14"/>
      <c r="O138" s="15"/>
      <c r="P138" s="14"/>
      <c r="Q138" s="14"/>
      <c r="R138" s="14">
        <v>8</v>
      </c>
      <c r="S138" s="14">
        <v>0</v>
      </c>
      <c r="T138" s="14">
        <v>8</v>
      </c>
      <c r="U138" s="14"/>
      <c r="V138" s="14"/>
      <c r="W138" s="14"/>
      <c r="X138" s="14" t="s">
        <v>1443</v>
      </c>
      <c r="Y138" s="14" t="s">
        <v>1729</v>
      </c>
      <c r="Z138" s="14"/>
      <c r="AA138" s="14"/>
      <c r="AB138" s="14"/>
      <c r="AC138" s="14"/>
      <c r="AD138" s="14"/>
      <c r="AE138" s="14"/>
    </row>
    <row r="139" spans="1:31">
      <c r="A139" t="s">
        <v>497</v>
      </c>
      <c r="B139" s="3" t="s">
        <v>498</v>
      </c>
      <c r="C139" s="3" t="s">
        <v>499</v>
      </c>
      <c r="F139" t="s">
        <v>19</v>
      </c>
      <c r="G139"/>
      <c r="H139" s="8" t="s">
        <v>1305</v>
      </c>
      <c r="I139" s="8"/>
      <c r="J139" s="8"/>
      <c r="K139" s="8"/>
      <c r="L139" s="8"/>
      <c r="M139" s="8"/>
      <c r="N139" s="8"/>
      <c r="O139" s="9"/>
      <c r="P139" s="8"/>
      <c r="Q139" s="8"/>
      <c r="R139" s="8"/>
      <c r="S139" s="8" t="s">
        <v>1371</v>
      </c>
      <c r="T139" s="8" t="s">
        <v>1371</v>
      </c>
      <c r="U139" s="8"/>
      <c r="V139" s="8"/>
      <c r="W139" s="8"/>
      <c r="X139" s="8" t="s">
        <v>1444</v>
      </c>
      <c r="Y139" s="8" t="s">
        <v>1728</v>
      </c>
      <c r="Z139" s="8" t="s">
        <v>19</v>
      </c>
      <c r="AA139" s="8"/>
      <c r="AB139" s="8"/>
      <c r="AC139" s="8"/>
      <c r="AD139" s="8"/>
      <c r="AE139" s="8"/>
    </row>
    <row r="140" spans="1:31" s="12" customFormat="1" ht="43.5">
      <c r="A140" s="12" t="s">
        <v>509</v>
      </c>
      <c r="B140" s="13" t="s">
        <v>1650</v>
      </c>
      <c r="C140" s="13" t="s">
        <v>1650</v>
      </c>
      <c r="G140" s="13" t="s">
        <v>1651</v>
      </c>
      <c r="H140" s="14" t="s">
        <v>1305</v>
      </c>
      <c r="I140" s="14"/>
      <c r="J140" s="14"/>
      <c r="K140" s="14"/>
      <c r="L140" s="14"/>
      <c r="M140" s="14"/>
      <c r="N140" s="14"/>
      <c r="O140" s="15"/>
      <c r="P140" s="14"/>
      <c r="Q140" s="14"/>
      <c r="R140" s="14"/>
      <c r="S140" s="14"/>
      <c r="T140" s="14"/>
      <c r="U140" s="14"/>
      <c r="V140" s="14"/>
      <c r="W140" s="14"/>
      <c r="X140" s="14" t="s">
        <v>1443</v>
      </c>
      <c r="Y140" s="14" t="s">
        <v>1727</v>
      </c>
      <c r="Z140" s="14"/>
      <c r="AA140" s="14"/>
      <c r="AB140" s="14"/>
      <c r="AC140" s="14"/>
      <c r="AD140" s="14"/>
      <c r="AE140" s="14"/>
    </row>
    <row r="141" spans="1:31" ht="29">
      <c r="A141" t="s">
        <v>510</v>
      </c>
      <c r="B141" s="3" t="s">
        <v>1172</v>
      </c>
      <c r="C141" s="3" t="s">
        <v>1173</v>
      </c>
      <c r="F141" t="s">
        <v>19</v>
      </c>
      <c r="G141" t="s">
        <v>1364</v>
      </c>
      <c r="H141" s="8" t="s">
        <v>25</v>
      </c>
      <c r="I141" s="8">
        <v>0</v>
      </c>
      <c r="J141" s="8">
        <v>1</v>
      </c>
      <c r="K141" s="8">
        <v>3</v>
      </c>
      <c r="L141" s="8" t="s">
        <v>1276</v>
      </c>
      <c r="M141" s="8" t="s">
        <v>1263</v>
      </c>
      <c r="N141" s="8"/>
      <c r="O141" s="9"/>
      <c r="P141" s="8"/>
      <c r="Q141" s="8">
        <v>210</v>
      </c>
      <c r="R141" s="8"/>
      <c r="S141" s="8" t="s">
        <v>1371</v>
      </c>
      <c r="T141" s="8" t="s">
        <v>1371</v>
      </c>
      <c r="U141" s="8"/>
      <c r="V141" s="8"/>
      <c r="W141" s="8"/>
      <c r="X141" s="8" t="s">
        <v>1260</v>
      </c>
      <c r="Y141" s="8" t="s">
        <v>1727</v>
      </c>
      <c r="Z141" s="8" t="s">
        <v>19</v>
      </c>
      <c r="AA141" s="8"/>
      <c r="AB141" s="8"/>
      <c r="AC141" s="8"/>
      <c r="AD141" s="8"/>
      <c r="AE141" s="8"/>
    </row>
    <row r="142" spans="1:31" s="12" customFormat="1" ht="101.5">
      <c r="A142" s="12" t="s">
        <v>512</v>
      </c>
      <c r="B142" s="13" t="s">
        <v>1652</v>
      </c>
      <c r="C142" s="13" t="s">
        <v>1652</v>
      </c>
      <c r="G142" s="13" t="s">
        <v>1653</v>
      </c>
      <c r="H142" s="14" t="s">
        <v>25</v>
      </c>
      <c r="I142" s="14"/>
      <c r="J142" s="14">
        <v>1</v>
      </c>
      <c r="K142" s="14">
        <v>3</v>
      </c>
      <c r="L142" s="14" t="s">
        <v>1262</v>
      </c>
      <c r="M142" s="14" t="s">
        <v>1263</v>
      </c>
      <c r="N142" s="14"/>
      <c r="O142" s="15"/>
      <c r="P142" s="14"/>
      <c r="Q142" s="14">
        <v>2475</v>
      </c>
      <c r="R142" s="14"/>
      <c r="S142" s="14"/>
      <c r="T142" s="14"/>
      <c r="U142" s="14"/>
      <c r="V142" s="14"/>
      <c r="W142" s="14"/>
      <c r="X142" s="14" t="s">
        <v>1443</v>
      </c>
      <c r="Y142" s="14" t="s">
        <v>1729</v>
      </c>
      <c r="Z142" s="14"/>
      <c r="AA142" s="14"/>
      <c r="AB142" s="14"/>
      <c r="AC142" s="14"/>
      <c r="AD142" s="14"/>
      <c r="AE142" s="14"/>
    </row>
    <row r="143" spans="1:31" s="12" customFormat="1" ht="101.5">
      <c r="A143" s="12" t="s">
        <v>512</v>
      </c>
      <c r="B143" s="13" t="s">
        <v>1655</v>
      </c>
      <c r="C143" s="13" t="s">
        <v>1655</v>
      </c>
      <c r="G143" s="13" t="s">
        <v>1654</v>
      </c>
      <c r="H143" s="14" t="s">
        <v>1303</v>
      </c>
      <c r="I143" s="14"/>
      <c r="J143" s="14"/>
      <c r="K143" s="14"/>
      <c r="L143" s="14"/>
      <c r="M143" s="14"/>
      <c r="N143" s="14"/>
      <c r="O143" s="15"/>
      <c r="P143" s="14"/>
      <c r="Q143" s="14"/>
      <c r="R143" s="14">
        <v>2</v>
      </c>
      <c r="S143" s="14">
        <v>0</v>
      </c>
      <c r="T143" s="14">
        <v>2</v>
      </c>
      <c r="U143" s="14"/>
      <c r="V143" s="14"/>
      <c r="W143" s="14"/>
      <c r="X143" s="14" t="s">
        <v>1443</v>
      </c>
      <c r="Y143" s="14" t="s">
        <v>1729</v>
      </c>
      <c r="Z143" s="14"/>
      <c r="AA143" s="14"/>
      <c r="AB143" s="14"/>
      <c r="AC143" s="14"/>
      <c r="AD143" s="14"/>
      <c r="AE143" s="14"/>
    </row>
    <row r="144" spans="1:31" s="12" customFormat="1" ht="101.5">
      <c r="A144" s="12" t="s">
        <v>512</v>
      </c>
      <c r="B144" s="13" t="s">
        <v>1656</v>
      </c>
      <c r="C144" s="13" t="s">
        <v>1656</v>
      </c>
      <c r="G144" s="13" t="s">
        <v>1657</v>
      </c>
      <c r="H144" s="14" t="s">
        <v>1303</v>
      </c>
      <c r="I144" s="14"/>
      <c r="J144" s="14"/>
      <c r="K144" s="14"/>
      <c r="L144" s="14"/>
      <c r="M144" s="14"/>
      <c r="N144" s="14"/>
      <c r="O144" s="15"/>
      <c r="P144" s="14"/>
      <c r="Q144" s="14"/>
      <c r="R144" s="14"/>
      <c r="S144" s="14"/>
      <c r="T144" s="14"/>
      <c r="U144" s="14"/>
      <c r="V144" s="14"/>
      <c r="W144" s="14"/>
      <c r="X144" s="14" t="s">
        <v>1443</v>
      </c>
      <c r="Y144" s="14" t="s">
        <v>1729</v>
      </c>
      <c r="Z144" s="14"/>
      <c r="AA144" s="14"/>
      <c r="AB144" s="14"/>
      <c r="AC144" s="14"/>
      <c r="AD144" s="14"/>
      <c r="AE144" s="14"/>
    </row>
    <row r="145" spans="1:31" s="12" customFormat="1" ht="58">
      <c r="A145" s="12" t="s">
        <v>1658</v>
      </c>
      <c r="B145" s="13" t="s">
        <v>1659</v>
      </c>
      <c r="C145" s="13" t="s">
        <v>1659</v>
      </c>
      <c r="G145" s="13" t="s">
        <v>1660</v>
      </c>
      <c r="H145" s="14" t="s">
        <v>25</v>
      </c>
      <c r="I145" s="14"/>
      <c r="J145" s="14">
        <v>2</v>
      </c>
      <c r="K145" s="14">
        <v>7</v>
      </c>
      <c r="L145" s="14"/>
      <c r="M145" s="14" t="s">
        <v>1258</v>
      </c>
      <c r="N145" s="14" t="s">
        <v>1447</v>
      </c>
      <c r="O145" s="15" t="s">
        <v>1664</v>
      </c>
      <c r="P145" s="14"/>
      <c r="Q145" s="14">
        <v>0</v>
      </c>
      <c r="R145" s="14"/>
      <c r="S145" s="14"/>
      <c r="T145" s="14"/>
      <c r="U145" s="14"/>
      <c r="V145" s="14"/>
      <c r="W145" s="14"/>
      <c r="X145" s="14" t="s">
        <v>1443</v>
      </c>
      <c r="Y145" s="14" t="s">
        <v>1729</v>
      </c>
      <c r="Z145" s="14"/>
      <c r="AA145" s="14"/>
      <c r="AB145" s="14"/>
      <c r="AC145" s="14"/>
      <c r="AD145" s="14"/>
      <c r="AE145" s="14"/>
    </row>
    <row r="146" spans="1:31" s="12" customFormat="1">
      <c r="A146" s="12" t="s">
        <v>1661</v>
      </c>
      <c r="B146" s="13" t="s">
        <v>1662</v>
      </c>
      <c r="C146" s="13" t="s">
        <v>1662</v>
      </c>
      <c r="G146" s="13" t="s">
        <v>1663</v>
      </c>
      <c r="H146" s="14" t="s">
        <v>25</v>
      </c>
      <c r="I146" s="14"/>
      <c r="J146" s="14">
        <v>1</v>
      </c>
      <c r="K146" s="14">
        <v>4</v>
      </c>
      <c r="L146" s="14" t="s">
        <v>1257</v>
      </c>
      <c r="M146" s="14" t="s">
        <v>1263</v>
      </c>
      <c r="N146" s="14"/>
      <c r="O146" s="15"/>
      <c r="P146" s="14"/>
      <c r="Q146" s="14">
        <v>266</v>
      </c>
      <c r="R146" s="14"/>
      <c r="S146" s="14"/>
      <c r="T146" s="14"/>
      <c r="U146" s="14"/>
      <c r="V146" s="14"/>
      <c r="W146" s="14"/>
      <c r="X146" s="14" t="s">
        <v>1443</v>
      </c>
      <c r="Y146" s="14" t="s">
        <v>1729</v>
      </c>
      <c r="Z146" s="14"/>
      <c r="AA146" s="14"/>
      <c r="AB146" s="14"/>
      <c r="AC146" s="14"/>
      <c r="AD146" s="14"/>
      <c r="AE146" s="14"/>
    </row>
    <row r="147" spans="1:31" s="12" customFormat="1" ht="58">
      <c r="A147" s="12" t="s">
        <v>522</v>
      </c>
      <c r="B147" s="13" t="s">
        <v>1665</v>
      </c>
      <c r="C147" s="13" t="s">
        <v>1665</v>
      </c>
      <c r="G147" s="13" t="s">
        <v>1666</v>
      </c>
      <c r="H147" s="14" t="s">
        <v>25</v>
      </c>
      <c r="I147" s="14"/>
      <c r="J147" s="14">
        <v>1</v>
      </c>
      <c r="K147" s="14">
        <v>1</v>
      </c>
      <c r="L147" s="14" t="s">
        <v>1262</v>
      </c>
      <c r="M147" s="14" t="s">
        <v>1304</v>
      </c>
      <c r="N147" s="14"/>
      <c r="O147" s="15"/>
      <c r="P147" s="14"/>
      <c r="Q147" s="14">
        <v>2475</v>
      </c>
      <c r="R147" s="14"/>
      <c r="S147" s="14"/>
      <c r="T147" s="14"/>
      <c r="U147" s="14"/>
      <c r="V147" s="14"/>
      <c r="W147" s="14"/>
      <c r="X147" s="14" t="s">
        <v>1443</v>
      </c>
      <c r="Y147" s="14" t="s">
        <v>1729</v>
      </c>
      <c r="Z147" s="14"/>
      <c r="AA147" s="14"/>
      <c r="AB147" s="14"/>
      <c r="AC147" s="14"/>
      <c r="AD147" s="14"/>
      <c r="AE147" s="14"/>
    </row>
    <row r="148" spans="1:31" ht="29">
      <c r="A148" t="s">
        <v>525</v>
      </c>
      <c r="B148" s="3" t="s">
        <v>1187</v>
      </c>
      <c r="C148" s="3" t="s">
        <v>1188</v>
      </c>
      <c r="F148" t="s">
        <v>19</v>
      </c>
      <c r="G148"/>
      <c r="H148" s="8" t="s">
        <v>1303</v>
      </c>
      <c r="I148" s="8"/>
      <c r="J148" s="8"/>
      <c r="K148" s="8"/>
      <c r="L148" s="8"/>
      <c r="M148" s="8"/>
      <c r="N148" s="8"/>
      <c r="O148" s="9"/>
      <c r="P148" s="8"/>
      <c r="Q148" s="8"/>
      <c r="R148" s="8">
        <v>-87</v>
      </c>
      <c r="S148" s="8">
        <v>830</v>
      </c>
      <c r="T148" s="8">
        <v>743</v>
      </c>
      <c r="U148" s="8"/>
      <c r="V148" s="8"/>
      <c r="W148" s="8"/>
      <c r="X148" s="8" t="s">
        <v>1260</v>
      </c>
      <c r="Y148" s="8" t="s">
        <v>1727</v>
      </c>
      <c r="Z148" s="8" t="s">
        <v>19</v>
      </c>
      <c r="AA148" s="8"/>
      <c r="AB148" s="8"/>
      <c r="AC148" s="8"/>
      <c r="AD148" s="8"/>
      <c r="AE148" s="8"/>
    </row>
    <row r="149" spans="1:31" s="12" customFormat="1" ht="29">
      <c r="A149" s="12" t="s">
        <v>1667</v>
      </c>
      <c r="B149" s="13" t="s">
        <v>1669</v>
      </c>
      <c r="C149" s="13" t="s">
        <v>1669</v>
      </c>
      <c r="G149" s="13" t="s">
        <v>1670</v>
      </c>
      <c r="H149" s="14" t="s">
        <v>25</v>
      </c>
      <c r="I149" s="14"/>
      <c r="J149" s="14">
        <v>2</v>
      </c>
      <c r="K149" s="14">
        <v>10</v>
      </c>
      <c r="L149" s="14"/>
      <c r="M149" s="14" t="s">
        <v>1263</v>
      </c>
      <c r="N149" s="14"/>
      <c r="O149" s="15"/>
      <c r="P149" s="14"/>
      <c r="Q149" s="14">
        <v>49</v>
      </c>
      <c r="R149" s="14"/>
      <c r="S149" s="14"/>
      <c r="T149" s="14"/>
      <c r="U149" s="14"/>
      <c r="V149" s="14"/>
      <c r="W149" s="14"/>
      <c r="X149" s="14" t="s">
        <v>1443</v>
      </c>
      <c r="Y149" s="14" t="s">
        <v>1729</v>
      </c>
      <c r="Z149" s="14"/>
      <c r="AA149" s="14"/>
      <c r="AB149" s="14"/>
      <c r="AC149" s="14"/>
      <c r="AD149" s="14"/>
      <c r="AE149" s="14"/>
    </row>
    <row r="150" spans="1:31" s="12" customFormat="1" ht="29">
      <c r="A150" s="12" t="s">
        <v>1668</v>
      </c>
      <c r="B150" s="13" t="s">
        <v>1671</v>
      </c>
      <c r="C150" s="13" t="s">
        <v>1671</v>
      </c>
      <c r="G150" s="13" t="s">
        <v>1672</v>
      </c>
      <c r="H150" s="14" t="s">
        <v>1303</v>
      </c>
      <c r="I150" s="14"/>
      <c r="J150" s="14"/>
      <c r="K150" s="14"/>
      <c r="L150" s="14"/>
      <c r="M150" s="14"/>
      <c r="N150" s="14"/>
      <c r="O150" s="15"/>
      <c r="P150" s="14"/>
      <c r="Q150" s="14"/>
      <c r="R150" s="14">
        <v>2400</v>
      </c>
      <c r="S150" s="14">
        <v>75</v>
      </c>
      <c r="T150" s="14">
        <v>2475</v>
      </c>
      <c r="U150" s="14"/>
      <c r="V150" s="14"/>
      <c r="W150" s="14"/>
      <c r="X150" s="14" t="s">
        <v>1443</v>
      </c>
      <c r="Y150" s="14" t="s">
        <v>1729</v>
      </c>
      <c r="Z150" s="14"/>
      <c r="AA150" s="14"/>
      <c r="AB150" s="14"/>
      <c r="AC150" s="14"/>
      <c r="AD150" s="14"/>
      <c r="AE150" s="14"/>
    </row>
    <row r="151" spans="1:31" s="12" customFormat="1">
      <c r="A151" s="12" t="s">
        <v>534</v>
      </c>
      <c r="B151" s="13" t="s">
        <v>1195</v>
      </c>
      <c r="C151" s="13" t="s">
        <v>1195</v>
      </c>
      <c r="G151" s="13" t="s">
        <v>1673</v>
      </c>
      <c r="H151" s="14" t="s">
        <v>1303</v>
      </c>
      <c r="I151" s="14"/>
      <c r="J151" s="14"/>
      <c r="K151" s="14"/>
      <c r="L151" s="14"/>
      <c r="M151" s="14"/>
      <c r="N151" s="14"/>
      <c r="O151" s="15"/>
      <c r="P151" s="14"/>
      <c r="Q151" s="14"/>
      <c r="R151" s="14">
        <v>2</v>
      </c>
      <c r="S151" s="14">
        <v>3</v>
      </c>
      <c r="T151" s="14">
        <v>5</v>
      </c>
      <c r="U151" s="14"/>
      <c r="V151" s="14"/>
      <c r="W151" s="14"/>
      <c r="X151" s="14" t="s">
        <v>1443</v>
      </c>
      <c r="Y151" s="14" t="s">
        <v>1727</v>
      </c>
      <c r="Z151" s="14"/>
      <c r="AA151" s="14"/>
      <c r="AB151" s="14"/>
      <c r="AC151" s="14"/>
      <c r="AD151" s="14"/>
      <c r="AE151" s="14"/>
    </row>
    <row r="152" spans="1:31" s="12" customFormat="1" ht="43.5">
      <c r="A152" s="12" t="s">
        <v>1674</v>
      </c>
      <c r="B152" s="13" t="s">
        <v>1676</v>
      </c>
      <c r="C152" s="13" t="s">
        <v>1676</v>
      </c>
      <c r="G152" s="13" t="s">
        <v>1677</v>
      </c>
      <c r="H152" s="14" t="s">
        <v>25</v>
      </c>
      <c r="I152" s="14"/>
      <c r="J152" s="14">
        <v>1</v>
      </c>
      <c r="K152" s="14">
        <v>2</v>
      </c>
      <c r="L152" s="14" t="s">
        <v>1274</v>
      </c>
      <c r="M152" s="14" t="s">
        <v>1304</v>
      </c>
      <c r="N152" s="14"/>
      <c r="O152" s="15"/>
      <c r="P152" s="14"/>
      <c r="Q152" s="14">
        <v>768</v>
      </c>
      <c r="R152" s="14"/>
      <c r="S152" s="14"/>
      <c r="T152" s="14"/>
      <c r="U152" s="14"/>
      <c r="V152" s="14"/>
      <c r="W152" s="14"/>
      <c r="X152" s="14" t="s">
        <v>1443</v>
      </c>
      <c r="Y152" s="14" t="s">
        <v>1729</v>
      </c>
      <c r="Z152" s="14"/>
      <c r="AA152" s="14"/>
      <c r="AB152" s="14"/>
      <c r="AC152" s="14"/>
      <c r="AD152" s="14"/>
      <c r="AE152" s="14"/>
    </row>
    <row r="153" spans="1:31" s="12" customFormat="1" ht="43.5">
      <c r="A153" s="12" t="s">
        <v>1675</v>
      </c>
      <c r="B153" s="13" t="s">
        <v>1678</v>
      </c>
      <c r="C153" s="13" t="s">
        <v>1678</v>
      </c>
      <c r="G153" s="13" t="s">
        <v>1679</v>
      </c>
      <c r="H153" s="14" t="s">
        <v>1305</v>
      </c>
      <c r="I153" s="14"/>
      <c r="J153" s="14"/>
      <c r="K153" s="14"/>
      <c r="L153" s="14"/>
      <c r="M153" s="14"/>
      <c r="N153" s="14"/>
      <c r="O153" s="15"/>
      <c r="P153" s="14"/>
      <c r="Q153" s="14"/>
      <c r="R153" s="14"/>
      <c r="S153" s="14"/>
      <c r="T153" s="14"/>
      <c r="U153" s="14"/>
      <c r="V153" s="14"/>
      <c r="W153" s="14"/>
      <c r="X153" s="14" t="s">
        <v>1443</v>
      </c>
      <c r="Y153" s="14" t="s">
        <v>1727</v>
      </c>
      <c r="Z153" s="14"/>
      <c r="AA153" s="14"/>
      <c r="AB153" s="14"/>
      <c r="AC153" s="14"/>
      <c r="AD153" s="14"/>
      <c r="AE153" s="14"/>
    </row>
    <row r="154" spans="1:31" ht="58">
      <c r="A154" t="s">
        <v>550</v>
      </c>
      <c r="B154" s="3" t="s">
        <v>1205</v>
      </c>
      <c r="C154" s="3" t="s">
        <v>1206</v>
      </c>
      <c r="F154" t="s">
        <v>19</v>
      </c>
      <c r="G154"/>
      <c r="H154" s="8" t="s">
        <v>25</v>
      </c>
      <c r="I154" s="8">
        <v>0</v>
      </c>
      <c r="J154" s="8">
        <v>1</v>
      </c>
      <c r="K154" s="8">
        <v>5</v>
      </c>
      <c r="L154" s="8" t="s">
        <v>1274</v>
      </c>
      <c r="M154" s="8" t="s">
        <v>1263</v>
      </c>
      <c r="N154" s="8"/>
      <c r="O154" s="9"/>
      <c r="P154" s="8"/>
      <c r="Q154" s="8">
        <v>830</v>
      </c>
      <c r="R154" s="8"/>
      <c r="S154" s="8" t="s">
        <v>1371</v>
      </c>
      <c r="T154" s="8" t="s">
        <v>1371</v>
      </c>
      <c r="U154" s="8"/>
      <c r="V154" s="8"/>
      <c r="W154" s="8"/>
      <c r="X154" s="8" t="s">
        <v>1260</v>
      </c>
      <c r="Y154" s="8" t="s">
        <v>1727</v>
      </c>
      <c r="Z154" s="8" t="s">
        <v>19</v>
      </c>
      <c r="AA154" s="8"/>
      <c r="AB154" s="8"/>
      <c r="AC154" s="8"/>
      <c r="AD154" s="8"/>
      <c r="AE154" s="8"/>
    </row>
    <row r="155" spans="1:31" s="12" customFormat="1" ht="43.5">
      <c r="A155" s="12" t="s">
        <v>1680</v>
      </c>
      <c r="B155" s="13" t="s">
        <v>1681</v>
      </c>
      <c r="C155" s="13" t="s">
        <v>1681</v>
      </c>
      <c r="G155" s="13" t="s">
        <v>1682</v>
      </c>
      <c r="H155" s="14" t="s">
        <v>25</v>
      </c>
      <c r="I155" s="14"/>
      <c r="J155" s="14">
        <v>1</v>
      </c>
      <c r="K155" s="14">
        <v>5</v>
      </c>
      <c r="L155" s="14" t="s">
        <v>1257</v>
      </c>
      <c r="M155" s="14" t="s">
        <v>1263</v>
      </c>
      <c r="N155" s="14"/>
      <c r="O155" s="15"/>
      <c r="P155" s="14"/>
      <c r="Q155" s="14">
        <v>5</v>
      </c>
      <c r="R155" s="14"/>
      <c r="S155" s="14"/>
      <c r="T155" s="14"/>
      <c r="U155" s="14"/>
      <c r="V155" s="14"/>
      <c r="W155" s="14"/>
      <c r="X155" s="14" t="s">
        <v>1443</v>
      </c>
      <c r="Y155" s="14" t="s">
        <v>1727</v>
      </c>
      <c r="Z155" s="14"/>
      <c r="AA155" s="14"/>
      <c r="AB155" s="14"/>
      <c r="AC155" s="14"/>
      <c r="AD155" s="14"/>
      <c r="AE155" s="14"/>
    </row>
    <row r="156" spans="1:31" ht="43.5">
      <c r="A156" t="s">
        <v>555</v>
      </c>
      <c r="B156" s="3" t="s">
        <v>1210</v>
      </c>
      <c r="C156" s="3" t="s">
        <v>1209</v>
      </c>
      <c r="G156"/>
      <c r="H156" s="8" t="s">
        <v>25</v>
      </c>
      <c r="I156" s="8">
        <v>0</v>
      </c>
      <c r="J156" s="8">
        <v>1</v>
      </c>
      <c r="K156" s="8">
        <v>3</v>
      </c>
      <c r="L156" s="8" t="s">
        <v>1274</v>
      </c>
      <c r="M156" s="8" t="s">
        <v>1263</v>
      </c>
      <c r="N156" s="8"/>
      <c r="O156" s="9"/>
      <c r="P156" s="8"/>
      <c r="Q156" s="8">
        <v>312</v>
      </c>
      <c r="R156" s="8"/>
      <c r="S156" s="8" t="s">
        <v>1371</v>
      </c>
      <c r="T156" s="8" t="s">
        <v>1371</v>
      </c>
      <c r="U156" s="8"/>
      <c r="V156" s="8"/>
      <c r="W156" s="8"/>
      <c r="X156" s="8" t="s">
        <v>1260</v>
      </c>
      <c r="Y156" s="8" t="s">
        <v>1727</v>
      </c>
      <c r="Z156" s="8" t="s">
        <v>19</v>
      </c>
      <c r="AA156" s="8"/>
      <c r="AB156" s="8"/>
      <c r="AC156" s="8"/>
      <c r="AD156" s="8"/>
      <c r="AE156" s="8"/>
    </row>
    <row r="157" spans="1:31" ht="29">
      <c r="A157" t="s">
        <v>557</v>
      </c>
      <c r="B157" s="3" t="s">
        <v>1211</v>
      </c>
      <c r="C157" s="3" t="s">
        <v>1212</v>
      </c>
      <c r="F157" t="s">
        <v>19</v>
      </c>
      <c r="G157"/>
      <c r="H157" s="8" t="s">
        <v>25</v>
      </c>
      <c r="I157" s="8">
        <v>0</v>
      </c>
      <c r="J157" s="8">
        <v>1</v>
      </c>
      <c r="K157" s="8">
        <v>3</v>
      </c>
      <c r="L157" s="8" t="s">
        <v>1262</v>
      </c>
      <c r="M157" s="8" t="s">
        <v>1263</v>
      </c>
      <c r="N157" s="8"/>
      <c r="O157" s="9"/>
      <c r="P157" s="8"/>
      <c r="Q157" s="8">
        <v>2475</v>
      </c>
      <c r="R157" s="8"/>
      <c r="S157" s="8" t="s">
        <v>1371</v>
      </c>
      <c r="T157" s="8" t="s">
        <v>1371</v>
      </c>
      <c r="U157" s="8"/>
      <c r="V157" s="8"/>
      <c r="W157" s="8"/>
      <c r="X157" s="8" t="s">
        <v>1260</v>
      </c>
      <c r="Y157" s="8" t="s">
        <v>1727</v>
      </c>
      <c r="Z157" s="8" t="s">
        <v>19</v>
      </c>
      <c r="AA157" s="8"/>
      <c r="AB157" s="8"/>
      <c r="AC157" s="8"/>
      <c r="AD157" s="8"/>
      <c r="AE157" s="8"/>
    </row>
    <row r="158" spans="1:31" ht="43.5">
      <c r="A158" t="s">
        <v>558</v>
      </c>
      <c r="B158" s="3" t="s">
        <v>1215</v>
      </c>
      <c r="C158" s="3" t="s">
        <v>1216</v>
      </c>
      <c r="G158"/>
      <c r="H158" s="8" t="s">
        <v>1303</v>
      </c>
      <c r="I158" s="8"/>
      <c r="J158" s="8"/>
      <c r="K158" s="8"/>
      <c r="L158" s="8"/>
      <c r="M158" s="8"/>
      <c r="N158" s="8"/>
      <c r="O158" s="9"/>
      <c r="P158" s="8"/>
      <c r="Q158" s="8"/>
      <c r="R158" s="8">
        <v>-1</v>
      </c>
      <c r="S158" s="8">
        <v>1</v>
      </c>
      <c r="T158" s="8">
        <v>0</v>
      </c>
      <c r="U158" s="8"/>
      <c r="V158" s="8"/>
      <c r="W158" s="8"/>
      <c r="X158" s="8" t="s">
        <v>1260</v>
      </c>
      <c r="Y158" s="8" t="s">
        <v>1727</v>
      </c>
      <c r="Z158" s="8" t="s">
        <v>19</v>
      </c>
      <c r="AA158" s="8"/>
      <c r="AB158" s="8"/>
      <c r="AC158" s="8"/>
      <c r="AD158" s="8"/>
      <c r="AE158" s="8"/>
    </row>
    <row r="159" spans="1:31" s="12" customFormat="1" ht="72.5">
      <c r="A159" s="12" t="s">
        <v>1683</v>
      </c>
      <c r="B159" s="13" t="s">
        <v>1684</v>
      </c>
      <c r="C159" s="13" t="s">
        <v>1684</v>
      </c>
      <c r="G159" s="13" t="s">
        <v>1685</v>
      </c>
      <c r="H159" s="14" t="s">
        <v>1305</v>
      </c>
      <c r="I159" s="14"/>
      <c r="J159" s="14"/>
      <c r="K159" s="14"/>
      <c r="L159" s="14"/>
      <c r="M159" s="14"/>
      <c r="N159" s="14"/>
      <c r="O159" s="15"/>
      <c r="P159" s="14"/>
      <c r="Q159" s="14"/>
      <c r="R159" s="14"/>
      <c r="S159" s="14"/>
      <c r="T159" s="14"/>
      <c r="U159" s="14"/>
      <c r="V159" s="14"/>
      <c r="W159" s="14"/>
      <c r="X159" s="14" t="s">
        <v>1443</v>
      </c>
      <c r="Y159" s="14" t="s">
        <v>1727</v>
      </c>
      <c r="Z159" s="14"/>
      <c r="AA159" s="14"/>
      <c r="AB159" s="14"/>
      <c r="AC159" s="14"/>
      <c r="AD159" s="14"/>
      <c r="AE159" s="14"/>
    </row>
    <row r="160" spans="1:31" s="12" customFormat="1" ht="72.5">
      <c r="A160" s="12" t="s">
        <v>1683</v>
      </c>
      <c r="B160" s="13" t="s">
        <v>1686</v>
      </c>
      <c r="C160" s="13" t="s">
        <v>1686</v>
      </c>
      <c r="G160" s="13" t="s">
        <v>1687</v>
      </c>
      <c r="H160" s="14" t="s">
        <v>1303</v>
      </c>
      <c r="I160" s="14"/>
      <c r="J160" s="14"/>
      <c r="K160" s="14"/>
      <c r="L160" s="14"/>
      <c r="M160" s="14"/>
      <c r="N160" s="14"/>
      <c r="O160" s="15"/>
      <c r="P160" s="14"/>
      <c r="Q160" s="14"/>
      <c r="R160" s="14">
        <f>T160-S160</f>
        <v>13</v>
      </c>
      <c r="S160" s="14">
        <v>65</v>
      </c>
      <c r="T160" s="14">
        <v>78</v>
      </c>
      <c r="U160" s="14"/>
      <c r="V160" s="14"/>
      <c r="W160" s="14"/>
      <c r="X160" s="14" t="s">
        <v>1443</v>
      </c>
      <c r="Y160" s="14" t="s">
        <v>1729</v>
      </c>
      <c r="Z160" s="14"/>
      <c r="AA160" s="14"/>
      <c r="AB160" s="14"/>
      <c r="AC160" s="14"/>
      <c r="AD160" s="14"/>
      <c r="AE160" s="14"/>
    </row>
    <row r="161" spans="1:31" s="12" customFormat="1" ht="29">
      <c r="A161" s="12" t="s">
        <v>1688</v>
      </c>
      <c r="B161" s="13" t="s">
        <v>1690</v>
      </c>
      <c r="C161" s="13" t="s">
        <v>1690</v>
      </c>
      <c r="G161" s="13" t="s">
        <v>1691</v>
      </c>
      <c r="H161" s="14" t="s">
        <v>25</v>
      </c>
      <c r="I161" s="14"/>
      <c r="J161" s="14">
        <v>3</v>
      </c>
      <c r="K161" s="14">
        <v>14</v>
      </c>
      <c r="L161" s="14"/>
      <c r="M161" s="14" t="s">
        <v>1263</v>
      </c>
      <c r="N161" s="14"/>
      <c r="O161" s="15"/>
      <c r="P161" s="14"/>
      <c r="Q161" s="14">
        <v>0</v>
      </c>
      <c r="R161" s="14"/>
      <c r="S161" s="14"/>
      <c r="T161" s="14"/>
      <c r="U161" s="14"/>
      <c r="V161" s="14"/>
      <c r="W161" s="14"/>
      <c r="X161" s="14" t="s">
        <v>1443</v>
      </c>
      <c r="Y161" s="14" t="s">
        <v>1729</v>
      </c>
      <c r="Z161" s="14"/>
      <c r="AA161" s="14"/>
      <c r="AB161" s="14"/>
      <c r="AC161" s="14"/>
      <c r="AD161" s="14"/>
      <c r="AE161" s="14"/>
    </row>
    <row r="162" spans="1:31" s="12" customFormat="1" ht="43.5">
      <c r="A162" s="12" t="s">
        <v>1689</v>
      </c>
      <c r="B162" s="13" t="s">
        <v>1692</v>
      </c>
      <c r="C162" s="13" t="s">
        <v>1692</v>
      </c>
      <c r="G162" s="13" t="s">
        <v>1693</v>
      </c>
      <c r="H162" s="14" t="s">
        <v>24</v>
      </c>
      <c r="I162" s="14"/>
      <c r="J162" s="14">
        <v>1</v>
      </c>
      <c r="K162" s="14">
        <v>1</v>
      </c>
      <c r="L162" s="14" t="s">
        <v>1262</v>
      </c>
      <c r="M162" s="14" t="s">
        <v>1304</v>
      </c>
      <c r="N162" s="14"/>
      <c r="O162" s="15"/>
      <c r="P162" s="14"/>
      <c r="Q162" s="14">
        <v>2475</v>
      </c>
      <c r="R162" s="14"/>
      <c r="S162" s="14"/>
      <c r="T162" s="14"/>
      <c r="U162" s="14"/>
      <c r="V162" s="14"/>
      <c r="W162" s="14"/>
      <c r="X162" s="14" t="s">
        <v>1443</v>
      </c>
      <c r="Y162" s="14" t="s">
        <v>1727</v>
      </c>
      <c r="Z162" s="14"/>
      <c r="AA162" s="14"/>
      <c r="AB162" s="14"/>
      <c r="AC162" s="14"/>
      <c r="AD162" s="14"/>
      <c r="AE162" s="14"/>
    </row>
    <row r="163" spans="1:31" s="12" customFormat="1" ht="87">
      <c r="A163" s="12" t="s">
        <v>559</v>
      </c>
      <c r="B163" s="13" t="s">
        <v>1697</v>
      </c>
      <c r="C163" s="13" t="s">
        <v>1697</v>
      </c>
      <c r="G163" s="13" t="s">
        <v>1698</v>
      </c>
      <c r="H163" s="14" t="s">
        <v>1306</v>
      </c>
      <c r="I163" s="14"/>
      <c r="J163" s="14"/>
      <c r="K163" s="14"/>
      <c r="L163" s="14"/>
      <c r="M163" s="14"/>
      <c r="N163" s="14"/>
      <c r="O163" s="15"/>
      <c r="P163" s="14"/>
      <c r="Q163" s="14"/>
      <c r="R163" s="14">
        <f>T163-S163</f>
        <v>-9</v>
      </c>
      <c r="S163" s="14">
        <v>21</v>
      </c>
      <c r="T163" s="14">
        <v>12</v>
      </c>
      <c r="U163" s="14"/>
      <c r="V163" s="14"/>
      <c r="W163" s="14"/>
      <c r="X163" s="14" t="s">
        <v>1443</v>
      </c>
      <c r="Y163" s="14" t="s">
        <v>1729</v>
      </c>
      <c r="Z163" s="14"/>
      <c r="AA163" s="14"/>
      <c r="AB163" s="14"/>
      <c r="AC163" s="14"/>
      <c r="AD163" s="14"/>
      <c r="AE163" s="14"/>
    </row>
    <row r="164" spans="1:31" s="12" customFormat="1" ht="72.5">
      <c r="A164" s="12" t="s">
        <v>559</v>
      </c>
      <c r="B164" s="13" t="s">
        <v>1699</v>
      </c>
      <c r="C164" s="13" t="s">
        <v>1699</v>
      </c>
      <c r="G164" s="13" t="s">
        <v>1701</v>
      </c>
      <c r="H164" s="14" t="s">
        <v>24</v>
      </c>
      <c r="I164" s="14"/>
      <c r="J164" s="14">
        <v>1</v>
      </c>
      <c r="K164" s="14">
        <v>2</v>
      </c>
      <c r="L164" s="14" t="s">
        <v>1276</v>
      </c>
      <c r="M164" s="14" t="s">
        <v>1304</v>
      </c>
      <c r="N164" s="14"/>
      <c r="O164" s="15"/>
      <c r="P164" s="14"/>
      <c r="Q164" s="14">
        <v>105</v>
      </c>
      <c r="R164" s="14"/>
      <c r="S164" s="14"/>
      <c r="T164" s="14"/>
      <c r="U164" s="14"/>
      <c r="V164" s="14"/>
      <c r="W164" s="14"/>
      <c r="X164" s="14" t="s">
        <v>1443</v>
      </c>
      <c r="Y164" s="14" t="s">
        <v>1729</v>
      </c>
      <c r="Z164" s="14"/>
      <c r="AA164" s="14"/>
      <c r="AB164" s="14"/>
      <c r="AC164" s="14"/>
      <c r="AD164" s="14"/>
      <c r="AE164" s="14"/>
    </row>
    <row r="165" spans="1:31" s="12" customFormat="1" ht="72.5">
      <c r="A165" s="12" t="s">
        <v>559</v>
      </c>
      <c r="B165" s="13" t="s">
        <v>1700</v>
      </c>
      <c r="C165" s="13" t="s">
        <v>1700</v>
      </c>
      <c r="G165" s="13" t="s">
        <v>1696</v>
      </c>
      <c r="H165" s="14" t="s">
        <v>24</v>
      </c>
      <c r="I165" s="14"/>
      <c r="J165" s="14">
        <v>1</v>
      </c>
      <c r="K165" s="14">
        <v>10</v>
      </c>
      <c r="L165" s="14" t="s">
        <v>1278</v>
      </c>
      <c r="M165" s="14" t="s">
        <v>1263</v>
      </c>
      <c r="N165" s="14"/>
      <c r="O165" s="15"/>
      <c r="P165" s="14"/>
      <c r="Q165" s="14">
        <v>21</v>
      </c>
      <c r="R165" s="14"/>
      <c r="S165" s="14"/>
      <c r="T165" s="14"/>
      <c r="U165" s="14"/>
      <c r="V165" s="14"/>
      <c r="W165" s="14"/>
      <c r="X165" s="14" t="s">
        <v>1443</v>
      </c>
      <c r="Y165" s="14" t="s">
        <v>1727</v>
      </c>
      <c r="Z165" s="14"/>
      <c r="AA165" s="14"/>
      <c r="AB165" s="14"/>
      <c r="AC165" s="14"/>
      <c r="AD165" s="14"/>
      <c r="AE165" s="14"/>
    </row>
    <row r="166" spans="1:31" s="12" customFormat="1" ht="43.5">
      <c r="A166" s="12" t="s">
        <v>1694</v>
      </c>
      <c r="B166" s="13" t="s">
        <v>1702</v>
      </c>
      <c r="C166" s="13" t="s">
        <v>1702</v>
      </c>
      <c r="G166" s="13" t="s">
        <v>1703</v>
      </c>
      <c r="H166" s="14" t="s">
        <v>1303</v>
      </c>
      <c r="I166" s="14"/>
      <c r="J166" s="14"/>
      <c r="K166" s="14"/>
      <c r="L166" s="14"/>
      <c r="M166" s="14"/>
      <c r="N166" s="14"/>
      <c r="O166" s="15"/>
      <c r="P166" s="14"/>
      <c r="Q166" s="14"/>
      <c r="R166" s="14">
        <v>-1</v>
      </c>
      <c r="S166" s="14">
        <v>2</v>
      </c>
      <c r="T166" s="14">
        <v>1</v>
      </c>
      <c r="U166" s="14"/>
      <c r="V166" s="14"/>
      <c r="W166" s="14"/>
      <c r="X166" s="14" t="s">
        <v>1443</v>
      </c>
      <c r="Y166" s="14" t="s">
        <v>1729</v>
      </c>
      <c r="Z166" s="14"/>
      <c r="AA166" s="14"/>
      <c r="AB166" s="14"/>
      <c r="AC166" s="14"/>
      <c r="AD166" s="14"/>
      <c r="AE166" s="14"/>
    </row>
    <row r="167" spans="1:31" s="12" customFormat="1" ht="43.5">
      <c r="A167" s="12" t="s">
        <v>1695</v>
      </c>
      <c r="B167" s="13" t="s">
        <v>1705</v>
      </c>
      <c r="C167" s="13" t="s">
        <v>1704</v>
      </c>
      <c r="G167" s="13" t="s">
        <v>1706</v>
      </c>
      <c r="H167" s="14" t="s">
        <v>25</v>
      </c>
      <c r="I167" s="14"/>
      <c r="J167" s="14">
        <v>1</v>
      </c>
      <c r="K167" s="14">
        <v>3</v>
      </c>
      <c r="L167" s="14" t="s">
        <v>1268</v>
      </c>
      <c r="M167" s="14" t="s">
        <v>1263</v>
      </c>
      <c r="N167" s="14"/>
      <c r="O167" s="15"/>
      <c r="P167" s="14"/>
      <c r="Q167" s="14">
        <v>1759</v>
      </c>
      <c r="R167" s="14"/>
      <c r="S167" s="14"/>
      <c r="T167" s="14"/>
      <c r="U167" s="14"/>
      <c r="V167" s="14"/>
      <c r="W167" s="14"/>
      <c r="X167" s="14" t="s">
        <v>1443</v>
      </c>
      <c r="Y167" s="14" t="s">
        <v>1729</v>
      </c>
      <c r="Z167" s="14"/>
      <c r="AA167" s="14"/>
      <c r="AB167" s="14"/>
      <c r="AC167" s="14"/>
      <c r="AD167" s="14"/>
      <c r="AE167" s="14"/>
    </row>
    <row r="168" spans="1:31" ht="43.5">
      <c r="A168" t="s">
        <v>574</v>
      </c>
      <c r="B168" s="3" t="s">
        <v>1229</v>
      </c>
      <c r="C168" s="3" t="s">
        <v>1230</v>
      </c>
      <c r="F168" t="s">
        <v>19</v>
      </c>
      <c r="G168"/>
      <c r="H168" s="8" t="s">
        <v>1303</v>
      </c>
      <c r="I168" s="8"/>
      <c r="J168" s="8"/>
      <c r="K168" s="8"/>
      <c r="L168" s="8"/>
      <c r="M168" s="8"/>
      <c r="N168" s="8"/>
      <c r="O168" s="9"/>
      <c r="P168" s="8"/>
      <c r="Q168" s="8"/>
      <c r="R168" s="8">
        <v>1515</v>
      </c>
      <c r="S168" s="8">
        <v>186</v>
      </c>
      <c r="T168" s="8">
        <v>1701</v>
      </c>
      <c r="U168" s="8"/>
      <c r="V168" s="8"/>
      <c r="W168" s="8"/>
      <c r="X168" s="8" t="s">
        <v>1260</v>
      </c>
      <c r="Y168" s="8" t="s">
        <v>1727</v>
      </c>
      <c r="Z168" s="8" t="s">
        <v>19</v>
      </c>
      <c r="AA168" s="8"/>
      <c r="AB168" s="8"/>
      <c r="AC168" s="8"/>
      <c r="AD168" s="8"/>
      <c r="AE168" s="8"/>
    </row>
    <row r="169" spans="1:31" s="12" customFormat="1">
      <c r="A169" s="12" t="s">
        <v>577</v>
      </c>
      <c r="B169" s="13" t="s">
        <v>1231</v>
      </c>
      <c r="C169" s="13" t="s">
        <v>1231</v>
      </c>
      <c r="G169" s="13" t="s">
        <v>1707</v>
      </c>
      <c r="H169" s="14" t="s">
        <v>1305</v>
      </c>
      <c r="I169" s="14"/>
      <c r="J169" s="14"/>
      <c r="K169" s="14"/>
      <c r="L169" s="14"/>
      <c r="M169" s="14"/>
      <c r="N169" s="14"/>
      <c r="O169" s="15"/>
      <c r="P169" s="14"/>
      <c r="Q169" s="14"/>
      <c r="R169" s="14"/>
      <c r="S169" s="14"/>
      <c r="T169" s="14"/>
      <c r="U169" s="14"/>
      <c r="V169" s="14"/>
      <c r="W169" s="14"/>
      <c r="X169" s="14" t="s">
        <v>1443</v>
      </c>
      <c r="Y169" s="14" t="s">
        <v>1727</v>
      </c>
      <c r="Z169" s="14"/>
      <c r="AA169" s="14"/>
      <c r="AB169" s="14"/>
      <c r="AC169" s="14"/>
      <c r="AD169" s="14"/>
      <c r="AE169" s="14"/>
    </row>
    <row r="170" spans="1:31" s="12" customFormat="1">
      <c r="A170" s="12" t="s">
        <v>578</v>
      </c>
      <c r="B170" s="13" t="s">
        <v>1708</v>
      </c>
      <c r="C170" s="13" t="s">
        <v>1708</v>
      </c>
      <c r="G170" s="13" t="s">
        <v>1709</v>
      </c>
      <c r="H170" s="14" t="s">
        <v>1303</v>
      </c>
      <c r="I170" s="14"/>
      <c r="J170" s="14"/>
      <c r="K170" s="14"/>
      <c r="L170" s="14"/>
      <c r="M170" s="14"/>
      <c r="N170" s="14"/>
      <c r="O170" s="15"/>
      <c r="P170" s="14"/>
      <c r="Q170" s="14"/>
      <c r="R170" s="14">
        <f>T170-S170</f>
        <v>249</v>
      </c>
      <c r="S170" s="14">
        <v>31</v>
      </c>
      <c r="T170" s="14">
        <v>280</v>
      </c>
      <c r="U170" s="14"/>
      <c r="V170" s="14"/>
      <c r="W170" s="14"/>
      <c r="X170" s="14" t="s">
        <v>1443</v>
      </c>
      <c r="Y170" s="14" t="s">
        <v>1727</v>
      </c>
      <c r="Z170" s="14"/>
      <c r="AA170" s="14"/>
      <c r="AB170" s="14"/>
      <c r="AC170" s="14"/>
      <c r="AD170" s="14"/>
      <c r="AE170" s="14"/>
    </row>
    <row r="171" spans="1:31" ht="43.5">
      <c r="A171" t="s">
        <v>601</v>
      </c>
      <c r="B171" s="3" t="s">
        <v>1248</v>
      </c>
      <c r="C171" s="3" t="s">
        <v>1249</v>
      </c>
      <c r="F171" t="s">
        <v>19</v>
      </c>
      <c r="G171"/>
      <c r="H171" s="8" t="s">
        <v>25</v>
      </c>
      <c r="I171" s="8">
        <v>0</v>
      </c>
      <c r="J171" s="8">
        <v>1</v>
      </c>
      <c r="K171" s="8">
        <v>2</v>
      </c>
      <c r="L171" s="8" t="s">
        <v>1266</v>
      </c>
      <c r="M171" s="8" t="s">
        <v>1304</v>
      </c>
      <c r="N171" s="8"/>
      <c r="O171" s="9"/>
      <c r="P171" s="8"/>
      <c r="Q171" s="8">
        <v>129</v>
      </c>
      <c r="R171" s="8"/>
      <c r="S171" s="8" t="s">
        <v>1371</v>
      </c>
      <c r="T171" s="8" t="s">
        <v>1371</v>
      </c>
      <c r="U171" s="8"/>
      <c r="V171" s="8"/>
      <c r="W171" s="8"/>
      <c r="X171" s="8" t="s">
        <v>1444</v>
      </c>
      <c r="Y171" s="8" t="s">
        <v>1727</v>
      </c>
      <c r="Z171" s="8" t="s">
        <v>19</v>
      </c>
      <c r="AA171" s="8"/>
      <c r="AB171" s="8"/>
      <c r="AC171" s="8"/>
      <c r="AD171" s="8"/>
      <c r="AE171" s="8"/>
    </row>
    <row r="172" spans="1:31" s="12" customFormat="1" ht="58">
      <c r="A172" s="12" t="s">
        <v>1710</v>
      </c>
      <c r="B172" s="12" t="s">
        <v>1711</v>
      </c>
      <c r="C172" s="12" t="s">
        <v>1711</v>
      </c>
      <c r="G172" s="13" t="s">
        <v>1712</v>
      </c>
      <c r="H172" s="8" t="s">
        <v>1303</v>
      </c>
      <c r="X172" s="14" t="s">
        <v>1443</v>
      </c>
      <c r="Y172" s="12" t="s">
        <v>1729</v>
      </c>
    </row>
    <row r="174" spans="1:31">
      <c r="F174" t="s">
        <v>1719</v>
      </c>
      <c r="G174" s="3" t="s">
        <v>1397</v>
      </c>
    </row>
    <row r="175" spans="1:31">
      <c r="E175" t="s">
        <v>1714</v>
      </c>
      <c r="F175">
        <f>COUNTIF(X:X, "Non-singular")</f>
        <v>13</v>
      </c>
      <c r="G175" s="16">
        <f>F175/SUM($F$175:$F$177)</f>
        <v>7.6023391812865493E-2</v>
      </c>
    </row>
    <row r="176" spans="1:31">
      <c r="E176" t="s">
        <v>1715</v>
      </c>
      <c r="F176">
        <f>COUNTIF(X:X, "Singular")</f>
        <v>48</v>
      </c>
      <c r="G176" s="16">
        <f t="shared" ref="G176:G177" si="0">F176/SUM($F$175:$F$177)</f>
        <v>0.2807017543859649</v>
      </c>
    </row>
    <row r="177" spans="5:7">
      <c r="E177" t="s">
        <v>1716</v>
      </c>
      <c r="F177">
        <f>COUNTIF(X:X, "Pseudo-singular")</f>
        <v>110</v>
      </c>
      <c r="G177" s="16">
        <f t="shared" si="0"/>
        <v>0.64327485380116955</v>
      </c>
    </row>
    <row r="179" spans="5:7">
      <c r="E179" t="s">
        <v>1717</v>
      </c>
      <c r="F179">
        <f>F176/(F175+F176)</f>
        <v>0.78688524590163933</v>
      </c>
    </row>
    <row r="180" spans="5:7">
      <c r="E180" t="s">
        <v>1718</v>
      </c>
      <c r="F180">
        <f>F177/(F176+F177)</f>
        <v>0.69620253164556967</v>
      </c>
    </row>
    <row r="183" spans="5:7">
      <c r="E183" t="s">
        <v>1715</v>
      </c>
      <c r="F183">
        <f>COUNTIF(X:X, "Singular")</f>
        <v>48</v>
      </c>
    </row>
    <row r="184" spans="5:7">
      <c r="E184" t="s">
        <v>1730</v>
      </c>
      <c r="F184">
        <f>COUNTIF(Y:Y, "Dual-agreement")</f>
        <v>71</v>
      </c>
    </row>
    <row r="185" spans="5:7">
      <c r="E185" t="s">
        <v>1731</v>
      </c>
      <c r="F185">
        <f>F184/SUM(F183:F184)</f>
        <v>0.59663865546218486</v>
      </c>
    </row>
  </sheetData>
  <autoFilter ref="A1:AE1" xr:uid="{15E8CC19-6CEE-454B-A51C-84C52E37D269}"/>
  <conditionalFormatting sqref="H2:H172">
    <cfRule type="expression" dxfId="37" priority="22">
      <formula>$J2=""</formula>
    </cfRule>
    <cfRule type="expression" dxfId="36" priority="21">
      <formula>$J2&lt;&gt;""</formula>
    </cfRule>
  </conditionalFormatting>
  <conditionalFormatting sqref="I2:M171 P2:Q171">
    <cfRule type="expression" dxfId="35" priority="20">
      <formula>AND($J2&lt;&gt;"Addition",$J2&lt;&gt;"Omission",$J2&lt;&gt;"Substitution - Word")</formula>
    </cfRule>
    <cfRule type="expression" dxfId="34" priority="19">
      <formula>AND(OR($J2="Addition",$J2="Omission"), I2="")</formula>
    </cfRule>
  </conditionalFormatting>
  <conditionalFormatting sqref="I2:Q171">
    <cfRule type="expression" dxfId="33" priority="18">
      <formula>AND(OR($J2="Addition",$J2="Omission"), I2&lt;&gt;"")</formula>
    </cfRule>
  </conditionalFormatting>
  <conditionalFormatting sqref="L2:L171">
    <cfRule type="expression" dxfId="32" priority="13">
      <formula>AND($L2&lt;&gt;"",$L2&gt;1)</formula>
    </cfRule>
  </conditionalFormatting>
  <conditionalFormatting sqref="N2:O171">
    <cfRule type="expression" dxfId="31" priority="9">
      <formula>$O2="Absent"</formula>
    </cfRule>
    <cfRule type="expression" dxfId="30" priority="10">
      <formula>$O2="NA"</formula>
    </cfRule>
    <cfRule type="expression" dxfId="29" priority="11">
      <formula>AND(OR($J2="Addition",$J2="Omission"), N2="")</formula>
    </cfRule>
    <cfRule type="expression" dxfId="28" priority="12">
      <formula>AND($J2&lt;&gt;"Addition",$J2&lt;&gt;"Omission")</formula>
    </cfRule>
  </conditionalFormatting>
  <conditionalFormatting sqref="P2:P171">
    <cfRule type="expression" dxfId="27" priority="14">
      <formula>OR($J2="Addition",$J2="Omission",$J2 = "Substitution - Word")</formula>
    </cfRule>
  </conditionalFormatting>
  <conditionalFormatting sqref="R2:R65 R67:R171">
    <cfRule type="expression" dxfId="26" priority="50">
      <formula>"&lt;&gt;AND(LEFT($J2,3)=""Sub"", RIGHT($J2,4)&lt;&gt;""Form"")"</formula>
    </cfRule>
    <cfRule type="expression" dxfId="25" priority="49">
      <formula>AND(AND(LEFT($J2,3)="Sub", RIGHT($J2,4)&lt;&gt;"Form"),$V2="")</formula>
    </cfRule>
    <cfRule type="expression" dxfId="24" priority="48">
      <formula>AND(AND(LEFT($J2,3)="Sub", RIGHT($J2,4)&lt;&gt;"Form"),$V2&lt;&gt;"")</formula>
    </cfRule>
  </conditionalFormatting>
  <conditionalFormatting sqref="R66:T66">
    <cfRule type="expression" dxfId="23" priority="15">
      <formula>AND(AND(LEFT($J66,3)="Sub", RIGHT($J66,4)&lt;&gt;"Form"),$T66&lt;&gt;"")</formula>
    </cfRule>
    <cfRule type="expression" dxfId="22" priority="16">
      <formula>AND(AND(LEFT($J66,3)="Sub", RIGHT($J66,4)&lt;&gt;"Form"),$T66="")</formula>
    </cfRule>
    <cfRule type="expression" dxfId="21" priority="17">
      <formula>"&lt;&gt;AND(LEFT($J2,3)=""Sub"", RIGHT($J2,4)&lt;&gt;""Form"")"</formula>
    </cfRule>
  </conditionalFormatting>
  <conditionalFormatting sqref="S2:T171">
    <cfRule type="expression" dxfId="20" priority="2">
      <formula>AND(AND(LEFT($J2,3)="Sub", RIGHT($J2,4)&lt;&gt;"Form"),$T2="")</formula>
    </cfRule>
    <cfRule type="expression" dxfId="19" priority="3">
      <formula>"&lt;&gt;AND(LEFT($J2,3)=""Sub"", RIGHT($J2,4)&lt;&gt;""Form"")"</formula>
    </cfRule>
    <cfRule type="expression" dxfId="18" priority="1">
      <formula>AND(AND(LEFT($J2,3)="Sub", RIGHT($J2,4)&lt;&gt;"Form"),$T2&lt;&gt;"")</formula>
    </cfRule>
  </conditionalFormatting>
  <conditionalFormatting sqref="U2:U171">
    <cfRule type="expression" dxfId="17" priority="8">
      <formula>AND($AE2&lt;&gt;"Yes",$AF2="")</formula>
    </cfRule>
    <cfRule type="expression" dxfId="16" priority="7">
      <formula>OR($J2="",$J2="Unclear due to correction")</formula>
    </cfRule>
    <cfRule type="expression" dxfId="15" priority="6">
      <formula>AND($J2&lt;&gt;"",$J2&lt;&gt;"Unclear due to correction")</formula>
    </cfRule>
    <cfRule type="expression" dxfId="14" priority="5">
      <formula>OR($AE2="Yes",$AF2&lt;&gt;"")</formula>
    </cfRule>
    <cfRule type="expression" dxfId="13" priority="4">
      <formula>AND($W2&lt;&gt;"",OR($AE2="Yes",$AF2&lt;&gt;""))</formula>
    </cfRule>
  </conditionalFormatting>
  <conditionalFormatting sqref="V2:V171">
    <cfRule type="expression" dxfId="12" priority="33">
      <formula>AND($J2&lt;&gt;"",$J2&lt;&gt;"Unclear due to correction",$X2="")</formula>
    </cfRule>
  </conditionalFormatting>
  <conditionalFormatting sqref="V2:W171 AA2:AE171">
    <cfRule type="expression" dxfId="11" priority="57">
      <formula>OR($J2="",$J2="Unclear due to correction")</formula>
    </cfRule>
  </conditionalFormatting>
  <conditionalFormatting sqref="W2:W171">
    <cfRule type="expression" dxfId="10" priority="37">
      <formula>AND($X2="Yes",$Y2="")</formula>
    </cfRule>
    <cfRule type="expression" dxfId="9" priority="38">
      <formula>$X2=""</formula>
    </cfRule>
  </conditionalFormatting>
  <conditionalFormatting sqref="X2:X172">
    <cfRule type="expression" dxfId="8" priority="30">
      <formula>$Z2&lt;&gt;""</formula>
    </cfRule>
  </conditionalFormatting>
  <conditionalFormatting sqref="X172">
    <cfRule type="expression" dxfId="7" priority="23">
      <formula>AND($J172&lt;&gt;"",$J172&lt;&gt;"Unclear due to correction")</formula>
    </cfRule>
    <cfRule type="expression" dxfId="6" priority="24">
      <formula>OR($J172="",$J172="Unclear due to correction")</formula>
    </cfRule>
  </conditionalFormatting>
  <conditionalFormatting sqref="X2:Z171">
    <cfRule type="expression" dxfId="5" priority="31">
      <formula>AND($J2&lt;&gt;"",$J2&lt;&gt;"Unclear due to correction")</formula>
    </cfRule>
    <cfRule type="expression" dxfId="4" priority="32">
      <formula>OR($J2="",$J2="Unclear due to correction")</formula>
    </cfRule>
  </conditionalFormatting>
  <conditionalFormatting sqref="Y2:Z171">
    <cfRule type="expression" dxfId="3" priority="28">
      <formula>AND($Z2&lt;&gt;"",Y2&lt;&gt;"")</formula>
    </cfRule>
    <cfRule type="expression" dxfId="2" priority="29">
      <formula>$Z2&lt;&gt;""</formula>
    </cfRule>
  </conditionalFormatting>
  <conditionalFormatting sqref="AA2:AE171 V2:W171">
    <cfRule type="expression" dxfId="1" priority="56">
      <formula>AND($J2&lt;&gt;"",$J2&lt;&gt;"Unclear due to correction")</formula>
    </cfRule>
  </conditionalFormatting>
  <conditionalFormatting sqref="AC2:AC171">
    <cfRule type="expression" dxfId="0" priority="41">
      <formula>AND(OR($AC2&lt;&gt;"",$AD2&lt;&gt;""),$AE2="")</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7">
        <x14:dataValidation type="list" allowBlank="1" showInputMessage="1" showErrorMessage="1" xr:uid="{F238033F-8800-4A5D-8F69-965F0A7EBA92}">
          <x14:formula1>
            <xm:f>'Data Regularization'!$C$2:$C$25</xm:f>
          </x14:formula1>
          <xm:sqref>F127:F171 F2:F125</xm:sqref>
        </x14:dataValidation>
        <x14:dataValidation type="list" allowBlank="1" showInputMessage="1" showErrorMessage="1" xr:uid="{522390B2-8E82-41D5-9C47-6FCFDC943F69}">
          <x14:formula1>
            <xm:f>'Data Regularization'!$A$2:$A$1048576</xm:f>
          </x14:formula1>
          <xm:sqref>D127:D171 D2:D125</xm:sqref>
        </x14:dataValidation>
        <x14:dataValidation type="list" allowBlank="1" showInputMessage="1" showErrorMessage="1" xr:uid="{50673E17-492C-4389-A6F6-75AA22DE5B18}">
          <x14:formula1>
            <xm:f>'Data Regularization'!$B$2:$B$1048576</xm:f>
          </x14:formula1>
          <xm:sqref>E127:E171 E2:E125</xm:sqref>
        </x14:dataValidation>
        <x14:dataValidation type="list" allowBlank="1" showInputMessage="1" showErrorMessage="1" xr:uid="{3921B459-0EEC-40C0-B6ED-931EDAF06618}">
          <x14:formula1>
            <xm:f>'Data Regularization'!$D$2:$D$1048576</xm:f>
          </x14:formula1>
          <xm:sqref>H2:H172</xm:sqref>
        </x14:dataValidation>
        <x14:dataValidation type="list" allowBlank="1" showInputMessage="1" showErrorMessage="1" xr:uid="{B91E2066-D4A0-4434-AB69-423FE389CD79}">
          <x14:formula1>
            <xm:f>'Data Regularization'!$E$2:$E$1048576</xm:f>
          </x14:formula1>
          <xm:sqref>L2:L171</xm:sqref>
        </x14:dataValidation>
        <x14:dataValidation type="list" allowBlank="1" showInputMessage="1" showErrorMessage="1" xr:uid="{F481FAC7-0941-4176-9802-629F96B9EB1E}">
          <x14:formula1>
            <xm:f>'Data Regularization'!$F$2:$F$1048576</xm:f>
          </x14:formula1>
          <xm:sqref>M2:M171</xm:sqref>
        </x14:dataValidation>
        <x14:dataValidation type="list" allowBlank="1" showInputMessage="1" showErrorMessage="1" xr:uid="{34F3821B-3317-4AEA-89FF-CEBC46F8C75D}">
          <x14:formula1>
            <xm:f>'Data Regularization'!$G$2:$G$1048576</xm:f>
          </x14:formula1>
          <xm:sqref>P2:P171</xm:sqref>
        </x14:dataValidation>
        <x14:dataValidation type="list" allowBlank="1" showInputMessage="1" showErrorMessage="1" xr:uid="{0E072E6D-5396-49BC-8F5F-662FE737766B}">
          <x14:formula1>
            <xm:f>'Data Regularization'!$K$2:$K$1048576</xm:f>
          </x14:formula1>
          <xm:sqref>W2:W171</xm:sqref>
        </x14:dataValidation>
        <x14:dataValidation type="list" allowBlank="1" showInputMessage="1" showErrorMessage="1" xr:uid="{35DDCE5E-F2AF-4237-B450-9D4F0C186D41}">
          <x14:formula1>
            <xm:f>'Data Regularization'!$L$2:$L$1048576</xm:f>
          </x14:formula1>
          <xm:sqref>X2:X172</xm:sqref>
        </x14:dataValidation>
        <x14:dataValidation type="list" allowBlank="1" showInputMessage="1" showErrorMessage="1" xr:uid="{101AEFD5-9925-422D-B52E-D5535C7F9F63}">
          <x14:formula1>
            <xm:f>'Data Regularization'!$N$2:$N$1048576</xm:f>
          </x14:formula1>
          <xm:sqref>Z2:Z171</xm:sqref>
        </x14:dataValidation>
        <x14:dataValidation type="list" allowBlank="1" showInputMessage="1" showErrorMessage="1" xr:uid="{CAE4E942-ADF0-4B43-9D21-590CB4DA6EA3}">
          <x14:formula1>
            <xm:f>'Data Regularization'!$O$2:$O$1048576</xm:f>
          </x14:formula1>
          <xm:sqref>AA2:AA171</xm:sqref>
        </x14:dataValidation>
        <x14:dataValidation type="list" allowBlank="1" showInputMessage="1" showErrorMessage="1" xr:uid="{DAA8B117-8A18-42D4-BDC1-4EAD102ABE5F}">
          <x14:formula1>
            <xm:f>'Data Regularization'!$P$2:$P$1048576</xm:f>
          </x14:formula1>
          <xm:sqref>AC2:AC171</xm:sqref>
        </x14:dataValidation>
        <x14:dataValidation type="list" allowBlank="1" showInputMessage="1" showErrorMessage="1" xr:uid="{6B07B090-270F-48E1-8BC3-987334E3BF2C}">
          <x14:formula1>
            <xm:f>'Data Regularization'!$Q$2:$Q$1048576</xm:f>
          </x14:formula1>
          <xm:sqref>AD2:AD171</xm:sqref>
        </x14:dataValidation>
        <x14:dataValidation type="list" allowBlank="1" showInputMessage="1" showErrorMessage="1" xr:uid="{98D2C1F0-573A-4ABD-9CD7-9309EF7A9939}">
          <x14:formula1>
            <xm:f>'Data Regularization'!$H$2:$H$1048576</xm:f>
          </x14:formula1>
          <xm:sqref>U2:U171</xm:sqref>
        </x14:dataValidation>
        <x14:dataValidation type="list" allowBlank="1" showInputMessage="1" xr:uid="{E8C998E3-5B8B-4886-8697-D87ED69D469D}">
          <x14:formula1>
            <xm:f>'Data Regularization'!$J$2:$J$1048576</xm:f>
          </x14:formula1>
          <xm:sqref>V2:V171</xm:sqref>
        </x14:dataValidation>
        <x14:dataValidation type="list" allowBlank="1" showInputMessage="1" showErrorMessage="1" xr:uid="{46F20B58-9C73-445B-A10C-4C9C469410EA}">
          <x14:formula1>
            <xm:f>'Data Regularization'!$R$2:$R$1048576</xm:f>
          </x14:formula1>
          <xm:sqref>AE2:AE171</xm:sqref>
        </x14:dataValidation>
        <x14:dataValidation type="list" allowBlank="1" showInputMessage="1" showErrorMessage="1" xr:uid="{4A3F6392-36AF-49AD-99DC-064CF3B3D488}">
          <x14:formula1>
            <xm:f>'Data Regularization'!$S$3:$S$1048576</xm:f>
          </x14:formula1>
          <xm:sqref>Y2:Y1048576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156D7-421F-42E5-9F55-F22A94A76A4F}">
  <dimension ref="A1:S20"/>
  <sheetViews>
    <sheetView workbookViewId="0">
      <pane ySplit="1" topLeftCell="A2" activePane="bottomLeft" state="frozen"/>
      <selection pane="bottomLeft" activeCell="A2" sqref="A2"/>
    </sheetView>
  </sheetViews>
  <sheetFormatPr defaultRowHeight="14.5"/>
  <sheetData>
    <row r="1" spans="1:19">
      <c r="A1" s="1" t="s">
        <v>8</v>
      </c>
      <c r="B1" s="1" t="s">
        <v>9</v>
      </c>
      <c r="C1" s="1" t="s">
        <v>10</v>
      </c>
      <c r="D1" s="1" t="s">
        <v>3</v>
      </c>
      <c r="E1" s="1" t="s">
        <v>1251</v>
      </c>
      <c r="F1" s="1" t="s">
        <v>1252</v>
      </c>
      <c r="G1" s="1" t="s">
        <v>1253</v>
      </c>
      <c r="H1" s="1" t="s">
        <v>1297</v>
      </c>
      <c r="I1" s="1" t="s">
        <v>1758</v>
      </c>
      <c r="J1" s="1" t="s">
        <v>1298</v>
      </c>
      <c r="K1" s="1" t="s">
        <v>1299</v>
      </c>
      <c r="L1" s="1" t="s">
        <v>1254</v>
      </c>
      <c r="M1" s="1" t="s">
        <v>1720</v>
      </c>
      <c r="N1" s="1" t="s">
        <v>1255</v>
      </c>
      <c r="O1" s="1" t="s">
        <v>1256</v>
      </c>
      <c r="P1" s="1" t="s">
        <v>1300</v>
      </c>
      <c r="Q1" s="1" t="s">
        <v>1287</v>
      </c>
      <c r="R1" s="1" t="s">
        <v>1301</v>
      </c>
      <c r="S1" s="1" t="s">
        <v>1726</v>
      </c>
    </row>
    <row r="2" spans="1:19">
      <c r="A2" s="1"/>
    </row>
    <row r="3" spans="1:19">
      <c r="A3" t="s">
        <v>11</v>
      </c>
      <c r="B3" t="s">
        <v>19</v>
      </c>
      <c r="C3" t="s">
        <v>19</v>
      </c>
      <c r="D3" t="s">
        <v>24</v>
      </c>
      <c r="E3" t="s">
        <v>1257</v>
      </c>
      <c r="F3" t="s">
        <v>1258</v>
      </c>
      <c r="G3" t="s">
        <v>1259</v>
      </c>
      <c r="H3" t="s">
        <v>4</v>
      </c>
      <c r="I3" t="s">
        <v>1759</v>
      </c>
      <c r="J3" t="s">
        <v>19</v>
      </c>
      <c r="K3" t="s">
        <v>4</v>
      </c>
      <c r="L3" t="s">
        <v>1260</v>
      </c>
      <c r="M3" t="s">
        <v>1721</v>
      </c>
      <c r="N3" t="s">
        <v>19</v>
      </c>
      <c r="O3" t="s">
        <v>1261</v>
      </c>
      <c r="P3" t="s">
        <v>19</v>
      </c>
      <c r="Q3" t="s">
        <v>1288</v>
      </c>
      <c r="R3" t="s">
        <v>19</v>
      </c>
      <c r="S3" t="s">
        <v>1727</v>
      </c>
    </row>
    <row r="4" spans="1:19">
      <c r="A4" t="s">
        <v>12</v>
      </c>
      <c r="B4" t="s">
        <v>21</v>
      </c>
      <c r="C4" t="s">
        <v>22</v>
      </c>
      <c r="D4" t="s">
        <v>25</v>
      </c>
      <c r="E4" t="s">
        <v>1262</v>
      </c>
      <c r="F4" t="s">
        <v>1263</v>
      </c>
      <c r="G4" t="s">
        <v>1264</v>
      </c>
      <c r="H4" t="s">
        <v>1302</v>
      </c>
      <c r="I4" t="s">
        <v>1760</v>
      </c>
      <c r="J4" t="s">
        <v>20</v>
      </c>
      <c r="K4" t="s">
        <v>1302</v>
      </c>
      <c r="L4" t="s">
        <v>1443</v>
      </c>
      <c r="M4" t="s">
        <v>1722</v>
      </c>
      <c r="N4" t="s">
        <v>20</v>
      </c>
      <c r="O4" t="s">
        <v>1265</v>
      </c>
      <c r="P4" t="s">
        <v>20</v>
      </c>
      <c r="Q4" t="s">
        <v>1289</v>
      </c>
      <c r="R4" t="s">
        <v>20</v>
      </c>
      <c r="S4" t="s">
        <v>1728</v>
      </c>
    </row>
    <row r="5" spans="1:19">
      <c r="A5" t="s">
        <v>13</v>
      </c>
      <c r="B5" t="s">
        <v>20</v>
      </c>
      <c r="C5" t="s">
        <v>23</v>
      </c>
      <c r="D5" t="s">
        <v>1303</v>
      </c>
      <c r="E5" t="s">
        <v>1266</v>
      </c>
      <c r="F5" t="s">
        <v>1304</v>
      </c>
      <c r="I5" t="s">
        <v>1761</v>
      </c>
      <c r="L5" t="s">
        <v>1444</v>
      </c>
      <c r="M5" t="s">
        <v>1723</v>
      </c>
      <c r="O5" t="s">
        <v>1267</v>
      </c>
      <c r="Q5" t="s">
        <v>1290</v>
      </c>
      <c r="S5" t="s">
        <v>1729</v>
      </c>
    </row>
    <row r="6" spans="1:19">
      <c r="A6" t="s">
        <v>17</v>
      </c>
      <c r="C6" t="s">
        <v>20</v>
      </c>
      <c r="D6" t="s">
        <v>1305</v>
      </c>
      <c r="E6" t="s">
        <v>1268</v>
      </c>
      <c r="L6" t="s">
        <v>1304</v>
      </c>
      <c r="M6" t="s">
        <v>1724</v>
      </c>
      <c r="O6" t="s">
        <v>1269</v>
      </c>
      <c r="Q6" t="s">
        <v>1291</v>
      </c>
    </row>
    <row r="7" spans="1:19">
      <c r="A7" t="s">
        <v>28</v>
      </c>
      <c r="D7" t="s">
        <v>1306</v>
      </c>
      <c r="E7" t="s">
        <v>1270</v>
      </c>
      <c r="O7" t="s">
        <v>1375</v>
      </c>
    </row>
    <row r="8" spans="1:19">
      <c r="A8" t="s">
        <v>29</v>
      </c>
      <c r="D8" t="s">
        <v>26</v>
      </c>
      <c r="E8" t="s">
        <v>1272</v>
      </c>
      <c r="O8" t="s">
        <v>1271</v>
      </c>
    </row>
    <row r="9" spans="1:19">
      <c r="A9" t="s">
        <v>10</v>
      </c>
      <c r="D9" t="s">
        <v>27</v>
      </c>
      <c r="E9" t="s">
        <v>1274</v>
      </c>
      <c r="O9" t="s">
        <v>1273</v>
      </c>
    </row>
    <row r="10" spans="1:19">
      <c r="A10" t="s">
        <v>14</v>
      </c>
      <c r="D10" t="s">
        <v>30</v>
      </c>
      <c r="E10" t="s">
        <v>1276</v>
      </c>
      <c r="O10" t="s">
        <v>1275</v>
      </c>
    </row>
    <row r="11" spans="1:19">
      <c r="A11" t="s">
        <v>18</v>
      </c>
      <c r="E11" t="s">
        <v>1278</v>
      </c>
      <c r="O11" t="s">
        <v>1277</v>
      </c>
    </row>
    <row r="12" spans="1:19">
      <c r="A12" t="s">
        <v>1307</v>
      </c>
      <c r="E12" t="s">
        <v>1308</v>
      </c>
      <c r="O12" t="s">
        <v>1376</v>
      </c>
    </row>
    <row r="13" spans="1:19">
      <c r="A13" t="s">
        <v>31</v>
      </c>
      <c r="E13" t="s">
        <v>1315</v>
      </c>
      <c r="O13" t="s">
        <v>1374</v>
      </c>
    </row>
    <row r="14" spans="1:19">
      <c r="A14" t="s">
        <v>32</v>
      </c>
      <c r="E14" t="s">
        <v>1279</v>
      </c>
    </row>
    <row r="15" spans="1:19">
      <c r="A15" t="s">
        <v>33</v>
      </c>
    </row>
    <row r="16" spans="1:19">
      <c r="A16" t="s">
        <v>15</v>
      </c>
    </row>
    <row r="17" spans="1:1">
      <c r="A17" t="s">
        <v>16</v>
      </c>
    </row>
    <row r="18" spans="1:1">
      <c r="A18" t="s">
        <v>34</v>
      </c>
    </row>
    <row r="19" spans="1:1">
      <c r="A19" t="s">
        <v>35</v>
      </c>
    </row>
    <row r="20" spans="1:1">
      <c r="A20" t="s">
        <v>36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Unfiltered Data</vt:lpstr>
      <vt:lpstr>Gen-filters</vt:lpstr>
      <vt:lpstr>AddOmits</vt:lpstr>
      <vt:lpstr>WF_AO_LM</vt:lpstr>
      <vt:lpstr>WF_AO_HM</vt:lpstr>
      <vt:lpstr>WF_SUB</vt:lpstr>
      <vt:lpstr>Harmonization</vt:lpstr>
      <vt:lpstr>Gen-Error-Rates</vt:lpstr>
      <vt:lpstr>Corrections</vt:lpstr>
      <vt:lpstr>Singularity</vt:lpstr>
      <vt:lpstr>Data Regularization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Wilken</dc:creator>
  <cp:lastModifiedBy>Jonathan Wilken</cp:lastModifiedBy>
  <dcterms:created xsi:type="dcterms:W3CDTF">2022-11-18T18:06:54Z</dcterms:created>
  <dcterms:modified xsi:type="dcterms:W3CDTF">2026-05-10T20:44:10Z</dcterms:modified>
</cp:coreProperties>
</file>