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omments15.xml" ContentType="application/vnd.openxmlformats-officedocument.spreadsheetml.comments+xml"/>
  <Override PartName="/xl/threadedComments/threadedComment1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186593bc330ab858/Cambridge PhD/Thesis/10 The Final Final Version/New and Updated Files for Upload/MS Variant Spreadsheets/"/>
    </mc:Choice>
  </mc:AlternateContent>
  <xr:revisionPtr revIDLastSave="1236" documentId="8_{12342005-549B-448E-B92C-12893E1795DA}" xr6:coauthVersionLast="47" xr6:coauthVersionMax="47" xr10:uidLastSave="{25832482-9CA2-4AA5-8508-D09722420140}"/>
  <bookViews>
    <workbookView xWindow="-110" yWindow="-110" windowWidth="25820" windowHeight="15500" xr2:uid="{5BB4D106-A247-41F8-A104-83D51E35EC09}"/>
  </bookViews>
  <sheets>
    <sheet name="Unfiltered Data" sheetId="1" r:id="rId1"/>
    <sheet name="Gen-filters" sheetId="7" r:id="rId2"/>
    <sheet name="AddOmits" sheetId="8" r:id="rId3"/>
    <sheet name="WF_AO_LM" sheetId="11" r:id="rId4"/>
    <sheet name="WF_AO_HM" sheetId="10" r:id="rId5"/>
    <sheet name="WF_SUB" sheetId="12" r:id="rId6"/>
    <sheet name="Harmonization" sheetId="13" r:id="rId7"/>
    <sheet name="Gen-filters_2" sheetId="23" r:id="rId8"/>
    <sheet name="AddOmits_2" sheetId="16" r:id="rId9"/>
    <sheet name="WF_AO_LM_2" sheetId="18" r:id="rId10"/>
    <sheet name="WF_AO_HM_2" sheetId="17" r:id="rId11"/>
    <sheet name="WF_SUB_2" sheetId="19" r:id="rId12"/>
    <sheet name="Harmonization_2" sheetId="20" r:id="rId13"/>
    <sheet name="Gen-Error-Rates" sheetId="14" r:id="rId14"/>
    <sheet name="Corrections" sheetId="21" r:id="rId15"/>
    <sheet name="Data Regularization" sheetId="2" r:id="rId16"/>
  </sheets>
  <definedNames>
    <definedName name="_xlnm._FilterDatabase" localSheetId="2" hidden="1">AddOmits!$A$1:$AJ$251</definedName>
    <definedName name="_xlnm._FilterDatabase" localSheetId="8" hidden="1">AddOmits_2!$A$1:$AK$67</definedName>
    <definedName name="_xlnm._FilterDatabase" localSheetId="1" hidden="1">'Gen-filters'!$A$1:$AI$572</definedName>
    <definedName name="_xlnm._FilterDatabase" localSheetId="7" hidden="1">'Gen-filters_2'!$A$1:$AI$1</definedName>
    <definedName name="_xlnm._FilterDatabase" localSheetId="0" hidden="1">'Unfiltered Data'!$A$1:$AL$895</definedName>
    <definedName name="_xlnm._FilterDatabase" localSheetId="11" hidden="1">WF_SUB_2!$A$1:$AJ$1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08" i="1" l="1"/>
  <c r="F576" i="7"/>
  <c r="AI3" i="7"/>
  <c r="AI4" i="7"/>
  <c r="H15" i="13"/>
  <c r="G15" i="13"/>
  <c r="F15" i="13"/>
  <c r="F16" i="13" s="1"/>
  <c r="E15" i="13"/>
  <c r="E16" i="13" s="1"/>
  <c r="H14" i="13"/>
  <c r="H16" i="13" s="1"/>
  <c r="G14" i="13"/>
  <c r="G16" i="13" s="1"/>
  <c r="F14" i="13"/>
  <c r="E14" i="13"/>
  <c r="B12" i="21"/>
  <c r="B11" i="21"/>
  <c r="B10" i="21"/>
  <c r="B4" i="21"/>
  <c r="B3" i="21"/>
  <c r="U30" i="19"/>
  <c r="T30" i="19"/>
  <c r="U29" i="19"/>
  <c r="T29" i="19"/>
  <c r="U28" i="19"/>
  <c r="T28" i="19"/>
  <c r="U27" i="19"/>
  <c r="T27" i="19"/>
  <c r="U26" i="19"/>
  <c r="T26" i="19"/>
  <c r="U25" i="19"/>
  <c r="T25" i="19"/>
  <c r="U24" i="19"/>
  <c r="T24" i="19"/>
  <c r="U23" i="19"/>
  <c r="T23" i="19"/>
  <c r="U22" i="19"/>
  <c r="T22" i="19"/>
  <c r="U21" i="19"/>
  <c r="T21" i="19"/>
  <c r="U20" i="19"/>
  <c r="T20" i="19"/>
  <c r="U19" i="19"/>
  <c r="T19" i="19"/>
  <c r="U18" i="19"/>
  <c r="T18" i="19"/>
  <c r="U17" i="19"/>
  <c r="T17" i="19"/>
  <c r="U16" i="19"/>
  <c r="T16" i="19"/>
  <c r="U15" i="19"/>
  <c r="T15" i="19"/>
  <c r="U14" i="19"/>
  <c r="T14" i="19"/>
  <c r="U13" i="19"/>
  <c r="T13" i="19"/>
  <c r="U12" i="19"/>
  <c r="T12" i="19"/>
  <c r="U11" i="19"/>
  <c r="T11" i="19"/>
  <c r="U10" i="19"/>
  <c r="T10" i="19"/>
  <c r="U9" i="19"/>
  <c r="T9" i="19"/>
  <c r="U8" i="19"/>
  <c r="T8" i="19"/>
  <c r="U7" i="19"/>
  <c r="T7" i="19"/>
  <c r="U6" i="19"/>
  <c r="T6" i="19"/>
  <c r="U5" i="19"/>
  <c r="T5" i="19"/>
  <c r="U4" i="19"/>
  <c r="T4" i="19"/>
  <c r="U3" i="19"/>
  <c r="T3" i="19"/>
  <c r="U2" i="19"/>
  <c r="T2" i="19"/>
  <c r="Q67" i="16"/>
  <c r="Q66" i="16"/>
  <c r="Q65" i="16"/>
  <c r="Q64" i="16"/>
  <c r="Q63" i="16"/>
  <c r="Q62" i="16"/>
  <c r="Q61" i="16"/>
  <c r="Q60" i="16"/>
  <c r="Q59" i="16"/>
  <c r="Q58" i="16"/>
  <c r="Q57" i="16"/>
  <c r="Q56" i="16"/>
  <c r="Q55" i="16"/>
  <c r="Q54" i="16"/>
  <c r="Q53" i="16"/>
  <c r="Q52" i="16"/>
  <c r="Q51" i="16"/>
  <c r="Q50" i="16"/>
  <c r="Q49" i="16"/>
  <c r="Q48" i="16"/>
  <c r="Q47" i="16"/>
  <c r="Q46" i="16"/>
  <c r="Q45" i="16"/>
  <c r="Q44" i="16"/>
  <c r="Q43" i="16"/>
  <c r="Q42" i="16"/>
  <c r="Q41" i="16"/>
  <c r="Q40" i="16"/>
  <c r="Q39" i="16"/>
  <c r="Q38" i="16"/>
  <c r="Q37" i="16"/>
  <c r="Q36" i="16"/>
  <c r="Q35" i="16"/>
  <c r="Q34" i="16"/>
  <c r="Q33" i="16"/>
  <c r="Q32" i="16"/>
  <c r="Q31" i="16"/>
  <c r="Q30" i="16"/>
  <c r="Q29" i="16"/>
  <c r="Q28" i="16"/>
  <c r="Q27" i="16"/>
  <c r="Q26" i="16"/>
  <c r="Q25" i="16"/>
  <c r="Q24" i="16"/>
  <c r="Q23" i="16"/>
  <c r="Q22" i="16"/>
  <c r="Q21" i="16"/>
  <c r="Q20" i="16"/>
  <c r="Q19" i="16"/>
  <c r="Q18" i="16"/>
  <c r="Q17" i="16"/>
  <c r="Q16" i="16"/>
  <c r="Q15" i="16"/>
  <c r="Q14" i="16"/>
  <c r="Q13" i="16"/>
  <c r="Q12" i="16"/>
  <c r="Q11" i="16"/>
  <c r="Q10" i="16"/>
  <c r="Q9" i="16"/>
  <c r="Q8" i="16"/>
  <c r="Q7" i="16"/>
  <c r="Q6" i="16"/>
  <c r="Q5" i="16"/>
  <c r="Q4" i="16"/>
  <c r="Q3" i="16"/>
  <c r="Q2" i="16"/>
  <c r="D12" i="21" l="1"/>
  <c r="V23" i="19"/>
  <c r="V8" i="19"/>
  <c r="V9" i="19"/>
  <c r="V11" i="19"/>
  <c r="V14" i="19"/>
  <c r="V30" i="19"/>
  <c r="D11" i="21"/>
  <c r="D10" i="21"/>
  <c r="B5" i="21"/>
  <c r="V15" i="19"/>
  <c r="V16" i="19"/>
  <c r="V17" i="19"/>
  <c r="V2" i="19"/>
  <c r="V18" i="19"/>
  <c r="V3" i="19"/>
  <c r="V19" i="19"/>
  <c r="V4" i="19"/>
  <c r="V20" i="19"/>
  <c r="V5" i="19"/>
  <c r="V21" i="19"/>
  <c r="V6" i="19"/>
  <c r="V22" i="19"/>
  <c r="V7" i="19"/>
  <c r="V24" i="19"/>
  <c r="V25" i="19"/>
  <c r="V10" i="19"/>
  <c r="V26" i="19"/>
  <c r="V27" i="19"/>
  <c r="V12" i="19"/>
  <c r="V28" i="19"/>
  <c r="V13" i="19"/>
  <c r="V29" i="19"/>
  <c r="U113" i="12"/>
  <c r="T113" i="12"/>
  <c r="U112" i="12"/>
  <c r="T112" i="12"/>
  <c r="U111" i="12"/>
  <c r="T111" i="12"/>
  <c r="U110" i="12"/>
  <c r="T110" i="12"/>
  <c r="U109" i="12"/>
  <c r="T109" i="12"/>
  <c r="U108" i="12"/>
  <c r="T108" i="12"/>
  <c r="U107" i="12"/>
  <c r="T107" i="12"/>
  <c r="U106" i="12"/>
  <c r="T106" i="12"/>
  <c r="U105" i="12"/>
  <c r="T105" i="12"/>
  <c r="U104" i="12"/>
  <c r="T104" i="12"/>
  <c r="U103" i="12"/>
  <c r="T103" i="12"/>
  <c r="U102" i="12"/>
  <c r="T102" i="12"/>
  <c r="U101" i="12"/>
  <c r="T101" i="12"/>
  <c r="U100" i="12"/>
  <c r="T100" i="12"/>
  <c r="U99" i="12"/>
  <c r="T99" i="12"/>
  <c r="U98" i="12"/>
  <c r="T98" i="12"/>
  <c r="U97" i="12"/>
  <c r="T97" i="12"/>
  <c r="U96" i="12"/>
  <c r="T96" i="12"/>
  <c r="U95" i="12"/>
  <c r="T95" i="12"/>
  <c r="U94" i="12"/>
  <c r="T94" i="12"/>
  <c r="U93" i="12"/>
  <c r="T93" i="12"/>
  <c r="U92" i="12"/>
  <c r="T92" i="12"/>
  <c r="U91" i="12"/>
  <c r="T91" i="12"/>
  <c r="U90" i="12"/>
  <c r="T90" i="12"/>
  <c r="U89" i="12"/>
  <c r="T89" i="12"/>
  <c r="U88" i="12"/>
  <c r="T88" i="12"/>
  <c r="U87" i="12"/>
  <c r="T87" i="12"/>
  <c r="U86" i="12"/>
  <c r="T86" i="12"/>
  <c r="U85" i="12"/>
  <c r="T85" i="12"/>
  <c r="U84" i="12"/>
  <c r="T84" i="12"/>
  <c r="U83" i="12"/>
  <c r="T83" i="12"/>
  <c r="U82" i="12"/>
  <c r="T82" i="12"/>
  <c r="U81" i="12"/>
  <c r="T81" i="12"/>
  <c r="U80" i="12"/>
  <c r="T80" i="12"/>
  <c r="U79" i="12"/>
  <c r="T79" i="12"/>
  <c r="U78" i="12"/>
  <c r="T78" i="12"/>
  <c r="U77" i="12"/>
  <c r="T77" i="12"/>
  <c r="U76" i="12"/>
  <c r="T76" i="12"/>
  <c r="U75" i="12"/>
  <c r="T75" i="12"/>
  <c r="U74" i="12"/>
  <c r="T74" i="12"/>
  <c r="U73" i="12"/>
  <c r="T73" i="12"/>
  <c r="U72" i="12"/>
  <c r="T72" i="12"/>
  <c r="U71" i="12"/>
  <c r="T71" i="12"/>
  <c r="U70" i="12"/>
  <c r="T70" i="12"/>
  <c r="U69" i="12"/>
  <c r="T69" i="12"/>
  <c r="U68" i="12"/>
  <c r="T68" i="12"/>
  <c r="U67" i="12"/>
  <c r="T67" i="12"/>
  <c r="U66" i="12"/>
  <c r="T66" i="12"/>
  <c r="U65" i="12"/>
  <c r="T65" i="12"/>
  <c r="U64" i="12"/>
  <c r="T64" i="12"/>
  <c r="U63" i="12"/>
  <c r="T63" i="12"/>
  <c r="U62" i="12"/>
  <c r="T62" i="12"/>
  <c r="U61" i="12"/>
  <c r="T61" i="12"/>
  <c r="U60" i="12"/>
  <c r="T60" i="12"/>
  <c r="U59" i="12"/>
  <c r="T59" i="12"/>
  <c r="U58" i="12"/>
  <c r="T58" i="12"/>
  <c r="U57" i="12"/>
  <c r="T57" i="12"/>
  <c r="U56" i="12"/>
  <c r="T56" i="12"/>
  <c r="U55" i="12"/>
  <c r="T55" i="12"/>
  <c r="U54" i="12"/>
  <c r="T54" i="12"/>
  <c r="U53" i="12"/>
  <c r="T53" i="12"/>
  <c r="U52" i="12"/>
  <c r="T52" i="12"/>
  <c r="U51" i="12"/>
  <c r="T51" i="12"/>
  <c r="U50" i="12"/>
  <c r="T50" i="12"/>
  <c r="U49" i="12"/>
  <c r="T49" i="12"/>
  <c r="U48" i="12"/>
  <c r="T48" i="12"/>
  <c r="U47" i="12"/>
  <c r="T47" i="12"/>
  <c r="U46" i="12"/>
  <c r="T46" i="12"/>
  <c r="U45" i="12"/>
  <c r="T45" i="12"/>
  <c r="U44" i="12"/>
  <c r="T44" i="12"/>
  <c r="U43" i="12"/>
  <c r="T43" i="12"/>
  <c r="U42" i="12"/>
  <c r="T42" i="12"/>
  <c r="U41" i="12"/>
  <c r="T41" i="12"/>
  <c r="U40" i="12"/>
  <c r="T40" i="12"/>
  <c r="U39" i="12"/>
  <c r="T39" i="12"/>
  <c r="U38" i="12"/>
  <c r="T38" i="12"/>
  <c r="U37" i="12"/>
  <c r="T37" i="12"/>
  <c r="U36" i="12"/>
  <c r="T36" i="12"/>
  <c r="U35" i="12"/>
  <c r="T35" i="12"/>
  <c r="U34" i="12"/>
  <c r="T34" i="12"/>
  <c r="U33" i="12"/>
  <c r="T33" i="12"/>
  <c r="U32" i="12"/>
  <c r="T32" i="12"/>
  <c r="U31" i="12"/>
  <c r="T31" i="12"/>
  <c r="U30" i="12"/>
  <c r="T30" i="12"/>
  <c r="U29" i="12"/>
  <c r="T29" i="12"/>
  <c r="U28" i="12"/>
  <c r="T28" i="12"/>
  <c r="U27" i="12"/>
  <c r="T27" i="12"/>
  <c r="U26" i="12"/>
  <c r="T26" i="12"/>
  <c r="U25" i="12"/>
  <c r="T25" i="12"/>
  <c r="U24" i="12"/>
  <c r="T24" i="12"/>
  <c r="U23" i="12"/>
  <c r="T23" i="12"/>
  <c r="U22" i="12"/>
  <c r="T22" i="12"/>
  <c r="U21" i="12"/>
  <c r="T21" i="12"/>
  <c r="U20" i="12"/>
  <c r="T20" i="12"/>
  <c r="U19" i="12"/>
  <c r="T19" i="12"/>
  <c r="U18" i="12"/>
  <c r="T18" i="12"/>
  <c r="U17" i="12"/>
  <c r="T17" i="12"/>
  <c r="U16" i="12"/>
  <c r="V16" i="12" s="1"/>
  <c r="T16" i="12"/>
  <c r="U15" i="12"/>
  <c r="T15" i="12"/>
  <c r="U14" i="12"/>
  <c r="T14" i="12"/>
  <c r="U13" i="12"/>
  <c r="T13" i="12"/>
  <c r="U12" i="12"/>
  <c r="T12" i="12"/>
  <c r="U11" i="12"/>
  <c r="T11" i="12"/>
  <c r="U10" i="12"/>
  <c r="T10" i="12"/>
  <c r="U9" i="12"/>
  <c r="T9" i="12"/>
  <c r="U8" i="12"/>
  <c r="T8" i="12"/>
  <c r="U7" i="12"/>
  <c r="T7" i="12"/>
  <c r="U6" i="12"/>
  <c r="T6" i="12"/>
  <c r="V6" i="12" s="1"/>
  <c r="U5" i="12"/>
  <c r="T5" i="12"/>
  <c r="U4" i="12"/>
  <c r="T4" i="12"/>
  <c r="U3" i="12"/>
  <c r="T3" i="12"/>
  <c r="U2" i="12"/>
  <c r="V2" i="12" s="1"/>
  <c r="T2" i="12"/>
  <c r="Q251" i="8"/>
  <c r="Q250" i="8"/>
  <c r="Q249" i="8"/>
  <c r="Q248" i="8"/>
  <c r="Q247" i="8"/>
  <c r="Q246" i="8"/>
  <c r="Q245" i="8"/>
  <c r="Q244" i="8"/>
  <c r="Q243" i="8"/>
  <c r="Q242" i="8"/>
  <c r="Q241" i="8"/>
  <c r="Q240" i="8"/>
  <c r="Q239" i="8"/>
  <c r="Q238" i="8"/>
  <c r="Q237" i="8"/>
  <c r="Q236" i="8"/>
  <c r="Q235" i="8"/>
  <c r="Q234" i="8"/>
  <c r="Q233" i="8"/>
  <c r="Q232" i="8"/>
  <c r="Q231" i="8"/>
  <c r="Q230" i="8"/>
  <c r="Q229" i="8"/>
  <c r="Q228" i="8"/>
  <c r="Q227" i="8"/>
  <c r="Q226" i="8"/>
  <c r="Q225" i="8"/>
  <c r="Q224" i="8"/>
  <c r="Q223" i="8"/>
  <c r="Q222" i="8"/>
  <c r="Q221" i="8"/>
  <c r="Q220" i="8"/>
  <c r="Q219" i="8"/>
  <c r="Q218" i="8"/>
  <c r="Q217" i="8"/>
  <c r="Q216" i="8"/>
  <c r="Q215" i="8"/>
  <c r="Q214" i="8"/>
  <c r="Q213" i="8"/>
  <c r="Q212" i="8"/>
  <c r="Q211" i="8"/>
  <c r="Q210" i="8"/>
  <c r="Q209" i="8"/>
  <c r="Q208" i="8"/>
  <c r="Q207" i="8"/>
  <c r="Q206" i="8"/>
  <c r="Q205" i="8"/>
  <c r="Q204" i="8"/>
  <c r="Q203" i="8"/>
  <c r="Q202" i="8"/>
  <c r="Q201" i="8"/>
  <c r="Q200" i="8"/>
  <c r="Q199" i="8"/>
  <c r="Q198" i="8"/>
  <c r="Q197" i="8"/>
  <c r="Q196" i="8"/>
  <c r="Q195" i="8"/>
  <c r="Q194" i="8"/>
  <c r="Q193" i="8"/>
  <c r="Q192" i="8"/>
  <c r="Q191" i="8"/>
  <c r="Q190" i="8"/>
  <c r="Q189" i="8"/>
  <c r="Q188" i="8"/>
  <c r="Q187" i="8"/>
  <c r="Q186" i="8"/>
  <c r="Q185" i="8"/>
  <c r="Q184" i="8"/>
  <c r="Q183" i="8"/>
  <c r="Q182" i="8"/>
  <c r="Q181" i="8"/>
  <c r="Q180" i="8"/>
  <c r="Q179" i="8"/>
  <c r="Q178" i="8"/>
  <c r="Q177" i="8"/>
  <c r="Q176" i="8"/>
  <c r="Q175" i="8"/>
  <c r="Q174" i="8"/>
  <c r="Q173" i="8"/>
  <c r="Q172" i="8"/>
  <c r="Q171" i="8"/>
  <c r="Q170" i="8"/>
  <c r="Q169" i="8"/>
  <c r="Q168" i="8"/>
  <c r="Q167" i="8"/>
  <c r="Q166" i="8"/>
  <c r="Q165" i="8"/>
  <c r="Q164" i="8"/>
  <c r="Q163" i="8"/>
  <c r="Q162" i="8"/>
  <c r="Q161" i="8"/>
  <c r="Q160" i="8"/>
  <c r="Q159" i="8"/>
  <c r="Q158" i="8"/>
  <c r="Q157" i="8"/>
  <c r="Q156" i="8"/>
  <c r="Q155" i="8"/>
  <c r="Q154" i="8"/>
  <c r="Q153" i="8"/>
  <c r="Q152" i="8"/>
  <c r="Q151" i="8"/>
  <c r="Q150" i="8"/>
  <c r="Q149" i="8"/>
  <c r="Q148" i="8"/>
  <c r="Q147" i="8"/>
  <c r="Q146" i="8"/>
  <c r="Q145" i="8"/>
  <c r="Q144" i="8"/>
  <c r="Q143" i="8"/>
  <c r="Q142" i="8"/>
  <c r="Q141" i="8"/>
  <c r="Q140" i="8"/>
  <c r="Q139" i="8"/>
  <c r="Q138" i="8"/>
  <c r="Q137" i="8"/>
  <c r="Q136" i="8"/>
  <c r="Q135" i="8"/>
  <c r="Q134" i="8"/>
  <c r="Q133" i="8"/>
  <c r="Q132" i="8"/>
  <c r="Q131" i="8"/>
  <c r="Q130" i="8"/>
  <c r="Q129" i="8"/>
  <c r="Q128" i="8"/>
  <c r="Q127" i="8"/>
  <c r="Q126" i="8"/>
  <c r="Q125" i="8"/>
  <c r="Q124" i="8"/>
  <c r="Q123" i="8"/>
  <c r="Q122" i="8"/>
  <c r="Q121" i="8"/>
  <c r="Q120" i="8"/>
  <c r="Q119" i="8"/>
  <c r="Q118" i="8"/>
  <c r="Q117" i="8"/>
  <c r="Q116" i="8"/>
  <c r="Q115" i="8"/>
  <c r="Q114" i="8"/>
  <c r="Q113" i="8"/>
  <c r="Q112" i="8"/>
  <c r="Q111" i="8"/>
  <c r="Q110" i="8"/>
  <c r="Q109" i="8"/>
  <c r="Q108" i="8"/>
  <c r="Q107" i="8"/>
  <c r="Q106" i="8"/>
  <c r="Q105" i="8"/>
  <c r="Q104" i="8"/>
  <c r="Q103" i="8"/>
  <c r="Q102" i="8"/>
  <c r="Q101" i="8"/>
  <c r="Q100" i="8"/>
  <c r="Q99" i="8"/>
  <c r="Q98" i="8"/>
  <c r="Q97" i="8"/>
  <c r="Q96" i="8"/>
  <c r="Q95" i="8"/>
  <c r="Q94" i="8"/>
  <c r="Q93" i="8"/>
  <c r="Q92" i="8"/>
  <c r="Q91" i="8"/>
  <c r="Q90" i="8"/>
  <c r="Q89" i="8"/>
  <c r="Q88" i="8"/>
  <c r="Q87" i="8"/>
  <c r="Q86" i="8"/>
  <c r="Q85" i="8"/>
  <c r="Q84" i="8"/>
  <c r="Q83" i="8"/>
  <c r="Q82" i="8"/>
  <c r="Q81" i="8"/>
  <c r="Q80" i="8"/>
  <c r="Q79" i="8"/>
  <c r="Q78" i="8"/>
  <c r="Q77" i="8"/>
  <c r="Q76" i="8"/>
  <c r="Q75" i="8"/>
  <c r="Q74" i="8"/>
  <c r="Q73" i="8"/>
  <c r="Q72" i="8"/>
  <c r="Q71" i="8"/>
  <c r="Q70" i="8"/>
  <c r="Q69" i="8"/>
  <c r="Q68" i="8"/>
  <c r="Q67" i="8"/>
  <c r="Q66" i="8"/>
  <c r="Q65" i="8"/>
  <c r="Q64" i="8"/>
  <c r="Q63" i="8"/>
  <c r="Q62" i="8"/>
  <c r="Q61" i="8"/>
  <c r="Q60" i="8"/>
  <c r="Q59" i="8"/>
  <c r="Q58" i="8"/>
  <c r="Q57" i="8"/>
  <c r="Q56" i="8"/>
  <c r="Q55" i="8"/>
  <c r="Q54" i="8"/>
  <c r="Q53" i="8"/>
  <c r="Q52" i="8"/>
  <c r="Q51" i="8"/>
  <c r="Q50" i="8"/>
  <c r="Q49" i="8"/>
  <c r="Q48" i="8"/>
  <c r="Q47" i="8"/>
  <c r="Q46" i="8"/>
  <c r="Q45" i="8"/>
  <c r="Q44" i="8"/>
  <c r="Q43" i="8"/>
  <c r="Q42" i="8"/>
  <c r="Q41" i="8"/>
  <c r="Q40" i="8"/>
  <c r="Q39" i="8"/>
  <c r="Q38" i="8"/>
  <c r="Q37" i="8"/>
  <c r="Q36" i="8"/>
  <c r="Q35" i="8"/>
  <c r="Q34" i="8"/>
  <c r="Q33" i="8"/>
  <c r="Q32" i="8"/>
  <c r="Q31" i="8"/>
  <c r="Q30" i="8"/>
  <c r="Q29" i="8"/>
  <c r="Q28" i="8"/>
  <c r="Q27" i="8"/>
  <c r="Q26" i="8"/>
  <c r="Q25" i="8"/>
  <c r="Q24" i="8"/>
  <c r="Q23" i="8"/>
  <c r="Q22" i="8"/>
  <c r="Q21" i="8"/>
  <c r="Q20" i="8"/>
  <c r="Q19" i="8"/>
  <c r="Q18" i="8"/>
  <c r="Q17" i="8"/>
  <c r="Q16" i="8"/>
  <c r="Q15" i="8"/>
  <c r="Q14" i="8"/>
  <c r="Q13" i="8"/>
  <c r="Q12" i="8"/>
  <c r="Q11" i="8"/>
  <c r="Q10" i="8"/>
  <c r="Q9" i="8"/>
  <c r="Q8" i="8"/>
  <c r="Q7" i="8"/>
  <c r="Q6" i="8"/>
  <c r="Q5" i="8"/>
  <c r="Q4" i="8"/>
  <c r="Q3" i="8"/>
  <c r="Q2" i="8"/>
  <c r="AJ824" i="1" a="1"/>
  <c r="AJ824" i="1" s="1"/>
  <c r="V824" i="1"/>
  <c r="U824" i="1"/>
  <c r="AJ745" i="1" a="1"/>
  <c r="AJ745" i="1" s="1"/>
  <c r="T745" i="1"/>
  <c r="AJ570" i="1" a="1"/>
  <c r="AJ570" i="1" s="1"/>
  <c r="V570" i="1"/>
  <c r="U570" i="1"/>
  <c r="V745" i="1"/>
  <c r="V39" i="12" l="1"/>
  <c r="V55" i="12"/>
  <c r="V77" i="12"/>
  <c r="V14" i="12"/>
  <c r="V102" i="12"/>
  <c r="V60" i="12"/>
  <c r="V61" i="12"/>
  <c r="V63" i="12"/>
  <c r="V79" i="12"/>
  <c r="V92" i="12"/>
  <c r="V28" i="12"/>
  <c r="V111" i="12"/>
  <c r="V32" i="12"/>
  <c r="V64" i="12"/>
  <c r="V33" i="12"/>
  <c r="V96" i="12"/>
  <c r="V65" i="12"/>
  <c r="V81" i="12"/>
  <c r="V34" i="12"/>
  <c r="V50" i="12"/>
  <c r="V97" i="12"/>
  <c r="V113" i="12"/>
  <c r="V3" i="12"/>
  <c r="V19" i="12"/>
  <c r="V66" i="12"/>
  <c r="V82" i="12"/>
  <c r="V35" i="12"/>
  <c r="V51" i="12"/>
  <c r="V98" i="12"/>
  <c r="V4" i="12"/>
  <c r="V20" i="12"/>
  <c r="V67" i="12"/>
  <c r="V83" i="12"/>
  <c r="V36" i="12"/>
  <c r="V52" i="12"/>
  <c r="V99" i="12"/>
  <c r="V5" i="12"/>
  <c r="V21" i="12"/>
  <c r="V68" i="12"/>
  <c r="V84" i="12"/>
  <c r="V37" i="12"/>
  <c r="V53" i="12"/>
  <c r="V100" i="12"/>
  <c r="V22" i="12"/>
  <c r="V69" i="12"/>
  <c r="V85" i="12"/>
  <c r="V38" i="12"/>
  <c r="V54" i="12"/>
  <c r="V101" i="12"/>
  <c r="V7" i="12"/>
  <c r="V23" i="12"/>
  <c r="V70" i="12"/>
  <c r="V86" i="12"/>
  <c r="V95" i="12"/>
  <c r="V17" i="12"/>
  <c r="V49" i="12"/>
  <c r="V112" i="12"/>
  <c r="V18" i="12"/>
  <c r="V24" i="12"/>
  <c r="V71" i="12"/>
  <c r="V87" i="12"/>
  <c r="V40" i="12"/>
  <c r="V56" i="12"/>
  <c r="V103" i="12"/>
  <c r="V9" i="12"/>
  <c r="V25" i="12"/>
  <c r="V72" i="12"/>
  <c r="V88" i="12"/>
  <c r="V41" i="12"/>
  <c r="V57" i="12"/>
  <c r="V104" i="12"/>
  <c r="V10" i="12"/>
  <c r="V26" i="12"/>
  <c r="V73" i="12"/>
  <c r="V89" i="12"/>
  <c r="V42" i="12"/>
  <c r="V58" i="12"/>
  <c r="V105" i="12"/>
  <c r="V11" i="12"/>
  <c r="V27" i="12"/>
  <c r="V74" i="12"/>
  <c r="V90" i="12"/>
  <c r="V43" i="12"/>
  <c r="V59" i="12"/>
  <c r="V106" i="12"/>
  <c r="V12" i="12"/>
  <c r="V75" i="12"/>
  <c r="V91" i="12"/>
  <c r="V44" i="12"/>
  <c r="V107" i="12"/>
  <c r="V13" i="12"/>
  <c r="V76" i="12"/>
  <c r="V29" i="12"/>
  <c r="V45" i="12"/>
  <c r="V108" i="12"/>
  <c r="V48" i="12"/>
  <c r="V80" i="12"/>
  <c r="V8" i="12"/>
  <c r="V30" i="12"/>
  <c r="V46" i="12"/>
  <c r="V93" i="12"/>
  <c r="V109" i="12"/>
  <c r="V15" i="12"/>
  <c r="V62" i="12"/>
  <c r="V78" i="12"/>
  <c r="V31" i="12"/>
  <c r="V47" i="12"/>
  <c r="V94" i="12"/>
  <c r="V110" i="12"/>
  <c r="E5" i="20"/>
  <c r="E4" i="20"/>
  <c r="E6" i="20" s="1"/>
  <c r="E41" i="19"/>
  <c r="E40" i="19"/>
  <c r="E37" i="19"/>
  <c r="E36" i="19"/>
  <c r="E38" i="19" s="1"/>
  <c r="E59" i="18"/>
  <c r="E58" i="18"/>
  <c r="E57" i="18"/>
  <c r="E46" i="18"/>
  <c r="E53" i="18" s="1"/>
  <c r="E116" i="16"/>
  <c r="D116" i="16"/>
  <c r="E115" i="16"/>
  <c r="D115" i="16"/>
  <c r="E114" i="16"/>
  <c r="D114" i="16"/>
  <c r="E113" i="16"/>
  <c r="D113" i="16"/>
  <c r="E112" i="16"/>
  <c r="D112" i="16"/>
  <c r="E108" i="16"/>
  <c r="D108" i="16"/>
  <c r="E107" i="16"/>
  <c r="D107" i="16"/>
  <c r="E106" i="16"/>
  <c r="D106" i="16"/>
  <c r="E101" i="16"/>
  <c r="D101" i="16"/>
  <c r="E100" i="16"/>
  <c r="D100" i="16"/>
  <c r="E95" i="16"/>
  <c r="D95" i="16"/>
  <c r="E94" i="16"/>
  <c r="D94" i="16"/>
  <c r="E89" i="16"/>
  <c r="D89" i="16"/>
  <c r="E88" i="16"/>
  <c r="D88" i="16"/>
  <c r="F81" i="16"/>
  <c r="F80" i="16"/>
  <c r="F76" i="16"/>
  <c r="F75" i="16"/>
  <c r="F71" i="16"/>
  <c r="F70" i="16"/>
  <c r="U745" i="1"/>
  <c r="E50" i="18" l="1"/>
  <c r="E49" i="18"/>
  <c r="E52" i="18"/>
  <c r="E54" i="18" s="1"/>
  <c r="F106" i="16"/>
  <c r="F115" i="16"/>
  <c r="F94" i="16"/>
  <c r="F113" i="16"/>
  <c r="F112" i="16"/>
  <c r="E90" i="16"/>
  <c r="F108" i="16"/>
  <c r="F72" i="16"/>
  <c r="F89" i="16"/>
  <c r="F101" i="16"/>
  <c r="F116" i="16"/>
  <c r="F77" i="16"/>
  <c r="F82" i="16"/>
  <c r="F83" i="16" s="1"/>
  <c r="F95" i="16"/>
  <c r="F107" i="16"/>
  <c r="F114" i="16"/>
  <c r="F88" i="16"/>
  <c r="F100" i="16"/>
  <c r="E49" i="19"/>
  <c r="E44" i="19"/>
  <c r="E45" i="19"/>
  <c r="E48" i="19"/>
  <c r="E19" i="17"/>
  <c r="D90" i="16"/>
  <c r="E25" i="17" l="1"/>
  <c r="E23" i="17"/>
  <c r="E26" i="17"/>
  <c r="E22" i="17"/>
  <c r="E51" i="18"/>
  <c r="F90" i="16"/>
  <c r="F96" i="16"/>
  <c r="F102" i="16"/>
  <c r="E24" i="17" l="1"/>
  <c r="E27" i="17"/>
  <c r="E28" i="17" s="1"/>
  <c r="B3" i="14" l="1"/>
  <c r="B6" i="14" s="1"/>
  <c r="B2" i="14"/>
  <c r="B5" i="14" l="1"/>
  <c r="C12" i="21"/>
  <c r="C10" i="21"/>
  <c r="C11" i="21"/>
  <c r="E8" i="13"/>
  <c r="E7" i="13"/>
  <c r="E9" i="13" s="1"/>
  <c r="E124" i="12" l="1"/>
  <c r="T54" i="1"/>
  <c r="E218" i="11"/>
  <c r="E217" i="11"/>
  <c r="E216" i="11"/>
  <c r="E36" i="10"/>
  <c r="E43" i="10" s="1"/>
  <c r="V895" i="1"/>
  <c r="U895" i="1"/>
  <c r="V894" i="1"/>
  <c r="U894" i="1"/>
  <c r="V893" i="1"/>
  <c r="U893" i="1"/>
  <c r="V891" i="1"/>
  <c r="U891" i="1"/>
  <c r="V890" i="1"/>
  <c r="U890" i="1"/>
  <c r="V889" i="1"/>
  <c r="U889" i="1"/>
  <c r="V888" i="1"/>
  <c r="U888" i="1"/>
  <c r="V886" i="1"/>
  <c r="U886" i="1"/>
  <c r="V884" i="1"/>
  <c r="U884" i="1"/>
  <c r="V883" i="1"/>
  <c r="U883" i="1"/>
  <c r="V882" i="1"/>
  <c r="U882" i="1"/>
  <c r="V880" i="1"/>
  <c r="U880" i="1"/>
  <c r="V879" i="1"/>
  <c r="U879" i="1"/>
  <c r="V878" i="1"/>
  <c r="U878" i="1"/>
  <c r="V877" i="1"/>
  <c r="U877" i="1"/>
  <c r="V876" i="1"/>
  <c r="U876" i="1"/>
  <c r="V874" i="1"/>
  <c r="U874" i="1"/>
  <c r="V873" i="1"/>
  <c r="U873" i="1"/>
  <c r="V872" i="1"/>
  <c r="U872" i="1"/>
  <c r="V871" i="1"/>
  <c r="U871" i="1"/>
  <c r="V869" i="1"/>
  <c r="U869" i="1"/>
  <c r="V868" i="1"/>
  <c r="U868" i="1"/>
  <c r="V867" i="1"/>
  <c r="U867" i="1"/>
  <c r="V866" i="1"/>
  <c r="U866" i="1"/>
  <c r="V865" i="1"/>
  <c r="U865" i="1"/>
  <c r="V863" i="1"/>
  <c r="U863" i="1"/>
  <c r="V862" i="1"/>
  <c r="U862" i="1"/>
  <c r="V861" i="1"/>
  <c r="U861" i="1"/>
  <c r="V860" i="1"/>
  <c r="U860" i="1"/>
  <c r="V859" i="1"/>
  <c r="U859" i="1"/>
  <c r="V858" i="1"/>
  <c r="U858" i="1"/>
  <c r="V857" i="1"/>
  <c r="U857" i="1"/>
  <c r="V856" i="1"/>
  <c r="U856" i="1"/>
  <c r="V854" i="1"/>
  <c r="U854" i="1"/>
  <c r="V853" i="1"/>
  <c r="U853" i="1"/>
  <c r="V852" i="1"/>
  <c r="U852" i="1"/>
  <c r="V851" i="1"/>
  <c r="U851" i="1"/>
  <c r="V849" i="1"/>
  <c r="U849" i="1"/>
  <c r="V848" i="1"/>
  <c r="U848" i="1"/>
  <c r="V847" i="1"/>
  <c r="U847" i="1"/>
  <c r="V846" i="1"/>
  <c r="U846" i="1"/>
  <c r="V845" i="1"/>
  <c r="U845" i="1"/>
  <c r="V844" i="1"/>
  <c r="U844" i="1"/>
  <c r="V842" i="1"/>
  <c r="U842" i="1"/>
  <c r="V841" i="1"/>
  <c r="U841" i="1"/>
  <c r="V840" i="1"/>
  <c r="U840" i="1"/>
  <c r="V838" i="1"/>
  <c r="U838" i="1"/>
  <c r="V837" i="1"/>
  <c r="U837" i="1"/>
  <c r="V836" i="1"/>
  <c r="U836" i="1"/>
  <c r="V835" i="1"/>
  <c r="U835" i="1"/>
  <c r="V834" i="1"/>
  <c r="U834" i="1"/>
  <c r="V833" i="1"/>
  <c r="U833" i="1"/>
  <c r="V832" i="1"/>
  <c r="U832" i="1"/>
  <c r="V831" i="1"/>
  <c r="U831" i="1"/>
  <c r="V830" i="1"/>
  <c r="U830" i="1"/>
  <c r="V829" i="1"/>
  <c r="U829" i="1"/>
  <c r="V828" i="1"/>
  <c r="U828" i="1"/>
  <c r="V826" i="1"/>
  <c r="U826" i="1"/>
  <c r="V825" i="1"/>
  <c r="U825" i="1"/>
  <c r="V823" i="1"/>
  <c r="U823" i="1"/>
  <c r="V822" i="1"/>
  <c r="U822" i="1"/>
  <c r="V821" i="1"/>
  <c r="U821" i="1"/>
  <c r="V820" i="1"/>
  <c r="U820" i="1"/>
  <c r="V819" i="1"/>
  <c r="U819" i="1"/>
  <c r="V818" i="1"/>
  <c r="U818" i="1"/>
  <c r="V817" i="1"/>
  <c r="U817" i="1"/>
  <c r="V816" i="1"/>
  <c r="U816" i="1"/>
  <c r="V815" i="1"/>
  <c r="U815" i="1"/>
  <c r="V814" i="1"/>
  <c r="U814" i="1"/>
  <c r="V813" i="1"/>
  <c r="U813" i="1"/>
  <c r="V811" i="1"/>
  <c r="U811" i="1"/>
  <c r="V809" i="1"/>
  <c r="U809" i="1"/>
  <c r="V808" i="1"/>
  <c r="U808" i="1"/>
  <c r="V806" i="1"/>
  <c r="U806" i="1"/>
  <c r="V804" i="1"/>
  <c r="U804" i="1"/>
  <c r="V803" i="1"/>
  <c r="U803" i="1"/>
  <c r="V802" i="1"/>
  <c r="U802" i="1"/>
  <c r="V801" i="1"/>
  <c r="U801" i="1"/>
  <c r="V800" i="1"/>
  <c r="U800" i="1"/>
  <c r="V799" i="1"/>
  <c r="U799" i="1"/>
  <c r="V795" i="1"/>
  <c r="U795" i="1"/>
  <c r="V794" i="1"/>
  <c r="U794" i="1"/>
  <c r="V792" i="1"/>
  <c r="U792" i="1"/>
  <c r="V789" i="1"/>
  <c r="U789" i="1"/>
  <c r="V788" i="1"/>
  <c r="U788" i="1"/>
  <c r="V787" i="1"/>
  <c r="U787" i="1"/>
  <c r="V786" i="1"/>
  <c r="U786" i="1"/>
  <c r="V784" i="1"/>
  <c r="U784" i="1"/>
  <c r="V783" i="1"/>
  <c r="U783" i="1"/>
  <c r="V782" i="1"/>
  <c r="U782" i="1"/>
  <c r="V781" i="1"/>
  <c r="U781" i="1"/>
  <c r="V780" i="1"/>
  <c r="U780" i="1"/>
  <c r="V777" i="1"/>
  <c r="U777" i="1"/>
  <c r="V776" i="1"/>
  <c r="U776" i="1"/>
  <c r="V775" i="1"/>
  <c r="U775" i="1"/>
  <c r="V774" i="1"/>
  <c r="U774" i="1"/>
  <c r="V773" i="1"/>
  <c r="U773" i="1"/>
  <c r="V772" i="1"/>
  <c r="U772" i="1"/>
  <c r="V771" i="1"/>
  <c r="U771" i="1"/>
  <c r="V770" i="1"/>
  <c r="U770" i="1"/>
  <c r="V768" i="1"/>
  <c r="U768" i="1"/>
  <c r="V767" i="1"/>
  <c r="U767" i="1"/>
  <c r="V766" i="1"/>
  <c r="U766" i="1"/>
  <c r="V765" i="1"/>
  <c r="U765" i="1"/>
  <c r="V764" i="1"/>
  <c r="U764" i="1"/>
  <c r="V762" i="1"/>
  <c r="U762" i="1"/>
  <c r="V760" i="1"/>
  <c r="U760" i="1"/>
  <c r="V759" i="1"/>
  <c r="U759" i="1"/>
  <c r="V758" i="1"/>
  <c r="U758" i="1"/>
  <c r="V757" i="1"/>
  <c r="U757" i="1"/>
  <c r="V756" i="1"/>
  <c r="U756" i="1"/>
  <c r="V755" i="1"/>
  <c r="U755" i="1"/>
  <c r="V754" i="1"/>
  <c r="U754" i="1"/>
  <c r="V753" i="1"/>
  <c r="U753" i="1"/>
  <c r="V751" i="1"/>
  <c r="U751" i="1"/>
  <c r="V750" i="1"/>
  <c r="U750" i="1"/>
  <c r="V749" i="1"/>
  <c r="U749" i="1"/>
  <c r="V748" i="1"/>
  <c r="U748" i="1"/>
  <c r="V747" i="1"/>
  <c r="U747" i="1"/>
  <c r="V744" i="1"/>
  <c r="U744" i="1"/>
  <c r="V743" i="1"/>
  <c r="U743" i="1"/>
  <c r="V742" i="1"/>
  <c r="U742" i="1"/>
  <c r="V741" i="1"/>
  <c r="U741" i="1"/>
  <c r="V738" i="1"/>
  <c r="U738" i="1"/>
  <c r="V737" i="1"/>
  <c r="U737" i="1"/>
  <c r="V736" i="1"/>
  <c r="U736" i="1"/>
  <c r="V735" i="1"/>
  <c r="U735" i="1"/>
  <c r="V734" i="1"/>
  <c r="U734" i="1"/>
  <c r="V733" i="1"/>
  <c r="U733" i="1"/>
  <c r="V732" i="1"/>
  <c r="U732" i="1"/>
  <c r="V730" i="1"/>
  <c r="U730" i="1"/>
  <c r="V729" i="1"/>
  <c r="U729" i="1"/>
  <c r="V728" i="1"/>
  <c r="U728" i="1"/>
  <c r="V727" i="1"/>
  <c r="U727" i="1"/>
  <c r="V726" i="1"/>
  <c r="U726" i="1"/>
  <c r="V725" i="1"/>
  <c r="U725" i="1"/>
  <c r="V724" i="1"/>
  <c r="U724" i="1"/>
  <c r="V722" i="1"/>
  <c r="U722" i="1"/>
  <c r="V720" i="1"/>
  <c r="U720" i="1"/>
  <c r="V718" i="1"/>
  <c r="U718" i="1"/>
  <c r="V717" i="1"/>
  <c r="U717" i="1"/>
  <c r="V716" i="1"/>
  <c r="U716" i="1"/>
  <c r="V715" i="1"/>
  <c r="U715" i="1"/>
  <c r="V714" i="1"/>
  <c r="U714" i="1"/>
  <c r="V713" i="1"/>
  <c r="U713" i="1"/>
  <c r="V712" i="1"/>
  <c r="U712" i="1"/>
  <c r="V711" i="1"/>
  <c r="U711" i="1"/>
  <c r="V710" i="1"/>
  <c r="U710" i="1"/>
  <c r="V709" i="1"/>
  <c r="U709" i="1"/>
  <c r="V708" i="1"/>
  <c r="U708" i="1"/>
  <c r="V707" i="1"/>
  <c r="U707" i="1"/>
  <c r="V706" i="1"/>
  <c r="U706" i="1"/>
  <c r="V705" i="1"/>
  <c r="U705" i="1"/>
  <c r="V704" i="1"/>
  <c r="U704" i="1"/>
  <c r="V703" i="1"/>
  <c r="U703" i="1"/>
  <c r="V701" i="1"/>
  <c r="U701" i="1"/>
  <c r="V700" i="1"/>
  <c r="U700" i="1"/>
  <c r="V699" i="1"/>
  <c r="U699" i="1"/>
  <c r="V698" i="1"/>
  <c r="U698" i="1"/>
  <c r="V697" i="1"/>
  <c r="U697" i="1"/>
  <c r="V696" i="1"/>
  <c r="U696" i="1"/>
  <c r="V695" i="1"/>
  <c r="U695" i="1"/>
  <c r="V694" i="1"/>
  <c r="U694" i="1"/>
  <c r="V693" i="1"/>
  <c r="U693" i="1"/>
  <c r="V692" i="1"/>
  <c r="U692" i="1"/>
  <c r="V691" i="1"/>
  <c r="U691" i="1"/>
  <c r="V690" i="1"/>
  <c r="U690" i="1"/>
  <c r="V689" i="1"/>
  <c r="U689" i="1"/>
  <c r="V687" i="1"/>
  <c r="U687" i="1"/>
  <c r="V686" i="1"/>
  <c r="U686" i="1"/>
  <c r="V685" i="1"/>
  <c r="U685" i="1"/>
  <c r="V684" i="1"/>
  <c r="U684" i="1"/>
  <c r="V683" i="1"/>
  <c r="U683" i="1"/>
  <c r="V682" i="1"/>
  <c r="U682" i="1"/>
  <c r="V681" i="1"/>
  <c r="U681" i="1"/>
  <c r="V680" i="1"/>
  <c r="U680" i="1"/>
  <c r="V679" i="1"/>
  <c r="U679" i="1"/>
  <c r="V678" i="1"/>
  <c r="U678" i="1"/>
  <c r="V677" i="1"/>
  <c r="U677" i="1"/>
  <c r="V676" i="1"/>
  <c r="U676" i="1"/>
  <c r="V675" i="1"/>
  <c r="U675" i="1"/>
  <c r="V674" i="1"/>
  <c r="U674" i="1"/>
  <c r="V673" i="1"/>
  <c r="U673" i="1"/>
  <c r="V672" i="1"/>
  <c r="U672" i="1"/>
  <c r="V671" i="1"/>
  <c r="U671" i="1"/>
  <c r="V670" i="1"/>
  <c r="U670" i="1"/>
  <c r="V669" i="1"/>
  <c r="U669" i="1"/>
  <c r="V668" i="1"/>
  <c r="U668" i="1"/>
  <c r="V667" i="1"/>
  <c r="U667" i="1"/>
  <c r="V666" i="1"/>
  <c r="U666" i="1"/>
  <c r="V665" i="1"/>
  <c r="U665" i="1"/>
  <c r="V663" i="1"/>
  <c r="U663" i="1"/>
  <c r="V662" i="1"/>
  <c r="U662" i="1"/>
  <c r="V661" i="1"/>
  <c r="U661" i="1"/>
  <c r="V659" i="1"/>
  <c r="U659" i="1"/>
  <c r="V658" i="1"/>
  <c r="U658" i="1"/>
  <c r="V657" i="1"/>
  <c r="U657" i="1"/>
  <c r="V656" i="1"/>
  <c r="U656" i="1"/>
  <c r="V655" i="1"/>
  <c r="U655" i="1"/>
  <c r="V654" i="1"/>
  <c r="U654" i="1"/>
  <c r="V653" i="1"/>
  <c r="U653" i="1"/>
  <c r="V652" i="1"/>
  <c r="U652" i="1"/>
  <c r="V651" i="1"/>
  <c r="U651" i="1"/>
  <c r="V650" i="1"/>
  <c r="U650" i="1"/>
  <c r="V649" i="1"/>
  <c r="U649" i="1"/>
  <c r="V648" i="1"/>
  <c r="U648" i="1"/>
  <c r="V647" i="1"/>
  <c r="U647" i="1"/>
  <c r="V646" i="1"/>
  <c r="U646" i="1"/>
  <c r="V645" i="1"/>
  <c r="U645" i="1"/>
  <c r="V644" i="1"/>
  <c r="U644" i="1"/>
  <c r="V643" i="1"/>
  <c r="U643" i="1"/>
  <c r="V641" i="1"/>
  <c r="U641" i="1"/>
  <c r="V640" i="1"/>
  <c r="U640" i="1"/>
  <c r="V639" i="1"/>
  <c r="U639" i="1"/>
  <c r="V638" i="1"/>
  <c r="U638" i="1"/>
  <c r="V637" i="1"/>
  <c r="U637" i="1"/>
  <c r="V636" i="1"/>
  <c r="U636" i="1"/>
  <c r="V635" i="1"/>
  <c r="U635" i="1"/>
  <c r="V634" i="1"/>
  <c r="U634" i="1"/>
  <c r="V632" i="1"/>
  <c r="U632" i="1"/>
  <c r="V631" i="1"/>
  <c r="U631" i="1"/>
  <c r="V629" i="1"/>
  <c r="U629" i="1"/>
  <c r="V628" i="1"/>
  <c r="U628" i="1"/>
  <c r="V627" i="1"/>
  <c r="U627" i="1"/>
  <c r="V626" i="1"/>
  <c r="U626" i="1"/>
  <c r="V625" i="1"/>
  <c r="U625" i="1"/>
  <c r="V624" i="1"/>
  <c r="U624" i="1"/>
  <c r="V623" i="1"/>
  <c r="U623" i="1"/>
  <c r="V622" i="1"/>
  <c r="U622" i="1"/>
  <c r="V621" i="1"/>
  <c r="U621" i="1"/>
  <c r="V620" i="1"/>
  <c r="U620" i="1"/>
  <c r="V618" i="1"/>
  <c r="U618" i="1"/>
  <c r="V617" i="1"/>
  <c r="U617" i="1"/>
  <c r="V615" i="1"/>
  <c r="U615" i="1"/>
  <c r="V614" i="1"/>
  <c r="U614" i="1"/>
  <c r="V613" i="1"/>
  <c r="U613" i="1"/>
  <c r="V612" i="1"/>
  <c r="U612" i="1"/>
  <c r="V611" i="1"/>
  <c r="U611" i="1"/>
  <c r="V609" i="1"/>
  <c r="U609" i="1"/>
  <c r="V608" i="1"/>
  <c r="U608" i="1"/>
  <c r="V607" i="1"/>
  <c r="U607" i="1"/>
  <c r="V606" i="1"/>
  <c r="U606" i="1"/>
  <c r="V605" i="1"/>
  <c r="U605" i="1"/>
  <c r="V604" i="1"/>
  <c r="U604" i="1"/>
  <c r="V603" i="1"/>
  <c r="U603" i="1"/>
  <c r="V602" i="1"/>
  <c r="U602" i="1"/>
  <c r="V601" i="1"/>
  <c r="U601" i="1"/>
  <c r="V600" i="1"/>
  <c r="U600" i="1"/>
  <c r="V599" i="1"/>
  <c r="U599" i="1"/>
  <c r="V598" i="1"/>
  <c r="U598" i="1"/>
  <c r="V597" i="1"/>
  <c r="U597" i="1"/>
  <c r="V596" i="1"/>
  <c r="U596" i="1"/>
  <c r="V595" i="1"/>
  <c r="U595" i="1"/>
  <c r="V594" i="1"/>
  <c r="U594" i="1"/>
  <c r="V593" i="1"/>
  <c r="U593" i="1"/>
  <c r="V591" i="1"/>
  <c r="U591" i="1"/>
  <c r="V590" i="1"/>
  <c r="U590" i="1"/>
  <c r="V589" i="1"/>
  <c r="U589" i="1"/>
  <c r="V586" i="1"/>
  <c r="U586" i="1"/>
  <c r="V585" i="1"/>
  <c r="U585" i="1"/>
  <c r="V584" i="1"/>
  <c r="U584" i="1"/>
  <c r="V583" i="1"/>
  <c r="U583" i="1"/>
  <c r="V582" i="1"/>
  <c r="U582" i="1"/>
  <c r="V581" i="1"/>
  <c r="U581" i="1"/>
  <c r="V580" i="1"/>
  <c r="U580" i="1"/>
  <c r="V578" i="1"/>
  <c r="U578" i="1"/>
  <c r="V577" i="1"/>
  <c r="U577" i="1"/>
  <c r="V575" i="1"/>
  <c r="U575" i="1"/>
  <c r="V574" i="1"/>
  <c r="U574" i="1"/>
  <c r="V573" i="1"/>
  <c r="U573" i="1"/>
  <c r="V572" i="1"/>
  <c r="U572" i="1"/>
  <c r="V571" i="1"/>
  <c r="U571" i="1"/>
  <c r="V569" i="1"/>
  <c r="U569" i="1"/>
  <c r="V568" i="1"/>
  <c r="U568" i="1"/>
  <c r="V567" i="1"/>
  <c r="U567" i="1"/>
  <c r="V566" i="1"/>
  <c r="U566" i="1"/>
  <c r="V565" i="1"/>
  <c r="U565" i="1"/>
  <c r="V564" i="1"/>
  <c r="U564" i="1"/>
  <c r="V563" i="1"/>
  <c r="U563" i="1"/>
  <c r="V562" i="1"/>
  <c r="U562" i="1"/>
  <c r="V561" i="1"/>
  <c r="U561" i="1"/>
  <c r="V560" i="1"/>
  <c r="U560" i="1"/>
  <c r="V559" i="1"/>
  <c r="U559" i="1"/>
  <c r="V558" i="1"/>
  <c r="U558" i="1"/>
  <c r="V557" i="1"/>
  <c r="U557" i="1"/>
  <c r="V556" i="1"/>
  <c r="U556" i="1"/>
  <c r="V555" i="1"/>
  <c r="U555" i="1"/>
  <c r="V554" i="1"/>
  <c r="U554" i="1"/>
  <c r="V553" i="1"/>
  <c r="U553" i="1"/>
  <c r="V552" i="1"/>
  <c r="U552" i="1"/>
  <c r="V551" i="1"/>
  <c r="U551" i="1"/>
  <c r="V550" i="1"/>
  <c r="U550" i="1"/>
  <c r="V549" i="1"/>
  <c r="U549" i="1"/>
  <c r="V548" i="1"/>
  <c r="U548" i="1"/>
  <c r="V547" i="1"/>
  <c r="U547" i="1"/>
  <c r="V545" i="1"/>
  <c r="U545" i="1"/>
  <c r="V544" i="1"/>
  <c r="U544" i="1"/>
  <c r="V543" i="1"/>
  <c r="U543" i="1"/>
  <c r="V542" i="1"/>
  <c r="U542" i="1"/>
  <c r="V541" i="1"/>
  <c r="U541" i="1"/>
  <c r="V540" i="1"/>
  <c r="U540" i="1"/>
  <c r="V539" i="1"/>
  <c r="U539" i="1"/>
  <c r="V538" i="1"/>
  <c r="U538" i="1"/>
  <c r="V536" i="1"/>
  <c r="U536" i="1"/>
  <c r="V535" i="1"/>
  <c r="U535" i="1"/>
  <c r="V534" i="1"/>
  <c r="U534" i="1"/>
  <c r="V533" i="1"/>
  <c r="U533" i="1"/>
  <c r="V532" i="1"/>
  <c r="U532" i="1"/>
  <c r="V531" i="1"/>
  <c r="U531" i="1"/>
  <c r="V530" i="1"/>
  <c r="U530" i="1"/>
  <c r="V529" i="1"/>
  <c r="U529" i="1"/>
  <c r="V528" i="1"/>
  <c r="U528" i="1"/>
  <c r="V527" i="1"/>
  <c r="U527" i="1"/>
  <c r="V526" i="1"/>
  <c r="U526" i="1"/>
  <c r="V525" i="1"/>
  <c r="U525" i="1"/>
  <c r="V524" i="1"/>
  <c r="U524" i="1"/>
  <c r="V523" i="1"/>
  <c r="U523" i="1"/>
  <c r="V520" i="1"/>
  <c r="U520" i="1"/>
  <c r="V519" i="1"/>
  <c r="U519" i="1"/>
  <c r="V518" i="1"/>
  <c r="U518" i="1"/>
  <c r="V517" i="1"/>
  <c r="U517" i="1"/>
  <c r="V516" i="1"/>
  <c r="U516" i="1"/>
  <c r="V515" i="1"/>
  <c r="U515" i="1"/>
  <c r="V512" i="1"/>
  <c r="U512" i="1"/>
  <c r="V511" i="1"/>
  <c r="U511" i="1"/>
  <c r="V509" i="1"/>
  <c r="U509" i="1"/>
  <c r="V508" i="1"/>
  <c r="U508" i="1"/>
  <c r="V507" i="1"/>
  <c r="U507" i="1"/>
  <c r="V506" i="1"/>
  <c r="U506" i="1"/>
  <c r="V505" i="1"/>
  <c r="U505" i="1"/>
  <c r="V504" i="1"/>
  <c r="U504" i="1"/>
  <c r="V503" i="1"/>
  <c r="U503" i="1"/>
  <c r="V502" i="1"/>
  <c r="U502" i="1"/>
  <c r="V501" i="1"/>
  <c r="U501" i="1"/>
  <c r="V500" i="1"/>
  <c r="U500" i="1"/>
  <c r="V499" i="1"/>
  <c r="U499" i="1"/>
  <c r="V498" i="1"/>
  <c r="U498" i="1"/>
  <c r="V497" i="1"/>
  <c r="U497" i="1"/>
  <c r="V495" i="1"/>
  <c r="U495" i="1"/>
  <c r="V494" i="1"/>
  <c r="U494" i="1"/>
  <c r="V493" i="1"/>
  <c r="U493" i="1"/>
  <c r="V492" i="1"/>
  <c r="U492" i="1"/>
  <c r="V487" i="1"/>
  <c r="U487" i="1"/>
  <c r="V485" i="1"/>
  <c r="U485" i="1"/>
  <c r="V484" i="1"/>
  <c r="U484" i="1"/>
  <c r="V483" i="1"/>
  <c r="U483" i="1"/>
  <c r="V482" i="1"/>
  <c r="U482" i="1"/>
  <c r="V481" i="1"/>
  <c r="U481" i="1"/>
  <c r="V480" i="1"/>
  <c r="U480" i="1"/>
  <c r="V479" i="1"/>
  <c r="U479" i="1"/>
  <c r="V478" i="1"/>
  <c r="U478" i="1"/>
  <c r="V477" i="1"/>
  <c r="U477" i="1"/>
  <c r="V476" i="1"/>
  <c r="U476" i="1"/>
  <c r="V475" i="1"/>
  <c r="U475" i="1"/>
  <c r="V474" i="1"/>
  <c r="U474" i="1"/>
  <c r="V473" i="1"/>
  <c r="U473" i="1"/>
  <c r="V472" i="1"/>
  <c r="U472" i="1"/>
  <c r="V471" i="1"/>
  <c r="U471" i="1"/>
  <c r="V470" i="1"/>
  <c r="U470" i="1"/>
  <c r="V468" i="1"/>
  <c r="U468" i="1"/>
  <c r="V467" i="1"/>
  <c r="U467" i="1"/>
  <c r="V466" i="1"/>
  <c r="U466" i="1"/>
  <c r="V465" i="1"/>
  <c r="U465" i="1"/>
  <c r="V464" i="1"/>
  <c r="U464" i="1"/>
  <c r="V463" i="1"/>
  <c r="U463" i="1"/>
  <c r="V462" i="1"/>
  <c r="U462" i="1"/>
  <c r="V460" i="1"/>
  <c r="U460" i="1"/>
  <c r="V458" i="1"/>
  <c r="U458" i="1"/>
  <c r="V457" i="1"/>
  <c r="U457" i="1"/>
  <c r="V456" i="1"/>
  <c r="U456" i="1"/>
  <c r="V455" i="1"/>
  <c r="U455" i="1"/>
  <c r="V453" i="1"/>
  <c r="U453" i="1"/>
  <c r="V452" i="1"/>
  <c r="U452" i="1"/>
  <c r="V451" i="1"/>
  <c r="U451" i="1"/>
  <c r="V449" i="1"/>
  <c r="U449" i="1"/>
  <c r="V448" i="1"/>
  <c r="U448" i="1"/>
  <c r="V447" i="1"/>
  <c r="U447" i="1"/>
  <c r="V446" i="1"/>
  <c r="U446" i="1"/>
  <c r="V444" i="1"/>
  <c r="U444" i="1"/>
  <c r="V443" i="1"/>
  <c r="U443" i="1"/>
  <c r="V442" i="1"/>
  <c r="U442" i="1"/>
  <c r="V441" i="1"/>
  <c r="U441" i="1"/>
  <c r="V440" i="1"/>
  <c r="U440" i="1"/>
  <c r="V438" i="1"/>
  <c r="U438" i="1"/>
  <c r="V437" i="1"/>
  <c r="U437" i="1"/>
  <c r="V436" i="1"/>
  <c r="U436" i="1"/>
  <c r="V435" i="1"/>
  <c r="U435" i="1"/>
  <c r="V432" i="1"/>
  <c r="U432" i="1"/>
  <c r="V431" i="1"/>
  <c r="U431" i="1"/>
  <c r="V430" i="1"/>
  <c r="U430" i="1"/>
  <c r="V428" i="1"/>
  <c r="U428" i="1"/>
  <c r="V426" i="1"/>
  <c r="U426" i="1"/>
  <c r="V425" i="1"/>
  <c r="U425" i="1"/>
  <c r="V423" i="1"/>
  <c r="U423" i="1"/>
  <c r="V422" i="1"/>
  <c r="U422" i="1"/>
  <c r="V421" i="1"/>
  <c r="U421" i="1"/>
  <c r="V420" i="1"/>
  <c r="U420" i="1"/>
  <c r="V419" i="1"/>
  <c r="U419" i="1"/>
  <c r="V418" i="1"/>
  <c r="U418" i="1"/>
  <c r="V416" i="1"/>
  <c r="U416" i="1"/>
  <c r="V415" i="1"/>
  <c r="U415" i="1"/>
  <c r="V413" i="1"/>
  <c r="U413" i="1"/>
  <c r="V412" i="1"/>
  <c r="U412" i="1"/>
  <c r="V411" i="1"/>
  <c r="U411" i="1"/>
  <c r="V410" i="1"/>
  <c r="U410" i="1"/>
  <c r="V409" i="1"/>
  <c r="U409" i="1"/>
  <c r="V408" i="1"/>
  <c r="U408" i="1"/>
  <c r="V407" i="1"/>
  <c r="U407" i="1"/>
  <c r="V405" i="1"/>
  <c r="U405" i="1"/>
  <c r="V403" i="1"/>
  <c r="U403" i="1"/>
  <c r="V402" i="1"/>
  <c r="U402" i="1"/>
  <c r="V400" i="1"/>
  <c r="U400" i="1"/>
  <c r="V399" i="1"/>
  <c r="U399" i="1"/>
  <c r="V398" i="1"/>
  <c r="U398" i="1"/>
  <c r="V397" i="1"/>
  <c r="U397" i="1"/>
  <c r="V396" i="1"/>
  <c r="U396" i="1"/>
  <c r="V395" i="1"/>
  <c r="U395" i="1"/>
  <c r="V394" i="1"/>
  <c r="U394" i="1"/>
  <c r="V393" i="1"/>
  <c r="U393" i="1"/>
  <c r="V392" i="1"/>
  <c r="U392" i="1"/>
  <c r="V391" i="1"/>
  <c r="U391" i="1"/>
  <c r="V390" i="1"/>
  <c r="U390" i="1"/>
  <c r="V389" i="1"/>
  <c r="U389" i="1"/>
  <c r="V388" i="1"/>
  <c r="U388" i="1"/>
  <c r="V387" i="1"/>
  <c r="U387" i="1"/>
  <c r="V386" i="1"/>
  <c r="U386" i="1"/>
  <c r="V385" i="1"/>
  <c r="U385" i="1"/>
  <c r="V384" i="1"/>
  <c r="U384" i="1"/>
  <c r="V383" i="1"/>
  <c r="U383" i="1"/>
  <c r="V382" i="1"/>
  <c r="U382" i="1"/>
  <c r="V381" i="1"/>
  <c r="U381" i="1"/>
  <c r="V380" i="1"/>
  <c r="U380" i="1"/>
  <c r="V379" i="1"/>
  <c r="U379" i="1"/>
  <c r="V378" i="1"/>
  <c r="U378" i="1"/>
  <c r="V377" i="1"/>
  <c r="U377" i="1"/>
  <c r="V376" i="1"/>
  <c r="U376" i="1"/>
  <c r="V375" i="1"/>
  <c r="U375" i="1"/>
  <c r="V373" i="1"/>
  <c r="U373" i="1"/>
  <c r="V372" i="1"/>
  <c r="U372" i="1"/>
  <c r="V371" i="1"/>
  <c r="U371" i="1"/>
  <c r="V370" i="1"/>
  <c r="U370" i="1"/>
  <c r="V368" i="1"/>
  <c r="U368" i="1"/>
  <c r="V367" i="1"/>
  <c r="U367" i="1"/>
  <c r="V365" i="1"/>
  <c r="U365" i="1"/>
  <c r="V364" i="1"/>
  <c r="U364" i="1"/>
  <c r="V362" i="1"/>
  <c r="U362" i="1"/>
  <c r="V360" i="1"/>
  <c r="U360" i="1"/>
  <c r="V358" i="1"/>
  <c r="U358" i="1"/>
  <c r="V357" i="1"/>
  <c r="U357" i="1"/>
  <c r="V355" i="1"/>
  <c r="U355" i="1"/>
  <c r="V353" i="1"/>
  <c r="U353" i="1"/>
  <c r="V352" i="1"/>
  <c r="U352" i="1"/>
  <c r="V351" i="1"/>
  <c r="U351" i="1"/>
  <c r="V350" i="1"/>
  <c r="U350" i="1"/>
  <c r="V349" i="1"/>
  <c r="U349" i="1"/>
  <c r="V348" i="1"/>
  <c r="U348" i="1"/>
  <c r="V344" i="1"/>
  <c r="U344" i="1"/>
  <c r="V343" i="1"/>
  <c r="U343" i="1"/>
  <c r="V342" i="1"/>
  <c r="U342" i="1"/>
  <c r="V341" i="1"/>
  <c r="U341" i="1"/>
  <c r="V340" i="1"/>
  <c r="U340" i="1"/>
  <c r="V339" i="1"/>
  <c r="U339" i="1"/>
  <c r="V337" i="1"/>
  <c r="U337" i="1"/>
  <c r="V336" i="1"/>
  <c r="U336" i="1"/>
  <c r="V335" i="1"/>
  <c r="U335" i="1"/>
  <c r="V334" i="1"/>
  <c r="U334" i="1"/>
  <c r="V333" i="1"/>
  <c r="U333" i="1"/>
  <c r="V332" i="1"/>
  <c r="U332" i="1"/>
  <c r="V331" i="1"/>
  <c r="U331" i="1"/>
  <c r="V330" i="1"/>
  <c r="U330" i="1"/>
  <c r="V329" i="1"/>
  <c r="U329" i="1"/>
  <c r="V328" i="1"/>
  <c r="U328" i="1"/>
  <c r="V327" i="1"/>
  <c r="U327" i="1"/>
  <c r="V325" i="1"/>
  <c r="U325" i="1"/>
  <c r="V324" i="1"/>
  <c r="U324" i="1"/>
  <c r="V323" i="1"/>
  <c r="U323" i="1"/>
  <c r="V322" i="1"/>
  <c r="U322" i="1"/>
  <c r="V321" i="1"/>
  <c r="U321" i="1"/>
  <c r="V319" i="1"/>
  <c r="U319" i="1"/>
  <c r="V318" i="1"/>
  <c r="U318" i="1"/>
  <c r="V315" i="1"/>
  <c r="U315" i="1"/>
  <c r="V314" i="1"/>
  <c r="U314" i="1"/>
  <c r="V313" i="1"/>
  <c r="U313" i="1"/>
  <c r="V311" i="1"/>
  <c r="U311" i="1"/>
  <c r="V310" i="1"/>
  <c r="U310" i="1"/>
  <c r="V307" i="1"/>
  <c r="U307" i="1"/>
  <c r="V306" i="1"/>
  <c r="U306" i="1"/>
  <c r="V305" i="1"/>
  <c r="U305" i="1"/>
  <c r="V303" i="1"/>
  <c r="U303" i="1"/>
  <c r="V302" i="1"/>
  <c r="U302" i="1"/>
  <c r="V301" i="1"/>
  <c r="U301" i="1"/>
  <c r="V300" i="1"/>
  <c r="U300" i="1"/>
  <c r="V299" i="1"/>
  <c r="U299" i="1"/>
  <c r="V298" i="1"/>
  <c r="U298" i="1"/>
  <c r="V297" i="1"/>
  <c r="U297" i="1"/>
  <c r="V296" i="1"/>
  <c r="U296" i="1"/>
  <c r="V295" i="1"/>
  <c r="U295" i="1"/>
  <c r="V294" i="1"/>
  <c r="U294" i="1"/>
  <c r="V293" i="1"/>
  <c r="U293" i="1"/>
  <c r="V291" i="1"/>
  <c r="U291" i="1"/>
  <c r="V290" i="1"/>
  <c r="U290" i="1"/>
  <c r="V289" i="1"/>
  <c r="U289" i="1"/>
  <c r="V288" i="1"/>
  <c r="U288" i="1"/>
  <c r="V287" i="1"/>
  <c r="U287" i="1"/>
  <c r="V286" i="1"/>
  <c r="U286" i="1"/>
  <c r="V285" i="1"/>
  <c r="U285" i="1"/>
  <c r="V284" i="1"/>
  <c r="U284" i="1"/>
  <c r="V283" i="1"/>
  <c r="U283" i="1"/>
  <c r="V282" i="1"/>
  <c r="U282" i="1"/>
  <c r="V281" i="1"/>
  <c r="U281" i="1"/>
  <c r="V279" i="1"/>
  <c r="U279" i="1"/>
  <c r="V278" i="1"/>
  <c r="U278" i="1"/>
  <c r="V277" i="1"/>
  <c r="U277" i="1"/>
  <c r="V276" i="1"/>
  <c r="U276" i="1"/>
  <c r="V275" i="1"/>
  <c r="U275" i="1"/>
  <c r="V274" i="1"/>
  <c r="U274" i="1"/>
  <c r="V273" i="1"/>
  <c r="U273" i="1"/>
  <c r="V272" i="1"/>
  <c r="U272" i="1"/>
  <c r="V271" i="1"/>
  <c r="U271" i="1"/>
  <c r="V270" i="1"/>
  <c r="U270" i="1"/>
  <c r="V269" i="1"/>
  <c r="U269" i="1"/>
  <c r="V268" i="1"/>
  <c r="U268" i="1"/>
  <c r="V267" i="1"/>
  <c r="U267" i="1"/>
  <c r="V266" i="1"/>
  <c r="U266" i="1"/>
  <c r="V264" i="1"/>
  <c r="U264" i="1"/>
  <c r="V263" i="1"/>
  <c r="U263" i="1"/>
  <c r="V262" i="1"/>
  <c r="U262" i="1"/>
  <c r="V261" i="1"/>
  <c r="U261" i="1"/>
  <c r="V260" i="1"/>
  <c r="U260" i="1"/>
  <c r="V258" i="1"/>
  <c r="U258" i="1"/>
  <c r="V257" i="1"/>
  <c r="U257" i="1"/>
  <c r="V256" i="1"/>
  <c r="U256" i="1"/>
  <c r="V255" i="1"/>
  <c r="U255" i="1"/>
  <c r="V254" i="1"/>
  <c r="U254" i="1"/>
  <c r="V253" i="1"/>
  <c r="U253" i="1"/>
  <c r="V250" i="1"/>
  <c r="U250" i="1"/>
  <c r="V249" i="1"/>
  <c r="U249" i="1"/>
  <c r="V248" i="1"/>
  <c r="U248" i="1"/>
  <c r="V247" i="1"/>
  <c r="U247" i="1"/>
  <c r="V246" i="1"/>
  <c r="U246" i="1"/>
  <c r="V245" i="1"/>
  <c r="U245" i="1"/>
  <c r="V244" i="1"/>
  <c r="U244" i="1"/>
  <c r="V242" i="1"/>
  <c r="U242" i="1"/>
  <c r="V241" i="1"/>
  <c r="U241" i="1"/>
  <c r="V240" i="1"/>
  <c r="U240" i="1"/>
  <c r="V239" i="1"/>
  <c r="U239" i="1"/>
  <c r="V238" i="1"/>
  <c r="U238" i="1"/>
  <c r="V237" i="1"/>
  <c r="U237" i="1"/>
  <c r="V236" i="1"/>
  <c r="U236" i="1"/>
  <c r="V235" i="1"/>
  <c r="U235" i="1"/>
  <c r="V234" i="1"/>
  <c r="U234" i="1"/>
  <c r="V231" i="1"/>
  <c r="U231" i="1"/>
  <c r="V230" i="1"/>
  <c r="U230" i="1"/>
  <c r="V229" i="1"/>
  <c r="U229" i="1"/>
  <c r="V228" i="1"/>
  <c r="U228" i="1"/>
  <c r="V227" i="1"/>
  <c r="U227" i="1"/>
  <c r="V226" i="1"/>
  <c r="U226" i="1"/>
  <c r="V225" i="1"/>
  <c r="U225" i="1"/>
  <c r="V224" i="1"/>
  <c r="U224" i="1"/>
  <c r="V223" i="1"/>
  <c r="U223" i="1"/>
  <c r="V222" i="1"/>
  <c r="U222" i="1"/>
  <c r="V221" i="1"/>
  <c r="U221" i="1"/>
  <c r="V220" i="1"/>
  <c r="U220" i="1"/>
  <c r="V219" i="1"/>
  <c r="U219" i="1"/>
  <c r="V218" i="1"/>
  <c r="U218" i="1"/>
  <c r="V217" i="1"/>
  <c r="U217" i="1"/>
  <c r="V216" i="1"/>
  <c r="U216" i="1"/>
  <c r="V215" i="1"/>
  <c r="U215" i="1"/>
  <c r="V214" i="1"/>
  <c r="U214" i="1"/>
  <c r="V213" i="1"/>
  <c r="U213" i="1"/>
  <c r="V212" i="1"/>
  <c r="U212" i="1"/>
  <c r="V211" i="1"/>
  <c r="U211" i="1"/>
  <c r="V208" i="1"/>
  <c r="U208" i="1"/>
  <c r="V206" i="1"/>
  <c r="U206" i="1"/>
  <c r="V205" i="1"/>
  <c r="U205" i="1"/>
  <c r="V204" i="1"/>
  <c r="U204" i="1"/>
  <c r="V203" i="1"/>
  <c r="U203" i="1"/>
  <c r="V202" i="1"/>
  <c r="U202" i="1"/>
  <c r="V201" i="1"/>
  <c r="U201" i="1"/>
  <c r="V200" i="1"/>
  <c r="U200" i="1"/>
  <c r="V199" i="1"/>
  <c r="U199" i="1"/>
  <c r="V197" i="1"/>
  <c r="U197" i="1"/>
  <c r="V196" i="1"/>
  <c r="U196" i="1"/>
  <c r="V195" i="1"/>
  <c r="U195" i="1"/>
  <c r="V194" i="1"/>
  <c r="U194" i="1"/>
  <c r="V192" i="1"/>
  <c r="U192" i="1"/>
  <c r="V191" i="1"/>
  <c r="U191" i="1"/>
  <c r="V189" i="1"/>
  <c r="U189" i="1"/>
  <c r="V187" i="1"/>
  <c r="U187" i="1"/>
  <c r="V186" i="1"/>
  <c r="U186" i="1"/>
  <c r="V185" i="1"/>
  <c r="U185" i="1"/>
  <c r="V184" i="1"/>
  <c r="U184" i="1"/>
  <c r="V183" i="1"/>
  <c r="U183" i="1"/>
  <c r="V182" i="1"/>
  <c r="U182" i="1"/>
  <c r="V181" i="1"/>
  <c r="U181" i="1"/>
  <c r="V180" i="1"/>
  <c r="U180" i="1"/>
  <c r="V179" i="1"/>
  <c r="U179" i="1"/>
  <c r="V178" i="1"/>
  <c r="U178" i="1"/>
  <c r="V177" i="1"/>
  <c r="U177" i="1"/>
  <c r="V176" i="1"/>
  <c r="U176" i="1"/>
  <c r="V175" i="1"/>
  <c r="U175" i="1"/>
  <c r="V174" i="1"/>
  <c r="U174" i="1"/>
  <c r="V173" i="1"/>
  <c r="U173" i="1"/>
  <c r="V171" i="1"/>
  <c r="U171" i="1"/>
  <c r="V170" i="1"/>
  <c r="U170" i="1"/>
  <c r="V168" i="1"/>
  <c r="U168" i="1"/>
  <c r="V167" i="1"/>
  <c r="U167" i="1"/>
  <c r="V166" i="1"/>
  <c r="U166" i="1"/>
  <c r="V165" i="1"/>
  <c r="U165" i="1"/>
  <c r="V164" i="1"/>
  <c r="U164" i="1"/>
  <c r="V163" i="1"/>
  <c r="U163" i="1"/>
  <c r="V162" i="1"/>
  <c r="U162" i="1"/>
  <c r="V161" i="1"/>
  <c r="U161" i="1"/>
  <c r="V160" i="1"/>
  <c r="U160" i="1"/>
  <c r="V158" i="1"/>
  <c r="U158" i="1"/>
  <c r="V157" i="1"/>
  <c r="U157" i="1"/>
  <c r="V156" i="1"/>
  <c r="U156" i="1"/>
  <c r="V155" i="1"/>
  <c r="U155" i="1"/>
  <c r="V154" i="1"/>
  <c r="U154" i="1"/>
  <c r="V153" i="1"/>
  <c r="U153" i="1"/>
  <c r="V152" i="1"/>
  <c r="U152" i="1"/>
  <c r="V150" i="1"/>
  <c r="U150" i="1"/>
  <c r="V149" i="1"/>
  <c r="U149" i="1"/>
  <c r="V148" i="1"/>
  <c r="U148" i="1"/>
  <c r="V147" i="1"/>
  <c r="U147" i="1"/>
  <c r="V146" i="1"/>
  <c r="U146" i="1"/>
  <c r="V145" i="1"/>
  <c r="U145" i="1"/>
  <c r="V144" i="1"/>
  <c r="U144" i="1"/>
  <c r="V143" i="1"/>
  <c r="U143" i="1"/>
  <c r="V142" i="1"/>
  <c r="U142" i="1"/>
  <c r="V141" i="1"/>
  <c r="U141" i="1"/>
  <c r="V140" i="1"/>
  <c r="U140" i="1"/>
  <c r="V139" i="1"/>
  <c r="U139" i="1"/>
  <c r="V138" i="1"/>
  <c r="U138" i="1"/>
  <c r="V137" i="1"/>
  <c r="U137" i="1"/>
  <c r="V136" i="1"/>
  <c r="U136" i="1"/>
  <c r="V135" i="1"/>
  <c r="U135" i="1"/>
  <c r="V134" i="1"/>
  <c r="U134" i="1"/>
  <c r="V133" i="1"/>
  <c r="U133" i="1"/>
  <c r="V132" i="1"/>
  <c r="U132" i="1"/>
  <c r="V129" i="1"/>
  <c r="U129" i="1"/>
  <c r="V128" i="1"/>
  <c r="U128" i="1"/>
  <c r="V127" i="1"/>
  <c r="U127" i="1"/>
  <c r="V126" i="1"/>
  <c r="U126" i="1"/>
  <c r="V125" i="1"/>
  <c r="U125" i="1"/>
  <c r="V124" i="1"/>
  <c r="U124" i="1"/>
  <c r="V123" i="1"/>
  <c r="U123" i="1"/>
  <c r="V122" i="1"/>
  <c r="U122" i="1"/>
  <c r="V119" i="1"/>
  <c r="U119" i="1"/>
  <c r="V118" i="1"/>
  <c r="U118" i="1"/>
  <c r="V117" i="1"/>
  <c r="U117" i="1"/>
  <c r="V115" i="1"/>
  <c r="U115" i="1"/>
  <c r="V114" i="1"/>
  <c r="U114" i="1"/>
  <c r="V113" i="1"/>
  <c r="U113" i="1"/>
  <c r="V112" i="1"/>
  <c r="U112" i="1"/>
  <c r="V111" i="1"/>
  <c r="U111" i="1"/>
  <c r="V110" i="1"/>
  <c r="U110" i="1"/>
  <c r="V109" i="1"/>
  <c r="U109" i="1"/>
  <c r="V108" i="1"/>
  <c r="U108" i="1"/>
  <c r="V107" i="1"/>
  <c r="U107" i="1"/>
  <c r="V106" i="1"/>
  <c r="U106" i="1"/>
  <c r="V105" i="1"/>
  <c r="U105" i="1"/>
  <c r="V104" i="1"/>
  <c r="U104" i="1"/>
  <c r="V103" i="1"/>
  <c r="U103" i="1"/>
  <c r="V102" i="1"/>
  <c r="U102" i="1"/>
  <c r="V101" i="1"/>
  <c r="U101" i="1"/>
  <c r="V100" i="1"/>
  <c r="U100" i="1"/>
  <c r="V98" i="1"/>
  <c r="U98" i="1"/>
  <c r="V97" i="1"/>
  <c r="U97" i="1"/>
  <c r="V96" i="1"/>
  <c r="U96" i="1"/>
  <c r="V95" i="1"/>
  <c r="U95" i="1"/>
  <c r="V94" i="1"/>
  <c r="U94" i="1"/>
  <c r="V93" i="1"/>
  <c r="U93" i="1"/>
  <c r="V92" i="1"/>
  <c r="U92" i="1"/>
  <c r="V91" i="1"/>
  <c r="U91" i="1"/>
  <c r="V90" i="1"/>
  <c r="U90" i="1"/>
  <c r="V89" i="1"/>
  <c r="U89" i="1"/>
  <c r="V88" i="1"/>
  <c r="U88" i="1"/>
  <c r="V87" i="1"/>
  <c r="U87" i="1"/>
  <c r="V86" i="1"/>
  <c r="U86" i="1"/>
  <c r="V85" i="1"/>
  <c r="U85" i="1"/>
  <c r="V84" i="1"/>
  <c r="U84" i="1"/>
  <c r="V83" i="1"/>
  <c r="U83" i="1"/>
  <c r="V82" i="1"/>
  <c r="U82" i="1"/>
  <c r="V81" i="1"/>
  <c r="U81" i="1"/>
  <c r="V80" i="1"/>
  <c r="U80" i="1"/>
  <c r="V78" i="1"/>
  <c r="U78" i="1"/>
  <c r="V77" i="1"/>
  <c r="U77" i="1"/>
  <c r="V76" i="1"/>
  <c r="U76" i="1"/>
  <c r="V75" i="1"/>
  <c r="U75" i="1"/>
  <c r="V74" i="1"/>
  <c r="U74" i="1"/>
  <c r="V73" i="1"/>
  <c r="U73" i="1"/>
  <c r="V72" i="1"/>
  <c r="U72" i="1"/>
  <c r="V69" i="1"/>
  <c r="U69" i="1"/>
  <c r="V68" i="1"/>
  <c r="U68" i="1"/>
  <c r="V67" i="1"/>
  <c r="U67" i="1"/>
  <c r="V66" i="1"/>
  <c r="U66" i="1"/>
  <c r="V65" i="1"/>
  <c r="U65" i="1"/>
  <c r="V64" i="1"/>
  <c r="U64" i="1"/>
  <c r="V63" i="1"/>
  <c r="U63" i="1"/>
  <c r="V62" i="1"/>
  <c r="U62" i="1"/>
  <c r="V61" i="1"/>
  <c r="U61" i="1"/>
  <c r="V60" i="1"/>
  <c r="U60" i="1"/>
  <c r="V56" i="1"/>
  <c r="U56" i="1"/>
  <c r="V55" i="1"/>
  <c r="U55" i="1"/>
  <c r="V53" i="1"/>
  <c r="U53" i="1"/>
  <c r="V52" i="1"/>
  <c r="U52" i="1"/>
  <c r="V51" i="1"/>
  <c r="U51" i="1"/>
  <c r="V50" i="1"/>
  <c r="U50" i="1"/>
  <c r="V49" i="1"/>
  <c r="U49" i="1"/>
  <c r="V48" i="1"/>
  <c r="U48" i="1"/>
  <c r="V47" i="1"/>
  <c r="U47" i="1"/>
  <c r="V46" i="1"/>
  <c r="U46" i="1"/>
  <c r="V45" i="1"/>
  <c r="U45" i="1"/>
  <c r="V44" i="1"/>
  <c r="U44" i="1"/>
  <c r="V43" i="1"/>
  <c r="U43" i="1"/>
  <c r="V42" i="1"/>
  <c r="U42" i="1"/>
  <c r="V41" i="1"/>
  <c r="U41" i="1"/>
  <c r="V40" i="1"/>
  <c r="U40" i="1"/>
  <c r="V39" i="1"/>
  <c r="U39" i="1"/>
  <c r="V38" i="1"/>
  <c r="U38" i="1"/>
  <c r="V37" i="1"/>
  <c r="U37" i="1"/>
  <c r="V36" i="1"/>
  <c r="U36" i="1"/>
  <c r="V35" i="1"/>
  <c r="U35" i="1"/>
  <c r="V34" i="1"/>
  <c r="U34" i="1"/>
  <c r="V33" i="1"/>
  <c r="U33" i="1"/>
  <c r="V32" i="1"/>
  <c r="U32" i="1"/>
  <c r="V31" i="1"/>
  <c r="U31" i="1"/>
  <c r="V30" i="1"/>
  <c r="U30" i="1"/>
  <c r="V29" i="1"/>
  <c r="U29" i="1"/>
  <c r="V28" i="1"/>
  <c r="U28" i="1"/>
  <c r="V27" i="1"/>
  <c r="U27" i="1"/>
  <c r="V26" i="1"/>
  <c r="U26" i="1"/>
  <c r="V24" i="1"/>
  <c r="U24" i="1"/>
  <c r="V23" i="1"/>
  <c r="U23" i="1"/>
  <c r="V22" i="1"/>
  <c r="U22" i="1"/>
  <c r="V21" i="1"/>
  <c r="U21" i="1"/>
  <c r="V20" i="1"/>
  <c r="U20" i="1"/>
  <c r="V19" i="1"/>
  <c r="U19" i="1"/>
  <c r="V18" i="1"/>
  <c r="U18" i="1"/>
  <c r="V17" i="1"/>
  <c r="U17" i="1"/>
  <c r="V16" i="1"/>
  <c r="U16" i="1"/>
  <c r="V15" i="1"/>
  <c r="U15" i="1"/>
  <c r="V14" i="1"/>
  <c r="U14" i="1"/>
  <c r="V13" i="1"/>
  <c r="U13" i="1"/>
  <c r="V12" i="1"/>
  <c r="U12" i="1"/>
  <c r="V11" i="1"/>
  <c r="U11" i="1"/>
  <c r="V10" i="1"/>
  <c r="U10" i="1"/>
  <c r="V9" i="1"/>
  <c r="U9" i="1"/>
  <c r="V8" i="1"/>
  <c r="U8" i="1"/>
  <c r="V7" i="1"/>
  <c r="U7" i="1"/>
  <c r="V6" i="1"/>
  <c r="U6" i="1"/>
  <c r="V5" i="1"/>
  <c r="U5" i="1"/>
  <c r="V4" i="1"/>
  <c r="U4" i="1"/>
  <c r="V3" i="1"/>
  <c r="U3" i="1"/>
  <c r="V2" i="1"/>
  <c r="U2" i="1"/>
  <c r="E300" i="8"/>
  <c r="D300" i="8"/>
  <c r="E299" i="8"/>
  <c r="D299" i="8"/>
  <c r="E298" i="8"/>
  <c r="D298" i="8"/>
  <c r="E297" i="8"/>
  <c r="D297" i="8"/>
  <c r="E296" i="8"/>
  <c r="D296" i="8"/>
  <c r="V54" i="1"/>
  <c r="U54" i="1"/>
  <c r="E39" i="10" l="1"/>
  <c r="E40" i="10"/>
  <c r="E42" i="10"/>
  <c r="E44" i="10" s="1"/>
  <c r="E205" i="11"/>
  <c r="E212" i="11" s="1"/>
  <c r="E119" i="12"/>
  <c r="E120" i="12"/>
  <c r="E123" i="12"/>
  <c r="F296" i="8"/>
  <c r="F297" i="8"/>
  <c r="F298" i="8"/>
  <c r="F299" i="8"/>
  <c r="F300" i="8"/>
  <c r="E121" i="12" l="1"/>
  <c r="E41" i="10"/>
  <c r="E45" i="10" s="1"/>
  <c r="E209" i="11"/>
  <c r="E211" i="11"/>
  <c r="E213" i="11" s="1"/>
  <c r="E208" i="11"/>
  <c r="E292" i="8"/>
  <c r="D292" i="8"/>
  <c r="E291" i="8"/>
  <c r="D291" i="8"/>
  <c r="E290" i="8"/>
  <c r="D290" i="8"/>
  <c r="E210" i="11" l="1"/>
  <c r="E131" i="12"/>
  <c r="E132" i="12"/>
  <c r="E128" i="12"/>
  <c r="E127" i="12"/>
  <c r="F290" i="8"/>
  <c r="F291" i="8"/>
  <c r="F292" i="8"/>
  <c r="E285" i="8"/>
  <c r="D285" i="8"/>
  <c r="E284" i="8"/>
  <c r="D284" i="8"/>
  <c r="F284" i="8" l="1"/>
  <c r="F285" i="8"/>
  <c r="E279" i="8"/>
  <c r="D279" i="8"/>
  <c r="E278" i="8"/>
  <c r="D278" i="8"/>
  <c r="E273" i="8"/>
  <c r="D273" i="8"/>
  <c r="E272" i="8"/>
  <c r="D272" i="8"/>
  <c r="F286" i="8" l="1"/>
  <c r="F273" i="8"/>
  <c r="E274" i="8"/>
  <c r="F278" i="8"/>
  <c r="F279" i="8"/>
  <c r="F280" i="8" s="1"/>
  <c r="D274" i="8"/>
  <c r="F272" i="8"/>
  <c r="F274" i="8" l="1"/>
  <c r="F265" i="8"/>
  <c r="F264" i="8"/>
  <c r="F260" i="8"/>
  <c r="F259" i="8"/>
  <c r="F266" i="8" l="1"/>
  <c r="F261" i="8"/>
  <c r="F255" i="8"/>
  <c r="F254" i="8"/>
  <c r="F256" i="8" l="1"/>
  <c r="F267" i="8"/>
  <c r="AK900" i="1" l="1"/>
  <c r="AJ895" i="1" a="1"/>
  <c r="AJ895" i="1" s="1"/>
  <c r="AJ894" i="1" a="1"/>
  <c r="AJ894" i="1" s="1"/>
  <c r="AJ893" i="1" a="1"/>
  <c r="AJ893" i="1" s="1"/>
  <c r="AJ892" i="1" a="1"/>
  <c r="AJ892" i="1" s="1"/>
  <c r="AJ891" i="1" a="1"/>
  <c r="AJ891" i="1" s="1"/>
  <c r="AJ890" i="1" a="1"/>
  <c r="AJ890" i="1" s="1"/>
  <c r="AJ889" i="1" a="1"/>
  <c r="AJ889" i="1" s="1"/>
  <c r="AJ888" i="1" a="1"/>
  <c r="AJ888" i="1" s="1"/>
  <c r="AJ887" i="1" a="1"/>
  <c r="AJ887" i="1" s="1"/>
  <c r="AJ886" i="1" a="1"/>
  <c r="AJ886" i="1" s="1"/>
  <c r="AJ885" i="1" a="1"/>
  <c r="AJ885" i="1" s="1"/>
  <c r="AJ884" i="1" a="1"/>
  <c r="AJ884" i="1" s="1"/>
  <c r="AJ883" i="1" a="1"/>
  <c r="AJ883" i="1" s="1"/>
  <c r="AJ882" i="1" a="1"/>
  <c r="AJ882" i="1" s="1"/>
  <c r="AJ881" i="1" a="1"/>
  <c r="AJ881" i="1" s="1"/>
  <c r="AJ880" i="1" a="1"/>
  <c r="AJ880" i="1" s="1"/>
  <c r="AJ879" i="1" a="1"/>
  <c r="AJ879" i="1" s="1"/>
  <c r="AJ878" i="1" a="1"/>
  <c r="AJ878" i="1" s="1"/>
  <c r="AJ877" i="1" a="1"/>
  <c r="AJ877" i="1" s="1"/>
  <c r="AJ876" i="1" a="1"/>
  <c r="AJ876" i="1" s="1"/>
  <c r="AJ875" i="1" a="1"/>
  <c r="AJ875" i="1" s="1"/>
  <c r="AJ874" i="1" a="1"/>
  <c r="AJ874" i="1" s="1"/>
  <c r="AJ873" i="1" a="1"/>
  <c r="AJ873" i="1" s="1"/>
  <c r="AJ872" i="1" a="1"/>
  <c r="AJ872" i="1" s="1"/>
  <c r="AJ871" i="1" a="1"/>
  <c r="AJ871" i="1" s="1"/>
  <c r="AJ870" i="1" a="1"/>
  <c r="AJ870" i="1" s="1"/>
  <c r="AJ869" i="1" a="1"/>
  <c r="AJ869" i="1" s="1"/>
  <c r="AJ868" i="1" a="1"/>
  <c r="AJ868" i="1" s="1"/>
  <c r="AJ867" i="1" a="1"/>
  <c r="AJ867" i="1" s="1"/>
  <c r="AJ866" i="1" a="1"/>
  <c r="AJ866" i="1" s="1"/>
  <c r="AJ865" i="1" a="1"/>
  <c r="AJ865" i="1" s="1"/>
  <c r="AJ864" i="1" a="1"/>
  <c r="AJ864" i="1" s="1"/>
  <c r="AJ863" i="1" a="1"/>
  <c r="AJ863" i="1" s="1"/>
  <c r="AJ862" i="1" a="1"/>
  <c r="AJ862" i="1" s="1"/>
  <c r="AJ861" i="1" a="1"/>
  <c r="AJ861" i="1" s="1"/>
  <c r="AJ860" i="1" a="1"/>
  <c r="AJ860" i="1" s="1"/>
  <c r="AJ859" i="1" a="1"/>
  <c r="AJ859" i="1" s="1"/>
  <c r="AJ858" i="1" a="1"/>
  <c r="AJ858" i="1" s="1"/>
  <c r="AJ857" i="1" a="1"/>
  <c r="AJ857" i="1" s="1"/>
  <c r="AJ856" i="1" a="1"/>
  <c r="AJ856" i="1" s="1"/>
  <c r="AJ855" i="1" a="1"/>
  <c r="AJ855" i="1" s="1"/>
  <c r="AJ854" i="1" a="1"/>
  <c r="AJ854" i="1" s="1"/>
  <c r="AJ853" i="1" a="1"/>
  <c r="AJ853" i="1" s="1"/>
  <c r="AJ852" i="1" a="1"/>
  <c r="AJ852" i="1" s="1"/>
  <c r="AJ851" i="1" a="1"/>
  <c r="AJ851" i="1" s="1"/>
  <c r="AJ850" i="1" a="1"/>
  <c r="AJ850" i="1" s="1"/>
  <c r="AJ849" i="1" a="1"/>
  <c r="AJ849" i="1" s="1"/>
  <c r="AJ848" i="1" a="1"/>
  <c r="AJ848" i="1" s="1"/>
  <c r="AJ847" i="1" a="1"/>
  <c r="AJ847" i="1" s="1"/>
  <c r="AJ846" i="1" a="1"/>
  <c r="AJ846" i="1" s="1"/>
  <c r="AJ845" i="1" a="1"/>
  <c r="AJ845" i="1" s="1"/>
  <c r="AJ844" i="1" a="1"/>
  <c r="AJ844" i="1" s="1"/>
  <c r="AJ843" i="1" a="1"/>
  <c r="AJ843" i="1" s="1"/>
  <c r="AJ842" i="1" a="1"/>
  <c r="AJ842" i="1" s="1"/>
  <c r="AJ841" i="1" a="1"/>
  <c r="AJ841" i="1" s="1"/>
  <c r="AJ840" i="1" a="1"/>
  <c r="AJ840" i="1" s="1"/>
  <c r="AJ839" i="1" a="1"/>
  <c r="AJ839" i="1" s="1"/>
  <c r="AJ838" i="1" a="1"/>
  <c r="AJ838" i="1" s="1"/>
  <c r="AJ837" i="1" a="1"/>
  <c r="AJ837" i="1" s="1"/>
  <c r="AJ836" i="1" a="1"/>
  <c r="AJ836" i="1" s="1"/>
  <c r="AJ835" i="1" a="1"/>
  <c r="AJ835" i="1" s="1"/>
  <c r="AJ834" i="1" a="1"/>
  <c r="AJ834" i="1" s="1"/>
  <c r="AJ833" i="1" a="1"/>
  <c r="AJ833" i="1" s="1"/>
  <c r="AJ832" i="1" a="1"/>
  <c r="AJ832" i="1" s="1"/>
  <c r="AJ831" i="1" a="1"/>
  <c r="AJ831" i="1" s="1"/>
  <c r="AJ830" i="1" a="1"/>
  <c r="AJ830" i="1" s="1"/>
  <c r="AJ829" i="1" a="1"/>
  <c r="AJ829" i="1" s="1"/>
  <c r="AJ828" i="1" a="1"/>
  <c r="AJ828" i="1" s="1"/>
  <c r="AJ827" i="1" a="1"/>
  <c r="AJ827" i="1" s="1"/>
  <c r="AJ826" i="1" a="1"/>
  <c r="AJ826" i="1" s="1"/>
  <c r="AJ825" i="1" a="1"/>
  <c r="AJ825" i="1" s="1"/>
  <c r="AJ823" i="1" a="1"/>
  <c r="AJ823" i="1" s="1"/>
  <c r="AJ822" i="1" a="1"/>
  <c r="AJ822" i="1" s="1"/>
  <c r="AJ821" i="1" a="1"/>
  <c r="AJ821" i="1" s="1"/>
  <c r="AJ820" i="1" a="1"/>
  <c r="AJ820" i="1" s="1"/>
  <c r="AJ819" i="1" a="1"/>
  <c r="AJ819" i="1" s="1"/>
  <c r="AJ818" i="1" a="1"/>
  <c r="AJ818" i="1" s="1"/>
  <c r="AJ817" i="1" a="1"/>
  <c r="AJ817" i="1" s="1"/>
  <c r="AJ816" i="1" a="1"/>
  <c r="AJ816" i="1" s="1"/>
  <c r="AJ815" i="1" a="1"/>
  <c r="AJ815" i="1" s="1"/>
  <c r="AJ814" i="1" a="1"/>
  <c r="AJ814" i="1" s="1"/>
  <c r="AJ813" i="1" a="1"/>
  <c r="AJ813" i="1" s="1"/>
  <c r="AJ812" i="1" a="1"/>
  <c r="AJ812" i="1" s="1"/>
  <c r="AJ811" i="1" a="1"/>
  <c r="AJ811" i="1" s="1"/>
  <c r="AJ810" i="1" a="1"/>
  <c r="AJ810" i="1" s="1"/>
  <c r="AJ809" i="1" a="1"/>
  <c r="AJ809" i="1" s="1"/>
  <c r="AJ808" i="1" a="1"/>
  <c r="AJ808" i="1" s="1"/>
  <c r="AJ807" i="1" a="1"/>
  <c r="AJ807" i="1" s="1"/>
  <c r="AJ806" i="1" a="1"/>
  <c r="AJ806" i="1" s="1"/>
  <c r="AJ805" i="1" a="1"/>
  <c r="AJ805" i="1" s="1"/>
  <c r="AJ804" i="1" a="1"/>
  <c r="AJ804" i="1" s="1"/>
  <c r="AJ803" i="1" a="1"/>
  <c r="AJ803" i="1" s="1"/>
  <c r="AJ802" i="1" a="1"/>
  <c r="AJ802" i="1" s="1"/>
  <c r="AJ801" i="1" a="1"/>
  <c r="AJ801" i="1" s="1"/>
  <c r="AJ800" i="1" a="1"/>
  <c r="AJ800" i="1" s="1"/>
  <c r="AJ799" i="1" a="1"/>
  <c r="AJ799" i="1" s="1"/>
  <c r="AJ798" i="1" a="1"/>
  <c r="AJ798" i="1" s="1"/>
  <c r="AJ797" i="1" a="1"/>
  <c r="AJ797" i="1" s="1"/>
  <c r="AJ796" i="1" a="1"/>
  <c r="AJ796" i="1" s="1"/>
  <c r="AJ795" i="1" a="1"/>
  <c r="AJ795" i="1" s="1"/>
  <c r="AJ794" i="1" a="1"/>
  <c r="AJ794" i="1" s="1"/>
  <c r="AJ793" i="1" a="1"/>
  <c r="AJ793" i="1" s="1"/>
  <c r="AJ792" i="1" a="1"/>
  <c r="AJ792" i="1" s="1"/>
  <c r="AJ791" i="1" a="1"/>
  <c r="AJ791" i="1" s="1"/>
  <c r="AJ790" i="1" a="1"/>
  <c r="AJ790" i="1" s="1"/>
  <c r="AJ789" i="1" a="1"/>
  <c r="AJ789" i="1" s="1"/>
  <c r="AJ788" i="1" a="1"/>
  <c r="AJ788" i="1" s="1"/>
  <c r="AJ787" i="1" a="1"/>
  <c r="AJ787" i="1" s="1"/>
  <c r="AJ786" i="1" a="1"/>
  <c r="AJ786" i="1" s="1"/>
  <c r="AJ785" i="1" a="1"/>
  <c r="AJ785" i="1" s="1"/>
  <c r="AJ784" i="1" a="1"/>
  <c r="AJ784" i="1" s="1"/>
  <c r="AJ783" i="1" a="1"/>
  <c r="AJ783" i="1" s="1"/>
  <c r="AJ782" i="1" a="1"/>
  <c r="AJ782" i="1" s="1"/>
  <c r="AJ781" i="1" a="1"/>
  <c r="AJ781" i="1" s="1"/>
  <c r="AJ780" i="1" a="1"/>
  <c r="AJ780" i="1" s="1"/>
  <c r="AJ779" i="1" a="1"/>
  <c r="AJ779" i="1" s="1"/>
  <c r="AJ778" i="1" a="1"/>
  <c r="AJ778" i="1" s="1"/>
  <c r="AJ777" i="1" a="1"/>
  <c r="AJ777" i="1" s="1"/>
  <c r="AJ776" i="1" a="1"/>
  <c r="AJ776" i="1" s="1"/>
  <c r="AJ775" i="1" a="1"/>
  <c r="AJ775" i="1" s="1"/>
  <c r="AJ774" i="1" a="1"/>
  <c r="AJ774" i="1" s="1"/>
  <c r="AJ773" i="1" a="1"/>
  <c r="AJ773" i="1" s="1"/>
  <c r="AJ772" i="1" a="1"/>
  <c r="AJ772" i="1" s="1"/>
  <c r="AJ771" i="1" a="1"/>
  <c r="AJ771" i="1" s="1"/>
  <c r="AJ770" i="1" a="1"/>
  <c r="AJ770" i="1" s="1"/>
  <c r="AJ769" i="1" a="1"/>
  <c r="AJ769" i="1" s="1"/>
  <c r="AJ768" i="1" a="1"/>
  <c r="AJ768" i="1" s="1"/>
  <c r="AJ767" i="1" a="1"/>
  <c r="AJ767" i="1" s="1"/>
  <c r="AJ766" i="1" a="1"/>
  <c r="AJ766" i="1" s="1"/>
  <c r="AJ765" i="1" a="1"/>
  <c r="AJ765" i="1" s="1"/>
  <c r="AJ764" i="1" a="1"/>
  <c r="AJ764" i="1" s="1"/>
  <c r="AJ763" i="1" a="1"/>
  <c r="AJ763" i="1" s="1"/>
  <c r="AJ762" i="1" a="1"/>
  <c r="AJ762" i="1" s="1"/>
  <c r="AJ761" i="1" a="1"/>
  <c r="AJ761" i="1" s="1"/>
  <c r="AJ760" i="1" a="1"/>
  <c r="AJ760" i="1" s="1"/>
  <c r="AJ759" i="1" a="1"/>
  <c r="AJ759" i="1" s="1"/>
  <c r="AJ758" i="1" a="1"/>
  <c r="AJ758" i="1" s="1"/>
  <c r="AJ757" i="1" a="1"/>
  <c r="AJ757" i="1" s="1"/>
  <c r="AJ756" i="1" a="1"/>
  <c r="AJ756" i="1" s="1"/>
  <c r="AJ755" i="1" a="1"/>
  <c r="AJ755" i="1" s="1"/>
  <c r="AJ754" i="1" a="1"/>
  <c r="AJ754" i="1" s="1"/>
  <c r="AJ753" i="1" a="1"/>
  <c r="AJ753" i="1" s="1"/>
  <c r="AJ752" i="1" a="1"/>
  <c r="AJ752" i="1" s="1"/>
  <c r="AJ751" i="1" a="1"/>
  <c r="AJ751" i="1" s="1"/>
  <c r="AJ750" i="1" a="1"/>
  <c r="AJ750" i="1" s="1"/>
  <c r="AJ749" i="1" a="1"/>
  <c r="AJ749" i="1" s="1"/>
  <c r="AJ748" i="1" a="1"/>
  <c r="AJ748" i="1" s="1"/>
  <c r="AJ747" i="1" a="1"/>
  <c r="AJ747" i="1" s="1"/>
  <c r="AJ746" i="1" a="1"/>
  <c r="AJ746" i="1" s="1"/>
  <c r="AJ744" i="1" a="1"/>
  <c r="AJ744" i="1" s="1"/>
  <c r="AJ743" i="1" a="1"/>
  <c r="AJ743" i="1" s="1"/>
  <c r="AJ742" i="1" a="1"/>
  <c r="AJ742" i="1" s="1"/>
  <c r="AJ741" i="1" a="1"/>
  <c r="AJ741" i="1" s="1"/>
  <c r="AJ740" i="1" a="1"/>
  <c r="AJ740" i="1" s="1"/>
  <c r="AJ739" i="1" a="1"/>
  <c r="AJ739" i="1" s="1"/>
  <c r="AJ738" i="1" a="1"/>
  <c r="AJ738" i="1" s="1"/>
  <c r="AJ737" i="1" a="1"/>
  <c r="AJ737" i="1" s="1"/>
  <c r="AJ736" i="1" a="1"/>
  <c r="AJ736" i="1" s="1"/>
  <c r="AJ735" i="1" a="1"/>
  <c r="AJ735" i="1" s="1"/>
  <c r="AJ734" i="1" a="1"/>
  <c r="AJ734" i="1" s="1"/>
  <c r="AJ733" i="1" a="1"/>
  <c r="AJ733" i="1" s="1"/>
  <c r="AJ732" i="1" a="1"/>
  <c r="AJ732" i="1" s="1"/>
  <c r="AJ731" i="1" a="1"/>
  <c r="AJ731" i="1" s="1"/>
  <c r="AJ730" i="1" a="1"/>
  <c r="AJ730" i="1" s="1"/>
  <c r="AJ729" i="1" a="1"/>
  <c r="AJ729" i="1" s="1"/>
  <c r="AJ728" i="1" a="1"/>
  <c r="AJ728" i="1" s="1"/>
  <c r="AJ727" i="1" a="1"/>
  <c r="AJ727" i="1" s="1"/>
  <c r="AJ726" i="1" a="1"/>
  <c r="AJ726" i="1" s="1"/>
  <c r="AJ725" i="1" a="1"/>
  <c r="AJ725" i="1" s="1"/>
  <c r="AJ724" i="1" a="1"/>
  <c r="AJ724" i="1" s="1"/>
  <c r="AJ723" i="1" a="1"/>
  <c r="AJ723" i="1" s="1"/>
  <c r="AJ722" i="1" a="1"/>
  <c r="AJ722" i="1" s="1"/>
  <c r="AJ721" i="1" a="1"/>
  <c r="AJ721" i="1" s="1"/>
  <c r="AJ720" i="1" a="1"/>
  <c r="AJ720" i="1" s="1"/>
  <c r="AJ719" i="1" a="1"/>
  <c r="AJ719" i="1" s="1"/>
  <c r="AJ718" i="1" a="1"/>
  <c r="AJ718" i="1" s="1"/>
  <c r="AJ717" i="1" a="1"/>
  <c r="AJ717" i="1" s="1"/>
  <c r="AJ716" i="1" a="1"/>
  <c r="AJ716" i="1" s="1"/>
  <c r="AJ715" i="1" a="1"/>
  <c r="AJ715" i="1" s="1"/>
  <c r="AJ714" i="1" a="1"/>
  <c r="AJ714" i="1" s="1"/>
  <c r="AJ713" i="1" a="1"/>
  <c r="AJ713" i="1" s="1"/>
  <c r="AJ712" i="1" a="1"/>
  <c r="AJ712" i="1" s="1"/>
  <c r="AJ711" i="1" a="1"/>
  <c r="AJ711" i="1" s="1"/>
  <c r="AJ710" i="1" a="1"/>
  <c r="AJ710" i="1" s="1"/>
  <c r="AJ709" i="1" a="1"/>
  <c r="AJ709" i="1" s="1"/>
  <c r="AJ708" i="1" a="1"/>
  <c r="AJ708" i="1" s="1"/>
  <c r="AJ707" i="1" a="1"/>
  <c r="AJ707" i="1" s="1"/>
  <c r="AJ706" i="1" a="1"/>
  <c r="AJ706" i="1" s="1"/>
  <c r="AJ705" i="1" a="1"/>
  <c r="AJ705" i="1" s="1"/>
  <c r="AJ704" i="1" a="1"/>
  <c r="AJ704" i="1" s="1"/>
  <c r="AJ703" i="1" a="1"/>
  <c r="AJ703" i="1" s="1"/>
  <c r="AJ702" i="1" a="1"/>
  <c r="AJ702" i="1" s="1"/>
  <c r="AJ701" i="1" a="1"/>
  <c r="AJ701" i="1" s="1"/>
  <c r="AJ700" i="1" a="1"/>
  <c r="AJ700" i="1" s="1"/>
  <c r="AJ699" i="1" a="1"/>
  <c r="AJ699" i="1" s="1"/>
  <c r="AJ698" i="1" a="1"/>
  <c r="AJ698" i="1" s="1"/>
  <c r="AJ697" i="1" a="1"/>
  <c r="AJ697" i="1" s="1"/>
  <c r="AJ696" i="1" a="1"/>
  <c r="AJ696" i="1" s="1"/>
  <c r="AJ695" i="1" a="1"/>
  <c r="AJ695" i="1" s="1"/>
  <c r="AJ694" i="1" a="1"/>
  <c r="AJ694" i="1" s="1"/>
  <c r="AJ693" i="1" a="1"/>
  <c r="AJ693" i="1" s="1"/>
  <c r="AJ692" i="1" a="1"/>
  <c r="AJ692" i="1" s="1"/>
  <c r="AJ691" i="1" a="1"/>
  <c r="AJ691" i="1" s="1"/>
  <c r="AJ690" i="1" a="1"/>
  <c r="AJ690" i="1" s="1"/>
  <c r="AJ689" i="1" a="1"/>
  <c r="AJ689" i="1" s="1"/>
  <c r="AJ688" i="1" a="1"/>
  <c r="AJ688" i="1" s="1"/>
  <c r="AJ687" i="1" a="1"/>
  <c r="AJ687" i="1" s="1"/>
  <c r="AJ686" i="1" a="1"/>
  <c r="AJ686" i="1" s="1"/>
  <c r="AJ685" i="1" a="1"/>
  <c r="AJ685" i="1" s="1"/>
  <c r="AJ684" i="1" a="1"/>
  <c r="AJ684" i="1" s="1"/>
  <c r="AJ683" i="1" a="1"/>
  <c r="AJ683" i="1" s="1"/>
  <c r="AJ682" i="1" a="1"/>
  <c r="AJ682" i="1" s="1"/>
  <c r="AJ681" i="1" a="1"/>
  <c r="AJ681" i="1" s="1"/>
  <c r="AJ680" i="1" a="1"/>
  <c r="AJ680" i="1" s="1"/>
  <c r="AJ679" i="1" a="1"/>
  <c r="AJ679" i="1" s="1"/>
  <c r="AJ678" i="1" a="1"/>
  <c r="AJ678" i="1" s="1"/>
  <c r="AJ677" i="1" a="1"/>
  <c r="AJ677" i="1" s="1"/>
  <c r="AJ676" i="1" a="1"/>
  <c r="AJ676" i="1" s="1"/>
  <c r="AJ675" i="1" a="1"/>
  <c r="AJ675" i="1" s="1"/>
  <c r="AJ674" i="1" a="1"/>
  <c r="AJ674" i="1" s="1"/>
  <c r="AJ673" i="1" a="1"/>
  <c r="AJ673" i="1" s="1"/>
  <c r="AJ672" i="1" a="1"/>
  <c r="AJ672" i="1" s="1"/>
  <c r="AJ671" i="1" a="1"/>
  <c r="AJ671" i="1" s="1"/>
  <c r="AJ670" i="1" a="1"/>
  <c r="AJ670" i="1" s="1"/>
  <c r="AJ669" i="1" a="1"/>
  <c r="AJ669" i="1" s="1"/>
  <c r="AJ668" i="1" a="1"/>
  <c r="AJ668" i="1" s="1"/>
  <c r="AJ667" i="1" a="1"/>
  <c r="AJ667" i="1" s="1"/>
  <c r="AJ666" i="1" a="1"/>
  <c r="AJ666" i="1" s="1"/>
  <c r="AJ665" i="1" a="1"/>
  <c r="AJ665" i="1" s="1"/>
  <c r="AJ664" i="1" a="1"/>
  <c r="AJ664" i="1" s="1"/>
  <c r="AJ663" i="1" a="1"/>
  <c r="AJ663" i="1" s="1"/>
  <c r="AJ662" i="1" a="1"/>
  <c r="AJ662" i="1" s="1"/>
  <c r="AJ661" i="1" a="1"/>
  <c r="AJ661" i="1" s="1"/>
  <c r="AJ660" i="1" a="1"/>
  <c r="AJ660" i="1" s="1"/>
  <c r="AJ659" i="1" a="1"/>
  <c r="AJ659" i="1" s="1"/>
  <c r="AJ658" i="1" a="1"/>
  <c r="AJ658" i="1" s="1"/>
  <c r="AJ657" i="1" a="1"/>
  <c r="AJ657" i="1" s="1"/>
  <c r="AJ656" i="1" a="1"/>
  <c r="AJ656" i="1" s="1"/>
  <c r="AJ655" i="1" a="1"/>
  <c r="AJ655" i="1" s="1"/>
  <c r="AJ654" i="1" a="1"/>
  <c r="AJ654" i="1" s="1"/>
  <c r="AJ653" i="1" a="1"/>
  <c r="AJ653" i="1" s="1"/>
  <c r="AJ652" i="1" a="1"/>
  <c r="AJ652" i="1" s="1"/>
  <c r="AJ651" i="1" a="1"/>
  <c r="AJ651" i="1" s="1"/>
  <c r="AJ650" i="1" a="1"/>
  <c r="AJ650" i="1" s="1"/>
  <c r="AJ649" i="1" a="1"/>
  <c r="AJ649" i="1" s="1"/>
  <c r="AJ648" i="1" a="1"/>
  <c r="AJ648" i="1" s="1"/>
  <c r="AJ647" i="1" a="1"/>
  <c r="AJ647" i="1" s="1"/>
  <c r="AJ646" i="1" a="1"/>
  <c r="AJ646" i="1" s="1"/>
  <c r="AJ645" i="1" a="1"/>
  <c r="AJ645" i="1" s="1"/>
  <c r="AJ644" i="1" a="1"/>
  <c r="AJ644" i="1" s="1"/>
  <c r="AJ643" i="1" a="1"/>
  <c r="AJ643" i="1" s="1"/>
  <c r="AJ642" i="1" a="1"/>
  <c r="AJ642" i="1" s="1"/>
  <c r="AJ641" i="1" a="1"/>
  <c r="AJ641" i="1" s="1"/>
  <c r="AJ640" i="1" a="1"/>
  <c r="AJ640" i="1" s="1"/>
  <c r="AJ639" i="1" a="1"/>
  <c r="AJ639" i="1" s="1"/>
  <c r="AJ638" i="1" a="1"/>
  <c r="AJ638" i="1" s="1"/>
  <c r="AJ637" i="1" a="1"/>
  <c r="AJ637" i="1" s="1"/>
  <c r="AJ636" i="1" a="1"/>
  <c r="AJ636" i="1" s="1"/>
  <c r="AJ635" i="1" a="1"/>
  <c r="AJ635" i="1" s="1"/>
  <c r="AJ634" i="1" a="1"/>
  <c r="AJ634" i="1" s="1"/>
  <c r="AJ633" i="1" a="1"/>
  <c r="AJ633" i="1" s="1"/>
  <c r="AJ632" i="1" a="1"/>
  <c r="AJ632" i="1" s="1"/>
  <c r="AJ631" i="1" a="1"/>
  <c r="AJ631" i="1" s="1"/>
  <c r="AJ630" i="1" a="1"/>
  <c r="AJ630" i="1" s="1"/>
  <c r="AJ629" i="1" a="1"/>
  <c r="AJ629" i="1" s="1"/>
  <c r="AJ628" i="1" a="1"/>
  <c r="AJ628" i="1" s="1"/>
  <c r="AJ627" i="1" a="1"/>
  <c r="AJ627" i="1" s="1"/>
  <c r="AJ626" i="1" a="1"/>
  <c r="AJ626" i="1" s="1"/>
  <c r="AJ625" i="1" a="1"/>
  <c r="AJ625" i="1" s="1"/>
  <c r="AJ624" i="1" a="1"/>
  <c r="AJ624" i="1" s="1"/>
  <c r="AJ623" i="1" a="1"/>
  <c r="AJ623" i="1" s="1"/>
  <c r="AJ622" i="1" a="1"/>
  <c r="AJ622" i="1" s="1"/>
  <c r="AJ621" i="1" a="1"/>
  <c r="AJ621" i="1" s="1"/>
  <c r="AJ620" i="1" a="1"/>
  <c r="AJ620" i="1" s="1"/>
  <c r="AJ619" i="1" a="1"/>
  <c r="AJ619" i="1" s="1"/>
  <c r="AJ618" i="1" a="1"/>
  <c r="AJ618" i="1" s="1"/>
  <c r="AJ617" i="1" a="1"/>
  <c r="AJ617" i="1" s="1"/>
  <c r="AJ616" i="1" a="1"/>
  <c r="AJ616" i="1" s="1"/>
  <c r="AJ615" i="1" a="1"/>
  <c r="AJ615" i="1" s="1"/>
  <c r="AJ614" i="1" a="1"/>
  <c r="AJ614" i="1" s="1"/>
  <c r="AJ613" i="1" a="1"/>
  <c r="AJ613" i="1" s="1"/>
  <c r="AJ612" i="1" a="1"/>
  <c r="AJ612" i="1" s="1"/>
  <c r="AJ611" i="1" a="1"/>
  <c r="AJ611" i="1" s="1"/>
  <c r="AJ610" i="1" a="1"/>
  <c r="AJ610" i="1" s="1"/>
  <c r="AJ609" i="1" a="1"/>
  <c r="AJ609" i="1" s="1"/>
  <c r="AJ608" i="1" a="1"/>
  <c r="AJ608" i="1" s="1"/>
  <c r="AJ607" i="1" a="1"/>
  <c r="AJ607" i="1" s="1"/>
  <c r="AJ606" i="1" a="1"/>
  <c r="AJ606" i="1" s="1"/>
  <c r="AJ605" i="1" a="1"/>
  <c r="AJ605" i="1" s="1"/>
  <c r="AJ604" i="1" a="1"/>
  <c r="AJ604" i="1" s="1"/>
  <c r="AJ603" i="1" a="1"/>
  <c r="AJ603" i="1" s="1"/>
  <c r="AJ602" i="1" a="1"/>
  <c r="AJ602" i="1" s="1"/>
  <c r="AJ601" i="1" a="1"/>
  <c r="AJ601" i="1" s="1"/>
  <c r="AJ600" i="1" a="1"/>
  <c r="AJ600" i="1" s="1"/>
  <c r="AJ599" i="1" a="1"/>
  <c r="AJ599" i="1" s="1"/>
  <c r="AJ598" i="1" a="1"/>
  <c r="AJ598" i="1" s="1"/>
  <c r="AJ597" i="1" a="1"/>
  <c r="AJ597" i="1" s="1"/>
  <c r="AJ596" i="1" a="1"/>
  <c r="AJ596" i="1" s="1"/>
  <c r="AJ595" i="1" a="1"/>
  <c r="AJ595" i="1" s="1"/>
  <c r="AJ594" i="1" a="1"/>
  <c r="AJ594" i="1" s="1"/>
  <c r="AJ593" i="1" a="1"/>
  <c r="AJ593" i="1" s="1"/>
  <c r="AJ592" i="1" a="1"/>
  <c r="AJ592" i="1" s="1"/>
  <c r="AJ591" i="1" a="1"/>
  <c r="AJ591" i="1" s="1"/>
  <c r="AJ590" i="1" a="1"/>
  <c r="AJ590" i="1" s="1"/>
  <c r="AJ589" i="1" a="1"/>
  <c r="AJ589" i="1" s="1"/>
  <c r="AJ588" i="1" a="1"/>
  <c r="AJ588" i="1" s="1"/>
  <c r="AJ587" i="1" a="1"/>
  <c r="AJ587" i="1" s="1"/>
  <c r="AJ586" i="1" a="1"/>
  <c r="AJ586" i="1" s="1"/>
  <c r="AJ585" i="1" a="1"/>
  <c r="AJ585" i="1" s="1"/>
  <c r="AJ584" i="1" a="1"/>
  <c r="AJ584" i="1" s="1"/>
  <c r="AJ583" i="1" a="1"/>
  <c r="AJ583" i="1" s="1"/>
  <c r="AJ582" i="1" a="1"/>
  <c r="AJ582" i="1" s="1"/>
  <c r="AJ581" i="1" a="1"/>
  <c r="AJ581" i="1" s="1"/>
  <c r="AJ580" i="1" a="1"/>
  <c r="AJ580" i="1" s="1"/>
  <c r="AJ579" i="1" a="1"/>
  <c r="AJ579" i="1" s="1"/>
  <c r="AJ578" i="1" a="1"/>
  <c r="AJ578" i="1" s="1"/>
  <c r="AJ577" i="1" a="1"/>
  <c r="AJ577" i="1" s="1"/>
  <c r="AJ576" i="1" a="1"/>
  <c r="AJ576" i="1" s="1"/>
  <c r="AJ575" i="1" a="1"/>
  <c r="AJ575" i="1" s="1"/>
  <c r="AJ574" i="1" a="1"/>
  <c r="AJ574" i="1" s="1"/>
  <c r="AJ573" i="1" a="1"/>
  <c r="AJ573" i="1" s="1"/>
  <c r="AJ572" i="1" a="1"/>
  <c r="AJ572" i="1" s="1"/>
  <c r="AJ571" i="1" a="1"/>
  <c r="AJ571" i="1" s="1"/>
  <c r="AJ569" i="1" a="1"/>
  <c r="AJ569" i="1" s="1"/>
  <c r="AJ568" i="1" a="1"/>
  <c r="AJ568" i="1" s="1"/>
  <c r="AJ567" i="1" a="1"/>
  <c r="AJ567" i="1" s="1"/>
  <c r="AJ566" i="1" a="1"/>
  <c r="AJ566" i="1" s="1"/>
  <c r="AJ565" i="1" a="1"/>
  <c r="AJ565" i="1" s="1"/>
  <c r="AJ564" i="1" a="1"/>
  <c r="AJ564" i="1" s="1"/>
  <c r="AJ563" i="1" a="1"/>
  <c r="AJ563" i="1" s="1"/>
  <c r="AJ562" i="1" a="1"/>
  <c r="AJ562" i="1" s="1"/>
  <c r="AJ561" i="1" a="1"/>
  <c r="AJ561" i="1" s="1"/>
  <c r="AJ560" i="1" a="1"/>
  <c r="AJ560" i="1" s="1"/>
  <c r="AJ559" i="1" a="1"/>
  <c r="AJ559" i="1" s="1"/>
  <c r="AJ558" i="1" a="1"/>
  <c r="AJ558" i="1" s="1"/>
  <c r="AJ557" i="1" a="1"/>
  <c r="AJ557" i="1" s="1"/>
  <c r="AJ556" i="1" a="1"/>
  <c r="AJ556" i="1" s="1"/>
  <c r="AJ555" i="1" a="1"/>
  <c r="AJ555" i="1" s="1"/>
  <c r="AJ554" i="1" a="1"/>
  <c r="AJ554" i="1" s="1"/>
  <c r="AJ553" i="1" a="1"/>
  <c r="AJ553" i="1" s="1"/>
  <c r="AJ552" i="1" a="1"/>
  <c r="AJ552" i="1" s="1"/>
  <c r="AJ551" i="1" a="1"/>
  <c r="AJ551" i="1" s="1"/>
  <c r="AJ550" i="1" a="1"/>
  <c r="AJ550" i="1" s="1"/>
  <c r="AJ549" i="1" a="1"/>
  <c r="AJ549" i="1" s="1"/>
  <c r="AJ548" i="1" a="1"/>
  <c r="AJ548" i="1" s="1"/>
  <c r="AJ547" i="1" a="1"/>
  <c r="AJ547" i="1" s="1"/>
  <c r="AJ546" i="1" a="1"/>
  <c r="AJ546" i="1" s="1"/>
  <c r="AJ545" i="1" a="1"/>
  <c r="AJ545" i="1" s="1"/>
  <c r="AJ544" i="1" a="1"/>
  <c r="AJ544" i="1" s="1"/>
  <c r="AJ543" i="1" a="1"/>
  <c r="AJ543" i="1" s="1"/>
  <c r="AJ542" i="1" a="1"/>
  <c r="AJ542" i="1" s="1"/>
  <c r="AJ541" i="1" a="1"/>
  <c r="AJ541" i="1" s="1"/>
  <c r="AJ540" i="1" a="1"/>
  <c r="AJ540" i="1" s="1"/>
  <c r="AJ539" i="1" a="1"/>
  <c r="AJ539" i="1" s="1"/>
  <c r="AJ538" i="1" a="1"/>
  <c r="AJ538" i="1" s="1"/>
  <c r="AJ537" i="1" a="1"/>
  <c r="AJ537" i="1" s="1"/>
  <c r="AJ536" i="1" a="1"/>
  <c r="AJ536" i="1" s="1"/>
  <c r="AJ535" i="1" a="1"/>
  <c r="AJ535" i="1" s="1"/>
  <c r="AJ534" i="1" a="1"/>
  <c r="AJ534" i="1" s="1"/>
  <c r="AJ533" i="1" a="1"/>
  <c r="AJ533" i="1" s="1"/>
  <c r="AJ532" i="1" a="1"/>
  <c r="AJ532" i="1" s="1"/>
  <c r="AJ531" i="1" a="1"/>
  <c r="AJ531" i="1" s="1"/>
  <c r="AJ530" i="1" a="1"/>
  <c r="AJ530" i="1" s="1"/>
  <c r="AJ529" i="1" a="1"/>
  <c r="AJ529" i="1" s="1"/>
  <c r="AJ528" i="1" a="1"/>
  <c r="AJ528" i="1" s="1"/>
  <c r="AJ527" i="1" a="1"/>
  <c r="AJ527" i="1" s="1"/>
  <c r="AJ526" i="1" a="1"/>
  <c r="AJ526" i="1" s="1"/>
  <c r="AJ525" i="1" a="1"/>
  <c r="AJ525" i="1" s="1"/>
  <c r="AJ524" i="1" a="1"/>
  <c r="AJ524" i="1" s="1"/>
  <c r="AJ523" i="1" a="1"/>
  <c r="AJ523" i="1" s="1"/>
  <c r="AJ522" i="1" a="1"/>
  <c r="AJ522" i="1" s="1"/>
  <c r="AJ521" i="1" a="1"/>
  <c r="AJ521" i="1" s="1"/>
  <c r="AJ520" i="1" a="1"/>
  <c r="AJ520" i="1" s="1"/>
  <c r="AJ519" i="1" a="1"/>
  <c r="AJ519" i="1" s="1"/>
  <c r="AJ518" i="1" a="1"/>
  <c r="AJ518" i="1" s="1"/>
  <c r="AJ517" i="1" a="1"/>
  <c r="AJ517" i="1" s="1"/>
  <c r="AJ516" i="1" a="1"/>
  <c r="AJ516" i="1" s="1"/>
  <c r="AJ515" i="1" a="1"/>
  <c r="AJ515" i="1" s="1"/>
  <c r="AJ514" i="1" a="1"/>
  <c r="AJ514" i="1" s="1"/>
  <c r="AJ513" i="1" a="1"/>
  <c r="AJ513" i="1" s="1"/>
  <c r="AJ512" i="1" a="1"/>
  <c r="AJ512" i="1" s="1"/>
  <c r="AJ511" i="1" a="1"/>
  <c r="AJ511" i="1" s="1"/>
  <c r="AJ510" i="1" a="1"/>
  <c r="AJ510" i="1" s="1"/>
  <c r="AJ509" i="1" a="1"/>
  <c r="AJ509" i="1" s="1"/>
  <c r="AJ508" i="1" a="1"/>
  <c r="AJ508" i="1" s="1"/>
  <c r="AJ507" i="1" a="1"/>
  <c r="AJ507" i="1" s="1"/>
  <c r="AJ506" i="1" a="1"/>
  <c r="AJ506" i="1" s="1"/>
  <c r="AJ505" i="1" a="1"/>
  <c r="AJ505" i="1" s="1"/>
  <c r="AJ504" i="1" a="1"/>
  <c r="AJ504" i="1" s="1"/>
  <c r="AJ503" i="1" a="1"/>
  <c r="AJ503" i="1" s="1"/>
  <c r="AJ502" i="1" a="1"/>
  <c r="AJ502" i="1" s="1"/>
  <c r="AJ501" i="1" a="1"/>
  <c r="AJ501" i="1" s="1"/>
  <c r="AJ500" i="1" a="1"/>
  <c r="AJ500" i="1" s="1"/>
  <c r="AJ499" i="1" a="1"/>
  <c r="AJ499" i="1" s="1"/>
  <c r="AJ498" i="1" a="1"/>
  <c r="AJ498" i="1" s="1"/>
  <c r="AJ497" i="1" a="1"/>
  <c r="AJ497" i="1" s="1"/>
  <c r="AJ496" i="1" a="1"/>
  <c r="AJ496" i="1" s="1"/>
  <c r="AJ495" i="1" a="1"/>
  <c r="AJ495" i="1" s="1"/>
  <c r="AJ494" i="1" a="1"/>
  <c r="AJ494" i="1" s="1"/>
  <c r="AJ493" i="1" a="1"/>
  <c r="AJ493" i="1" s="1"/>
  <c r="AJ492" i="1" a="1"/>
  <c r="AJ492" i="1" s="1"/>
  <c r="AJ491" i="1" a="1"/>
  <c r="AJ491" i="1" s="1"/>
  <c r="AJ490" i="1" a="1"/>
  <c r="AJ490" i="1" s="1"/>
  <c r="AJ489" i="1" a="1"/>
  <c r="AJ489" i="1" s="1"/>
  <c r="AJ488" i="1" a="1"/>
  <c r="AJ488" i="1" s="1"/>
  <c r="AJ487" i="1" a="1"/>
  <c r="AJ487" i="1" s="1"/>
  <c r="AJ486" i="1" a="1"/>
  <c r="AJ486" i="1" s="1"/>
  <c r="AJ485" i="1" a="1"/>
  <c r="AJ485" i="1" s="1"/>
  <c r="AJ484" i="1" a="1"/>
  <c r="AJ484" i="1" s="1"/>
  <c r="AJ483" i="1" a="1"/>
  <c r="AJ483" i="1" s="1"/>
  <c r="AJ482" i="1" a="1"/>
  <c r="AJ482" i="1" s="1"/>
  <c r="AJ481" i="1" a="1"/>
  <c r="AJ481" i="1" s="1"/>
  <c r="AJ480" i="1" a="1"/>
  <c r="AJ480" i="1" s="1"/>
  <c r="AJ479" i="1" a="1"/>
  <c r="AJ479" i="1" s="1"/>
  <c r="AJ478" i="1" a="1"/>
  <c r="AJ478" i="1" s="1"/>
  <c r="AJ477" i="1" a="1"/>
  <c r="AJ477" i="1" s="1"/>
  <c r="AJ476" i="1" a="1"/>
  <c r="AJ476" i="1" s="1"/>
  <c r="AJ475" i="1" a="1"/>
  <c r="AJ475" i="1" s="1"/>
  <c r="AJ474" i="1" a="1"/>
  <c r="AJ474" i="1" s="1"/>
  <c r="AJ473" i="1" a="1"/>
  <c r="AJ473" i="1" s="1"/>
  <c r="AJ472" i="1" a="1"/>
  <c r="AJ472" i="1" s="1"/>
  <c r="AJ471" i="1" a="1"/>
  <c r="AJ471" i="1" s="1"/>
  <c r="AJ470" i="1" a="1"/>
  <c r="AJ470" i="1" s="1"/>
  <c r="AJ469" i="1" a="1"/>
  <c r="AJ469" i="1" s="1"/>
  <c r="AJ468" i="1" a="1"/>
  <c r="AJ468" i="1" s="1"/>
  <c r="AJ467" i="1" a="1"/>
  <c r="AJ467" i="1" s="1"/>
  <c r="AJ466" i="1" a="1"/>
  <c r="AJ466" i="1" s="1"/>
  <c r="AJ465" i="1" a="1"/>
  <c r="AJ465" i="1" s="1"/>
  <c r="AJ464" i="1" a="1"/>
  <c r="AJ464" i="1" s="1"/>
  <c r="AJ463" i="1" a="1"/>
  <c r="AJ463" i="1" s="1"/>
  <c r="AJ462" i="1" a="1"/>
  <c r="AJ462" i="1" s="1"/>
  <c r="AJ461" i="1" a="1"/>
  <c r="AJ461" i="1" s="1"/>
  <c r="AJ460" i="1" a="1"/>
  <c r="AJ460" i="1" s="1"/>
  <c r="AJ459" i="1" a="1"/>
  <c r="AJ459" i="1" s="1"/>
  <c r="AJ458" i="1" a="1"/>
  <c r="AJ458" i="1" s="1"/>
  <c r="AJ457" i="1" a="1"/>
  <c r="AJ457" i="1" s="1"/>
  <c r="AJ456" i="1" a="1"/>
  <c r="AJ456" i="1" s="1"/>
  <c r="AJ455" i="1" a="1"/>
  <c r="AJ455" i="1" s="1"/>
  <c r="AJ454" i="1" a="1"/>
  <c r="AJ454" i="1" s="1"/>
  <c r="AJ453" i="1" a="1"/>
  <c r="AJ453" i="1" s="1"/>
  <c r="AJ452" i="1" a="1"/>
  <c r="AJ452" i="1" s="1"/>
  <c r="AJ451" i="1" a="1"/>
  <c r="AJ451" i="1" s="1"/>
  <c r="AJ450" i="1" a="1"/>
  <c r="AJ450" i="1" s="1"/>
  <c r="AJ449" i="1" a="1"/>
  <c r="AJ449" i="1" s="1"/>
  <c r="AJ448" i="1" a="1"/>
  <c r="AJ448" i="1" s="1"/>
  <c r="AJ447" i="1" a="1"/>
  <c r="AJ447" i="1" s="1"/>
  <c r="AJ446" i="1" a="1"/>
  <c r="AJ446" i="1" s="1"/>
  <c r="AJ445" i="1" a="1"/>
  <c r="AJ445" i="1" s="1"/>
  <c r="AJ444" i="1" a="1"/>
  <c r="AJ444" i="1" s="1"/>
  <c r="AJ443" i="1" a="1"/>
  <c r="AJ443" i="1" s="1"/>
  <c r="AJ442" i="1" a="1"/>
  <c r="AJ442" i="1" s="1"/>
  <c r="AJ441" i="1" a="1"/>
  <c r="AJ441" i="1" s="1"/>
  <c r="AJ440" i="1" a="1"/>
  <c r="AJ440" i="1" s="1"/>
  <c r="AJ439" i="1" a="1"/>
  <c r="AJ439" i="1" s="1"/>
  <c r="AJ438" i="1" a="1"/>
  <c r="AJ438" i="1" s="1"/>
  <c r="AJ437" i="1" a="1"/>
  <c r="AJ437" i="1" s="1"/>
  <c r="AJ436" i="1" a="1"/>
  <c r="AJ436" i="1" s="1"/>
  <c r="AJ435" i="1" a="1"/>
  <c r="AJ435" i="1" s="1"/>
  <c r="AJ434" i="1" a="1"/>
  <c r="AJ434" i="1" s="1"/>
  <c r="AJ433" i="1" a="1"/>
  <c r="AJ433" i="1" s="1"/>
  <c r="AJ432" i="1" a="1"/>
  <c r="AJ432" i="1" s="1"/>
  <c r="AJ431" i="1" a="1"/>
  <c r="AJ431" i="1" s="1"/>
  <c r="AJ430" i="1" a="1"/>
  <c r="AJ430" i="1" s="1"/>
  <c r="AJ429" i="1" a="1"/>
  <c r="AJ429" i="1" s="1"/>
  <c r="AJ428" i="1" a="1"/>
  <c r="AJ428" i="1" s="1"/>
  <c r="AJ427" i="1" a="1"/>
  <c r="AJ427" i="1" s="1"/>
  <c r="AJ426" i="1" a="1"/>
  <c r="AJ426" i="1" s="1"/>
  <c r="AJ425" i="1" a="1"/>
  <c r="AJ425" i="1" s="1"/>
  <c r="AJ424" i="1" a="1"/>
  <c r="AJ424" i="1" s="1"/>
  <c r="AJ423" i="1" a="1"/>
  <c r="AJ423" i="1" s="1"/>
  <c r="AJ422" i="1" a="1"/>
  <c r="AJ422" i="1" s="1"/>
  <c r="AJ421" i="1" a="1"/>
  <c r="AJ421" i="1" s="1"/>
  <c r="AJ420" i="1" a="1"/>
  <c r="AJ420" i="1" s="1"/>
  <c r="AJ419" i="1" a="1"/>
  <c r="AJ419" i="1" s="1"/>
  <c r="AJ418" i="1" a="1"/>
  <c r="AJ418" i="1" s="1"/>
  <c r="AJ417" i="1" a="1"/>
  <c r="AJ417" i="1" s="1"/>
  <c r="AJ416" i="1" a="1"/>
  <c r="AJ416" i="1" s="1"/>
  <c r="AJ415" i="1" a="1"/>
  <c r="AJ415" i="1" s="1"/>
  <c r="AJ414" i="1" a="1"/>
  <c r="AJ414" i="1" s="1"/>
  <c r="AJ413" i="1" a="1"/>
  <c r="AJ413" i="1" s="1"/>
  <c r="AJ412" i="1" a="1"/>
  <c r="AJ412" i="1" s="1"/>
  <c r="AJ411" i="1" a="1"/>
  <c r="AJ411" i="1" s="1"/>
  <c r="AJ410" i="1" a="1"/>
  <c r="AJ410" i="1" s="1"/>
  <c r="AJ409" i="1" a="1"/>
  <c r="AJ409" i="1" s="1"/>
  <c r="AJ408" i="1" a="1"/>
  <c r="AJ408" i="1" s="1"/>
  <c r="AJ407" i="1" a="1"/>
  <c r="AJ407" i="1" s="1"/>
  <c r="AJ406" i="1" a="1"/>
  <c r="AJ406" i="1" s="1"/>
  <c r="AJ405" i="1" a="1"/>
  <c r="AJ405" i="1" s="1"/>
  <c r="AJ404" i="1" a="1"/>
  <c r="AJ404" i="1" s="1"/>
  <c r="AJ403" i="1" a="1"/>
  <c r="AJ403" i="1" s="1"/>
  <c r="AJ402" i="1" a="1"/>
  <c r="AJ402" i="1" s="1"/>
  <c r="AJ401" i="1" a="1"/>
  <c r="AJ401" i="1" s="1"/>
  <c r="AJ400" i="1" a="1"/>
  <c r="AJ400" i="1" s="1"/>
  <c r="AJ399" i="1" a="1"/>
  <c r="AJ399" i="1" s="1"/>
  <c r="AJ398" i="1" a="1"/>
  <c r="AJ398" i="1" s="1"/>
  <c r="AJ397" i="1" a="1"/>
  <c r="AJ397" i="1" s="1"/>
  <c r="AJ396" i="1" a="1"/>
  <c r="AJ396" i="1" s="1"/>
  <c r="AJ395" i="1" a="1"/>
  <c r="AJ395" i="1" s="1"/>
  <c r="AJ394" i="1" a="1"/>
  <c r="AJ394" i="1" s="1"/>
  <c r="AJ393" i="1" a="1"/>
  <c r="AJ393" i="1" s="1"/>
  <c r="AJ392" i="1" a="1"/>
  <c r="AJ392" i="1" s="1"/>
  <c r="AJ391" i="1" a="1"/>
  <c r="AJ391" i="1" s="1"/>
  <c r="AJ390" i="1" a="1"/>
  <c r="AJ390" i="1" s="1"/>
  <c r="AJ389" i="1" a="1"/>
  <c r="AJ389" i="1" s="1"/>
  <c r="AJ388" i="1" a="1"/>
  <c r="AJ388" i="1" s="1"/>
  <c r="AJ387" i="1" a="1"/>
  <c r="AJ387" i="1" s="1"/>
  <c r="AJ386" i="1" a="1"/>
  <c r="AJ386" i="1" s="1"/>
  <c r="AJ385" i="1" a="1"/>
  <c r="AJ385" i="1" s="1"/>
  <c r="AJ384" i="1" a="1"/>
  <c r="AJ384" i="1" s="1"/>
  <c r="AJ383" i="1" a="1"/>
  <c r="AJ383" i="1" s="1"/>
  <c r="AJ382" i="1" a="1"/>
  <c r="AJ382" i="1" s="1"/>
  <c r="AJ381" i="1" a="1"/>
  <c r="AJ381" i="1" s="1"/>
  <c r="AJ380" i="1" a="1"/>
  <c r="AJ380" i="1" s="1"/>
  <c r="AJ379" i="1" a="1"/>
  <c r="AJ379" i="1" s="1"/>
  <c r="AJ378" i="1" a="1"/>
  <c r="AJ378" i="1" s="1"/>
  <c r="AJ377" i="1" a="1"/>
  <c r="AJ377" i="1" s="1"/>
  <c r="AJ376" i="1" a="1"/>
  <c r="AJ376" i="1" s="1"/>
  <c r="AJ375" i="1" a="1"/>
  <c r="AJ375" i="1" s="1"/>
  <c r="AJ374" i="1" a="1"/>
  <c r="AJ374" i="1" s="1"/>
  <c r="AJ373" i="1" a="1"/>
  <c r="AJ373" i="1" s="1"/>
  <c r="AJ372" i="1" a="1"/>
  <c r="AJ372" i="1" s="1"/>
  <c r="AJ371" i="1" a="1"/>
  <c r="AJ371" i="1" s="1"/>
  <c r="AJ370" i="1" a="1"/>
  <c r="AJ370" i="1" s="1"/>
  <c r="AJ369" i="1" a="1"/>
  <c r="AJ369" i="1" s="1"/>
  <c r="AJ368" i="1" a="1"/>
  <c r="AJ368" i="1" s="1"/>
  <c r="AJ367" i="1" a="1"/>
  <c r="AJ367" i="1" s="1"/>
  <c r="AJ366" i="1" a="1"/>
  <c r="AJ366" i="1" s="1"/>
  <c r="AJ365" i="1" a="1"/>
  <c r="AJ365" i="1" s="1"/>
  <c r="AJ364" i="1" a="1"/>
  <c r="AJ364" i="1" s="1"/>
  <c r="AJ363" i="1" a="1"/>
  <c r="AJ363" i="1" s="1"/>
  <c r="AJ362" i="1" a="1"/>
  <c r="AJ362" i="1" s="1"/>
  <c r="AJ361" i="1" a="1"/>
  <c r="AJ361" i="1" s="1"/>
  <c r="AJ360" i="1" a="1"/>
  <c r="AJ360" i="1" s="1"/>
  <c r="AJ359" i="1" a="1"/>
  <c r="AJ359" i="1" s="1"/>
  <c r="AJ358" i="1" a="1"/>
  <c r="AJ358" i="1" s="1"/>
  <c r="AJ357" i="1" a="1"/>
  <c r="AJ357" i="1" s="1"/>
  <c r="AJ356" i="1" a="1"/>
  <c r="AJ356" i="1" s="1"/>
  <c r="AJ355" i="1" a="1"/>
  <c r="AJ355" i="1" s="1"/>
  <c r="AJ354" i="1" a="1"/>
  <c r="AJ354" i="1" s="1"/>
  <c r="AJ353" i="1" a="1"/>
  <c r="AJ353" i="1" s="1"/>
  <c r="AJ352" i="1" a="1"/>
  <c r="AJ352" i="1" s="1"/>
  <c r="AJ351" i="1" a="1"/>
  <c r="AJ351" i="1" s="1"/>
  <c r="AJ350" i="1" a="1"/>
  <c r="AJ350" i="1" s="1"/>
  <c r="AJ349" i="1" a="1"/>
  <c r="AJ349" i="1" s="1"/>
  <c r="AJ348" i="1" a="1"/>
  <c r="AJ348" i="1" s="1"/>
  <c r="AJ347" i="1" a="1"/>
  <c r="AJ347" i="1" s="1"/>
  <c r="AJ346" i="1" a="1"/>
  <c r="AJ346" i="1" s="1"/>
  <c r="AJ345" i="1" a="1"/>
  <c r="AJ345" i="1" s="1"/>
  <c r="AJ344" i="1" a="1"/>
  <c r="AJ344" i="1" s="1"/>
  <c r="AJ343" i="1" a="1"/>
  <c r="AJ343" i="1" s="1"/>
  <c r="AJ342" i="1" a="1"/>
  <c r="AJ342" i="1" s="1"/>
  <c r="AJ341" i="1" a="1"/>
  <c r="AJ341" i="1" s="1"/>
  <c r="AJ340" i="1" a="1"/>
  <c r="AJ340" i="1" s="1"/>
  <c r="AJ339" i="1" a="1"/>
  <c r="AJ339" i="1" s="1"/>
  <c r="AJ338" i="1" a="1"/>
  <c r="AJ338" i="1" s="1"/>
  <c r="AJ337" i="1" a="1"/>
  <c r="AJ337" i="1" s="1"/>
  <c r="AJ336" i="1" a="1"/>
  <c r="AJ336" i="1" s="1"/>
  <c r="AJ335" i="1" a="1"/>
  <c r="AJ335" i="1" s="1"/>
  <c r="AJ334" i="1" a="1"/>
  <c r="AJ334" i="1" s="1"/>
  <c r="AJ333" i="1" a="1"/>
  <c r="AJ333" i="1" s="1"/>
  <c r="AJ332" i="1" a="1"/>
  <c r="AJ332" i="1" s="1"/>
  <c r="AJ331" i="1" a="1"/>
  <c r="AJ331" i="1" s="1"/>
  <c r="AJ330" i="1" a="1"/>
  <c r="AJ330" i="1" s="1"/>
  <c r="AJ329" i="1" a="1"/>
  <c r="AJ329" i="1" s="1"/>
  <c r="AJ328" i="1" a="1"/>
  <c r="AJ328" i="1" s="1"/>
  <c r="AJ327" i="1" a="1"/>
  <c r="AJ327" i="1" s="1"/>
  <c r="AJ326" i="1" a="1"/>
  <c r="AJ326" i="1" s="1"/>
  <c r="AJ325" i="1" a="1"/>
  <c r="AJ325" i="1" s="1"/>
  <c r="AJ324" i="1" a="1"/>
  <c r="AJ324" i="1" s="1"/>
  <c r="AJ323" i="1" a="1"/>
  <c r="AJ323" i="1" s="1"/>
  <c r="AJ322" i="1" a="1"/>
  <c r="AJ322" i="1" s="1"/>
  <c r="AJ321" i="1" a="1"/>
  <c r="AJ321" i="1" s="1"/>
  <c r="AJ320" i="1" a="1"/>
  <c r="AJ320" i="1" s="1"/>
  <c r="AJ319" i="1" a="1"/>
  <c r="AJ319" i="1" s="1"/>
  <c r="AJ318" i="1" a="1"/>
  <c r="AJ318" i="1" s="1"/>
  <c r="AJ317" i="1" a="1"/>
  <c r="AJ317" i="1" s="1"/>
  <c r="AJ316" i="1" a="1"/>
  <c r="AJ316" i="1" s="1"/>
  <c r="AJ315" i="1" a="1"/>
  <c r="AJ315" i="1" s="1"/>
  <c r="AJ314" i="1" a="1"/>
  <c r="AJ314" i="1" s="1"/>
  <c r="AJ313" i="1" a="1"/>
  <c r="AJ313" i="1" s="1"/>
  <c r="AJ312" i="1" a="1"/>
  <c r="AJ312" i="1" s="1"/>
  <c r="AJ311" i="1" a="1"/>
  <c r="AJ311" i="1" s="1"/>
  <c r="AJ310" i="1" a="1"/>
  <c r="AJ310" i="1" s="1"/>
  <c r="AJ309" i="1" a="1"/>
  <c r="AJ309" i="1" s="1"/>
  <c r="AJ308" i="1" a="1"/>
  <c r="AJ308" i="1" s="1"/>
  <c r="AJ307" i="1" a="1"/>
  <c r="AJ307" i="1" s="1"/>
  <c r="AJ306" i="1" a="1"/>
  <c r="AJ306" i="1" s="1"/>
  <c r="AJ305" i="1" a="1"/>
  <c r="AJ305" i="1" s="1"/>
  <c r="AJ304" i="1" a="1"/>
  <c r="AJ304" i="1" s="1"/>
  <c r="AJ303" i="1" a="1"/>
  <c r="AJ303" i="1" s="1"/>
  <c r="AJ302" i="1" a="1"/>
  <c r="AJ302" i="1" s="1"/>
  <c r="AJ301" i="1" a="1"/>
  <c r="AJ301" i="1" s="1"/>
  <c r="AJ300" i="1" a="1"/>
  <c r="AJ300" i="1" s="1"/>
  <c r="AJ299" i="1" a="1"/>
  <c r="AJ299" i="1" s="1"/>
  <c r="AJ298" i="1" a="1"/>
  <c r="AJ298" i="1" s="1"/>
  <c r="AJ297" i="1" a="1"/>
  <c r="AJ297" i="1" s="1"/>
  <c r="AJ296" i="1" a="1"/>
  <c r="AJ296" i="1" s="1"/>
  <c r="AJ295" i="1" a="1"/>
  <c r="AJ295" i="1" s="1"/>
  <c r="AJ294" i="1" a="1"/>
  <c r="AJ294" i="1" s="1"/>
  <c r="AJ293" i="1" a="1"/>
  <c r="AJ293" i="1" s="1"/>
  <c r="AJ292" i="1" a="1"/>
  <c r="AJ292" i="1" s="1"/>
  <c r="AJ291" i="1" a="1"/>
  <c r="AJ291" i="1" s="1"/>
  <c r="AJ290" i="1" a="1"/>
  <c r="AJ290" i="1" s="1"/>
  <c r="AJ289" i="1" a="1"/>
  <c r="AJ289" i="1" s="1"/>
  <c r="AJ288" i="1" a="1"/>
  <c r="AJ288" i="1" s="1"/>
  <c r="AJ287" i="1" a="1"/>
  <c r="AJ287" i="1" s="1"/>
  <c r="AJ286" i="1" a="1"/>
  <c r="AJ286" i="1" s="1"/>
  <c r="AJ285" i="1" a="1"/>
  <c r="AJ285" i="1" s="1"/>
  <c r="AJ284" i="1" a="1"/>
  <c r="AJ284" i="1" s="1"/>
  <c r="AJ283" i="1" a="1"/>
  <c r="AJ283" i="1" s="1"/>
  <c r="AJ282" i="1" a="1"/>
  <c r="AJ282" i="1" s="1"/>
  <c r="AJ281" i="1" a="1"/>
  <c r="AJ281" i="1" s="1"/>
  <c r="AJ280" i="1" a="1"/>
  <c r="AJ280" i="1" s="1"/>
  <c r="AJ279" i="1" a="1"/>
  <c r="AJ279" i="1" s="1"/>
  <c r="AJ278" i="1" a="1"/>
  <c r="AJ278" i="1" s="1"/>
  <c r="AJ277" i="1" a="1"/>
  <c r="AJ277" i="1" s="1"/>
  <c r="AJ276" i="1" a="1"/>
  <c r="AJ276" i="1" s="1"/>
  <c r="AJ275" i="1" a="1"/>
  <c r="AJ275" i="1" s="1"/>
  <c r="AJ274" i="1" a="1"/>
  <c r="AJ274" i="1" s="1"/>
  <c r="AJ273" i="1" a="1"/>
  <c r="AJ273" i="1" s="1"/>
  <c r="AJ272" i="1" a="1"/>
  <c r="AJ272" i="1" s="1"/>
  <c r="AJ271" i="1" a="1"/>
  <c r="AJ271" i="1" s="1"/>
  <c r="AJ270" i="1" a="1"/>
  <c r="AJ270" i="1" s="1"/>
  <c r="AJ269" i="1" a="1"/>
  <c r="AJ269" i="1" s="1"/>
  <c r="AJ268" i="1" a="1"/>
  <c r="AJ268" i="1" s="1"/>
  <c r="AJ267" i="1" a="1"/>
  <c r="AJ267" i="1" s="1"/>
  <c r="AJ266" i="1" a="1"/>
  <c r="AJ266" i="1" s="1"/>
  <c r="AJ265" i="1" a="1"/>
  <c r="AJ265" i="1" s="1"/>
  <c r="AJ264" i="1" a="1"/>
  <c r="AJ264" i="1" s="1"/>
  <c r="AJ263" i="1" a="1"/>
  <c r="AJ263" i="1" s="1"/>
  <c r="AJ262" i="1" a="1"/>
  <c r="AJ262" i="1" s="1"/>
  <c r="AJ261" i="1" a="1"/>
  <c r="AJ261" i="1" s="1"/>
  <c r="AJ260" i="1" a="1"/>
  <c r="AJ260" i="1" s="1"/>
  <c r="AJ259" i="1" a="1"/>
  <c r="AJ259" i="1" s="1"/>
  <c r="AJ258" i="1" a="1"/>
  <c r="AJ258" i="1" s="1"/>
  <c r="AJ257" i="1" a="1"/>
  <c r="AJ257" i="1" s="1"/>
  <c r="AJ256" i="1" a="1"/>
  <c r="AJ256" i="1" s="1"/>
  <c r="AJ255" i="1" a="1"/>
  <c r="AJ255" i="1" s="1"/>
  <c r="AJ254" i="1" a="1"/>
  <c r="AJ254" i="1" s="1"/>
  <c r="AJ253" i="1" a="1"/>
  <c r="AJ253" i="1" s="1"/>
  <c r="AJ252" i="1" a="1"/>
  <c r="AJ252" i="1" s="1"/>
  <c r="AJ251" i="1" a="1"/>
  <c r="AJ251" i="1" s="1"/>
  <c r="AJ250" i="1" a="1"/>
  <c r="AJ250" i="1" s="1"/>
  <c r="AJ249" i="1" a="1"/>
  <c r="AJ249" i="1" s="1"/>
  <c r="AJ248" i="1" a="1"/>
  <c r="AJ248" i="1" s="1"/>
  <c r="AJ247" i="1" a="1"/>
  <c r="AJ247" i="1" s="1"/>
  <c r="AJ246" i="1" a="1"/>
  <c r="AJ246" i="1" s="1"/>
  <c r="AJ245" i="1" a="1"/>
  <c r="AJ245" i="1" s="1"/>
  <c r="AJ244" i="1" a="1"/>
  <c r="AJ244" i="1" s="1"/>
  <c r="AJ243" i="1" a="1"/>
  <c r="AJ243" i="1" s="1"/>
  <c r="AJ242" i="1" a="1"/>
  <c r="AJ242" i="1" s="1"/>
  <c r="AJ241" i="1" a="1"/>
  <c r="AJ241" i="1" s="1"/>
  <c r="AJ240" i="1" a="1"/>
  <c r="AJ240" i="1" s="1"/>
  <c r="AJ239" i="1" a="1"/>
  <c r="AJ239" i="1" s="1"/>
  <c r="AJ238" i="1" a="1"/>
  <c r="AJ238" i="1" s="1"/>
  <c r="AJ237" i="1" a="1"/>
  <c r="AJ237" i="1" s="1"/>
  <c r="AJ236" i="1" a="1"/>
  <c r="AJ236" i="1" s="1"/>
  <c r="AJ235" i="1" a="1"/>
  <c r="AJ235" i="1" s="1"/>
  <c r="AJ234" i="1" a="1"/>
  <c r="AJ234" i="1" s="1"/>
  <c r="AJ233" i="1" a="1"/>
  <c r="AJ233" i="1" s="1"/>
  <c r="AJ232" i="1" a="1"/>
  <c r="AJ232" i="1" s="1"/>
  <c r="AJ231" i="1" a="1"/>
  <c r="AJ231" i="1" s="1"/>
  <c r="AJ230" i="1" a="1"/>
  <c r="AJ230" i="1" s="1"/>
  <c r="AJ229" i="1" a="1"/>
  <c r="AJ229" i="1" s="1"/>
  <c r="AJ228" i="1" a="1"/>
  <c r="AJ228" i="1" s="1"/>
  <c r="AJ227" i="1" a="1"/>
  <c r="AJ227" i="1" s="1"/>
  <c r="AJ226" i="1" a="1"/>
  <c r="AJ226" i="1" s="1"/>
  <c r="AJ225" i="1" a="1"/>
  <c r="AJ225" i="1" s="1"/>
  <c r="AJ224" i="1" a="1"/>
  <c r="AJ224" i="1" s="1"/>
  <c r="AJ223" i="1" a="1"/>
  <c r="AJ223" i="1" s="1"/>
  <c r="AJ222" i="1" a="1"/>
  <c r="AJ222" i="1" s="1"/>
  <c r="AJ221" i="1" a="1"/>
  <c r="AJ221" i="1" s="1"/>
  <c r="AJ220" i="1" a="1"/>
  <c r="AJ220" i="1" s="1"/>
  <c r="AJ219" i="1" a="1"/>
  <c r="AJ219" i="1" s="1"/>
  <c r="AJ218" i="1" a="1"/>
  <c r="AJ218" i="1" s="1"/>
  <c r="AJ217" i="1" a="1"/>
  <c r="AJ217" i="1" s="1"/>
  <c r="AJ216" i="1" a="1"/>
  <c r="AJ216" i="1" s="1"/>
  <c r="AJ215" i="1" a="1"/>
  <c r="AJ215" i="1" s="1"/>
  <c r="AJ214" i="1" a="1"/>
  <c r="AJ214" i="1" s="1"/>
  <c r="AJ213" i="1" a="1"/>
  <c r="AJ213" i="1" s="1"/>
  <c r="AJ212" i="1" a="1"/>
  <c r="AJ212" i="1" s="1"/>
  <c r="AJ211" i="1" a="1"/>
  <c r="AJ211" i="1" s="1"/>
  <c r="AJ210" i="1" a="1"/>
  <c r="AJ210" i="1" s="1"/>
  <c r="AJ209" i="1" a="1"/>
  <c r="AJ209" i="1" s="1"/>
  <c r="AJ208" i="1" a="1"/>
  <c r="AJ208" i="1" s="1"/>
  <c r="AJ207" i="1" a="1"/>
  <c r="AJ207" i="1" s="1"/>
  <c r="AJ206" i="1" a="1"/>
  <c r="AJ206" i="1" s="1"/>
  <c r="AJ205" i="1" a="1"/>
  <c r="AJ205" i="1" s="1"/>
  <c r="AJ204" i="1" a="1"/>
  <c r="AJ204" i="1" s="1"/>
  <c r="AJ203" i="1" a="1"/>
  <c r="AJ203" i="1" s="1"/>
  <c r="AJ202" i="1" a="1"/>
  <c r="AJ202" i="1" s="1"/>
  <c r="AJ201" i="1" a="1"/>
  <c r="AJ201" i="1" s="1"/>
  <c r="AJ200" i="1" a="1"/>
  <c r="AJ200" i="1" s="1"/>
  <c r="AJ199" i="1" a="1"/>
  <c r="AJ199" i="1" s="1"/>
  <c r="AJ198" i="1" a="1"/>
  <c r="AJ198" i="1" s="1"/>
  <c r="AJ197" i="1" a="1"/>
  <c r="AJ197" i="1" s="1"/>
  <c r="AJ196" i="1" a="1"/>
  <c r="AJ196" i="1" s="1"/>
  <c r="AJ195" i="1" a="1"/>
  <c r="AJ195" i="1" s="1"/>
  <c r="AJ194" i="1" a="1"/>
  <c r="AJ194" i="1" s="1"/>
  <c r="AJ193" i="1" a="1"/>
  <c r="AJ193" i="1" s="1"/>
  <c r="AJ192" i="1" a="1"/>
  <c r="AJ192" i="1" s="1"/>
  <c r="AJ191" i="1" a="1"/>
  <c r="AJ191" i="1" s="1"/>
  <c r="AJ190" i="1" a="1"/>
  <c r="AJ190" i="1" s="1"/>
  <c r="AJ189" i="1" a="1"/>
  <c r="AJ189" i="1" s="1"/>
  <c r="AJ188" i="1" a="1"/>
  <c r="AJ188" i="1" s="1"/>
  <c r="AJ187" i="1" a="1"/>
  <c r="AJ187" i="1" s="1"/>
  <c r="AJ186" i="1" a="1"/>
  <c r="AJ186" i="1" s="1"/>
  <c r="AJ185" i="1" a="1"/>
  <c r="AJ185" i="1" s="1"/>
  <c r="AJ184" i="1" a="1"/>
  <c r="AJ184" i="1" s="1"/>
  <c r="AJ183" i="1" a="1"/>
  <c r="AJ183" i="1" s="1"/>
  <c r="AJ182" i="1" a="1"/>
  <c r="AJ182" i="1" s="1"/>
  <c r="AJ181" i="1" a="1"/>
  <c r="AJ181" i="1" s="1"/>
  <c r="AJ180" i="1" a="1"/>
  <c r="AJ180" i="1" s="1"/>
  <c r="AJ179" i="1" a="1"/>
  <c r="AJ179" i="1" s="1"/>
  <c r="AJ178" i="1" a="1"/>
  <c r="AJ178" i="1" s="1"/>
  <c r="AJ177" i="1" a="1"/>
  <c r="AJ177" i="1" s="1"/>
  <c r="AJ176" i="1" a="1"/>
  <c r="AJ176" i="1" s="1"/>
  <c r="AJ175" i="1" a="1"/>
  <c r="AJ175" i="1" s="1"/>
  <c r="AJ174" i="1" a="1"/>
  <c r="AJ174" i="1" s="1"/>
  <c r="AJ173" i="1" a="1"/>
  <c r="AJ173" i="1" s="1"/>
  <c r="AJ172" i="1" a="1"/>
  <c r="AJ172" i="1" s="1"/>
  <c r="AJ171" i="1" a="1"/>
  <c r="AJ171" i="1" s="1"/>
  <c r="AJ170" i="1" a="1"/>
  <c r="AJ170" i="1" s="1"/>
  <c r="AJ169" i="1" a="1"/>
  <c r="AJ169" i="1" s="1"/>
  <c r="AJ168" i="1" a="1"/>
  <c r="AJ168" i="1" s="1"/>
  <c r="AJ167" i="1" a="1"/>
  <c r="AJ167" i="1" s="1"/>
  <c r="AJ166" i="1" a="1"/>
  <c r="AJ166" i="1" s="1"/>
  <c r="AJ165" i="1" a="1"/>
  <c r="AJ165" i="1" s="1"/>
  <c r="AJ164" i="1" a="1"/>
  <c r="AJ164" i="1" s="1"/>
  <c r="AJ163" i="1" a="1"/>
  <c r="AJ163" i="1" s="1"/>
  <c r="AJ162" i="1" a="1"/>
  <c r="AJ162" i="1" s="1"/>
  <c r="AJ161" i="1" a="1"/>
  <c r="AJ161" i="1" s="1"/>
  <c r="AJ160" i="1" a="1"/>
  <c r="AJ160" i="1" s="1"/>
  <c r="AJ159" i="1" a="1"/>
  <c r="AJ159" i="1" s="1"/>
  <c r="AJ158" i="1" a="1"/>
  <c r="AJ158" i="1" s="1"/>
  <c r="AJ157" i="1" a="1"/>
  <c r="AJ157" i="1" s="1"/>
  <c r="AJ156" i="1" a="1"/>
  <c r="AJ156" i="1" s="1"/>
  <c r="AJ155" i="1" a="1"/>
  <c r="AJ155" i="1" s="1"/>
  <c r="AJ154" i="1" a="1"/>
  <c r="AJ154" i="1" s="1"/>
  <c r="AJ153" i="1" a="1"/>
  <c r="AJ153" i="1" s="1"/>
  <c r="AJ152" i="1" a="1"/>
  <c r="AJ152" i="1" s="1"/>
  <c r="AJ151" i="1" a="1"/>
  <c r="AJ151" i="1" s="1"/>
  <c r="AJ150" i="1" a="1"/>
  <c r="AJ150" i="1" s="1"/>
  <c r="AJ149" i="1" a="1"/>
  <c r="AJ149" i="1" s="1"/>
  <c r="AJ148" i="1" a="1"/>
  <c r="AJ148" i="1" s="1"/>
  <c r="AJ147" i="1" a="1"/>
  <c r="AJ147" i="1" s="1"/>
  <c r="AJ146" i="1" a="1"/>
  <c r="AJ146" i="1" s="1"/>
  <c r="AJ145" i="1" a="1"/>
  <c r="AJ145" i="1" s="1"/>
  <c r="AJ144" i="1" a="1"/>
  <c r="AJ144" i="1" s="1"/>
  <c r="AJ143" i="1" a="1"/>
  <c r="AJ143" i="1" s="1"/>
  <c r="AJ142" i="1" a="1"/>
  <c r="AJ142" i="1" s="1"/>
  <c r="AJ141" i="1" a="1"/>
  <c r="AJ141" i="1" s="1"/>
  <c r="AJ140" i="1" a="1"/>
  <c r="AJ140" i="1" s="1"/>
  <c r="AJ139" i="1" a="1"/>
  <c r="AJ139" i="1" s="1"/>
  <c r="AJ138" i="1" a="1"/>
  <c r="AJ138" i="1" s="1"/>
  <c r="AJ137" i="1" a="1"/>
  <c r="AJ137" i="1" s="1"/>
  <c r="AJ136" i="1" a="1"/>
  <c r="AJ136" i="1" s="1"/>
  <c r="AJ135" i="1" a="1"/>
  <c r="AJ135" i="1" s="1"/>
  <c r="AJ134" i="1" a="1"/>
  <c r="AJ134" i="1" s="1"/>
  <c r="AJ133" i="1" a="1"/>
  <c r="AJ133" i="1" s="1"/>
  <c r="AJ132" i="1" a="1"/>
  <c r="AJ132" i="1" s="1"/>
  <c r="AJ131" i="1" a="1"/>
  <c r="AJ131" i="1" s="1"/>
  <c r="AJ130" i="1" a="1"/>
  <c r="AJ130" i="1" s="1"/>
  <c r="AJ129" i="1" a="1"/>
  <c r="AJ129" i="1" s="1"/>
  <c r="AJ128" i="1" a="1"/>
  <c r="AJ128" i="1" s="1"/>
  <c r="AJ127" i="1" a="1"/>
  <c r="AJ127" i="1" s="1"/>
  <c r="AJ126" i="1" a="1"/>
  <c r="AJ126" i="1" s="1"/>
  <c r="AJ125" i="1" a="1"/>
  <c r="AJ125" i="1" s="1"/>
  <c r="AJ124" i="1" a="1"/>
  <c r="AJ124" i="1" s="1"/>
  <c r="AJ123" i="1" a="1"/>
  <c r="AJ123" i="1" s="1"/>
  <c r="AJ122" i="1" a="1"/>
  <c r="AJ122" i="1" s="1"/>
  <c r="AJ121" i="1" a="1"/>
  <c r="AJ121" i="1" s="1"/>
  <c r="AJ120" i="1" a="1"/>
  <c r="AJ120" i="1" s="1"/>
  <c r="AJ119" i="1" a="1"/>
  <c r="AJ119" i="1" s="1"/>
  <c r="AJ118" i="1" a="1"/>
  <c r="AJ118" i="1" s="1"/>
  <c r="AJ117" i="1" a="1"/>
  <c r="AJ117" i="1" s="1"/>
  <c r="AJ116" i="1" a="1"/>
  <c r="AJ116" i="1" s="1"/>
  <c r="AJ115" i="1" a="1"/>
  <c r="AJ115" i="1" s="1"/>
  <c r="AJ114" i="1" a="1"/>
  <c r="AJ114" i="1" s="1"/>
  <c r="AJ113" i="1" a="1"/>
  <c r="AJ113" i="1" s="1"/>
  <c r="AJ112" i="1" a="1"/>
  <c r="AJ112" i="1" s="1"/>
  <c r="AJ111" i="1" a="1"/>
  <c r="AJ111" i="1" s="1"/>
  <c r="AJ110" i="1" a="1"/>
  <c r="AJ110" i="1" s="1"/>
  <c r="AJ109" i="1" a="1"/>
  <c r="AJ109" i="1" s="1"/>
  <c r="AJ108" i="1" a="1"/>
  <c r="AJ108" i="1" s="1"/>
  <c r="AJ107" i="1" a="1"/>
  <c r="AJ107" i="1" s="1"/>
  <c r="AJ106" i="1" a="1"/>
  <c r="AJ106" i="1" s="1"/>
  <c r="AJ105" i="1" a="1"/>
  <c r="AJ105" i="1" s="1"/>
  <c r="AJ104" i="1" a="1"/>
  <c r="AJ104" i="1" s="1"/>
  <c r="AJ103" i="1" a="1"/>
  <c r="AJ103" i="1" s="1"/>
  <c r="AJ102" i="1" a="1"/>
  <c r="AJ102" i="1" s="1"/>
  <c r="AJ101" i="1" a="1"/>
  <c r="AJ101" i="1" s="1"/>
  <c r="AJ100" i="1" a="1"/>
  <c r="AJ100" i="1" s="1"/>
  <c r="AJ99" i="1" a="1"/>
  <c r="AJ99" i="1" s="1"/>
  <c r="AJ98" i="1" a="1"/>
  <c r="AJ98" i="1" s="1"/>
  <c r="AJ97" i="1" a="1"/>
  <c r="AJ97" i="1" s="1"/>
  <c r="AJ96" i="1" a="1"/>
  <c r="AJ96" i="1" s="1"/>
  <c r="AJ95" i="1" a="1"/>
  <c r="AJ95" i="1" s="1"/>
  <c r="AJ94" i="1" a="1"/>
  <c r="AJ94" i="1" s="1"/>
  <c r="AJ93" i="1" a="1"/>
  <c r="AJ93" i="1" s="1"/>
  <c r="AJ92" i="1" a="1"/>
  <c r="AJ92" i="1" s="1"/>
  <c r="AJ91" i="1" a="1"/>
  <c r="AJ91" i="1" s="1"/>
  <c r="AJ90" i="1" a="1"/>
  <c r="AJ90" i="1" s="1"/>
  <c r="AJ89" i="1" a="1"/>
  <c r="AJ89" i="1" s="1"/>
  <c r="AJ88" i="1" a="1"/>
  <c r="AJ88" i="1" s="1"/>
  <c r="AJ87" i="1" a="1"/>
  <c r="AJ87" i="1" s="1"/>
  <c r="AJ86" i="1" a="1"/>
  <c r="AJ86" i="1" s="1"/>
  <c r="AJ85" i="1" a="1"/>
  <c r="AJ85" i="1" s="1"/>
  <c r="AJ84" i="1" a="1"/>
  <c r="AJ84" i="1" s="1"/>
  <c r="AJ83" i="1" a="1"/>
  <c r="AJ83" i="1" s="1"/>
  <c r="AJ82" i="1" a="1"/>
  <c r="AJ82" i="1" s="1"/>
  <c r="AJ81" i="1" a="1"/>
  <c r="AJ81" i="1" s="1"/>
  <c r="AJ80" i="1" a="1"/>
  <c r="AJ80" i="1" s="1"/>
  <c r="AJ79" i="1" a="1"/>
  <c r="AJ79" i="1" s="1"/>
  <c r="AJ78" i="1" a="1"/>
  <c r="AJ78" i="1" s="1"/>
  <c r="AJ77" i="1" a="1"/>
  <c r="AJ77" i="1" s="1"/>
  <c r="AJ76" i="1" a="1"/>
  <c r="AJ76" i="1" s="1"/>
  <c r="AJ74" i="1" a="1"/>
  <c r="AJ74" i="1" s="1"/>
  <c r="AJ73" i="1" a="1"/>
  <c r="AJ73" i="1" s="1"/>
  <c r="AJ72" i="1" a="1"/>
  <c r="AJ72" i="1" s="1"/>
  <c r="AJ71" i="1" a="1"/>
  <c r="AJ71" i="1" s="1"/>
  <c r="AJ70" i="1" a="1"/>
  <c r="AJ70" i="1" s="1"/>
  <c r="AJ69" i="1" a="1"/>
  <c r="AJ69" i="1" s="1"/>
  <c r="AJ68" i="1" a="1"/>
  <c r="AJ68" i="1" s="1"/>
  <c r="AJ67" i="1" a="1"/>
  <c r="AJ67" i="1" s="1"/>
  <c r="AJ66" i="1" a="1"/>
  <c r="AJ66" i="1" s="1"/>
  <c r="AJ65" i="1" a="1"/>
  <c r="AJ65" i="1" s="1"/>
  <c r="AJ64" i="1" a="1"/>
  <c r="AJ64" i="1" s="1"/>
  <c r="AJ63" i="1" a="1"/>
  <c r="AJ63" i="1" s="1"/>
  <c r="AJ62" i="1" a="1"/>
  <c r="AJ62" i="1" s="1"/>
  <c r="AJ61" i="1" a="1"/>
  <c r="AJ61" i="1" s="1"/>
  <c r="AJ60" i="1" a="1"/>
  <c r="AJ60" i="1" s="1"/>
  <c r="AJ59" i="1" a="1"/>
  <c r="AJ59" i="1" s="1"/>
  <c r="AJ58" i="1" a="1"/>
  <c r="AJ58" i="1" s="1"/>
  <c r="AJ57" i="1" a="1"/>
  <c r="AJ57" i="1" s="1"/>
  <c r="AJ56" i="1" a="1"/>
  <c r="AJ56" i="1" s="1"/>
  <c r="AJ55" i="1" a="1"/>
  <c r="AJ55" i="1" s="1"/>
  <c r="AJ54" i="1" a="1"/>
  <c r="AJ54" i="1" s="1"/>
  <c r="AJ53" i="1" a="1"/>
  <c r="AJ53" i="1" s="1"/>
  <c r="AJ52" i="1" a="1"/>
  <c r="AJ52" i="1" s="1"/>
  <c r="AJ51" i="1" a="1"/>
  <c r="AJ51" i="1" s="1"/>
  <c r="AJ50" i="1" a="1"/>
  <c r="AJ50" i="1" s="1"/>
  <c r="AJ49" i="1" a="1"/>
  <c r="AJ49" i="1" s="1"/>
  <c r="AJ48" i="1" a="1"/>
  <c r="AJ48" i="1" s="1"/>
  <c r="AJ47" i="1" a="1"/>
  <c r="AJ47" i="1" s="1"/>
  <c r="AJ46" i="1" a="1"/>
  <c r="AJ46" i="1" s="1"/>
  <c r="AJ45" i="1" a="1"/>
  <c r="AJ45" i="1" s="1"/>
  <c r="AJ44" i="1" a="1"/>
  <c r="AJ44" i="1" s="1"/>
  <c r="AJ43" i="1" a="1"/>
  <c r="AJ43" i="1" s="1"/>
  <c r="AJ42" i="1" a="1"/>
  <c r="AJ42" i="1" s="1"/>
  <c r="AJ41" i="1" a="1"/>
  <c r="AJ41" i="1" s="1"/>
  <c r="AJ40" i="1" a="1"/>
  <c r="AJ40" i="1" s="1"/>
  <c r="AJ39" i="1" a="1"/>
  <c r="AJ39" i="1" s="1"/>
  <c r="AJ38" i="1" a="1"/>
  <c r="AJ38" i="1" s="1"/>
  <c r="AJ37" i="1" a="1"/>
  <c r="AJ37" i="1" s="1"/>
  <c r="AJ36" i="1" a="1"/>
  <c r="AJ36" i="1" s="1"/>
  <c r="AJ35" i="1" a="1"/>
  <c r="AJ35" i="1" s="1"/>
  <c r="AJ34" i="1" a="1"/>
  <c r="AJ34" i="1" s="1"/>
  <c r="AJ33" i="1" a="1"/>
  <c r="AJ33" i="1" s="1"/>
  <c r="AJ32" i="1" a="1"/>
  <c r="AJ32" i="1" s="1"/>
  <c r="AJ31" i="1" a="1"/>
  <c r="AJ31" i="1" s="1"/>
  <c r="AJ30" i="1" a="1"/>
  <c r="AJ30" i="1" s="1"/>
  <c r="AJ29" i="1" a="1"/>
  <c r="AJ29" i="1" s="1"/>
  <c r="AJ28" i="1" a="1"/>
  <c r="AJ28" i="1" s="1"/>
  <c r="AJ27" i="1" a="1"/>
  <c r="AJ27" i="1" s="1"/>
  <c r="AJ26" i="1" a="1"/>
  <c r="AJ26" i="1" s="1"/>
  <c r="AJ25" i="1" a="1"/>
  <c r="AJ25" i="1" s="1"/>
  <c r="AJ24" i="1" a="1"/>
  <c r="AJ24" i="1" s="1"/>
  <c r="AJ23" i="1" a="1"/>
  <c r="AJ23" i="1" s="1"/>
  <c r="AJ22" i="1" a="1"/>
  <c r="AJ22" i="1" s="1"/>
  <c r="AJ21" i="1" a="1"/>
  <c r="AJ21" i="1" s="1"/>
  <c r="AJ20" i="1" a="1"/>
  <c r="AJ20" i="1" s="1"/>
  <c r="AJ19" i="1" a="1"/>
  <c r="AJ19" i="1" s="1"/>
  <c r="AJ18" i="1" a="1"/>
  <c r="AJ18" i="1" s="1"/>
  <c r="AJ17" i="1" a="1"/>
  <c r="AJ17" i="1" s="1"/>
  <c r="AJ16" i="1" a="1"/>
  <c r="AJ16" i="1" s="1"/>
  <c r="AJ15" i="1" a="1"/>
  <c r="AJ15" i="1" s="1"/>
  <c r="AJ14" i="1" a="1"/>
  <c r="AJ14" i="1" s="1"/>
  <c r="AJ13" i="1" a="1"/>
  <c r="AJ13" i="1" s="1"/>
  <c r="AJ12" i="1" a="1"/>
  <c r="AJ12" i="1" s="1"/>
  <c r="AJ11" i="1" a="1"/>
  <c r="AJ11" i="1" s="1"/>
  <c r="AJ10" i="1" a="1"/>
  <c r="AJ10" i="1" s="1"/>
  <c r="AJ9" i="1" a="1"/>
  <c r="AJ9" i="1" s="1"/>
  <c r="AJ8" i="1" a="1"/>
  <c r="AJ8" i="1" s="1"/>
  <c r="AJ7" i="1" a="1"/>
  <c r="AJ7" i="1" s="1"/>
  <c r="AJ6" i="1" a="1"/>
  <c r="AJ6" i="1" s="1"/>
  <c r="AJ5" i="1" a="1"/>
  <c r="AJ5" i="1" s="1"/>
  <c r="AJ4" i="1" a="1"/>
  <c r="AJ4" i="1" s="1"/>
  <c r="AJ3" i="1" a="1"/>
  <c r="AJ3" i="1" s="1"/>
  <c r="AJ2" i="1" a="1"/>
  <c r="AJ2" i="1" s="1"/>
  <c r="AJ75" i="1" a="1"/>
  <c r="AJ75" i="1" s="1"/>
  <c r="AK901" i="1"/>
  <c r="T892" i="1"/>
  <c r="T887" i="1"/>
  <c r="T885" i="1"/>
  <c r="T881" i="1"/>
  <c r="T875" i="1"/>
  <c r="T870" i="1"/>
  <c r="T864" i="1"/>
  <c r="T855" i="1"/>
  <c r="T850" i="1"/>
  <c r="T843" i="1"/>
  <c r="T839" i="1"/>
  <c r="T812" i="1"/>
  <c r="T810" i="1"/>
  <c r="T807" i="1"/>
  <c r="T805" i="1"/>
  <c r="T798" i="1"/>
  <c r="T797" i="1"/>
  <c r="T796" i="1"/>
  <c r="T793" i="1"/>
  <c r="T791" i="1"/>
  <c r="T790" i="1"/>
  <c r="T785" i="1"/>
  <c r="T779" i="1"/>
  <c r="T778" i="1"/>
  <c r="T769" i="1"/>
  <c r="T763" i="1"/>
  <c r="T761" i="1"/>
  <c r="T752" i="1"/>
  <c r="T746" i="1"/>
  <c r="T740" i="1"/>
  <c r="T739" i="1"/>
  <c r="T731" i="1"/>
  <c r="T723" i="1"/>
  <c r="T721" i="1"/>
  <c r="T719" i="1"/>
  <c r="M716" i="1"/>
  <c r="L716" i="1"/>
  <c r="T702" i="1"/>
  <c r="T688" i="1"/>
  <c r="T664" i="1"/>
  <c r="T660" i="1"/>
  <c r="T642" i="1"/>
  <c r="T633" i="1"/>
  <c r="T630" i="1"/>
  <c r="T619" i="1"/>
  <c r="T616" i="1"/>
  <c r="T610" i="1"/>
  <c r="T592" i="1"/>
  <c r="T588" i="1"/>
  <c r="T587" i="1"/>
  <c r="T579" i="1"/>
  <c r="T576" i="1"/>
  <c r="T546" i="1"/>
  <c r="T537" i="1"/>
  <c r="T522" i="1"/>
  <c r="T521" i="1"/>
  <c r="T514" i="1"/>
  <c r="T513" i="1"/>
  <c r="T510" i="1"/>
  <c r="T496" i="1"/>
  <c r="T491" i="1"/>
  <c r="T490" i="1"/>
  <c r="T489" i="1"/>
  <c r="T488" i="1"/>
  <c r="T486" i="1"/>
  <c r="T469" i="1"/>
  <c r="T461" i="1"/>
  <c r="T459" i="1"/>
  <c r="T454" i="1"/>
  <c r="T450" i="1"/>
  <c r="T445" i="1"/>
  <c r="T439" i="1"/>
  <c r="T434" i="1"/>
  <c r="T433" i="1"/>
  <c r="T429" i="1"/>
  <c r="T427" i="1"/>
  <c r="T424" i="1"/>
  <c r="T417" i="1"/>
  <c r="T414" i="1"/>
  <c r="T406" i="1"/>
  <c r="T404" i="1"/>
  <c r="T401" i="1"/>
  <c r="T374" i="1"/>
  <c r="T369" i="1"/>
  <c r="T366" i="1"/>
  <c r="T363" i="1"/>
  <c r="T361" i="1"/>
  <c r="T359" i="1"/>
  <c r="T356" i="1"/>
  <c r="T354" i="1"/>
  <c r="T347" i="1"/>
  <c r="T346" i="1"/>
  <c r="T345" i="1"/>
  <c r="T338" i="1"/>
  <c r="T326" i="1"/>
  <c r="T320" i="1"/>
  <c r="T317" i="1"/>
  <c r="T316" i="1"/>
  <c r="T312" i="1"/>
  <c r="T309" i="1"/>
  <c r="T308" i="1"/>
  <c r="T304" i="1"/>
  <c r="T292" i="1"/>
  <c r="T280" i="1"/>
  <c r="T265" i="1"/>
  <c r="T259" i="1"/>
  <c r="T252" i="1"/>
  <c r="T251" i="1"/>
  <c r="T243" i="1"/>
  <c r="T233" i="1"/>
  <c r="T232" i="1"/>
  <c r="T210" i="1"/>
  <c r="T209" i="1"/>
  <c r="T207" i="1"/>
  <c r="T198" i="1"/>
  <c r="T193" i="1"/>
  <c r="T190" i="1"/>
  <c r="T188" i="1"/>
  <c r="T172" i="1"/>
  <c r="T169" i="1"/>
  <c r="T159" i="1"/>
  <c r="T151" i="1"/>
  <c r="T131" i="1"/>
  <c r="T130" i="1"/>
  <c r="T121" i="1"/>
  <c r="T120" i="1"/>
  <c r="T116" i="1"/>
  <c r="T99" i="1"/>
  <c r="T79" i="1"/>
  <c r="T71" i="1"/>
  <c r="T70" i="1"/>
  <c r="T59" i="1"/>
  <c r="T58" i="1"/>
  <c r="T57" i="1"/>
  <c r="T25" i="1"/>
  <c r="AL6" i="1"/>
  <c r="E898" i="1"/>
  <c r="E897" i="1"/>
  <c r="V401" i="1"/>
  <c r="V892" i="1"/>
  <c r="U721" i="1"/>
  <c r="U633" i="1"/>
  <c r="U610" i="1"/>
  <c r="V172" i="1"/>
  <c r="U445" i="1"/>
  <c r="V58" i="1"/>
  <c r="V723" i="1"/>
  <c r="U719" i="1"/>
  <c r="U490" i="1"/>
  <c r="V855" i="1"/>
  <c r="U366" i="1"/>
  <c r="U99" i="1"/>
  <c r="V116" i="1"/>
  <c r="U346" i="1"/>
  <c r="V439" i="1"/>
  <c r="U193" i="1"/>
  <c r="V791" i="1"/>
  <c r="V688" i="1"/>
  <c r="U207" i="1"/>
  <c r="U785" i="1"/>
  <c r="V769" i="1"/>
  <c r="V159" i="1"/>
  <c r="V207" i="1"/>
  <c r="U642" i="1"/>
  <c r="V429" i="1"/>
  <c r="U427" i="1"/>
  <c r="U798" i="1"/>
  <c r="V576" i="1"/>
  <c r="V633" i="1"/>
  <c r="U363" i="1"/>
  <c r="V193" i="1"/>
  <c r="V490" i="1"/>
  <c r="V259" i="1"/>
  <c r="V361" i="1"/>
  <c r="V630" i="1"/>
  <c r="V785" i="1"/>
  <c r="V445" i="1"/>
  <c r="V169" i="1"/>
  <c r="U429" i="1"/>
  <c r="U619" i="1"/>
  <c r="U723" i="1"/>
  <c r="U433" i="1"/>
  <c r="U521" i="1"/>
  <c r="U71" i="1"/>
  <c r="U374" i="1"/>
  <c r="V450" i="1"/>
  <c r="V359" i="1"/>
  <c r="V190" i="1"/>
  <c r="U159" i="1"/>
  <c r="U576" i="1"/>
  <c r="V243" i="1"/>
  <c r="V427" i="1"/>
  <c r="U369" i="1"/>
  <c r="V354" i="1"/>
  <c r="U359" i="1"/>
  <c r="V406" i="1"/>
  <c r="U316" i="1"/>
  <c r="V864" i="1"/>
  <c r="U807" i="1"/>
  <c r="U243" i="1"/>
  <c r="U660" i="1"/>
  <c r="U209" i="1"/>
  <c r="V232" i="1"/>
  <c r="U812" i="1"/>
  <c r="V510" i="1"/>
  <c r="U309" i="1"/>
  <c r="U850" i="1"/>
  <c r="U763" i="1"/>
  <c r="V843" i="1"/>
  <c r="U424" i="1"/>
  <c r="U317" i="1"/>
  <c r="U810" i="1"/>
  <c r="U434" i="1"/>
  <c r="U450" i="1"/>
  <c r="V521" i="1"/>
  <c r="V120" i="1"/>
  <c r="V188" i="1"/>
  <c r="U252" i="1"/>
  <c r="U265" i="1"/>
  <c r="U579" i="1"/>
  <c r="V514" i="1"/>
  <c r="U292" i="1"/>
  <c r="V414" i="1"/>
  <c r="V454" i="1"/>
  <c r="U790" i="1"/>
  <c r="U486" i="1"/>
  <c r="V404" i="1"/>
  <c r="U414" i="1"/>
  <c r="U875" i="1"/>
  <c r="V461" i="1"/>
  <c r="V320" i="1"/>
  <c r="V312" i="1"/>
  <c r="U406" i="1"/>
  <c r="V719" i="1"/>
  <c r="V210" i="1"/>
  <c r="U496" i="1"/>
  <c r="V588" i="1"/>
  <c r="U25" i="1"/>
  <c r="V752" i="1"/>
  <c r="U546" i="1"/>
  <c r="V619" i="1"/>
  <c r="V280" i="1"/>
  <c r="U761" i="1"/>
  <c r="U172" i="1"/>
  <c r="U59" i="1"/>
  <c r="V374" i="1"/>
  <c r="U793" i="1"/>
  <c r="V130" i="1"/>
  <c r="V338" i="1"/>
  <c r="V309" i="1"/>
  <c r="U587" i="1"/>
  <c r="U130" i="1"/>
  <c r="V579" i="1"/>
  <c r="U839" i="1"/>
  <c r="V778" i="1"/>
  <c r="V265" i="1"/>
  <c r="V513" i="1"/>
  <c r="U702" i="1"/>
  <c r="U121" i="1"/>
  <c r="U70" i="1"/>
  <c r="U120" i="1"/>
  <c r="V486" i="1"/>
  <c r="V252" i="1"/>
  <c r="U308" i="1"/>
  <c r="V347" i="1"/>
  <c r="V798" i="1"/>
  <c r="V433" i="1"/>
  <c r="U588" i="1"/>
  <c r="U251" i="1"/>
  <c r="V151" i="1"/>
  <c r="U537" i="1"/>
  <c r="V522" i="1"/>
  <c r="V317" i="1"/>
  <c r="V642" i="1"/>
  <c r="V739" i="1"/>
  <c r="U746" i="1"/>
  <c r="V71" i="1"/>
  <c r="V233" i="1"/>
  <c r="U312" i="1"/>
  <c r="U338" i="1"/>
  <c r="V793" i="1"/>
  <c r="U459" i="1"/>
  <c r="V424" i="1"/>
  <c r="U198" i="1"/>
  <c r="V887" i="1"/>
  <c r="V121" i="1"/>
  <c r="V731" i="1"/>
  <c r="U488" i="1"/>
  <c r="U855" i="1"/>
  <c r="V881" i="1"/>
  <c r="U345" i="1"/>
  <c r="U887" i="1"/>
  <c r="U514" i="1"/>
  <c r="V363" i="1"/>
  <c r="V537" i="1"/>
  <c r="V488" i="1"/>
  <c r="U356" i="1"/>
  <c r="U417" i="1"/>
  <c r="V810" i="1"/>
  <c r="V79" i="1"/>
  <c r="V345" i="1"/>
  <c r="U769" i="1"/>
  <c r="U401" i="1"/>
  <c r="U469" i="1"/>
  <c r="U510" i="1"/>
  <c r="V587" i="1"/>
  <c r="U791" i="1"/>
  <c r="U57" i="1"/>
  <c r="U280" i="1"/>
  <c r="V740" i="1"/>
  <c r="V316" i="1"/>
  <c r="V308" i="1"/>
  <c r="U232" i="1"/>
  <c r="V304" i="1"/>
  <c r="U796" i="1"/>
  <c r="V761" i="1"/>
  <c r="U513" i="1"/>
  <c r="U361" i="1"/>
  <c r="V746" i="1"/>
  <c r="V469" i="1"/>
  <c r="U116" i="1"/>
  <c r="V721" i="1"/>
  <c r="V702" i="1"/>
  <c r="U797" i="1"/>
  <c r="U233" i="1"/>
  <c r="V839" i="1"/>
  <c r="V326" i="1"/>
  <c r="V99" i="1"/>
  <c r="V790" i="1"/>
  <c r="V807" i="1"/>
  <c r="V292" i="1"/>
  <c r="V356" i="1"/>
  <c r="U740" i="1"/>
  <c r="V131" i="1"/>
  <c r="U404" i="1"/>
  <c r="V209" i="1"/>
  <c r="V25" i="1"/>
  <c r="V779" i="1"/>
  <c r="V459" i="1"/>
  <c r="U664" i="1"/>
  <c r="U752" i="1"/>
  <c r="V875" i="1"/>
  <c r="V616" i="1"/>
  <c r="V885" i="1"/>
  <c r="V369" i="1"/>
  <c r="V805" i="1"/>
  <c r="U320" i="1"/>
  <c r="U79" i="1"/>
  <c r="U491" i="1"/>
  <c r="V812" i="1"/>
  <c r="U881" i="1"/>
  <c r="V796" i="1"/>
  <c r="U259" i="1"/>
  <c r="V251" i="1"/>
  <c r="U489" i="1"/>
  <c r="U778" i="1"/>
  <c r="V592" i="1"/>
  <c r="V491" i="1"/>
  <c r="U461" i="1"/>
  <c r="V417" i="1"/>
  <c r="V366" i="1"/>
  <c r="U190" i="1"/>
  <c r="U210" i="1"/>
  <c r="U151" i="1"/>
  <c r="V496" i="1"/>
  <c r="V664" i="1"/>
  <c r="U354" i="1"/>
  <c r="U843" i="1"/>
  <c r="V434" i="1"/>
  <c r="U864" i="1"/>
  <c r="U892" i="1"/>
  <c r="V59" i="1"/>
  <c r="V763" i="1"/>
  <c r="V57" i="1"/>
  <c r="V198" i="1"/>
  <c r="V850" i="1"/>
  <c r="U169" i="1"/>
  <c r="V797" i="1"/>
  <c r="U304" i="1"/>
  <c r="U522" i="1"/>
  <c r="U739" i="1"/>
  <c r="V660" i="1"/>
  <c r="U688" i="1"/>
  <c r="U616" i="1"/>
  <c r="V346" i="1"/>
  <c r="U454" i="1"/>
  <c r="U630" i="1"/>
  <c r="U439" i="1"/>
  <c r="U731" i="1"/>
  <c r="U805" i="1"/>
  <c r="V70" i="1"/>
  <c r="V870" i="1"/>
  <c r="U58" i="1"/>
  <c r="U326" i="1"/>
  <c r="U779" i="1"/>
  <c r="U870" i="1"/>
  <c r="V546" i="1"/>
  <c r="U885" i="1"/>
  <c r="U347" i="1"/>
  <c r="V610" i="1"/>
  <c r="U131" i="1"/>
  <c r="U592" i="1"/>
  <c r="V489" i="1"/>
  <c r="U188" i="1"/>
  <c r="AL901" i="1" l="1"/>
  <c r="AK902" i="1"/>
  <c r="AK75" i="1"/>
  <c r="AL900" i="1" l="1"/>
  <c r="AL90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Jonathan Wilken</author>
    <author>tc={A583AA6A-921A-4652-A75F-52BF1C7A80F4}</author>
    <author>tc={7132590E-CF94-437D-BF1C-0C6BE5CC1AC9}</author>
  </authors>
  <commentList>
    <comment ref="B1" authorId="0" shapeId="0" xr:uid="{6104EF6B-4AD2-4EFC-9D5F-F38E0DFD3FAE}">
      <text>
        <r>
          <rPr>
            <b/>
            <sz val="9"/>
            <color indexed="81"/>
            <rFont val="Tahoma"/>
            <family val="2"/>
          </rPr>
          <t>Jonathan Wilken:</t>
        </r>
        <r>
          <rPr>
            <sz val="9"/>
            <color indexed="81"/>
            <rFont val="Tahoma"/>
            <family val="2"/>
          </rPr>
          <t xml:space="preserve">
Page.Column.line range of autograph reading</t>
        </r>
      </text>
    </comment>
    <comment ref="C1" authorId="0" shapeId="0" xr:uid="{D83461E1-D0BC-4AE8-9AF1-D6EF69CBB4B7}">
      <text>
        <r>
          <rPr>
            <b/>
            <sz val="9"/>
            <color indexed="81"/>
            <rFont val="Tahoma"/>
            <family val="2"/>
          </rPr>
          <t>Jonathan Wilken:</t>
        </r>
        <r>
          <rPr>
            <sz val="9"/>
            <color indexed="81"/>
            <rFont val="Tahoma"/>
            <family val="2"/>
          </rPr>
          <t xml:space="preserve">
Page.Column.line range of apograph reading</t>
        </r>
      </text>
    </comment>
    <comment ref="D1" authorId="0" shapeId="0" xr:uid="{27AADEAB-46D2-4816-AF18-0C5D0FC5EAE7}">
      <text>
        <r>
          <rPr>
            <b/>
            <sz val="9"/>
            <color indexed="81"/>
            <rFont val="Tahoma"/>
            <family val="2"/>
          </rPr>
          <t>Jonathan Wilken:</t>
        </r>
        <r>
          <rPr>
            <sz val="9"/>
            <color indexed="81"/>
            <rFont val="Tahoma"/>
            <family val="2"/>
          </rPr>
          <t xml:space="preserve">
Reading from autograph (i.e., the older MS that was copied)</t>
        </r>
      </text>
    </comment>
    <comment ref="E1" authorId="0" shapeId="0" xr:uid="{474F1E89-E526-4C93-B50F-8EEB5BC34E91}">
      <text>
        <r>
          <rPr>
            <b/>
            <sz val="9"/>
            <color indexed="81"/>
            <rFont val="Tahoma"/>
            <family val="2"/>
          </rPr>
          <t>Jonathan Wilken:</t>
        </r>
        <r>
          <rPr>
            <sz val="9"/>
            <color indexed="81"/>
            <rFont val="Tahoma"/>
            <family val="2"/>
          </rPr>
          <t xml:space="preserve">
Reading from apograph (i.e., younger copy)</t>
        </r>
      </text>
    </comment>
    <comment ref="F1" authorId="0" shapeId="0" xr:uid="{ED2FCDE9-AC17-477A-BB5D-AAE9D19109FA}">
      <text>
        <r>
          <rPr>
            <b/>
            <sz val="9"/>
            <color indexed="81"/>
            <rFont val="Tahoma"/>
            <family val="2"/>
          </rPr>
          <t>Jonathan Wilken:</t>
        </r>
        <r>
          <rPr>
            <sz val="9"/>
            <color indexed="81"/>
            <rFont val="Tahoma"/>
            <family val="2"/>
          </rPr>
          <t xml:space="preserve">
Potential reasons why this reading should not be included in data analysis</t>
        </r>
      </text>
    </comment>
    <comment ref="G1" authorId="0" shapeId="0" xr:uid="{F1BE123A-DC51-4109-A4E6-38D076C626B5}">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H1" authorId="0" shapeId="0" xr:uid="{F60858E4-F428-41CC-B7F7-D25463D36FB0}">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J1" authorId="0" shapeId="0" xr:uid="{CFBE01EF-24B6-4A66-9DF4-375FC8242380}">
      <text>
        <r>
          <rPr>
            <b/>
            <sz val="9"/>
            <color indexed="81"/>
            <rFont val="Tahoma"/>
            <family val="2"/>
          </rPr>
          <t>Jonathan Wilken:</t>
        </r>
        <r>
          <rPr>
            <sz val="9"/>
            <color indexed="81"/>
            <rFont val="Tahoma"/>
            <family val="2"/>
          </rPr>
          <t xml:space="preserve">
Add, omit, transposition, substitution, combo</t>
        </r>
      </text>
    </comment>
    <comment ref="K1" authorId="0" shapeId="0" xr:uid="{E24FD131-D76B-466A-8874-841941CADBEF}">
      <text>
        <r>
          <rPr>
            <b/>
            <sz val="9"/>
            <color indexed="81"/>
            <rFont val="Tahoma"/>
            <family val="2"/>
          </rPr>
          <t>Jonathan Wilken:</t>
        </r>
        <r>
          <rPr>
            <sz val="9"/>
            <color indexed="81"/>
            <rFont val="Tahoma"/>
            <family val="2"/>
          </rPr>
          <t xml:space="preserve">
For add/omits. Should only be used if complete phrases &gt;= 1. Set to 0 for &lt; 1.
</t>
        </r>
      </text>
    </comment>
    <comment ref="L1" authorId="0" shapeId="0" xr:uid="{F2895D40-B2BE-452E-823E-503F9FF3A11D}">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M1" authorId="0" shapeId="0" xr:uid="{31893B3B-B352-492F-9209-78D2A2DAFF44}">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N1" authorId="0" shapeId="0" xr:uid="{8589E8C3-E5EB-48DB-BFE6-BE3A6ECAB854}">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O1" authorId="0" shapeId="0" xr:uid="{06F2B24F-F6F0-4FD8-9A43-53EDCBAC622B}">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P1" authorId="0" shapeId="0" xr:uid="{BB2C7F10-89A9-4A44-8CA6-A0E0AB0741DD}">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Q1" authorId="0" shapeId="0" xr:uid="{B1BDE666-0C1F-4970-AD42-B5660CF38196}">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R1" authorId="0" shapeId="0" xr:uid="{C6B7B373-E38E-41C8-AD9F-C8F5486B2A36}">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S1" authorId="0" shapeId="0" xr:uid="{F4CBD1E7-A26B-48CD-9AFC-1B4481FC71B0}">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T1" authorId="0" shapeId="0" xr:uid="{0A50DBE9-DC9A-4281-8E70-BCC99C8C527A}">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U1" authorId="1" shapeId="0" xr:uid="{A583AA6A-921A-4652-A75F-52BF1C7A80F4}">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V1" authorId="2" shapeId="0" xr:uid="{7132590E-CF94-437D-BF1C-0C6BE5CC1AC9}">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Y1" authorId="0" shapeId="0" xr:uid="{00B91FB4-AA25-4FD0-8F8D-86ACBF251DD2}">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A2C2050D-38D4-49C7-AAD9-98C4713F6894}">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AFDE9939-D6FA-4FE3-A207-DCB1206BF99F}">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4853ADC9-3B3C-47C5-9FEA-A61A30B4A8FA}">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640CF7AA-79EE-4810-A7CE-1D891ABE3E18}">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FD0854F2-A059-4740-9F17-06B52568F321}">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A4A09671-B847-4389-9F90-F44D56FAD587}">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Jonathan Wilken</author>
    <author>tc={598D0D53-13BE-4122-82DE-8C75A47DDF5F}</author>
    <author>tc={8B22FD64-2CD5-4803-A814-2C105B0C5C8F}</author>
  </authors>
  <commentList>
    <comment ref="B1" authorId="0" shapeId="0" xr:uid="{F7FA57D7-FE3B-46ED-A37F-947419E47935}">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1D43BF0A-AB49-4A7D-A60E-58D986ED0288}">
      <text>
        <r>
          <rPr>
            <b/>
            <sz val="9"/>
            <color indexed="81"/>
            <rFont val="Tahoma"/>
            <family val="2"/>
          </rPr>
          <t>Jonathan Wilken:</t>
        </r>
        <r>
          <rPr>
            <sz val="9"/>
            <color indexed="81"/>
            <rFont val="Tahoma"/>
            <family val="2"/>
          </rPr>
          <t xml:space="preserve">
Reading from apograph (i.e., younger copy)</t>
        </r>
      </text>
    </comment>
    <comment ref="D1" authorId="0" shapeId="0" xr:uid="{7FA137DE-EDCB-45E6-BC28-03470A0BE5BD}">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B99203B0-6197-4A9E-8046-A8A83E166734}">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2A9AC939-2572-4C0F-B9C7-ABAD7B080D4B}">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EE60ACA1-8B37-4F03-9009-32634078B373}">
      <text>
        <r>
          <rPr>
            <b/>
            <sz val="9"/>
            <color indexed="81"/>
            <rFont val="Tahoma"/>
            <family val="2"/>
          </rPr>
          <t>Jonathan Wilken:</t>
        </r>
        <r>
          <rPr>
            <sz val="9"/>
            <color indexed="81"/>
            <rFont val="Tahoma"/>
            <family val="2"/>
          </rPr>
          <t xml:space="preserve">
Add, omit, transposition, substitution, combo</t>
        </r>
      </text>
    </comment>
    <comment ref="H1" authorId="0" shapeId="0" xr:uid="{160DA617-70C2-4A81-B03D-7A694151E843}">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9B8703FB-EBAB-43B8-B676-4D090E271F87}">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402A4940-82D2-451C-8172-837E4D0A5FEA}">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C2224DF0-B026-4E62-AE23-C3D795300965}">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9823BDF8-CAEF-4855-A377-33079E2412D7}">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B474DE60-662F-4E0C-8317-52866E3F6F16}">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113A42EF-7020-4E63-B89C-EC36364E256D}">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8C4D8E5E-C094-4607-AF3F-FE54D1308EDC}">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D92F8BF3-EBCE-4AE1-8CBD-866EAF050D8B}">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E9AE491E-E22A-434B-913C-9D439C6B512F}">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598D0D53-13BE-4122-82DE-8C75A47DDF5F}">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8B22FD64-2CD5-4803-A814-2C105B0C5C8F}">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V1" authorId="0" shapeId="0" xr:uid="{13BB4F23-E7C8-42BC-B694-6B02210EC44A}">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W1" authorId="0" shapeId="0" xr:uid="{92C8D259-5C8D-40F8-B4FA-8F8BEEA7A015}">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0" shapeId="0" xr:uid="{1B3870E2-5A53-48E3-AB93-B275B8ABDCD7}">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88DC3FF3-63A7-43FD-B63E-75113689BFC0}">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DF08CEEB-E56B-4FC8-B8F3-54332C0FEC25}">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3EAC8E75-D6E8-4852-9C7A-3CCD3BD7B3E4}">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E5ACCE97-17E7-4605-8D79-2C5C2FE1A36A}">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Jonathan Wilken</author>
    <author>tc={D3E1503E-ADBC-4901-9CB8-381D4D4972F5}</author>
    <author>tc={87ED9665-BC39-4A35-8052-63185454DE40}</author>
    <author>tc={CAC986C3-627C-49E5-BD61-8C23B48414F7}</author>
    <author>tc={E1CF37CC-2296-4744-BD75-A9DC9E9E43ED}</author>
    <author>tc={274ECC98-4F63-4ACA-9230-8E28CD046088}</author>
    <author>tc={EBDEF904-8C3F-4F0C-B849-17AAF95A02AC}</author>
    <author>tc={6445E331-8537-4664-881E-30CB6814AE82}</author>
    <author>tc={BDBDD0D7-A8BB-43D2-8F64-9BAED6B4662F}</author>
    <author>tc={156C5498-9434-4C58-8B08-E23339B1F693}</author>
    <author>tc={947B5530-17C7-426F-90C7-956BD178CF85}</author>
    <author>tc={760A03EA-59D3-4D61-8E5C-761EC28A7CE5}</author>
    <author>tc={E9CECDCC-BE71-4DB9-BC6B-AFE76C70F0D9}</author>
    <author>tc={AAC78893-3907-4B4C-8001-8DFE279797E8}</author>
    <author>tc={9E1C9C85-CE38-41FA-9E7E-66C9CE7D2D7B}</author>
    <author>tc={D60A5237-A586-4DD2-A8C9-43C2D538F938}</author>
    <author>tc={2E2E06E3-F17D-45D5-A8F1-043AEC20C753}</author>
    <author>tc={98E28E1E-00CD-4499-BE87-B3700A0AB4CE}</author>
    <author>tc={E82BCE92-A9EC-4E7E-A5AC-E9F3D39997D5}</author>
    <author>tc={286BD359-AFF3-4611-B830-54CE0746A6A6}</author>
    <author>tc={6BF7603F-DBC9-4AE6-934D-80EECB22C08D}</author>
    <author>tc={AC9D3A3D-914D-4763-89A6-30FFE2FFA21D}</author>
    <author>tc={8529FA63-0B4C-4CF9-A135-8002F11C2ACD}</author>
    <author>tc={6E70B7A2-43BA-46DE-B423-491AF7E7DEC9}</author>
    <author>tc={4F520C2B-9CAC-41CD-AD19-0D0BEAD0F385}</author>
    <author>tc={63BC9B8E-AF8E-450A-B02E-B997D5553F55}</author>
    <author>tc={31FFF960-3825-412C-A0DE-EE47ABA5B7AD}</author>
    <author>tc={B0906B63-F2CB-4EE9-A704-6D9062B67867}</author>
    <author>tc={C5BFCCC8-66FA-4654-9E6C-1C7831450F0E}</author>
    <author>tc={31171C70-41C6-4AA0-AD17-0BFE891EBB61}</author>
    <author>tc={82CECB98-648E-476F-ADD2-1E77A3D76E96}</author>
    <author>tc={49BCE14D-D6BE-4182-962C-B84E3CC04745}</author>
    <author>tc={175326B0-1193-423A-9612-98020A1DD49D}</author>
    <author>tc={E7D56452-938F-4632-92F4-E7E1CE51BCC7}</author>
    <author>tc={255AD107-4D42-47D7-9395-B5F86602B142}</author>
    <author>tc={AC5F783A-A839-40B6-8143-3293754F75BD}</author>
    <author>tc={6569596A-17D2-4EEA-A694-92FB2F660EE2}</author>
    <author>tc={2532E08F-483D-4DFC-B99D-E9DFC4D8EE08}</author>
    <author>tc={D2C035B2-0112-4CDA-BF1E-D15372F4CF96}</author>
    <author>tc={BBF8417C-C923-44EA-81EB-5E8C376220F1}</author>
    <author>tc={F96B1C75-B660-4C3B-8E27-B5FBEF02299B}</author>
    <author>tc={9E0E26B9-D03F-463E-804F-9E46E9F3E90C}</author>
    <author>tc={99838849-BD78-4D8F-B229-539DEEA50A25}</author>
    <author>tc={2AB67418-3983-471A-8003-5F828A891C2C}</author>
    <author>tc={9FCE1792-06CF-4310-8449-AFA27EA261B2}</author>
    <author>tc={ED9605C8-002C-4A2D-B6F2-6AC07CC9632F}</author>
  </authors>
  <commentList>
    <comment ref="B1" authorId="0" shapeId="0" xr:uid="{A2A0EB7C-D207-4B37-9A98-8973D6CBFBEF}">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1500DDBC-6984-4635-A5FB-67999EFD88EA}">
      <text>
        <r>
          <rPr>
            <b/>
            <sz val="9"/>
            <color indexed="81"/>
            <rFont val="Tahoma"/>
            <family val="2"/>
          </rPr>
          <t>Jonathan Wilken:</t>
        </r>
        <r>
          <rPr>
            <sz val="9"/>
            <color indexed="81"/>
            <rFont val="Tahoma"/>
            <family val="2"/>
          </rPr>
          <t xml:space="preserve">
Reading from apograph (i.e., younger copy)</t>
        </r>
      </text>
    </comment>
    <comment ref="D1" authorId="0" shapeId="0" xr:uid="{A56CF9C5-F798-4EAE-B12B-AFA934258308}">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9A766652-2ABC-4772-945F-A271F0439B1B}">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42DB2D08-56DD-4DD6-A72C-BC405C7573DC}">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DB8FB9CC-42EA-42CA-ADFA-4079CDE5023B}">
      <text>
        <r>
          <rPr>
            <b/>
            <sz val="9"/>
            <color indexed="81"/>
            <rFont val="Tahoma"/>
            <family val="2"/>
          </rPr>
          <t>Jonathan Wilken:</t>
        </r>
        <r>
          <rPr>
            <sz val="9"/>
            <color indexed="81"/>
            <rFont val="Tahoma"/>
            <family val="2"/>
          </rPr>
          <t xml:space="preserve">
Add, omit, transposition, substitution, combo</t>
        </r>
      </text>
    </comment>
    <comment ref="H1" authorId="0" shapeId="0" xr:uid="{30E4056B-4C70-4071-B85B-D7BAFDFAB92D}">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CB92AF2E-C6FD-48C4-9C94-96F9202AAEFE}">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ECBA9D1C-C86F-408A-8802-DC99BD4F13E5}">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99A64C86-D21D-4585-B004-6DEA1D1ADC1D}">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00ABC3EE-00D3-4D4F-AACC-87AB16340B87}">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34B4651E-8697-4EEC-8EF4-2CD10362221F}">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6271FD25-CE23-467E-8C21-BBD5F7662DE9}">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FDA1120A-F152-480D-BD62-4930391639B5}">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00E9072B-BA9A-4BC3-B282-320121CC1717}">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D3E1503E-ADBC-4901-9CB8-381D4D4972F5}">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B61385F4-11CF-4F90-B073-67F7975C3A29}">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87ED9665-BC39-4A35-8052-63185454DE40}">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CAC986C3-627C-49E5-BD61-8C23B48414F7}">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7C542DD3-5EFA-40EC-94FF-51C422FACE0F}">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5525277E-CA0C-4B0B-A6E3-0DE90F794E9F}">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D57B3E4D-6E48-46D1-A265-757BBB352C07}">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9ECCF5B8-B68B-421C-BD9B-98124EDE4C87}">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AFB2E861-EAEA-4FF3-A7F1-87EB3C63C465}">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D5AB10E6-D12A-443B-83CB-A588A901E86B}">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6C64B57B-B4DC-4F2B-AADA-0A4F3B3DBD10}">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F254" authorId="4" shapeId="0" xr:uid="{E1CF37CC-2296-4744-BD75-A9DC9E9E43ED}">
      <text>
        <t>[Threaded comment]
Your version of Excel allows you to read this threaded comment; however, any edits to it will get removed if the file is opened in a newer version of Excel. Learn more: https://go.microsoft.com/fwlink/?linkid=870924
Comment:
    Raw number of additions</t>
      </text>
    </comment>
    <comment ref="B255" authorId="5" shapeId="0" xr:uid="{274ECC98-4F63-4ACA-9230-8E28CD046088}">
      <text>
        <t>[Threaded comment]
Your version of Excel allows you to read this threaded comment; however, any edits to it will get removed if the file is opened in a newer version of Excel. Learn more: https://go.microsoft.com/fwlink/?linkid=870924
Comment:
    "Low Meaning" words</t>
      </text>
    </comment>
    <comment ref="C255" authorId="6" shapeId="0" xr:uid="{EBDEF904-8C3F-4F0C-B849-17AAF95A02AC}">
      <text>
        <t>[Threaded comment]
Your version of Excel allows you to read this threaded comment; however, any edits to it will get removed if the file is opened in a newer version of Excel. Learn more: https://go.microsoft.com/fwlink/?linkid=870924
Comment:
    "High Meaning" words</t>
      </text>
    </comment>
    <comment ref="F255" authorId="7" shapeId="0" xr:uid="{6445E331-8537-4664-881E-30CB6814AE82}">
      <text>
        <t>[Threaded comment]
Your version of Excel allows you to read this threaded comment; however, any edits to it will get removed if the file is opened in a newer version of Excel. Learn more: https://go.microsoft.com/fwlink/?linkid=870924
Comment:
    Raw number of omissions</t>
      </text>
    </comment>
    <comment ref="F256" authorId="8" shapeId="0" xr:uid="{BDBDD0D7-A8BB-43D2-8F64-9BAED6B4662F}">
      <text>
        <t>[Threaded comment]
Your version of Excel allows you to read this threaded comment; however, any edits to it will get removed if the file is opened in a newer version of Excel. Learn more: https://go.microsoft.com/fwlink/?linkid=870924
Comment:
    % of add-omits that are additions</t>
      </text>
    </comment>
    <comment ref="F259" authorId="9" shapeId="0" xr:uid="{156C5498-9434-4C58-8B08-E23339B1F693}">
      <text>
        <t>[Threaded comment]
Your version of Excel allows you to read this threaded comment; however, any edits to it will get removed if the file is opened in a newer version of Excel. Learn more: https://go.microsoft.com/fwlink/?linkid=870924
Comment:
    Raw number of additions of "low meaning" words. See LM column for included word types (and adjust equation as necessary)</t>
      </text>
    </comment>
    <comment ref="F260" authorId="10" shapeId="0" xr:uid="{947B5530-17C7-426F-90C7-956BD178CF85}">
      <text>
        <t>[Threaded comment]
Your version of Excel allows you to read this threaded comment; however, any edits to it will get removed if the file is opened in a newer version of Excel. Learn more: https://go.microsoft.com/fwlink/?linkid=870924
Comment:
    Raw number of omissions of "low meaning" words. See LM column for included word types (and adjust equation as necessary)</t>
      </text>
    </comment>
    <comment ref="F261" authorId="11" shapeId="0" xr:uid="{760A03EA-59D3-4D61-8E5C-761EC28A7CE5}">
      <text>
        <t>[Threaded comment]
Your version of Excel allows you to read this threaded comment; however, any edits to it will get removed if the file is opened in a newer version of Excel. Learn more: https://go.microsoft.com/fwlink/?linkid=870924
Comment:
    Addition rate for "low meaning" words. See LM column for included word types (and adjust equation as necessary)</t>
      </text>
    </comment>
    <comment ref="F264" authorId="12" shapeId="0" xr:uid="{E9CECDCC-BE71-4DB9-BC6B-AFE76C70F0D9}">
      <text>
        <t>[Threaded comment]
Your version of Excel allows you to read this threaded comment; however, any edits to it will get removed if the file is opened in a newer version of Excel. Learn more: https://go.microsoft.com/fwlink/?linkid=870924
Comment:
    Raw number of additions of "high meaning" words. See HM column for included word types (and adjust equation as necessary)</t>
      </text>
    </comment>
    <comment ref="F265" authorId="13" shapeId="0" xr:uid="{AAC78893-3907-4B4C-8001-8DFE279797E8}">
      <text>
        <t>[Threaded comment]
Your version of Excel allows you to read this threaded comment; however, any edits to it will get removed if the file is opened in a newer version of Excel. Learn more: https://go.microsoft.com/fwlink/?linkid=870924
Comment:
    Raw number of omissions of "high meaning" words. See HM column for included word types (and adjust equation as necessary)</t>
      </text>
    </comment>
    <comment ref="F266" authorId="14" shapeId="0" xr:uid="{9E1C9C85-CE38-41FA-9E7E-66C9CE7D2D7B}">
      <text>
        <t>[Threaded comment]
Your version of Excel allows you to read this threaded comment; however, any edits to it will get removed if the file is opened in a newer version of Excel. Learn more: https://go.microsoft.com/fwlink/?linkid=870924
Comment:
    Addition rate for "high meaning" words. See HM column for included word types (and adjust equation as necessary)</t>
      </text>
    </comment>
    <comment ref="D272" authorId="15" shapeId="0" xr:uid="{D60A5237-A586-4DD2-A8C9-43C2D538F938}">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272" authorId="16" shapeId="0" xr:uid="{2E2E06E3-F17D-45D5-A8F1-043AEC20C753}">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F272" authorId="17" shapeId="0" xr:uid="{98E28E1E-00CD-4499-BE87-B3700A0AB4CE}">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additions. I.e., a percent frequency indicating how often an addition generates visual cues</t>
      </text>
    </comment>
    <comment ref="D273" authorId="18" shapeId="0" xr:uid="{E82BCE92-A9EC-4E7E-A5AC-E9F3D39997D5}">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E273" authorId="19" shapeId="0" xr:uid="{286BD359-AFF3-4611-B830-54CE0746A6A6}">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F273" authorId="20" shapeId="0" xr:uid="{6BF7603F-DBC9-4AE6-934D-80EECB22C08D}">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omissions. I.e., the percentage of omissions that could plausibly be due to visual cues</t>
      </text>
    </comment>
    <comment ref="D274" authorId="21" shapeId="0" xr:uid="{AC9D3A3D-914D-4763-89A6-30FFE2FFA21D}">
      <text>
        <t>[Threaded comment]
Your version of Excel allows you to read this threaded comment; however, any edits to it will get removed if the file is opened in a newer version of Excel. Learn more: https://go.microsoft.com/fwlink/?linkid=870924
Comment:
    The total number of add-omits that involve visual cues</t>
      </text>
    </comment>
    <comment ref="E274" authorId="22" shapeId="0" xr:uid="{8529FA63-0B4C-4CF9-A135-8002F11C2ACD}">
      <text>
        <t>[Threaded comment]
Your version of Excel allows you to read this threaded comment; however, any edits to it will get removed if the file is opened in a newer version of Excel. Learn more: https://go.microsoft.com/fwlink/?linkid=870924
Comment:
    The total number of add-omits that involve NO visual cues (given the definition of this project, i.e., 3-character minimum similarity in critical regions)</t>
      </text>
    </comment>
    <comment ref="F274" authorId="23" shapeId="0" xr:uid="{6E70B7A2-43BA-46DE-B423-491AF7E7DEC9}">
      <text>
        <t>[Threaded comment]
Your version of Excel allows you to read this threaded comment; however, any edits to it will get removed if the file is opened in a newer version of Excel. Learn more: https://go.microsoft.com/fwlink/?linkid=870924
Comment:
    The percentage of all add-omits that involve visual cues</t>
      </text>
    </comment>
    <comment ref="D278" authorId="24" shapeId="0" xr:uid="{4F520C2B-9CAC-41CD-AD19-0D0BEAD0F385}">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E278" authorId="25" shapeId="0" xr:uid="{63BC9B8E-AF8E-450A-B02E-B997D5553F55}">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D279" authorId="26" shapeId="0" xr:uid="{31FFF960-3825-412C-A0DE-EE47ABA5B7AD}">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279" authorId="27" shapeId="0" xr:uid="{B0906B63-F2CB-4EE9-A704-6D9062B67867}">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D284" authorId="28" shapeId="0" xr:uid="{C5BFCCC8-66FA-4654-9E6C-1C7831450F0E}">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additions. I.e., the number of additions that do not result in dittography</t>
      </text>
    </comment>
    <comment ref="E284" authorId="29" shapeId="0" xr:uid="{31171C70-41C6-4AA0-AD17-0BFE891EBB61}">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omissions. I.e., the number of omissions that did not undo a dittographic reading</t>
      </text>
    </comment>
    <comment ref="D285" authorId="30" shapeId="0" xr:uid="{82CECB98-648E-476F-ADD2-1E77A3D76E96}">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additions. I.e., the number of additions that result in dittography</t>
      </text>
    </comment>
    <comment ref="E285" authorId="31" shapeId="0" xr:uid="{49BCE14D-D6BE-4182-962C-B84E3CC04745}">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omissions. I.e., the number omissions where the omitted word(s) is/are dittographies</t>
      </text>
    </comment>
    <comment ref="D290" authorId="32" shapeId="0" xr:uid="{175326B0-1193-423A-9612-98020A1DD49D}">
      <text>
        <t>[Threaded comment]
Your version of Excel allows you to read this threaded comment; however, any edits to it will get removed if the file is opened in a newer version of Excel. Learn more: https://go.microsoft.com/fwlink/?linkid=870924
Comment:
    Additions of one word</t>
      </text>
    </comment>
    <comment ref="E290" authorId="33" shapeId="0" xr:uid="{E7D56452-938F-4632-92F4-E7E1CE51BCC7}">
      <text>
        <t>[Threaded comment]
Your version of Excel allows you to read this threaded comment; however, any edits to it will get removed if the file is opened in a newer version of Excel. Learn more: https://go.microsoft.com/fwlink/?linkid=870924
Comment:
    Omissions of one word</t>
      </text>
    </comment>
    <comment ref="F290" authorId="34" shapeId="0" xr:uid="{255AD107-4D42-47D7-9395-B5F86602B142}">
      <text>
        <t>[Threaded comment]
Your version of Excel allows you to read this threaded comment; however, any edits to it will get removed if the file is opened in a newer version of Excel. Learn more: https://go.microsoft.com/fwlink/?linkid=870924
Comment:
    Add ratio for single-word variants</t>
      </text>
    </comment>
    <comment ref="D291" authorId="35" shapeId="0" xr:uid="{AC5F783A-A839-40B6-8143-3293754F75BD}">
      <text>
        <t>[Threaded comment]
Your version of Excel allows you to read this threaded comment; however, any edits to it will get removed if the file is opened in a newer version of Excel. Learn more: https://go.microsoft.com/fwlink/?linkid=870924
Comment:
    Additions of 2-3 words</t>
      </text>
    </comment>
    <comment ref="E291" authorId="36" shapeId="0" xr:uid="{6569596A-17D2-4EEA-A694-92FB2F660EE2}">
      <text>
        <t>[Threaded comment]
Your version of Excel allows you to read this threaded comment; however, any edits to it will get removed if the file is opened in a newer version of Excel. Learn more: https://go.microsoft.com/fwlink/?linkid=870924
Comment:
    Omissions of 2-3 words</t>
      </text>
    </comment>
    <comment ref="F291" authorId="37" shapeId="0" xr:uid="{2532E08F-483D-4DFC-B99D-E9DFC4D8EE08}">
      <text>
        <t>[Threaded comment]
Your version of Excel allows you to read this threaded comment; however, any edits to it will get removed if the file is opened in a newer version of Excel. Learn more: https://go.microsoft.com/fwlink/?linkid=870924
Comment:
    Add ratio for variants of 2-3 words</t>
      </text>
    </comment>
    <comment ref="D292" authorId="38" shapeId="0" xr:uid="{D2C035B2-0112-4CDA-BF1E-D15372F4CF96}">
      <text>
        <t>[Threaded comment]
Your version of Excel allows you to read this threaded comment; however, any edits to it will get removed if the file is opened in a newer version of Excel. Learn more: https://go.microsoft.com/fwlink/?linkid=870924
Comment:
    Additions of 4 or more words</t>
      </text>
    </comment>
    <comment ref="E292" authorId="39" shapeId="0" xr:uid="{BBF8417C-C923-44EA-81EB-5E8C376220F1}">
      <text>
        <t>[Threaded comment]
Your version of Excel allows you to read this threaded comment; however, any edits to it will get removed if the file is opened in a newer version of Excel. Learn more: https://go.microsoft.com/fwlink/?linkid=870924
Comment:
    Omissions of 4 or more words</t>
      </text>
    </comment>
    <comment ref="F292" authorId="40" shapeId="0" xr:uid="{F96B1C75-B660-4C3B-8E27-B5FBEF02299B}">
      <text>
        <t>[Threaded comment]
Your version of Excel allows you to read this threaded comment; however, any edits to it will get removed if the file is opened in a newer version of Excel. Learn more: https://go.microsoft.com/fwlink/?linkid=870924
Comment:
    Add ratio for variants of 4 or more words</t>
      </text>
    </comment>
    <comment ref="C295" authorId="41" shapeId="0" xr:uid="{9E0E26B9-D03F-463E-804F-9E46E9F3E90C}">
      <text>
        <t>[Threaded comment]
Your version of Excel allows you to read this threaded comment; however, any edits to it will get removed if the file is opened in a newer version of Excel. Learn more: https://go.microsoft.com/fwlink/?linkid=870924
Comment:
    Number of words added or omitted</t>
      </text>
    </comment>
    <comment ref="D295" authorId="42" shapeId="0" xr:uid="{99838849-BD78-4D8F-B229-539DEEA50A25}">
      <text>
        <t>[Threaded comment]
Your version of Excel allows you to read this threaded comment; however, any edits to it will get removed if the file is opened in a newer version of Excel. Learn more: https://go.microsoft.com/fwlink/?linkid=870924
Comment:
    Number of additions involving the number of words specified in the "Length" column</t>
      </text>
    </comment>
    <comment ref="E295" authorId="43" shapeId="0" xr:uid="{2AB67418-3983-471A-8003-5F828A891C2C}">
      <text>
        <t>[Threaded comment]
Your version of Excel allows you to read this threaded comment; however, any edits to it will get removed if the file is opened in a newer version of Excel. Learn more: https://go.microsoft.com/fwlink/?linkid=870924
Comment:
    Number of omissions involving the number of words specified in the "Length" column</t>
      </text>
    </comment>
    <comment ref="F295" authorId="44" shapeId="0" xr:uid="{9FCE1792-06CF-4310-8449-AFA27EA261B2}">
      <text>
        <t>[Threaded comment]
Your version of Excel allows you to read this threaded comment; however, any edits to it will get removed if the file is opened in a newer version of Excel. Learn more: https://go.microsoft.com/fwlink/?linkid=870924
Comment:
    The addition rate for add-omits involving the number of words indicated in the "Length" column</t>
      </text>
    </comment>
    <comment ref="E303" authorId="45" shapeId="0" xr:uid="{ED9605C8-002C-4A2D-B6F2-6AC07CC9632F}">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Jonathan Wilken</author>
    <author>tc={9D566A2B-0BD8-406E-AF0B-C943AF05A098}</author>
    <author>tc={F3D91EDD-A582-4F13-8708-2FBD3DAB6951}</author>
    <author>tc={8C71E3F9-B944-465F-9E2A-A49055B06D05}</author>
    <author>tc={C075574F-13D4-4920-8B4E-B2389647F64C}</author>
    <author>tc={AF9D75D1-DF0F-456F-A1CE-0EA1EF1AB36C}</author>
    <author>tc={5B598550-3CDB-4832-BAB4-E0C334E98769}</author>
    <author>tc={E50B0784-6678-40BA-B2F0-AF55A7EB2611}</author>
    <author>tc={E762874E-A76E-437B-9980-9864C27E9E39}</author>
    <author>tc={2B82AFBF-3933-4915-964F-83286F62C491}</author>
    <author>tc={D1C76CCE-E78D-4E0F-B54E-EB239BC0ADCA}</author>
    <author>tc={9CFE53C0-5E38-4803-8118-71160AFB326E}</author>
    <author>tc={447C5C1C-5B1E-4FA4-9016-9F34AF0965BF}</author>
    <author>tc={EE1ECF36-DDB3-4888-AB66-F167C554DE0A}</author>
    <author>tc={FFC5B9B7-8082-4FF1-90DE-1AECBA1EC3F1}</author>
  </authors>
  <commentList>
    <comment ref="B1" authorId="0" shapeId="0" xr:uid="{F9A0BC92-33D6-4343-9044-9C053F7C9E65}">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8D010B45-7231-4F6F-BD0A-BCD5926845FD}">
      <text>
        <r>
          <rPr>
            <b/>
            <sz val="9"/>
            <color indexed="81"/>
            <rFont val="Tahoma"/>
            <family val="2"/>
          </rPr>
          <t>Jonathan Wilken:</t>
        </r>
        <r>
          <rPr>
            <sz val="9"/>
            <color indexed="81"/>
            <rFont val="Tahoma"/>
            <family val="2"/>
          </rPr>
          <t xml:space="preserve">
Reading from apograph (i.e., younger copy)</t>
        </r>
      </text>
    </comment>
    <comment ref="D1" authorId="0" shapeId="0" xr:uid="{A12BE88D-BBBD-42A9-A515-EE95DD46AE0F}">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2365DB14-7676-4FE9-9E61-1C52F94737C4}">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92017A3D-29AE-4112-AC9C-1F6629F151E1}">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B1439447-5280-4DBD-AF3A-84BCF6E6887D}">
      <text>
        <r>
          <rPr>
            <b/>
            <sz val="9"/>
            <color indexed="81"/>
            <rFont val="Tahoma"/>
            <family val="2"/>
          </rPr>
          <t>Jonathan Wilken:</t>
        </r>
        <r>
          <rPr>
            <sz val="9"/>
            <color indexed="81"/>
            <rFont val="Tahoma"/>
            <family val="2"/>
          </rPr>
          <t xml:space="preserve">
Add, omit, transposition, substitution, combo</t>
        </r>
      </text>
    </comment>
    <comment ref="H1" authorId="0" shapeId="0" xr:uid="{2E857EB4-E6D6-4654-91C3-2E8C7EB3E5FE}">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D6E26910-365E-4074-AD1D-0926F5260B38}">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9CE230BA-0026-417C-83DB-EBED75BCE1D0}">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E73B7473-2758-4A4F-A7F4-8A333DF7E862}">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0D19EB65-2828-49CA-92C2-C30BB49488AB}">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6541E2E7-E141-426F-8568-7522E776BE53}">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E201C7A7-97E2-477C-8468-860A28CF455C}">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9A21D066-2B5D-46CE-BFD0-89A7E53036AC}">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01FC1D49-3969-4EB3-ADFE-112F185D4C07}">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9D566A2B-0BD8-406E-AF0B-C943AF05A098}">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42AB7231-37DB-4811-9AE9-E82AD1E61C19}">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F3D91EDD-A582-4F13-8708-2FBD3DAB6951}">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8C71E3F9-B944-465F-9E2A-A49055B06D05}">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B3504319-409D-4721-A899-DA37B22EAD49}">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1D646AE8-85CF-4A3F-B0EC-D667A0E211CF}">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11CDDAE7-2FDD-404D-A113-5D17B0718D8A}">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DF375E69-436C-4DC0-837E-24CDBFB44BEF}">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4BC30EF7-E595-4348-906B-2C21418B9950}">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180B9317-B223-4C86-B579-A905A2A4D4DF}">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1016DCDF-DCF8-4A80-9A4A-9855CABD3D3E}">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204" authorId="4" shapeId="0" xr:uid="{C075574F-13D4-4920-8B4E-B2389647F64C}">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205" authorId="5" shapeId="0" xr:uid="{AF9D75D1-DF0F-456F-A1CE-0EA1EF1AB36C}">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208" authorId="6" shapeId="0" xr:uid="{5B598550-3CDB-4832-BAB4-E0C334E98769}">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209" authorId="7" shapeId="0" xr:uid="{E50B0784-6678-40BA-B2F0-AF55A7EB2611}">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210" authorId="8" shapeId="0" xr:uid="{E762874E-A76E-437B-9980-9864C27E9E39}">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211" authorId="9" shapeId="0" xr:uid="{2B82AFBF-3933-4915-964F-83286F62C491}">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212" authorId="10" shapeId="0" xr:uid="{D1C76CCE-E78D-4E0F-B54E-EB239BC0ADCA}">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213" authorId="11" shapeId="0" xr:uid="{9CFE53C0-5E38-4803-8118-71160AFB326E}">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216" authorId="12" shapeId="0" xr:uid="{447C5C1C-5B1E-4FA4-9016-9F34AF0965BF}">
      <text>
        <t>[Threaded comment]
Your version of Excel allows you to read this threaded comment; however, any edits to it will get removed if the file is opened in a newer version of Excel. Learn more: https://go.microsoft.com/fwlink/?linkid=870924
Comment:
    Articular additions: the number of additions of an article</t>
      </text>
    </comment>
    <comment ref="D217" authorId="13" shapeId="0" xr:uid="{EE1ECF36-DDB3-4888-AB66-F167C554DE0A}">
      <text>
        <t>[Threaded comment]
Your version of Excel allows you to read this threaded comment; however, any edits to it will get removed if the file is opened in a newer version of Excel. Learn more: https://go.microsoft.com/fwlink/?linkid=870924
Comment:
    Articular omissions: the number of omissions of an article</t>
      </text>
    </comment>
    <comment ref="D218" authorId="14" shapeId="0" xr:uid="{FFC5B9B7-8082-4FF1-90DE-1AECBA1EC3F1}">
      <text>
        <t>[Threaded comment]
Your version of Excel allows you to read this threaded comment; however, any edits to it will get removed if the file is opened in a newer version of Excel. Learn more: https://go.microsoft.com/fwlink/?linkid=870924
Comment:
    Articular add ratio: the add ratio for the definite article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Jonathan Wilken</author>
    <author>tc={1BCFE3B0-3463-4B33-8E83-50A53033CB0E}</author>
    <author>tc={C85B4759-FC61-46C6-A38A-1588A81B0FC3}</author>
    <author>tc={0C45252A-6585-4B06-92C6-6B10D3A5A045}</author>
    <author>tc={039AE186-5502-4AC2-9909-15AA586E628A}</author>
    <author>tc={FAECB12A-C32D-4C27-BE60-6DEE3FE12018}</author>
    <author>tc={73546A2C-D974-4AA4-AECA-35E94585CB14}</author>
    <author>tc={55B5A04A-AA50-45DC-A352-BFAAA5962297}</author>
    <author>tc={FD49D114-5E23-4416-AF63-43F7BE7FB00D}</author>
    <author>tc={0A97FDA2-8ED7-4B9A-B031-9E202BF6579B}</author>
    <author>tc={AA90870B-0647-49FF-987A-3AA13A3F01ED}</author>
    <author>tc={80B5B2BF-2059-4C9C-AA54-156E7FE2AC0B}</author>
    <author>tc={D7CD2270-E852-4ECC-8C30-8296B3B85341}</author>
  </authors>
  <commentList>
    <comment ref="B1" authorId="0" shapeId="0" xr:uid="{C5F02859-9E15-4B72-8FE6-D9ECB5CEC13C}">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EFA85EB8-7B4D-44EA-A0E8-06E2F1D0BE1D}">
      <text>
        <r>
          <rPr>
            <b/>
            <sz val="9"/>
            <color indexed="81"/>
            <rFont val="Tahoma"/>
            <family val="2"/>
          </rPr>
          <t>Jonathan Wilken:</t>
        </r>
        <r>
          <rPr>
            <sz val="9"/>
            <color indexed="81"/>
            <rFont val="Tahoma"/>
            <family val="2"/>
          </rPr>
          <t xml:space="preserve">
Reading from apograph (i.e., younger copy)</t>
        </r>
      </text>
    </comment>
    <comment ref="D1" authorId="0" shapeId="0" xr:uid="{8892F21A-B424-479C-9BE1-85666C5A1371}">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74418915-BD91-4CF2-A25D-CA2B504BD860}">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4C199C34-D30C-4735-BE06-0DE6E1EFC80F}">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11074821-211D-4381-929F-6F911010AE38}">
      <text>
        <r>
          <rPr>
            <b/>
            <sz val="9"/>
            <color indexed="81"/>
            <rFont val="Tahoma"/>
            <family val="2"/>
          </rPr>
          <t>Jonathan Wilken:</t>
        </r>
        <r>
          <rPr>
            <sz val="9"/>
            <color indexed="81"/>
            <rFont val="Tahoma"/>
            <family val="2"/>
          </rPr>
          <t xml:space="preserve">
Add, omit, transposition, substitution, combo</t>
        </r>
      </text>
    </comment>
    <comment ref="H1" authorId="0" shapeId="0" xr:uid="{123A2ECB-0924-42B0-BFFD-CBF4AD907B1A}">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8A681C3E-CC71-44C5-BCAE-D9CCF05BB6CC}">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C97CB93A-2224-48EF-9056-2DB2FC953426}">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831FF3C2-6144-4F68-82FA-02C77924618D}">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429817E6-AC45-44AD-994D-0DC07C5E3669}">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EC2A1D3C-9A2C-45AA-8798-AADB0369FABC}">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D0AB0807-1676-4CE9-B8D3-03F3B6113E9F}">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DF3497E9-F56E-4799-8671-4CCA7B29C9A9}">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851F68F4-5FE2-40CD-85C6-3427F055360D}">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1BCFE3B0-3463-4B33-8E83-50A53033CB0E}">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D61FE12E-DB4A-4079-A394-A1A16C5E77DD}">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C85B4759-FC61-46C6-A38A-1588A81B0FC3}">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0C45252A-6585-4B06-92C6-6B10D3A5A045}">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0F7D8BAF-E38D-4A1F-82E2-A89E8552AF6C}">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39814EB3-A7C1-43D4-B491-4C5F94BF7B08}">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5C31C022-6EC0-4147-851D-EF057E3063B3}">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4B568B11-BFEF-426A-B2F6-BA86BC1F68ED}">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65C1AB99-B85B-421F-8F22-97269D9D0EE3}">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0DF483C4-87DE-4256-B70C-2B1681E2B5C3}">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F9DEEA25-2758-4671-92C2-EEF096F3F6CE}">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35" authorId="4" shapeId="0" xr:uid="{039AE186-5502-4AC2-9909-15AA586E628A}">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36" authorId="5" shapeId="0" xr:uid="{FAECB12A-C32D-4C27-BE60-6DEE3FE12018}">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39" authorId="6" shapeId="0" xr:uid="{73546A2C-D974-4AA4-AECA-35E94585CB14}">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40" authorId="7" shapeId="0" xr:uid="{55B5A04A-AA50-45DC-A352-BFAAA5962297}">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41" authorId="8" shapeId="0" xr:uid="{FD49D114-5E23-4416-AF63-43F7BE7FB00D}">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42" authorId="9" shapeId="0" xr:uid="{0A97FDA2-8ED7-4B9A-B031-9E202BF6579B}">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43" authorId="10" shapeId="0" xr:uid="{AA90870B-0647-49FF-987A-3AA13A3F01ED}">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44" authorId="11" shapeId="0" xr:uid="{80B5B2BF-2059-4C9C-AA54-156E7FE2AC0B}">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45" authorId="12" shapeId="0" xr:uid="{D7CD2270-E852-4ECC-8C30-8296B3B85341}">
      <text>
        <t>[Threaded comment]
Your version of Excel allows you to read this threaded comment; however, any edits to it will get removed if the file is opened in a newer version of Excel. Learn more: https://go.microsoft.com/fwlink/?linkid=870924
Comment:
    The difference in add ratio based on word frequency category. If scribes exhibit preference for the familiar, the HF add ratio should usually be higher than the LF add ratio (thus, the Add Ratio Difference should be positive)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Jonathan Wilken</author>
    <author>tc={CF9CE310-E7B5-4B49-B00C-0EB3D6341A71}</author>
    <author>tc={892FD055-AF24-4FF4-AF5A-13DB43824C59}</author>
    <author>tc={F36008B4-DAC9-4519-A318-DF81C3FC0463}</author>
    <author>tc={A93DD08F-1574-46A5-A85C-B3C48E486597}</author>
    <author>tc={3B0F6085-76A4-4C95-90C4-BC98212086F0}</author>
    <author>tc={36BA0441-3F19-4F85-A454-A723D7F82F61}</author>
    <author>tc={5671940A-F041-4B15-863E-1C4D9D39DF2F}</author>
    <author>tc={C7E83EC6-528A-4DB0-965C-EC27DCC72366}</author>
    <author>tc={4CA4E1B8-D912-421B-8F1A-7C6515B4F3B2}</author>
    <author>tc={7C0FF8DD-51AF-410A-80B7-087B22A1739D}</author>
    <author>tc={AADD367B-811D-4874-83EE-1F9DF07F92D1}</author>
    <author>tc={71E54F96-E488-48EB-9521-836BB1D46902}</author>
    <author>tc={5DE9E38A-8C24-44D3-A44B-42D5FC327EFD}</author>
    <author>tc={D783B3F4-32A3-40D2-B7B4-FE83FAF56F24}</author>
    <author>tc={7CBF4AC0-4042-4829-8A52-6F472A00D962}</author>
  </authors>
  <commentList>
    <comment ref="B1" authorId="0" shapeId="0" xr:uid="{05FDD515-BF61-4563-9DED-D8948F22A301}">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C134BF57-8DA8-4A66-AAFB-A0AC4B541D35}">
      <text>
        <r>
          <rPr>
            <b/>
            <sz val="9"/>
            <color indexed="81"/>
            <rFont val="Tahoma"/>
            <family val="2"/>
          </rPr>
          <t>Jonathan Wilken:</t>
        </r>
        <r>
          <rPr>
            <sz val="9"/>
            <color indexed="81"/>
            <rFont val="Tahoma"/>
            <family val="2"/>
          </rPr>
          <t xml:space="preserve">
Reading from apograph (i.e., younger copy)</t>
        </r>
      </text>
    </comment>
    <comment ref="D1" authorId="0" shapeId="0" xr:uid="{A5D9DF6B-855D-4B8C-842E-70B533E143F3}">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E61D79A5-4BF4-47C8-AD8D-57C029074902}">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7DDF4D85-CEC0-44B9-9455-369AC624A76C}">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01D35EB6-54AC-48AC-A54F-CFCD96748F7E}">
      <text>
        <r>
          <rPr>
            <b/>
            <sz val="9"/>
            <color indexed="81"/>
            <rFont val="Tahoma"/>
            <family val="2"/>
          </rPr>
          <t>Jonathan Wilken:</t>
        </r>
        <r>
          <rPr>
            <sz val="9"/>
            <color indexed="81"/>
            <rFont val="Tahoma"/>
            <family val="2"/>
          </rPr>
          <t xml:space="preserve">
Add, omit, transposition, substitution, combo</t>
        </r>
      </text>
    </comment>
    <comment ref="H1" authorId="0" shapeId="0" xr:uid="{C7153B4C-7D03-47C5-9BB9-C6A2BC6B0B1C}">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7C062305-AE7A-43D5-B123-DBBFFB252302}">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4A229052-2B6E-478E-A481-3B0B2083D147}">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412002DF-8799-4C9A-BBE2-2E11650293AD}">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2CE289FC-4550-4024-92FA-18B179B468EB}">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D60C0237-DEE2-45C3-A854-6AC276D34DD3}">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7020A6C8-783A-404B-9D67-136063DD30FE}">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AA9C6582-F50A-4A65-8330-D579D2272108}">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FFEAB214-EE56-477A-8611-77D7D83087D6}">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109F81B3-9069-48DF-BE42-D29E09EFAECD}">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CF9CE310-E7B5-4B49-B00C-0EB3D6341A71}">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892FD055-AF24-4FF4-AF5A-13DB43824C59}">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T1" authorId="3" shapeId="0" xr:uid="{F36008B4-DAC9-4519-A318-DF81C3FC0463}">
      <text>
        <t>[Threaded comment]
Your version of Excel allows you to read this threaded comment; however, any edits to it will get removed if the file is opened in a newer version of Excel. Learn more: https://go.microsoft.com/fwlink/?linkid=870924
Comment:
    Frequency occurrence of autograph reading per 10,000 words of text</t>
      </text>
    </comment>
    <comment ref="U1" authorId="4" shapeId="0" xr:uid="{A93DD08F-1574-46A5-A85C-B3C48E486597}">
      <text>
        <t>[Threaded comment]
Your version of Excel allows you to read this threaded comment; however, any edits to it will get removed if the file is opened in a newer version of Excel. Learn more: https://go.microsoft.com/fwlink/?linkid=870924
Comment:
    Frequency occurrence of apograph reading per 10,000 words of text</t>
      </text>
    </comment>
    <comment ref="V1" authorId="5" shapeId="0" xr:uid="{3B0F6085-76A4-4C95-90C4-BC98212086F0}">
      <text>
        <t>[Threaded comment]
Your version of Excel allows you to read this threaded comment; however, any edits to it will get removed if the file is opened in a newer version of Excel. Learn more: https://go.microsoft.com/fwlink/?linkid=870924
Comment:
    Difference in the P10K frequency of the autograph and apograph readings. Difference = apograph - autograph. Thus, positive values indicate the apograph reading was a more common/frequent word; negative values indicate the apograph reading was a less common/frequent word</t>
      </text>
    </comment>
    <comment ref="Y1" authorId="0" shapeId="0" xr:uid="{FCB4D461-F6F4-4DE7-B78F-7819B3DE26B5}">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BE4C12D7-A2B1-4805-9A28-F5FFDE7DBB24}">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29C9C4BD-2D8C-4BB1-916E-814AE247A3D0}">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043D3CA2-6324-418E-9CA8-D40272D8A81E}">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1051D3C2-2845-48CF-9EB9-7F6B685F7699}">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4B24E7F2-E627-48A2-87B9-F1FB4145EEB4}">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E6752A8B-AC83-447E-9899-C5CB495270CF}">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116" authorId="6" shapeId="0" xr:uid="{36BA0441-3F19-4F85-A454-A723D7F82F61}">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119" authorId="7" shapeId="0" xr:uid="{5671940A-F041-4B15-863E-1C4D9D39DF2F}">
      <text>
        <t>[Threaded comment]
Your version of Excel allows you to read this threaded comment; however, any edits to it will get removed if the file is opened in a newer version of Excel. Learn more: https://go.microsoft.com/fwlink/?linkid=870924
Comment:
    Number of variants where the scribe used a more common/frequent word in place of a less common/frequent word</t>
      </text>
    </comment>
    <comment ref="D120" authorId="8" shapeId="0" xr:uid="{C7E83EC6-528A-4DB0-965C-EC27DCC72366}">
      <text>
        <t>[Threaded comment]
Your version of Excel allows you to read this threaded comment; however, any edits to it will get removed if the file is opened in a newer version of Excel. Learn more: https://go.microsoft.com/fwlink/?linkid=870924
Comment:
    Number of variants where the scribe used a less common/frequent word in place of a more  common/frequent word</t>
      </text>
    </comment>
    <comment ref="D121" authorId="9" shapeId="0" xr:uid="{4CA4E1B8-D912-421B-8F1A-7C6515B4F3B2}">
      <text>
        <t>[Threaded comment]
Your version of Excel allows you to read this threaded comment; however, any edits to it will get removed if the file is opened in a newer version of Excel. Learn more: https://go.microsoft.com/fwlink/?linkid=870924
Comment:
    Probability based on 2-tailed sign test: probability of obtaining a result as extreme as or more extreme than that shown above</t>
      </text>
    </comment>
    <comment ref="D123" authorId="10" shapeId="0" xr:uid="{7C0FF8DD-51AF-410A-80B7-087B22A1739D}">
      <text>
        <t>[Threaded comment]
Your version of Excel allows you to read this threaded comment; however, any edits to it will get removed if the file is opened in a newer version of Excel. Learn more: https://go.microsoft.com/fwlink/?linkid=870924
Comment:
    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
      </text>
    </comment>
    <comment ref="D124" authorId="11" shapeId="0" xr:uid="{AADD367B-811D-4874-83EE-1F9DF07F92D1}">
      <text>
        <t>[Threaded comment]
Your version of Excel allows you to read this threaded comment; however, any edits to it will get removed if the file is opened in a newer version of Excel. Learn more: https://go.microsoft.com/fwlink/?linkid=870924
Comment:
    Standard deviation of the word frequency difference for substitutions</t>
      </text>
    </comment>
    <comment ref="D127" authorId="12" shapeId="0" xr:uid="{71E54F96-E488-48EB-9521-836BB1D46902}">
      <text>
        <t>[Threaded comment]
Your version of Excel allows you to read this threaded comment; however, any edits to it will get removed if the file is opened in a newer version of Excel. Learn more: https://go.microsoft.com/fwlink/?linkid=870924
Comment:
    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
      </text>
    </comment>
    <comment ref="D128" authorId="13" shapeId="0" xr:uid="{5DE9E38A-8C24-44D3-A44B-42D5FC327EFD}">
      <text>
        <t>[Threaded comment]
Your version of Excel allows you to read this threaded comment; however, any edits to it will get removed if the file is opened in a newer version of Excel. Learn more: https://go.microsoft.com/fwlink/?linkid=870924
Comment:
    Standard deviation of the change in word frequency, using the frequency measure of "occurrences per 10,000 words"</t>
      </text>
    </comment>
    <comment ref="D131" authorId="14" shapeId="0" xr:uid="{D783B3F4-32A3-40D2-B7B4-FE83FAF56F24}">
      <text>
        <t>[Threaded comment]
Your version of Excel allows you to read this threaded comment; however, any edits to it will get removed if the file is opened in a newer version of Excel. Learn more: https://go.microsoft.com/fwlink/?linkid=870924
Comment:
    Total number of substitutions for which a word frequency difference could be calculated</t>
      </text>
    </comment>
    <comment ref="D132" authorId="15" shapeId="0" xr:uid="{7CBF4AC0-4042-4829-8A52-6F472A00D962}">
      <text>
        <t>[Threaded comment]
Your version of Excel allows you to read this threaded comment; however, any edits to it will get removed if the file is opened in a newer version of Excel. Learn more: https://go.microsoft.com/fwlink/?linkid=870924
Comment:
    The standard deviation of word frequency difference scores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Jonathan Wilken</author>
    <author>tc={AF4A5150-98B4-4241-95F5-C5C8647660B6}</author>
    <author>tc={CBADACD3-A6DF-421F-A0A4-8AE865CB1322}</author>
    <author>tc={165C40B7-7765-4BC0-8D9F-1874343A21BB}</author>
    <author>tc={6F38C9A5-4C6D-4707-B048-137C7E97184D}</author>
    <author>tc={30765D00-D267-4415-918A-7064CB9C7C10}</author>
    <author>tc={54E4D458-DBED-452B-A2E6-FA53374C80B1}</author>
    <author>tc={EC1F844E-7930-4165-8E68-84AF73B620E8}</author>
    <author>tc={136A4E94-6FDE-45EB-AE42-B103912952F5}</author>
    <author>tc={19D88EF5-697C-4ACC-8985-C3E7EC269A41}</author>
    <author>tc={E0905479-53EB-4D70-9255-5AF20124A984}</author>
    <author>tc={6D5296EC-B4E2-439C-9A68-1C52E80DC664}</author>
    <author>tc={7EAE4407-FF8F-47B8-A0FF-657935564672}</author>
  </authors>
  <commentList>
    <comment ref="B1" authorId="0" shapeId="0" xr:uid="{5F449AFF-D106-4FD9-BAA7-CFFD333F6313}">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49B2F558-83F5-4227-833E-2FCBBA8D236D}">
      <text>
        <r>
          <rPr>
            <b/>
            <sz val="9"/>
            <color indexed="81"/>
            <rFont val="Tahoma"/>
            <family val="2"/>
          </rPr>
          <t>Jonathan Wilken:</t>
        </r>
        <r>
          <rPr>
            <sz val="9"/>
            <color indexed="81"/>
            <rFont val="Tahoma"/>
            <family val="2"/>
          </rPr>
          <t xml:space="preserve">
Reading from apograph (i.e., younger copy)</t>
        </r>
      </text>
    </comment>
    <comment ref="D1" authorId="0" shapeId="0" xr:uid="{EB5DB99B-98C7-431E-B3C8-97906BD7F15A}">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C3369E04-39A1-452A-871B-F01EA144B493}">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EF462BA7-D08B-47B2-8445-A0FFBBD204DE}">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H1" authorId="0" shapeId="0" xr:uid="{B222EEF9-3699-426C-89FD-46AB9EA3C065}">
      <text>
        <r>
          <rPr>
            <b/>
            <sz val="9"/>
            <color indexed="81"/>
            <rFont val="Tahoma"/>
            <family val="2"/>
          </rPr>
          <t>Jonathan Wilken:</t>
        </r>
        <r>
          <rPr>
            <sz val="9"/>
            <color indexed="81"/>
            <rFont val="Tahoma"/>
            <family val="2"/>
          </rPr>
          <t xml:space="preserve">
Add, omit, transposition, substitution, combo</t>
        </r>
      </text>
    </comment>
    <comment ref="I1" authorId="0" shapeId="0" xr:uid="{418E0F74-C09C-42EE-8D41-0B16C07FD7E1}">
      <text>
        <r>
          <rPr>
            <b/>
            <sz val="9"/>
            <color indexed="81"/>
            <rFont val="Tahoma"/>
            <family val="2"/>
          </rPr>
          <t>Jonathan Wilken:</t>
        </r>
        <r>
          <rPr>
            <sz val="9"/>
            <color indexed="81"/>
            <rFont val="Tahoma"/>
            <family val="2"/>
          </rPr>
          <t xml:space="preserve">
For add/omits. Should only be used if complete phrases &gt;= 1. Set to 0 for &lt; 1.
</t>
        </r>
      </text>
    </comment>
    <comment ref="J1" authorId="0" shapeId="0" xr:uid="{4761C9B6-90F0-4F2B-A98A-D2025894C7C6}">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K1" authorId="0" shapeId="0" xr:uid="{D3D8F474-E142-446A-9E81-443F72827EC3}">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L1" authorId="0" shapeId="0" xr:uid="{9A9D558A-BE4A-46BA-BE93-0CB258A1EA80}">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M1" authorId="0" shapeId="0" xr:uid="{91674FBD-2D61-4AB6-B9D2-64F080E8EEA5}">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N1" authorId="0" shapeId="0" xr:uid="{849D5976-0718-48F6-9784-2E18CD849192}">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O1" authorId="0" shapeId="0" xr:uid="{1ADF663A-70EB-4885-9382-3DDF58E1888C}">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P1" authorId="0" shapeId="0" xr:uid="{992E8B8F-D62B-4AE5-B975-7D5E9B6ECD78}">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Q1" authorId="0" shapeId="0" xr:uid="{0D063F0C-ECD2-43BE-9552-E904847C4844}">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R1" authorId="0" shapeId="0" xr:uid="{B03D314F-C3BF-44A7-AB19-0637F382D4C5}">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1" shapeId="0" xr:uid="{AF4A5150-98B4-4241-95F5-C5C8647660B6}">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2" shapeId="0" xr:uid="{CBADACD3-A6DF-421F-A0A4-8AE865CB1322}">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X1" authorId="0" shapeId="0" xr:uid="{833E77E5-2BCC-4CFE-97EC-708CA7E23DFC}">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Y1" authorId="0" shapeId="0" xr:uid="{DDFEAC74-954B-4772-8924-E62C830056E4}">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Z1" authorId="0" shapeId="0" xr:uid="{93D1347D-A8D7-44BC-B621-DC2B4A0226AC}">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A1" authorId="0" shapeId="0" xr:uid="{7E00E79D-BD7B-46C8-AB9F-6931A49A3951}">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C1" authorId="0" shapeId="0" xr:uid="{D42E1BB9-F923-4398-A4B5-04357F6999B2}">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D1" authorId="0" shapeId="0" xr:uid="{F1E86CC5-DB2D-4241-B258-CB902126CA17}">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E1" authorId="0" shapeId="0" xr:uid="{004714FF-0FE7-4313-81C5-ADACED590C8C}">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7" authorId="3" shapeId="0" xr:uid="{165C40B7-7765-4BC0-8D9F-1874343A21BB}">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8" authorId="4" shapeId="0" xr:uid="{6F38C9A5-4C6D-4707-B048-137C7E97184D}">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9" authorId="5" shapeId="0" xr:uid="{30765D00-D267-4415-918A-7064CB9C7C10}">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 ref="E13" authorId="6" shapeId="0" xr:uid="{54E4D458-DBED-452B-A2E6-FA53374C80B1}">
      <text>
        <t>[Threaded comment]
Your version of Excel allows you to read this threaded comment; however, any edits to it will get removed if the file is opened in a newer version of Excel. Learn more: https://go.microsoft.com/fwlink/?linkid=870924
Comment:
    All cases where influence from preceding material was possible.</t>
      </text>
    </comment>
    <comment ref="F13" authorId="7" shapeId="0" xr:uid="{EC1F844E-7930-4165-8E68-84AF73B620E8}">
      <text>
        <t>[Threaded comment]
Your version of Excel allows you to read this threaded comment; however, any edits to it will get removed if the file is opened in a newer version of Excel. Learn more: https://go.microsoft.com/fwlink/?linkid=870924
Comment:
    All cases where influence from following material was possible.</t>
      </text>
    </comment>
    <comment ref="G13" authorId="8" shapeId="0" xr:uid="{136A4E94-6FDE-45EB-AE42-B103912952F5}">
      <text>
        <t>[Threaded comment]
Your version of Excel allows you to read this threaded comment; however, any edits to it will get removed if the file is opened in a newer version of Excel. Learn more: https://go.microsoft.com/fwlink/?linkid=870924
Comment:
    Only cases where verbal parallels existed both behind and after the variant in question and the direction of change in verbal similarity was the same.</t>
      </text>
    </comment>
    <comment ref="H13" authorId="9" shapeId="0" xr:uid="{19D88EF5-697C-4ACC-8985-C3E7EC269A41}">
      <text>
        <t>[Threaded comment]
Your version of Excel allows you to read this threaded comment; however, any edits to it will get removed if the file is opened in a newer version of Excel. Learn more: https://go.microsoft.com/fwlink/?linkid=870924
Comment:
    All potential cases of verbal harmonization/disharmonization, forward and backward.</t>
      </text>
    </comment>
    <comment ref="D14" authorId="10" shapeId="0" xr:uid="{E0905479-53EB-4D70-9255-5AF20124A984}">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15" authorId="11" shapeId="0" xr:uid="{6D5296EC-B4E2-439C-9A68-1C52E80DC664}">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16" authorId="12" shapeId="0" xr:uid="{7EAE4407-FF8F-47B8-A0FF-657935564672}">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Jonathan Wilken</author>
    <author>tc={3DE9EB51-1230-443D-B74E-CB8309C28E08}</author>
    <author>tc={644788BF-CB13-4356-8935-80DA2BD78D84}</author>
  </authors>
  <commentList>
    <comment ref="B1" authorId="0" shapeId="0" xr:uid="{2A1C8BEE-4893-4BE4-B96C-AADDEFEF0D17}">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0547AE8E-8F7B-4C2F-8CD8-EF0AF38FE7CA}">
      <text>
        <r>
          <rPr>
            <b/>
            <sz val="9"/>
            <color indexed="81"/>
            <rFont val="Tahoma"/>
            <family val="2"/>
          </rPr>
          <t>Jonathan Wilken:</t>
        </r>
        <r>
          <rPr>
            <sz val="9"/>
            <color indexed="81"/>
            <rFont val="Tahoma"/>
            <family val="2"/>
          </rPr>
          <t xml:space="preserve">
Reading from apograph (i.e., younger copy)</t>
        </r>
      </text>
    </comment>
    <comment ref="D1" authorId="0" shapeId="0" xr:uid="{945D46C4-089E-4C87-8E31-B91A7BC82798}">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AE9E0135-CD07-40B9-8B63-48F1C6FE496D}">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123037A6-3AB9-47E5-A1BE-F266DE052464}">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3A0EBD08-A485-48E2-B653-A637551CB1EF}">
      <text>
        <r>
          <rPr>
            <b/>
            <sz val="9"/>
            <color indexed="81"/>
            <rFont val="Tahoma"/>
            <family val="2"/>
          </rPr>
          <t>Jonathan Wilken:</t>
        </r>
        <r>
          <rPr>
            <sz val="9"/>
            <color indexed="81"/>
            <rFont val="Tahoma"/>
            <family val="2"/>
          </rPr>
          <t xml:space="preserve">
Add, omit, transposition, substitution, combo</t>
        </r>
      </text>
    </comment>
    <comment ref="H1" authorId="0" shapeId="0" xr:uid="{3E9AE0CA-C3B2-45F3-8963-159EF70956E1}">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214E7E90-D665-41AD-9E65-20EAF3A87218}">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F0380721-F7FB-427F-8743-13FA758D9EC4}">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15B39423-3423-42EE-9657-E2B0A71BE078}">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64CB3257-A3DF-495D-83AE-FD76E39D3994}">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452D1766-03E8-4194-B273-5405B14FEFFE}">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46B2F951-55FF-4D8A-A759-1E3DE838FE16}">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84C3991A-7893-4606-A4A6-E4BA20CC9FF5}">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2AE475E7-D0B0-47E6-86C9-8C9AD53B43B1}">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C4B7AC59-499D-4CD4-923A-929BF31A0050}">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3DE9EB51-1230-443D-B74E-CB8309C28E08}">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644788BF-CB13-4356-8935-80DA2BD78D84}">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V1" authorId="0" shapeId="0" xr:uid="{B89E62EB-EC8D-441F-AF2F-5CD950D112F4}">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W1" authorId="0" shapeId="0" xr:uid="{3D0933A8-0B21-4A21-95B0-529FC83E0810}">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0" shapeId="0" xr:uid="{6F81610E-FFA4-490F-8B07-CC5587B1CA56}">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9692D353-4108-4228-ABA4-19B2C7968012}">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B63FB9A1-2077-4E80-931D-B03698734B65}">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5912925B-22C8-4550-BEF7-021A5C762365}">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BBEB5DA2-F071-413B-9D22-5412CBE5381B}">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Jonathan Wilken</author>
    <author>tc={C8C5B231-B73E-4705-9454-BE8F91B880DF}</author>
    <author>tc={292C6C32-E0C7-44A8-8A6B-1D05DF61423D}</author>
    <author>tc={D96000BB-3CCA-40BD-83B1-B797049E5B73}</author>
    <author>tc={026072B9-96EC-4334-9C01-46559127E024}</author>
    <author>tc={F17FDC3B-818B-4387-BE40-D86E9F28AD24}</author>
    <author>tc={BA33D00E-AAD0-48D5-8760-29020531E026}</author>
    <author>tc={C6A40847-685B-4AFA-92B0-2AB8AA9B29C0}</author>
    <author>tc={41095735-059D-49A6-AAFC-1EC4CCF10262}</author>
    <author>tc={CA3A39D4-B417-40F5-AE1B-10128888358D}</author>
    <author>tc={DDE28504-D30B-4830-A868-A23E9478BBCE}</author>
    <author>tc={9316BF08-3187-497B-B5D1-3ED9DF139DB8}</author>
    <author>tc={53ECCA91-50F4-4D4D-B071-712BB96DE2FF}</author>
    <author>tc={14751CC7-C93B-4C91-B14C-F41A1A2E86C8}</author>
    <author>tc={EA30D057-EF73-4E37-838A-A5AA39C6412D}</author>
    <author>tc={4D6F8E5E-CEBC-4BDA-A087-B67617AA8015}</author>
    <author>tc={96D80A8F-75C6-490C-858C-9800559462CF}</author>
    <author>tc={CB0B5794-BFB8-4391-8468-1C6939ECFAB1}</author>
    <author>tc={5806A8D2-59D8-4FD7-B25A-259EC777CEAE}</author>
    <author>tc={1F399AF5-73EE-4773-99DC-6FF7F6157947}</author>
    <author>tc={B4D05E77-1799-482D-A91A-23BB5E51425D}</author>
    <author>tc={83CD9292-150E-4EBF-B68B-3FF5CDDEDF6B}</author>
    <author>tc={D7F67EEB-4F50-4273-8820-6345F5901AF4}</author>
    <author>tc={B53DBDFB-7FE8-4562-834B-0B18E4140854}</author>
    <author>tc={AC084F06-D225-458E-99CB-00EEB7E5C60D}</author>
    <author>tc={0111DF69-8158-4EA8-97B1-DACD7D72CA60}</author>
    <author>tc={3610712F-24CD-4D5E-98E4-96BC48E187D2}</author>
    <author>tc={CE57F239-3EA7-431C-ADC9-87AE9FA50439}</author>
    <author>tc={2021227D-E3B9-4052-9A5F-40D1203317D0}</author>
    <author>tc={5A4D7118-DD22-48FE-AE1B-12971D8EB0F0}</author>
    <author>tc={F3BE1188-4848-4FE0-BCBE-E687B4CA5FF1}</author>
    <author>tc={0798C8B3-8DF7-4665-9297-69385D53D46A}</author>
    <author>tc={50436044-82BA-47C1-895C-70AA131C8461}</author>
    <author>tc={5895077C-62BE-47D6-B432-EEF47F8CDE3A}</author>
    <author>tc={330ECD7A-0089-4BAE-9EB5-BEBF299A3B1B}</author>
    <author>tc={87813300-7516-406F-B8BC-7D75D80F8965}</author>
    <author>tc={E57E69B3-767E-4A88-877D-FEC80041818F}</author>
    <author>tc={EE7C669B-E679-41F7-9975-944B7F9C8B3B}</author>
    <author>tc={8FE46083-A98D-4230-B05D-6DE532AC61EA}</author>
    <author>tc={F88AD5E2-48A3-4C04-A0D7-A660D499F83C}</author>
    <author>tc={9233F45D-42DC-4F18-A324-8179E81169A6}</author>
    <author>tc={17315195-71A1-4462-97B5-9F7AACA4C0F3}</author>
    <author>tc={E164B74C-BD8C-4579-BCB3-D024D2D04B9E}</author>
    <author>tc={7801A96B-0DA5-4F87-B5DC-3F35828ECCFA}</author>
    <author>tc={8691A7D9-1C43-4E9A-9B8A-B52A91153894}</author>
    <author>tc={1333DC1D-FEB5-4965-A96B-2AD25AA3E4AD}</author>
  </authors>
  <commentList>
    <comment ref="B1" authorId="0" shapeId="0" xr:uid="{EEC20F44-4176-4139-B7B1-2755BE173492}">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FD8ED7FF-7080-4069-8FC2-93428F6E689D}">
      <text>
        <r>
          <rPr>
            <b/>
            <sz val="9"/>
            <color indexed="81"/>
            <rFont val="Tahoma"/>
            <family val="2"/>
          </rPr>
          <t>Jonathan Wilken:</t>
        </r>
        <r>
          <rPr>
            <sz val="9"/>
            <color indexed="81"/>
            <rFont val="Tahoma"/>
            <family val="2"/>
          </rPr>
          <t xml:space="preserve">
Reading from apograph (i.e., younger copy)</t>
        </r>
      </text>
    </comment>
    <comment ref="D1" authorId="0" shapeId="0" xr:uid="{610631B4-6280-402F-907F-ECA61D3A6749}">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944CA7CC-E49E-4049-A5B9-2999E7BF53E8}">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1FB354CC-9F5A-49BE-930D-5F95568CF2DB}">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10AD97CC-C4C8-4C52-9597-9DB69AFF9A72}">
      <text>
        <r>
          <rPr>
            <b/>
            <sz val="9"/>
            <color indexed="81"/>
            <rFont val="Tahoma"/>
            <family val="2"/>
          </rPr>
          <t>Jonathan Wilken:</t>
        </r>
        <r>
          <rPr>
            <sz val="9"/>
            <color indexed="81"/>
            <rFont val="Tahoma"/>
            <family val="2"/>
          </rPr>
          <t xml:space="preserve">
Add, omit, transposition, substitution, combo</t>
        </r>
      </text>
    </comment>
    <comment ref="H1" authorId="0" shapeId="0" xr:uid="{A0BCF293-9732-448D-926A-A2245B903247}">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4C589F35-77C2-4366-B831-80A7858A1E35}">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A35F933B-B1FD-4D8E-8E49-F0983D7ACAF8}">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19D7D5DB-DCEB-4F86-8AF2-F032342BF42B}">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62C7AAE8-4F24-4448-9B9F-12ED2B1E9498}">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1E26E822-12B2-41D4-9DF8-2D1C7FC70E7D}">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FF18A40C-813C-4A1E-81C2-1FDD4472FB24}">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981B581E-F3E1-4FAA-96E4-401786F777EC}">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6CD6BE34-C0FC-4D86-87DD-A7CD851250E9}">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C8C5B231-B73E-4705-9454-BE8F91B880DF}">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63D102FC-2EF9-46BE-A210-3C98DF1EA133}">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292C6C32-E0C7-44A8-8A6B-1D05DF61423D}">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D96000BB-3CCA-40BD-83B1-B797049E5B73}">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7A07D1D1-8F49-4851-9901-87A8AB269A2F}">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17EC9537-8856-43DE-B4B1-84539A4E692F}">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83BCC5A3-EA01-4294-BF48-38DE3E895897}">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7FCE1384-F180-450F-884F-CBE9DC0CB89D}">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B2E6106C-7FE6-41D3-9878-B11A56BCB6BA}">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326FBB37-1ED4-47A5-A4AA-6EB68D0E6302}">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A7CA9653-ABBF-472C-8781-AE685672E065}">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F70" authorId="4" shapeId="0" xr:uid="{026072B9-96EC-4334-9C01-46559127E024}">
      <text>
        <t>[Threaded comment]
Your version of Excel allows you to read this threaded comment; however, any edits to it will get removed if the file is opened in a newer version of Excel. Learn more: https://go.microsoft.com/fwlink/?linkid=870924
Comment:
    Raw number of additions</t>
      </text>
    </comment>
    <comment ref="B71" authorId="5" shapeId="0" xr:uid="{F17FDC3B-818B-4387-BE40-D86E9F28AD24}">
      <text>
        <t>[Threaded comment]
Your version of Excel allows you to read this threaded comment; however, any edits to it will get removed if the file is opened in a newer version of Excel. Learn more: https://go.microsoft.com/fwlink/?linkid=870924
Comment:
    "Low Meaning" words</t>
      </text>
    </comment>
    <comment ref="C71" authorId="6" shapeId="0" xr:uid="{BA33D00E-AAD0-48D5-8760-29020531E026}">
      <text>
        <t>[Threaded comment]
Your version of Excel allows you to read this threaded comment; however, any edits to it will get removed if the file is opened in a newer version of Excel. Learn more: https://go.microsoft.com/fwlink/?linkid=870924
Comment:
    "High Meaning" words</t>
      </text>
    </comment>
    <comment ref="F71" authorId="7" shapeId="0" xr:uid="{C6A40847-685B-4AFA-92B0-2AB8AA9B29C0}">
      <text>
        <t>[Threaded comment]
Your version of Excel allows you to read this threaded comment; however, any edits to it will get removed if the file is opened in a newer version of Excel. Learn more: https://go.microsoft.com/fwlink/?linkid=870924
Comment:
    Raw number of omissions</t>
      </text>
    </comment>
    <comment ref="F72" authorId="8" shapeId="0" xr:uid="{41095735-059D-49A6-AAFC-1EC4CCF10262}">
      <text>
        <t>[Threaded comment]
Your version of Excel allows you to read this threaded comment; however, any edits to it will get removed if the file is opened in a newer version of Excel. Learn more: https://go.microsoft.com/fwlink/?linkid=870924
Comment:
    % of add-omits that are additions</t>
      </text>
    </comment>
    <comment ref="F75" authorId="9" shapeId="0" xr:uid="{CA3A39D4-B417-40F5-AE1B-10128888358D}">
      <text>
        <t>[Threaded comment]
Your version of Excel allows you to read this threaded comment; however, any edits to it will get removed if the file is opened in a newer version of Excel. Learn more: https://go.microsoft.com/fwlink/?linkid=870924
Comment:
    Raw number of additions of "low meaning" words. See LM column for included word types (and adjust equation as necessary)</t>
      </text>
    </comment>
    <comment ref="F76" authorId="10" shapeId="0" xr:uid="{DDE28504-D30B-4830-A868-A23E9478BBCE}">
      <text>
        <t>[Threaded comment]
Your version of Excel allows you to read this threaded comment; however, any edits to it will get removed if the file is opened in a newer version of Excel. Learn more: https://go.microsoft.com/fwlink/?linkid=870924
Comment:
    Raw number of omissions of "low meaning" words. See LM column for included word types (and adjust equation as necessary)</t>
      </text>
    </comment>
    <comment ref="F77" authorId="11" shapeId="0" xr:uid="{9316BF08-3187-497B-B5D1-3ED9DF139DB8}">
      <text>
        <t>[Threaded comment]
Your version of Excel allows you to read this threaded comment; however, any edits to it will get removed if the file is opened in a newer version of Excel. Learn more: https://go.microsoft.com/fwlink/?linkid=870924
Comment:
    Addition rate for "low meaning" words. See LM column for included word types (and adjust equation as necessary)</t>
      </text>
    </comment>
    <comment ref="F80" authorId="12" shapeId="0" xr:uid="{53ECCA91-50F4-4D4D-B071-712BB96DE2FF}">
      <text>
        <t>[Threaded comment]
Your version of Excel allows you to read this threaded comment; however, any edits to it will get removed if the file is opened in a newer version of Excel. Learn more: https://go.microsoft.com/fwlink/?linkid=870924
Comment:
    Raw number of additions of "high meaning" words. See HM column for included word types (and adjust equation as necessary)</t>
      </text>
    </comment>
    <comment ref="F81" authorId="13" shapeId="0" xr:uid="{14751CC7-C93B-4C91-B14C-F41A1A2E86C8}">
      <text>
        <t>[Threaded comment]
Your version of Excel allows you to read this threaded comment; however, any edits to it will get removed if the file is opened in a newer version of Excel. Learn more: https://go.microsoft.com/fwlink/?linkid=870924
Comment:
    Raw number of omissions of "high meaning" words. See HM column for included word types (and adjust equation as necessary)</t>
      </text>
    </comment>
    <comment ref="F82" authorId="14" shapeId="0" xr:uid="{EA30D057-EF73-4E37-838A-A5AA39C6412D}">
      <text>
        <t>[Threaded comment]
Your version of Excel allows you to read this threaded comment; however, any edits to it will get removed if the file is opened in a newer version of Excel. Learn more: https://go.microsoft.com/fwlink/?linkid=870924
Comment:
    Addition rate for "high meaning" words. See HM column for included word types (and adjust equation as necessary)</t>
      </text>
    </comment>
    <comment ref="D88" authorId="15" shapeId="0" xr:uid="{4D6F8E5E-CEBC-4BDA-A087-B67617AA8015}">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88" authorId="16" shapeId="0" xr:uid="{96D80A8F-75C6-490C-858C-9800559462CF}">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F88" authorId="17" shapeId="0" xr:uid="{CB0B5794-BFB8-4391-8468-1C6939ECFAB1}">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additions. I.e., a percent frequency indicating how often an addition generates visual cues</t>
      </text>
    </comment>
    <comment ref="D89" authorId="18" shapeId="0" xr:uid="{5806A8D2-59D8-4FD7-B25A-259EC777CEAE}">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E89" authorId="19" shapeId="0" xr:uid="{1F399AF5-73EE-4773-99DC-6FF7F6157947}">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F89" authorId="20" shapeId="0" xr:uid="{B4D05E77-1799-482D-A91A-23BB5E51425D}">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omissions. I.e., the percentage of omissions that could plausibly be due to visual cues</t>
      </text>
    </comment>
    <comment ref="D90" authorId="21" shapeId="0" xr:uid="{83CD9292-150E-4EBF-B68B-3FF5CDDEDF6B}">
      <text>
        <t>[Threaded comment]
Your version of Excel allows you to read this threaded comment; however, any edits to it will get removed if the file is opened in a newer version of Excel. Learn more: https://go.microsoft.com/fwlink/?linkid=870924
Comment:
    The total number of add-omits that involve visual cues</t>
      </text>
    </comment>
    <comment ref="E90" authorId="22" shapeId="0" xr:uid="{D7F67EEB-4F50-4273-8820-6345F5901AF4}">
      <text>
        <t>[Threaded comment]
Your version of Excel allows you to read this threaded comment; however, any edits to it will get removed if the file is opened in a newer version of Excel. Learn more: https://go.microsoft.com/fwlink/?linkid=870924
Comment:
    The total number of add-omits that involve NO visual cues (given the definition of this project, i.e., 3-character minimum similarity in critical regions)</t>
      </text>
    </comment>
    <comment ref="F90" authorId="23" shapeId="0" xr:uid="{B53DBDFB-7FE8-4562-834B-0B18E4140854}">
      <text>
        <t>[Threaded comment]
Your version of Excel allows you to read this threaded comment; however, any edits to it will get removed if the file is opened in a newer version of Excel. Learn more: https://go.microsoft.com/fwlink/?linkid=870924
Comment:
    The percentage of all add-omits that involve visual cues</t>
      </text>
    </comment>
    <comment ref="D94" authorId="24" shapeId="0" xr:uid="{AC084F06-D225-458E-99CB-00EEB7E5C60D}">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E94" authorId="25" shapeId="0" xr:uid="{0111DF69-8158-4EA8-97B1-DACD7D72CA60}">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D95" authorId="26" shapeId="0" xr:uid="{3610712F-24CD-4D5E-98E4-96BC48E187D2}">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95" authorId="27" shapeId="0" xr:uid="{CE57F239-3EA7-431C-ADC9-87AE9FA50439}">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D100" authorId="28" shapeId="0" xr:uid="{2021227D-E3B9-4052-9A5F-40D1203317D0}">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additions. I.e., the number of additions that do not result in dittography</t>
      </text>
    </comment>
    <comment ref="E100" authorId="29" shapeId="0" xr:uid="{5A4D7118-DD22-48FE-AE1B-12971D8EB0F0}">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omissions. I.e., the number of omissions that did not undo a dittographic reading</t>
      </text>
    </comment>
    <comment ref="D101" authorId="30" shapeId="0" xr:uid="{F3BE1188-4848-4FE0-BCBE-E687B4CA5FF1}">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additions. I.e., the number of additions that result in dittography</t>
      </text>
    </comment>
    <comment ref="E101" authorId="31" shapeId="0" xr:uid="{0798C8B3-8DF7-4665-9297-69385D53D46A}">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omissions. I.e., the number omissions where the omitted word(s) is/are dittographies</t>
      </text>
    </comment>
    <comment ref="D106" authorId="32" shapeId="0" xr:uid="{50436044-82BA-47C1-895C-70AA131C8461}">
      <text>
        <t>[Threaded comment]
Your version of Excel allows you to read this threaded comment; however, any edits to it will get removed if the file is opened in a newer version of Excel. Learn more: https://go.microsoft.com/fwlink/?linkid=870924
Comment:
    Additions of one word</t>
      </text>
    </comment>
    <comment ref="E106" authorId="33" shapeId="0" xr:uid="{5895077C-62BE-47D6-B432-EEF47F8CDE3A}">
      <text>
        <t>[Threaded comment]
Your version of Excel allows you to read this threaded comment; however, any edits to it will get removed if the file is opened in a newer version of Excel. Learn more: https://go.microsoft.com/fwlink/?linkid=870924
Comment:
    Omissions of one word</t>
      </text>
    </comment>
    <comment ref="F106" authorId="34" shapeId="0" xr:uid="{330ECD7A-0089-4BAE-9EB5-BEBF299A3B1B}">
      <text>
        <t>[Threaded comment]
Your version of Excel allows you to read this threaded comment; however, any edits to it will get removed if the file is opened in a newer version of Excel. Learn more: https://go.microsoft.com/fwlink/?linkid=870924
Comment:
    Add ratio for single-word variants</t>
      </text>
    </comment>
    <comment ref="D107" authorId="35" shapeId="0" xr:uid="{87813300-7516-406F-B8BC-7D75D80F8965}">
      <text>
        <t>[Threaded comment]
Your version of Excel allows you to read this threaded comment; however, any edits to it will get removed if the file is opened in a newer version of Excel. Learn more: https://go.microsoft.com/fwlink/?linkid=870924
Comment:
    Additions of 2-3 words</t>
      </text>
    </comment>
    <comment ref="E107" authorId="36" shapeId="0" xr:uid="{E57E69B3-767E-4A88-877D-FEC80041818F}">
      <text>
        <t>[Threaded comment]
Your version of Excel allows you to read this threaded comment; however, any edits to it will get removed if the file is opened in a newer version of Excel. Learn more: https://go.microsoft.com/fwlink/?linkid=870924
Comment:
    Omissions of 2-3 words</t>
      </text>
    </comment>
    <comment ref="F107" authorId="37" shapeId="0" xr:uid="{EE7C669B-E679-41F7-9975-944B7F9C8B3B}">
      <text>
        <t>[Threaded comment]
Your version of Excel allows you to read this threaded comment; however, any edits to it will get removed if the file is opened in a newer version of Excel. Learn more: https://go.microsoft.com/fwlink/?linkid=870924
Comment:
    Add ratio for variants of 2-3 words</t>
      </text>
    </comment>
    <comment ref="D108" authorId="38" shapeId="0" xr:uid="{8FE46083-A98D-4230-B05D-6DE532AC61EA}">
      <text>
        <t>[Threaded comment]
Your version of Excel allows you to read this threaded comment; however, any edits to it will get removed if the file is opened in a newer version of Excel. Learn more: https://go.microsoft.com/fwlink/?linkid=870924
Comment:
    Additions of 4 or more words</t>
      </text>
    </comment>
    <comment ref="E108" authorId="39" shapeId="0" xr:uid="{F88AD5E2-48A3-4C04-A0D7-A660D499F83C}">
      <text>
        <t>[Threaded comment]
Your version of Excel allows you to read this threaded comment; however, any edits to it will get removed if the file is opened in a newer version of Excel. Learn more: https://go.microsoft.com/fwlink/?linkid=870924
Comment:
    Omissions of 4 or more words</t>
      </text>
    </comment>
    <comment ref="F108" authorId="40" shapeId="0" xr:uid="{9233F45D-42DC-4F18-A324-8179E81169A6}">
      <text>
        <t>[Threaded comment]
Your version of Excel allows you to read this threaded comment; however, any edits to it will get removed if the file is opened in a newer version of Excel. Learn more: https://go.microsoft.com/fwlink/?linkid=870924
Comment:
    Add ratio for variants of 4 or more words</t>
      </text>
    </comment>
    <comment ref="C111" authorId="41" shapeId="0" xr:uid="{17315195-71A1-4462-97B5-9F7AACA4C0F3}">
      <text>
        <t>[Threaded comment]
Your version of Excel allows you to read this threaded comment; however, any edits to it will get removed if the file is opened in a newer version of Excel. Learn more: https://go.microsoft.com/fwlink/?linkid=870924
Comment:
    Number of words added or omitted</t>
      </text>
    </comment>
    <comment ref="D111" authorId="42" shapeId="0" xr:uid="{E164B74C-BD8C-4579-BCB3-D024D2D04B9E}">
      <text>
        <t>[Threaded comment]
Your version of Excel allows you to read this threaded comment; however, any edits to it will get removed if the file is opened in a newer version of Excel. Learn more: https://go.microsoft.com/fwlink/?linkid=870924
Comment:
    Number of additions involving the number of words specified in the "Length" column</t>
      </text>
    </comment>
    <comment ref="E111" authorId="43" shapeId="0" xr:uid="{7801A96B-0DA5-4F87-B5DC-3F35828ECCFA}">
      <text>
        <t>[Threaded comment]
Your version of Excel allows you to read this threaded comment; however, any edits to it will get removed if the file is opened in a newer version of Excel. Learn more: https://go.microsoft.com/fwlink/?linkid=870924
Comment:
    Number of omissions involving the number of words specified in the "Length" column</t>
      </text>
    </comment>
    <comment ref="F111" authorId="44" shapeId="0" xr:uid="{8691A7D9-1C43-4E9A-9B8A-B52A91153894}">
      <text>
        <t>[Threaded comment]
Your version of Excel allows you to read this threaded comment; however, any edits to it will get removed if the file is opened in a newer version of Excel. Learn more: https://go.microsoft.com/fwlink/?linkid=870924
Comment:
    The addition rate for add-omits involving the number of words indicated in the "Length" column</t>
      </text>
    </comment>
    <comment ref="E119" authorId="45" shapeId="0" xr:uid="{1333DC1D-FEB5-4965-A96B-2AD25AA3E4AD}">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Jonathan Wilken</author>
    <author>tc={26B94954-A694-40FB-B433-F352B56B69D3}</author>
    <author>tc={8AA870A3-C003-449F-92D6-22BBF5EA5C55}</author>
    <author>tc={FC7F9325-8FDA-45ED-8E0D-F4554A506BBE}</author>
    <author>tc={B99386E5-F97A-495B-92B8-0407329B498E}</author>
    <author>tc={C6EB8DF2-E368-4654-A14C-D4EE2D56633F}</author>
    <author>tc={4DFDE7AE-9918-4335-84EA-A73C3589F46D}</author>
    <author>tc={29687550-70BD-4E2C-B8A4-8FCD3E9718DE}</author>
    <author>tc={E28D06AB-1494-4453-943E-40BD76D3A204}</author>
    <author>tc={B7FFE66C-C687-4E2E-91F5-C0C96786E131}</author>
    <author>tc={6F4B10DA-8E78-415D-8B20-4FD8223B6775}</author>
    <author>tc={78FCE5B4-5D1A-45EB-AC2E-29F692BB78F8}</author>
    <author>tc={0F810F9C-7517-489F-A84F-1557DB363BFA}</author>
    <author>tc={0E4159B3-FDE9-44B1-A43B-9C635AAC792A}</author>
    <author>tc={F8816446-349F-4E34-BDAE-F9606CE5FF75}</author>
  </authors>
  <commentList>
    <comment ref="B1" authorId="0" shapeId="0" xr:uid="{12732CA1-CAC6-4077-8D47-8A2B3785CF72}">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E8CF70B1-F4DB-4B8A-A97C-F733FD7C349D}">
      <text>
        <r>
          <rPr>
            <b/>
            <sz val="9"/>
            <color indexed="81"/>
            <rFont val="Tahoma"/>
            <family val="2"/>
          </rPr>
          <t>Jonathan Wilken:</t>
        </r>
        <r>
          <rPr>
            <sz val="9"/>
            <color indexed="81"/>
            <rFont val="Tahoma"/>
            <family val="2"/>
          </rPr>
          <t xml:space="preserve">
Reading from apograph (i.e., younger copy)</t>
        </r>
      </text>
    </comment>
    <comment ref="D1" authorId="0" shapeId="0" xr:uid="{D6F2D325-39FF-4B1D-B738-BAFD36C2BCF2}">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20C1DADD-B4EA-4FBE-A0E7-EF6DC560575A}">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C0FE7B7F-E4E0-428A-BC66-8F327B5CFFDA}">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C528E0D1-8755-4A5C-9B5D-4DFDA76BFC5F}">
      <text>
        <r>
          <rPr>
            <b/>
            <sz val="9"/>
            <color indexed="81"/>
            <rFont val="Tahoma"/>
            <family val="2"/>
          </rPr>
          <t>Jonathan Wilken:</t>
        </r>
        <r>
          <rPr>
            <sz val="9"/>
            <color indexed="81"/>
            <rFont val="Tahoma"/>
            <family val="2"/>
          </rPr>
          <t xml:space="preserve">
Add, omit, transposition, substitution, combo</t>
        </r>
      </text>
    </comment>
    <comment ref="H1" authorId="0" shapeId="0" xr:uid="{856D1EAE-6874-44FC-AAF5-7EFB00A6610F}">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D0014F5A-32FB-4AC6-A1C2-966E248052DF}">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69277D98-0E55-4650-95F8-1E1D32DE4EDE}">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A8E7CF1F-61B8-4708-9CD6-9227F0192371}">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2174AFF6-BC00-493D-8F04-2E05C204D002}">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DB8E3FC8-EBB3-44A5-AF61-BC2A822DF38E}">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BAEFB9C2-6DB7-4892-BD09-9AB8FEC8D4CE}">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5E43064D-AB00-4981-A444-3C4A2812B296}">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87626A11-4EDA-467A-B331-8AFD4BC796BB}">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26B94954-A694-40FB-B433-F352B56B69D3}">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48C0E293-F6D9-4D4F-81C1-1AEE22369A0D}">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8AA870A3-C003-449F-92D6-22BBF5EA5C55}">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FC7F9325-8FDA-45ED-8E0D-F4554A506BBE}">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BAF77C53-7A7C-4E52-866E-6A17296A3E15}">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683AA79B-B5EB-4FD6-91C3-A60263F73A1B}">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3F549CE8-9FA6-4B27-B124-74F87B72B26B}">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24FE4A3C-E290-4ADB-A995-212DF908AE78}">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A4F35CA6-1E2F-403B-A13A-C600ECFE5B27}">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11F994E3-F6FE-4AE4-AF6B-C5402738A480}">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0D8CD934-2EF4-431C-A7B0-F4858488D2A8}">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45" authorId="4" shapeId="0" xr:uid="{B99386E5-F97A-495B-92B8-0407329B498E}">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46" authorId="5" shapeId="0" xr:uid="{C6EB8DF2-E368-4654-A14C-D4EE2D56633F}">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49" authorId="6" shapeId="0" xr:uid="{4DFDE7AE-9918-4335-84EA-A73C3589F46D}">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50" authorId="7" shapeId="0" xr:uid="{29687550-70BD-4E2C-B8A4-8FCD3E9718DE}">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51" authorId="8" shapeId="0" xr:uid="{E28D06AB-1494-4453-943E-40BD76D3A204}">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52" authorId="9" shapeId="0" xr:uid="{B7FFE66C-C687-4E2E-91F5-C0C96786E131}">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53" authorId="10" shapeId="0" xr:uid="{6F4B10DA-8E78-415D-8B20-4FD8223B6775}">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54" authorId="11" shapeId="0" xr:uid="{78FCE5B4-5D1A-45EB-AC2E-29F692BB78F8}">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57" authorId="12" shapeId="0" xr:uid="{0F810F9C-7517-489F-A84F-1557DB363BFA}">
      <text>
        <t>[Threaded comment]
Your version of Excel allows you to read this threaded comment; however, any edits to it will get removed if the file is opened in a newer version of Excel. Learn more: https://go.microsoft.com/fwlink/?linkid=870924
Comment:
    Articular additions: the number of additions of an article</t>
      </text>
    </comment>
    <comment ref="D58" authorId="13" shapeId="0" xr:uid="{0E4159B3-FDE9-44B1-A43B-9C635AAC792A}">
      <text>
        <t>[Threaded comment]
Your version of Excel allows you to read this threaded comment; however, any edits to it will get removed if the file is opened in a newer version of Excel. Learn more: https://go.microsoft.com/fwlink/?linkid=870924
Comment:
    Articular omissions: the number of omissions of an article</t>
      </text>
    </comment>
    <comment ref="D59" authorId="14" shapeId="0" xr:uid="{F8816446-349F-4E34-BDAE-F9606CE5FF75}">
      <text>
        <t>[Threaded comment]
Your version of Excel allows you to read this threaded comment; however, any edits to it will get removed if the file is opened in a newer version of Excel. Learn more: https://go.microsoft.com/fwlink/?linkid=870924
Comment:
    Articular add ratio: the add ratio for the definite article</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Jonathan Wilken</author>
    <author>tc={C410514B-0082-4A15-8A61-F374B4AFF167}</author>
    <author>tc={4C0F7C68-3064-4386-A536-D0FCD0A5C3B4}</author>
    <author>tc={54B959A7-48FA-4937-9148-BBEE17DDFCCD}</author>
    <author>tc={974612ED-B91D-4F45-AEFE-325429BE39FC}</author>
    <author>tc={03A6310F-D83A-443D-848C-1BA02F734D64}</author>
    <author>tc={5CAAF8C7-CE05-42DA-AAF7-E258804B5A72}</author>
    <author>tc={F2EDEB84-45DE-4D9E-A27F-E5E2366EAF5B}</author>
    <author>tc={77B079F1-DD1F-4514-AE5E-F231E16E0E7A}</author>
    <author>tc={F4C2F458-ACD5-4FF1-A1D8-F77D4F87094A}</author>
    <author>tc={437F2DF3-5E3E-427F-963C-FB87318B9B25}</author>
    <author>tc={E368DBE9-3C9E-4EFB-9D91-1FEC5223FA18}</author>
    <author>tc={27AAC3FB-DFC9-4F60-9367-BE991C73C574}</author>
  </authors>
  <commentList>
    <comment ref="B1" authorId="0" shapeId="0" xr:uid="{9891F39D-A1F3-4200-A1C8-6649F848854C}">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527C90FE-E5DF-496D-9C24-4C95E1A6B8C7}">
      <text>
        <r>
          <rPr>
            <b/>
            <sz val="9"/>
            <color indexed="81"/>
            <rFont val="Tahoma"/>
            <family val="2"/>
          </rPr>
          <t>Jonathan Wilken:</t>
        </r>
        <r>
          <rPr>
            <sz val="9"/>
            <color indexed="81"/>
            <rFont val="Tahoma"/>
            <family val="2"/>
          </rPr>
          <t xml:space="preserve">
Reading from apograph (i.e., younger copy)</t>
        </r>
      </text>
    </comment>
    <comment ref="D1" authorId="0" shapeId="0" xr:uid="{6976A03D-DE9C-4887-8AE5-ECD624AF12C7}">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751E2C2E-43BC-47C0-ABC4-24CCF54C5ED9}">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698F9D18-ACBA-47AD-807E-60EB0ED6EBD2}">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7E8C8ECF-252C-44DB-8068-EDFA0C7BD33A}">
      <text>
        <r>
          <rPr>
            <b/>
            <sz val="9"/>
            <color indexed="81"/>
            <rFont val="Tahoma"/>
            <family val="2"/>
          </rPr>
          <t>Jonathan Wilken:</t>
        </r>
        <r>
          <rPr>
            <sz val="9"/>
            <color indexed="81"/>
            <rFont val="Tahoma"/>
            <family val="2"/>
          </rPr>
          <t xml:space="preserve">
Add, omit, transposition, substitution, combo</t>
        </r>
      </text>
    </comment>
    <comment ref="H1" authorId="0" shapeId="0" xr:uid="{2EE0F530-4CD7-4D47-9BC5-5CB38373A8B3}">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663723E7-4E9C-4A83-86D3-5125FBDB72D0}">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666F02A9-A4D9-4932-926C-BA6CDA054FFA}">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7510E59D-5020-45A4-824A-1C076B981EFA}">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06A73C4B-5595-49FA-8C81-EC860C97B219}">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463DDD37-8101-4F36-9F28-AC71431A337A}">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C85C68DE-FF23-4145-BE4B-3DE693DD52AA}">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1AED9691-5F28-440E-8685-392A2FF2E2BF}">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6D9297CE-8B5E-4923-A5C3-606F0726AD3B}">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C410514B-0082-4A15-8A61-F374B4AFF167}">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8249FAFF-FB08-4ACA-861E-545AD6ADCBCA}">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4C0F7C68-3064-4386-A536-D0FCD0A5C3B4}">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54B959A7-48FA-4937-9148-BBEE17DDFCCD}">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6C1E21F8-EE67-4A14-A4B0-B378B78325C7}">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42CEAA33-2DAE-4A56-86CB-41395D981C1F}">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031FBB39-F43A-4F75-A36E-A124C11C8D11}">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74D0B734-FDF8-4DCB-A952-FB4631D8B729}">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C444C57D-165A-493C-AAF4-F1497B9A05FF}">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7589D183-0E6E-49AD-A858-E90F7AAC6887}">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2DE30691-8AB6-4ABA-94D4-4D74415CBC58}">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18" authorId="4" shapeId="0" xr:uid="{974612ED-B91D-4F45-AEFE-325429BE39FC}">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19" authorId="5" shapeId="0" xr:uid="{03A6310F-D83A-443D-848C-1BA02F734D64}">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22" authorId="6" shapeId="0" xr:uid="{5CAAF8C7-CE05-42DA-AAF7-E258804B5A72}">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23" authorId="7" shapeId="0" xr:uid="{F2EDEB84-45DE-4D9E-A27F-E5E2366EAF5B}">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24" authorId="8" shapeId="0" xr:uid="{77B079F1-DD1F-4514-AE5E-F231E16E0E7A}">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25" authorId="9" shapeId="0" xr:uid="{F4C2F458-ACD5-4FF1-A1D8-F77D4F87094A}">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26" authorId="10" shapeId="0" xr:uid="{437F2DF3-5E3E-427F-963C-FB87318B9B25}">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27" authorId="11" shapeId="0" xr:uid="{E368DBE9-3C9E-4EFB-9D91-1FEC5223FA18}">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28" authorId="12" shapeId="0" xr:uid="{27AAC3FB-DFC9-4F60-9367-BE991C73C574}">
      <text>
        <t>[Threaded comment]
Your version of Excel allows you to read this threaded comment; however, any edits to it will get removed if the file is opened in a newer version of Excel. Learn more: https://go.microsoft.com/fwlink/?linkid=870924
Comment:
    The difference in add ratio based on word frequency category. If scribes exhibit preference for the familiar, the HF add ratio should usually be higher than the LF add ratio (thus, the Add Ratio Difference should be positive)</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Jonathan Wilken</author>
    <author>tc={D3618487-0A17-40BF-AAE9-1F8041F23318}</author>
    <author>tc={3936E02F-BAB7-4430-977D-919A0E2728A1}</author>
    <author>tc={C35CCFDB-CDBC-4976-B5F4-61A4927EAE1B}</author>
    <author>tc={E80842AA-8EF6-4104-9B20-0D46FF78AD96}</author>
    <author>tc={AFD2CCC0-1104-4D91-A638-4EC7DFE2A308}</author>
    <author>tc={12C8B34D-93B1-4BFB-9A11-39EDCA69A369}</author>
    <author>tc={947F9240-9398-499B-9387-B1A578B42A4A}</author>
    <author>tc={2537983D-8F66-451E-9CB3-26DFC9F89F37}</author>
    <author>tc={E806A0B4-1AC1-48B5-90DC-E0DBA649B68A}</author>
    <author>tc={B7024591-880D-4980-AB35-1275F6A4DD5F}</author>
    <author>tc={F8F901AD-E59C-4527-8CDC-754C24476A3B}</author>
    <author>tc={22B103AB-2C1A-4559-AD5B-C8D78DDEBFD0}</author>
    <author>tc={84DE174D-1E73-4AB0-9490-B8FE4435A63F}</author>
    <author>tc={4C31A7EA-552D-4D69-B4D0-01983FE7C0D0}</author>
    <author>tc={CE4549F3-B88E-43D5-B387-E12E0A2C0263}</author>
  </authors>
  <commentList>
    <comment ref="B1" authorId="0" shapeId="0" xr:uid="{968385C7-39CB-450D-8B21-5A70C80417AD}">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713AC931-37C0-4271-8D8D-5637028E9B1D}">
      <text>
        <r>
          <rPr>
            <b/>
            <sz val="9"/>
            <color indexed="81"/>
            <rFont val="Tahoma"/>
            <family val="2"/>
          </rPr>
          <t>Jonathan Wilken:</t>
        </r>
        <r>
          <rPr>
            <sz val="9"/>
            <color indexed="81"/>
            <rFont val="Tahoma"/>
            <family val="2"/>
          </rPr>
          <t xml:space="preserve">
Reading from apograph (i.e., younger copy)</t>
        </r>
      </text>
    </comment>
    <comment ref="D1" authorId="0" shapeId="0" xr:uid="{93E1C4D8-BA14-4A15-8F6C-E0BCE256B32E}">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8F6117E2-CC91-4FCE-A998-751C4F82B844}">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A65D1C6A-4A7B-4811-8786-92DC988D59B6}">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4FA8BEBA-9A10-4E08-AAF6-B8D317A67E37}">
      <text>
        <r>
          <rPr>
            <b/>
            <sz val="9"/>
            <color indexed="81"/>
            <rFont val="Tahoma"/>
            <family val="2"/>
          </rPr>
          <t>Jonathan Wilken:</t>
        </r>
        <r>
          <rPr>
            <sz val="9"/>
            <color indexed="81"/>
            <rFont val="Tahoma"/>
            <family val="2"/>
          </rPr>
          <t xml:space="preserve">
Add, omit, transposition, substitution, combo</t>
        </r>
      </text>
    </comment>
    <comment ref="H1" authorId="0" shapeId="0" xr:uid="{D9243E69-4FE5-45EC-969B-38C8FDFD7AD9}">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1E3C9197-810C-44F3-992C-CD1AD3C28EE9}">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8F349AF1-E11A-4F85-9511-EBFA05E7272B}">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D54133C5-2E0F-4F98-A8FD-89E49AE5542C}">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A53761D5-0E0D-4EBE-B027-38B3EA07F00E}">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DB3DAFAE-32DD-4CB6-A706-7D1809BC0558}">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F36B8D17-4A8B-4E66-A41E-EE39D922631E}">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91A47E5F-DE29-4664-A29D-E7D5BD1038B9}">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80512F49-E326-4231-9737-DD779A83257F}">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A5E84E1D-F7DF-4F01-ABF7-4AFB3A4A7F30}">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D3618487-0A17-40BF-AAE9-1F8041F23318}">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3936E02F-BAB7-4430-977D-919A0E2728A1}">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T1" authorId="3" shapeId="0" xr:uid="{C35CCFDB-CDBC-4976-B5F4-61A4927EAE1B}">
      <text>
        <t>[Threaded comment]
Your version of Excel allows you to read this threaded comment; however, any edits to it will get removed if the file is opened in a newer version of Excel. Learn more: https://go.microsoft.com/fwlink/?linkid=870924
Comment:
    Frequency occurrence of autograph reading per 10,000 words of text</t>
      </text>
    </comment>
    <comment ref="U1" authorId="4" shapeId="0" xr:uid="{E80842AA-8EF6-4104-9B20-0D46FF78AD96}">
      <text>
        <t>[Threaded comment]
Your version of Excel allows you to read this threaded comment; however, any edits to it will get removed if the file is opened in a newer version of Excel. Learn more: https://go.microsoft.com/fwlink/?linkid=870924
Comment:
    Frequency occurrence of apograph reading per 10,000 words of text</t>
      </text>
    </comment>
    <comment ref="V1" authorId="5" shapeId="0" xr:uid="{AFD2CCC0-1104-4D91-A638-4EC7DFE2A308}">
      <text>
        <t>[Threaded comment]
Your version of Excel allows you to read this threaded comment; however, any edits to it will get removed if the file is opened in a newer version of Excel. Learn more: https://go.microsoft.com/fwlink/?linkid=870924
Comment:
    Difference in the P10K frequency of the autograph and apograph readings. Difference = apograph - autograph. Thus, positive values indicate the apograph reading was a more common/frequent word; negative values indicate the apograph reading was a less common/frequent word</t>
      </text>
    </comment>
    <comment ref="Y1" authorId="0" shapeId="0" xr:uid="{65DBB94A-3987-4195-B753-3BAEFE06BC32}">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0D156A68-12D4-4F61-A5B1-73DE424506B7}">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E70C7565-9C4F-4CE4-9309-60311D70F059}">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96B97819-B282-4DA3-8CCB-929174E0988C}">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B178E230-4187-4D7B-94C0-357188651C58}">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96DF9CBA-64B4-4C9D-AF55-D10218F30630}">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41E3DC1E-EB07-4FED-A000-D9719D01A62E}">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33" authorId="6" shapeId="0" xr:uid="{12C8B34D-93B1-4BFB-9A11-39EDCA69A369}">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36" authorId="7" shapeId="0" xr:uid="{947F9240-9398-499B-9387-B1A578B42A4A}">
      <text>
        <t>[Threaded comment]
Your version of Excel allows you to read this threaded comment; however, any edits to it will get removed if the file is opened in a newer version of Excel. Learn more: https://go.microsoft.com/fwlink/?linkid=870924
Comment:
    Number of variants where the scribe used a more common/frequent word in place of a less common/frequent word</t>
      </text>
    </comment>
    <comment ref="D37" authorId="8" shapeId="0" xr:uid="{2537983D-8F66-451E-9CB3-26DFC9F89F37}">
      <text>
        <t>[Threaded comment]
Your version of Excel allows you to read this threaded comment; however, any edits to it will get removed if the file is opened in a newer version of Excel. Learn more: https://go.microsoft.com/fwlink/?linkid=870924
Comment:
    Number of variants where the scribe used a less common/frequent word in place of a more  common/frequent word</t>
      </text>
    </comment>
    <comment ref="D38" authorId="9" shapeId="0" xr:uid="{E806A0B4-1AC1-48B5-90DC-E0DBA649B68A}">
      <text>
        <t>[Threaded comment]
Your version of Excel allows you to read this threaded comment; however, any edits to it will get removed if the file is opened in a newer version of Excel. Learn more: https://go.microsoft.com/fwlink/?linkid=870924
Comment:
    Probability based on 2-tailed sign test: probability of obtaining a result as extreme as or more extreme than that shown above</t>
      </text>
    </comment>
    <comment ref="D40" authorId="10" shapeId="0" xr:uid="{B7024591-880D-4980-AB35-1275F6A4DD5F}">
      <text>
        <t>[Threaded comment]
Your version of Excel allows you to read this threaded comment; however, any edits to it will get removed if the file is opened in a newer version of Excel. Learn more: https://go.microsoft.com/fwlink/?linkid=870924
Comment:
    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
      </text>
    </comment>
    <comment ref="D41" authorId="11" shapeId="0" xr:uid="{F8F901AD-E59C-4527-8CDC-754C24476A3B}">
      <text>
        <t>[Threaded comment]
Your version of Excel allows you to read this threaded comment; however, any edits to it will get removed if the file is opened in a newer version of Excel. Learn more: https://go.microsoft.com/fwlink/?linkid=870924
Comment:
    Standard deviation of the word frequency difference for substitutions</t>
      </text>
    </comment>
    <comment ref="D44" authorId="12" shapeId="0" xr:uid="{22B103AB-2C1A-4559-AD5B-C8D78DDEBFD0}">
      <text>
        <t>[Threaded comment]
Your version of Excel allows you to read this threaded comment; however, any edits to it will get removed if the file is opened in a newer version of Excel. Learn more: https://go.microsoft.com/fwlink/?linkid=870924
Comment:
    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
      </text>
    </comment>
    <comment ref="D45" authorId="13" shapeId="0" xr:uid="{84DE174D-1E73-4AB0-9490-B8FE4435A63F}">
      <text>
        <t>[Threaded comment]
Your version of Excel allows you to read this threaded comment; however, any edits to it will get removed if the file is opened in a newer version of Excel. Learn more: https://go.microsoft.com/fwlink/?linkid=870924
Comment:
    Standard deviation of the change in word frequency, using the frequency measure of "occurrences per 10,000 words"</t>
      </text>
    </comment>
    <comment ref="D48" authorId="14" shapeId="0" xr:uid="{4C31A7EA-552D-4D69-B4D0-01983FE7C0D0}">
      <text>
        <t>[Threaded comment]
Your version of Excel allows you to read this threaded comment; however, any edits to it will get removed if the file is opened in a newer version of Excel. Learn more: https://go.microsoft.com/fwlink/?linkid=870924
Comment:
    Total number of substitutions for which a word frequency difference could be calculated</t>
      </text>
    </comment>
    <comment ref="D49" authorId="15" shapeId="0" xr:uid="{CE4549F3-B88E-43D5-B387-E12E0A2C0263}">
      <text>
        <t>[Threaded comment]
Your version of Excel allows you to read this threaded comment; however, any edits to it will get removed if the file is opened in a newer version of Excel. Learn more: https://go.microsoft.com/fwlink/?linkid=870924
Comment:
    The standard deviation of word frequency difference scores</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Jonathan Wilken</author>
    <author>tc={7B507FA7-AF5C-411A-95D0-0AFA31F01B19}</author>
    <author>tc={489BCCBC-A4D0-4017-9F86-A1CEFD53E0C7}</author>
    <author>tc={8E985BA9-6AF0-45FF-843B-0FEF95B91163}</author>
    <author>tc={3EACD204-3C28-4277-8497-B773AA305A65}</author>
    <author>tc={6B87A07C-0DFF-4D77-9B82-E8880D26162E}</author>
  </authors>
  <commentList>
    <comment ref="B1" authorId="0" shapeId="0" xr:uid="{5E91857D-64B4-4E79-AA0A-4F02CFE4A855}">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0236F1AB-E0B6-44D4-A015-C4A8CBBF8E15}">
      <text>
        <r>
          <rPr>
            <b/>
            <sz val="9"/>
            <color indexed="81"/>
            <rFont val="Tahoma"/>
            <family val="2"/>
          </rPr>
          <t>Jonathan Wilken:</t>
        </r>
        <r>
          <rPr>
            <sz val="9"/>
            <color indexed="81"/>
            <rFont val="Tahoma"/>
            <family val="2"/>
          </rPr>
          <t xml:space="preserve">
Reading from apograph (i.e., younger copy)</t>
        </r>
      </text>
    </comment>
    <comment ref="D1" authorId="0" shapeId="0" xr:uid="{ABAD6AAD-8973-48F4-8259-45BF69A4B534}">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9EA29E79-AB76-4F76-A103-1CCA14B5DD26}">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C2BB5208-1EFF-4518-B153-250A78F16218}">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H1" authorId="0" shapeId="0" xr:uid="{CBA5A962-4069-4802-8A51-7C73412728E4}">
      <text>
        <r>
          <rPr>
            <b/>
            <sz val="9"/>
            <color indexed="81"/>
            <rFont val="Tahoma"/>
            <family val="2"/>
          </rPr>
          <t>Jonathan Wilken:</t>
        </r>
        <r>
          <rPr>
            <sz val="9"/>
            <color indexed="81"/>
            <rFont val="Tahoma"/>
            <family val="2"/>
          </rPr>
          <t xml:space="preserve">
Add, omit, transposition, substitution, combo</t>
        </r>
      </text>
    </comment>
    <comment ref="I1" authorId="0" shapeId="0" xr:uid="{68007155-34BE-4094-9E20-34349D2235D2}">
      <text>
        <r>
          <rPr>
            <b/>
            <sz val="9"/>
            <color indexed="81"/>
            <rFont val="Tahoma"/>
            <family val="2"/>
          </rPr>
          <t>Jonathan Wilken:</t>
        </r>
        <r>
          <rPr>
            <sz val="9"/>
            <color indexed="81"/>
            <rFont val="Tahoma"/>
            <family val="2"/>
          </rPr>
          <t xml:space="preserve">
For add/omits. Should only be used if complete phrases &gt;= 1. Set to 0 for &lt; 1.
</t>
        </r>
      </text>
    </comment>
    <comment ref="J1" authorId="0" shapeId="0" xr:uid="{CC4428BD-D7A2-462E-9F5A-07B8CED40919}">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K1" authorId="0" shapeId="0" xr:uid="{D85DCADF-8BB3-40CD-A185-2A79B520E9A5}">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L1" authorId="0" shapeId="0" xr:uid="{8C21A342-9ACA-4D39-A9B3-40D2638770EB}">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M1" authorId="0" shapeId="0" xr:uid="{D58D2207-A34B-4055-8B44-E9EAD9319657}">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N1" authorId="0" shapeId="0" xr:uid="{7603B70B-BEF9-400C-8DC3-946DF1831D35}">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O1" authorId="0" shapeId="0" xr:uid="{97366825-953B-4D87-83AF-3D2D9788B1E4}">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P1" authorId="0" shapeId="0" xr:uid="{F2CA9B9A-28AC-4EDC-B9CB-6B7CC003FE16}">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Q1" authorId="0" shapeId="0" xr:uid="{E75B06C0-5A61-4530-AA0E-781E132F6F7D}">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R1" authorId="0" shapeId="0" xr:uid="{1FE561CD-1049-4327-BA1E-33EAEB319110}">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1" shapeId="0" xr:uid="{7B507FA7-AF5C-411A-95D0-0AFA31F01B19}">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2" shapeId="0" xr:uid="{489BCCBC-A4D0-4017-9F86-A1CEFD53E0C7}">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X1" authorId="0" shapeId="0" xr:uid="{6FC324A1-807F-4079-8DDC-B506DDA52224}">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Y1" authorId="0" shapeId="0" xr:uid="{718F52F7-70B3-4F9C-B9B0-E33C25737C9B}">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Z1" authorId="0" shapeId="0" xr:uid="{D50203A9-28EA-4851-B77F-31A0D153B844}">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A1" authorId="0" shapeId="0" xr:uid="{F1E53400-4ED2-4312-98C2-EDB36B5F22F2}">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C1" authorId="0" shapeId="0" xr:uid="{247D2046-2C8D-44BE-89A8-8F80820CE4BD}">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D1" authorId="0" shapeId="0" xr:uid="{F0577047-A62F-4871-B32B-49CBB88CEF60}">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E1" authorId="0" shapeId="0" xr:uid="{14058875-504F-424F-9ECF-775F02B895FB}">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4" authorId="3" shapeId="0" xr:uid="{8E985BA9-6AF0-45FF-843B-0FEF95B91163}">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5" authorId="4" shapeId="0" xr:uid="{3EACD204-3C28-4277-8497-B773AA305A65}">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6" authorId="5" shapeId="0" xr:uid="{6B87A07C-0DFF-4D77-9B82-E8880D26162E}">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tc={367D32D1-C02A-46C1-95B4-894F6A113383}</author>
    <author>tc={4FEF1A5F-B973-48EA-B7D7-8DBE3A0F687B}</author>
    <author>tc={ECF030FD-9963-423A-B5D5-648CC9314BAE}</author>
    <author>tc={D1F1DB30-91B1-44C2-8239-FFA7F91D64F4}</author>
    <author>tc={90F832D0-3D20-4737-9D6A-C0ED12E98858}</author>
  </authors>
  <commentList>
    <comment ref="A1" authorId="0" shapeId="0" xr:uid="{367D32D1-C02A-46C1-95B4-894F6A113383}">
      <text>
        <t>[Threaded comment]
Your version of Excel allows you to read this threaded comment; however, any edits to it will get removed if the file is opened in a newer version of Excel. Learn more: https://go.microsoft.com/fwlink/?linkid=870924
Comment:
    Word count of the apograph, for the extent of text copied from the exemplar. Not necessarily equal to the word count of a corpus, or the exemplar. Apograph word count was chosen over autograph since it would remain stable across comparisons to other potential autographa, when the exemplar is not known.</t>
      </text>
    </comment>
    <comment ref="A2" authorId="1" shapeId="0" xr:uid="{4FEF1A5F-B973-48EA-B7D7-8DBE3A0F687B}">
      <text>
        <t>[Threaded comment]
Your version of Excel allows you to read this threaded comment; however, any edits to it will get removed if the file is opened in a newer version of Excel. Learn more: https://go.microsoft.com/fwlink/?linkid=870924
Comment:
    The number of total deviations from the exemplar. Includes itacisms, orthographic changes, nonsense readings etc.</t>
      </text>
    </comment>
    <comment ref="A3" authorId="2" shapeId="0" xr:uid="{ECF030FD-9963-423A-B5D5-648CC9314BAE}">
      <text>
        <t>[Threaded comment]
Your version of Excel allows you to read this threaded comment; however, any edits to it will get removed if the file is opened in a newer version of Excel. Learn more: https://go.microsoft.com/fwlink/?linkid=870924
Comment:
    The number of "meaningful" variants produced by the scribe. Should be based on the "general filters" page, with those readings excluded that have not been deemed fit for analysis (e.g., nonsense readings and corrections thereof, itacisms etc.)</t>
      </text>
    </comment>
    <comment ref="A5" authorId="3" shapeId="0" xr:uid="{D1F1DB30-91B1-44C2-8239-FFA7F91D64F4}">
      <text>
        <t>[Threaded comment]
Your version of Excel allows you to read this threaded comment; however, any edits to it will get removed if the file is opened in a newer version of Excel. Learn more: https://go.microsoft.com/fwlink/?linkid=870924
Comment:
    The rate of error generation per 1000 words in the apograph. Figure includes itacisms, orthographic changes, nonsense readings etc.</t>
      </text>
    </comment>
    <comment ref="A6" authorId="4" shapeId="0" xr:uid="{90F832D0-3D20-4737-9D6A-C0ED12E98858}">
      <text>
        <t>[Threaded comment]
Your version of Excel allows you to read this threaded comment; however, any edits to it will get removed if the file is opened in a newer version of Excel. Learn more: https://go.microsoft.com/fwlink/?linkid=870924
Comment:
    Frequency of "meaningful" errors per 1000 words in the apograph. "Meaningful" errors are defined by the general filters applied to the raw data. (Here, this means the exclusion of such readings as itacisms, orthographic changes, variants involving nonsense readings etc.)</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Jonathan Wilken</author>
    <author>tc={ADE24BDD-0CE7-4984-89A2-6D5A7E1E6A0B}</author>
    <author>tc={23F03B20-D455-4555-A4DC-EEC2999F65F6}</author>
    <author>tc={15FF17AB-0A20-44B6-B50C-F6265097AD0E}</author>
    <author>tc={CA332D3B-255C-4BFE-A327-192CC1243DCB}</author>
  </authors>
  <commentList>
    <comment ref="A1" authorId="0" shapeId="0" xr:uid="{05E51D34-2F76-4EA3-9756-10DC5A681CE6}">
      <text>
        <r>
          <rPr>
            <b/>
            <sz val="9"/>
            <color indexed="81"/>
            <rFont val="Tahoma"/>
            <family val="2"/>
          </rPr>
          <t>Jonathan Wilken:</t>
        </r>
        <r>
          <rPr>
            <sz val="9"/>
            <color indexed="81"/>
            <rFont val="Tahoma"/>
            <family val="2"/>
          </rPr>
          <t xml:space="preserve">
Potential reasons why this reading should not be included in data analysis</t>
        </r>
      </text>
    </comment>
    <comment ref="B1" authorId="0" shapeId="0" xr:uid="{C05D5664-63DA-4F1D-B1CC-B5C61DE8C6C6}">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C1" authorId="0" shapeId="0" xr:uid="{89632D27-797E-46CA-AAEB-D1B14C9982F6}">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D1" authorId="0" shapeId="0" xr:uid="{BB5CBAAC-C8B1-4656-96BC-D620C95C2E16}">
      <text>
        <r>
          <rPr>
            <b/>
            <sz val="9"/>
            <color indexed="81"/>
            <rFont val="Tahoma"/>
            <family val="2"/>
          </rPr>
          <t>Jonathan Wilken:</t>
        </r>
        <r>
          <rPr>
            <sz val="9"/>
            <color indexed="81"/>
            <rFont val="Tahoma"/>
            <family val="2"/>
          </rPr>
          <t xml:space="preserve">
Add, omit, transposition, substitution, combo</t>
        </r>
      </text>
    </comment>
    <comment ref="L3" authorId="1" shapeId="0" xr:uid="{ADE24BDD-0CE7-4984-89A2-6D5A7E1E6A0B}">
      <text>
        <t>[Threaded comment]
Your version of Excel allows you to read this threaded comment; however, any edits to it will get removed if the file is opened in a newer version of Excel. Learn more: https://go.microsoft.com/fwlink/?linkid=870924
Comment:
    The apograph reading is singular and the autograph reading is not. The singular readings method would detect this variant</t>
      </text>
    </comment>
    <comment ref="L4" authorId="2" shapeId="0" xr:uid="{23F03B20-D455-4555-A4DC-EEC2999F65F6}">
      <text>
        <t>[Threaded comment]
Your version of Excel allows you to read this threaded comment; however, any edits to it will get removed if the file is opened in a newer version of Excel. Learn more: https://go.microsoft.com/fwlink/?linkid=870924
Comment:
    That is, the autograph contains a singular reading and the apograph followed it</t>
      </text>
    </comment>
    <comment ref="L5" authorId="3" shapeId="0" xr:uid="{15FF17AB-0A20-44B6-B50C-F6265097AD0E}">
      <text>
        <t>[Threaded comment]
Your version of Excel allows you to read this threaded comment; however, any edits to it will get removed if the file is opened in a newer version of Excel. Learn more: https://go.microsoft.com/fwlink/?linkid=870924
Comment:
    The apograph reading is not singular: other witnesses contain the same reading. These are real variants produced by the apograph scribe, but the singular readings method would not detect them</t>
      </text>
    </comment>
    <comment ref="N13" authorId="4" shapeId="0" xr:uid="{CA332D3B-255C-4BFE-A327-192CC1243DCB}">
      <text>
        <t>[Threaded comment]
Your version of Excel allows you to read this threaded comment; however, any edits to it will get removed if the file is opened in a newer version of Excel. Learn more: https://go.microsoft.com/fwlink/?linkid=870924
Comment:
    For words which have multiple common forms not impacting their inflection (e.g., ουκ-ουχ-ου, επι-επ-εφ)</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<sst xmlns="http://schemas.openxmlformats.org/spreadsheetml/2006/main" count="19646" uniqueCount="2463">
  <si>
    <t>Verse Ref</t>
  </si>
  <si>
    <t>Phys Loc 1</t>
  </si>
  <si>
    <t>Phys Loc 2</t>
  </si>
  <si>
    <t>Basic Type</t>
  </si>
  <si>
    <t>Harmonizing</t>
  </si>
  <si>
    <t>Autograph</t>
  </si>
  <si>
    <t>Apograph</t>
  </si>
  <si>
    <t>Detail</t>
  </si>
  <si>
    <t>Exclusion grounds</t>
  </si>
  <si>
    <t>Corrector followed</t>
  </si>
  <si>
    <t>Apograph corrected</t>
  </si>
  <si>
    <t>Autograph unclear</t>
  </si>
  <si>
    <t>Autograph unclear (but clear enough)</t>
  </si>
  <si>
    <t>Autograph unclear (Apograph reading likely)</t>
  </si>
  <si>
    <t>Damage to autograph</t>
  </si>
  <si>
    <t>Not a variant: autograph transcript error</t>
  </si>
  <si>
    <t>Not a variant: apograph transcript error</t>
  </si>
  <si>
    <t>Apograph unclear</t>
  </si>
  <si>
    <t>Marked Regularization?</t>
  </si>
  <si>
    <t>Yes</t>
  </si>
  <si>
    <t>No</t>
  </si>
  <si>
    <t>Yes, but still an error</t>
  </si>
  <si>
    <t>Yes, partially</t>
  </si>
  <si>
    <t>Yes, to another error</t>
  </si>
  <si>
    <t>Addition</t>
  </si>
  <si>
    <t>Omission</t>
  </si>
  <si>
    <t>Transposition</t>
  </si>
  <si>
    <t>Multiple</t>
  </si>
  <si>
    <t>Apograph unclear (but clear enough)</t>
  </si>
  <si>
    <t>Apograph unclear (Autograph reading likely)</t>
  </si>
  <si>
    <t>Unclear due to correction</t>
  </si>
  <si>
    <t>Autograph transcript error, but still a variant</t>
  </si>
  <si>
    <t>Apograph transcript error, but still a variant</t>
  </si>
  <si>
    <t>Both transcripts in error, but still a variant</t>
  </si>
  <si>
    <t>Not a variant: error in both transcripts</t>
  </si>
  <si>
    <t>Not a variant, but correction is</t>
  </si>
  <si>
    <t>Other</t>
  </si>
  <si>
    <t>TReub.1.5</t>
  </si>
  <si>
    <t>TReub.1.7</t>
  </si>
  <si>
    <t>προσηυξατο</t>
  </si>
  <si>
    <t>προσχυξατο</t>
  </si>
  <si>
    <t>TReub.2.9</t>
  </si>
  <si>
    <t>TReub.3.1</t>
  </si>
  <si>
    <t>TReub.3.3</t>
  </si>
  <si>
    <t>απληστειας</t>
  </si>
  <si>
    <t>απληστιας</t>
  </si>
  <si>
    <t>TReub.3.4</t>
  </si>
  <si>
    <t>μαγγανιας</t>
  </si>
  <si>
    <t>μαγγανειας</t>
  </si>
  <si>
    <t>περιεργειας</t>
  </si>
  <si>
    <t>περιεργιας</t>
  </si>
  <si>
    <t>TReub.3.5</t>
  </si>
  <si>
    <t>υπερηφανειας</t>
  </si>
  <si>
    <t>υπερηφανιας</t>
  </si>
  <si>
    <t>απωλεια</t>
  </si>
  <si>
    <t>απολεια</t>
  </si>
  <si>
    <t>TReub.3.7</t>
  </si>
  <si>
    <t>TReub.3.9</t>
  </si>
  <si>
    <t>TReub.3.11</t>
  </si>
  <si>
    <t>σκεπινω</t>
  </si>
  <si>
    <t>σκεπηνω</t>
  </si>
  <si>
    <t>TReub.3.13</t>
  </si>
  <si>
    <t>εφραθα</t>
  </si>
  <si>
    <t>εφρανθα</t>
  </si>
  <si>
    <t>TReub.3.14</t>
  </si>
  <si>
    <t>καταλειπων</t>
  </si>
  <si>
    <t>καταλιπων</t>
  </si>
  <si>
    <t>TReub.3.15</t>
  </si>
  <si>
    <t>TReub.4.1</t>
  </si>
  <si>
    <t>μοχθωντες</t>
  </si>
  <si>
    <t>μοχθουντες</t>
  </si>
  <si>
    <t>αποπλανωμενοι</t>
  </si>
  <si>
    <t>απολανωμενοι</t>
  </si>
  <si>
    <t>TReub.4.4</t>
  </si>
  <si>
    <t>ηυξατο</t>
  </si>
  <si>
    <t>TReub.4.5</t>
  </si>
  <si>
    <t>φυλαξασθε</t>
  </si>
  <si>
    <t>φυλαξεσθε</t>
  </si>
  <si>
    <t>αμαρτησητε</t>
  </si>
  <si>
    <t>αμαρτησατε</t>
  </si>
  <si>
    <t>TReub.4.7</t>
  </si>
  <si>
    <t>TReub.4.8</t>
  </si>
  <si>
    <t>εκαθαιρισεν</t>
  </si>
  <si>
    <t>εκαθαρισεν</t>
  </si>
  <si>
    <t>TReub.4.9</t>
  </si>
  <si>
    <t>προσηνεγκε</t>
  </si>
  <si>
    <t>προσενεγκε</t>
  </si>
  <si>
    <t>TReub.4.11</t>
  </si>
  <si>
    <t>TReub.5.2</t>
  </si>
  <si>
    <t>καταγωνισασθαι</t>
  </si>
  <si>
    <t>καταγωνιζασθαι</t>
  </si>
  <si>
    <t>TReub.5.3</t>
  </si>
  <si>
    <t>TReub.5.6</t>
  </si>
  <si>
    <t>εγγρηγορους</t>
  </si>
  <si>
    <t>εγρηγορους</t>
  </si>
  <si>
    <t>TReub.5.7</t>
  </si>
  <si>
    <t>εγγρηγορες</t>
  </si>
  <si>
    <t>εγρηγορες</t>
  </si>
  <si>
    <t>TReub.6.1</t>
  </si>
  <si>
    <t>θηλειας</t>
  </si>
  <si>
    <t>θελειας</t>
  </si>
  <si>
    <t>TReub.6.2</t>
  </si>
  <si>
    <t>TReub.6.5</t>
  </si>
  <si>
    <t>ζηλωσατε</t>
  </si>
  <si>
    <t>ζηλωσετε</t>
  </si>
  <si>
    <t>ζητησατε</t>
  </si>
  <si>
    <t>ζητησετε</t>
  </si>
  <si>
    <t>TReub.6.6</t>
  </si>
  <si>
    <t>TReub.6.7</t>
  </si>
  <si>
    <t>TReub.6.8</t>
  </si>
  <si>
    <t>TReub.6.9</t>
  </si>
  <si>
    <t>TReub.6.12</t>
  </si>
  <si>
    <t>προσκυνησατε</t>
  </si>
  <si>
    <t>προσκυνησετε</t>
  </si>
  <si>
    <t>TSim.1.1</t>
  </si>
  <si>
    <t>TSim.1.2</t>
  </si>
  <si>
    <t>TSim.2.2</t>
  </si>
  <si>
    <t>εγεννηθην</t>
  </si>
  <si>
    <t>εγενηθην</t>
  </si>
  <si>
    <t>TSim.2.3</t>
  </si>
  <si>
    <t>δυνατος</t>
  </si>
  <si>
    <t>δυναντος</t>
  </si>
  <si>
    <t>TSim.2.6</t>
  </si>
  <si>
    <t>TSim.2.8</t>
  </si>
  <si>
    <t>TSim.2.9</t>
  </si>
  <si>
    <t>σικιμοις</t>
  </si>
  <si>
    <t>σικημοις</t>
  </si>
  <si>
    <t>δοθαειμ</t>
  </si>
  <si>
    <t>δοθαιμ</t>
  </si>
  <si>
    <t>ενχρηζοντα</t>
  </si>
  <si>
    <t>εγχρηζοντα</t>
  </si>
  <si>
    <t>TSim.2.12</t>
  </si>
  <si>
    <t>TSim.2.13</t>
  </si>
  <si>
    <t>TSim.2.14</t>
  </si>
  <si>
    <t>TSim.3.4</t>
  </si>
  <si>
    <t>TSim.3.5</t>
  </si>
  <si>
    <t>καταφυγη</t>
  </si>
  <si>
    <t>καταφευγη</t>
  </si>
  <si>
    <t>TSim.4.4</t>
  </si>
  <si>
    <t>TSim.4.5</t>
  </si>
  <si>
    <t>εννοωντες</t>
  </si>
  <si>
    <t>εννοουντες</t>
  </si>
  <si>
    <t>TSim.4.6</t>
  </si>
  <si>
    <t>TSim.4.8</t>
  </si>
  <si>
    <t>TSim.4.9</t>
  </si>
  <si>
    <t>TSim.5.1</t>
  </si>
  <si>
    <t>ουδεν</t>
  </si>
  <si>
    <t>TSim.5.2</t>
  </si>
  <si>
    <t>TSim.5.4</t>
  </si>
  <si>
    <t>TSim.5.6</t>
  </si>
  <si>
    <t>ολιγοστοι</t>
  </si>
  <si>
    <t>ολιγιστοι</t>
  </si>
  <si>
    <t>TSim.6.2</t>
  </si>
  <si>
    <t>TSim.6.3</t>
  </si>
  <si>
    <t>απολειται</t>
  </si>
  <si>
    <t>απολειτει</t>
  </si>
  <si>
    <t>TSim.6.4</t>
  </si>
  <si>
    <t>TSim.6.6</t>
  </si>
  <si>
    <t>TSim.6.7</t>
  </si>
  <si>
    <t>TSim.7.1</t>
  </si>
  <si>
    <t>υπακουετε</t>
  </si>
  <si>
    <t>υπακουσετε</t>
  </si>
  <si>
    <t>TSim.7.2</t>
  </si>
  <si>
    <t>TSim.7.3</t>
  </si>
  <si>
    <t>TSim.8.1</t>
  </si>
  <si>
    <t>TSim.8.3</t>
  </si>
  <si>
    <t>TSim.8.4</t>
  </si>
  <si>
    <t>οστων</t>
  </si>
  <si>
    <t>οστεων</t>
  </si>
  <si>
    <t>TLev.1.2</t>
  </si>
  <si>
    <t>TLev.2.1</t>
  </si>
  <si>
    <t>σικιμα</t>
  </si>
  <si>
    <t>σικημα</t>
  </si>
  <si>
    <t>TLev.2.2</t>
  </si>
  <si>
    <t>εμμωρ</t>
  </si>
  <si>
    <t>εμωρ</t>
  </si>
  <si>
    <t>TLev.2.3</t>
  </si>
  <si>
    <t>TLev.2.4</t>
  </si>
  <si>
    <t>TLev.2.6</t>
  </si>
  <si>
    <t>TLev.2.8</t>
  </si>
  <si>
    <t>TLev.2.9</t>
  </si>
  <si>
    <t>φαιδροτερους</t>
  </si>
  <si>
    <t>φαιδρωτερους</t>
  </si>
  <si>
    <t>TLev.2.10</t>
  </si>
  <si>
    <t>TLev.2.12</t>
  </si>
  <si>
    <t>TLev.4.1</t>
  </si>
  <si>
    <t>TLev.4.3</t>
  </si>
  <si>
    <t>TLev.4.4</t>
  </si>
  <si>
    <t>επισκεψηται</t>
  </si>
  <si>
    <t>επισκεψεται</t>
  </si>
  <si>
    <t>TLev.4.5</t>
  </si>
  <si>
    <t>δεδωται</t>
  </si>
  <si>
    <t>δεδοται</t>
  </si>
  <si>
    <t>TLev.5.2</t>
  </si>
  <si>
    <t>εμμεσω</t>
  </si>
  <si>
    <t>TLev.5.4</t>
  </si>
  <si>
    <t>TLev.5.5</t>
  </si>
  <si>
    <t>επικαλεσωμαι</t>
  </si>
  <si>
    <t>επικαλωμαι</t>
  </si>
  <si>
    <t>TLev.5.6</t>
  </si>
  <si>
    <t>TLev.6.1</t>
  </si>
  <si>
    <t>TLev.6.2</t>
  </si>
  <si>
    <t>TLev.6.3</t>
  </si>
  <si>
    <t>TLev.6.4</t>
  </si>
  <si>
    <t>TLev.6.7</t>
  </si>
  <si>
    <t>TLev.6.8</t>
  </si>
  <si>
    <t>TLev.6.9</t>
  </si>
  <si>
    <t>ιεβλαε</t>
  </si>
  <si>
    <t>ιεβλαι</t>
  </si>
  <si>
    <t>TLev.7.1</t>
  </si>
  <si>
    <t>TLev.7.2</t>
  </si>
  <si>
    <t>σικιμ</t>
  </si>
  <si>
    <t>σικημ</t>
  </si>
  <si>
    <t>χλευασαι</t>
  </si>
  <si>
    <t>χλευασει</t>
  </si>
  <si>
    <t>TLev.7.4</t>
  </si>
  <si>
    <t>απαραντες</t>
  </si>
  <si>
    <t>απαροντες</t>
  </si>
  <si>
    <t>βεθηλ</t>
  </si>
  <si>
    <t>βαιθηλ</t>
  </si>
  <si>
    <t>TLev.8.3</t>
  </si>
  <si>
    <t>ειπαν</t>
  </si>
  <si>
    <t>ειπον</t>
  </si>
  <si>
    <t>TLev.8.5</t>
  </si>
  <si>
    <t>TLev.8.8</t>
  </si>
  <si>
    <t>ποιοτητος</t>
  </si>
  <si>
    <t>πιοτητος</t>
  </si>
  <si>
    <t>TLev.8.9</t>
  </si>
  <si>
    <t>κεφανη</t>
  </si>
  <si>
    <t>κεφαλη</t>
  </si>
  <si>
    <t>TLev.8.10</t>
  </si>
  <si>
    <t>TLev.8.12</t>
  </si>
  <si>
    <t>TLev.8.17</t>
  </si>
  <si>
    <t>φυλαχθησεται</t>
  </si>
  <si>
    <t>φυλακθησεται</t>
  </si>
  <si>
    <t>TLev.8.18</t>
  </si>
  <si>
    <t>TLev.8.19</t>
  </si>
  <si>
    <t>TLev.9.1</t>
  </si>
  <si>
    <t>TLev.9.2</t>
  </si>
  <si>
    <t>TLev.9.9</t>
  </si>
  <si>
    <t>ενδελεχιει</t>
  </si>
  <si>
    <t>ενδελεχει</t>
  </si>
  <si>
    <t>TLev.9.10</t>
  </si>
  <si>
    <t>TLev.9.11</t>
  </si>
  <si>
    <t>TLev.9.12</t>
  </si>
  <si>
    <t>TLev.9.13</t>
  </si>
  <si>
    <t>TLev.9.14</t>
  </si>
  <si>
    <t>TLev.10.1</t>
  </si>
  <si>
    <t>φυλαξατε</t>
  </si>
  <si>
    <t>TLev.10.2</t>
  </si>
  <si>
    <t>TLev.10.3</t>
  </si>
  <si>
    <t>TLev.10.4</t>
  </si>
  <si>
    <t>TLev.11.1</t>
  </si>
  <si>
    <t>TLev.11.3</t>
  </si>
  <si>
    <t>TLev.11.4</t>
  </si>
  <si>
    <t>εγεννηθη</t>
  </si>
  <si>
    <t>εγενηθη</t>
  </si>
  <si>
    <t>TLev.11.6</t>
  </si>
  <si>
    <t>TLev.11.8</t>
  </si>
  <si>
    <t>ιωχαβεδ</t>
  </si>
  <si>
    <t>ιοχαβεδ</t>
  </si>
  <si>
    <t>TLev.12.1</t>
  </si>
  <si>
    <t>TLev.12.2</t>
  </si>
  <si>
    <t>TLev.12.3</t>
  </si>
  <si>
    <t>TLev.12.4</t>
  </si>
  <si>
    <t>εγεννηθησαν</t>
  </si>
  <si>
    <t>εγενηθησαν</t>
  </si>
  <si>
    <t>TLev.12.5</t>
  </si>
  <si>
    <t>οκτωκαιδεκα</t>
  </si>
  <si>
    <t>TLev.12.6</t>
  </si>
  <si>
    <t>TLev.12.7</t>
  </si>
  <si>
    <t>TLev.13.1</t>
  </si>
  <si>
    <t>TLev.13.3</t>
  </si>
  <si>
    <t>TLev.13.4</t>
  </si>
  <si>
    <t>κτησηται</t>
  </si>
  <si>
    <t>κτησεται</t>
  </si>
  <si>
    <t>TLev.13.5</t>
  </si>
  <si>
    <t>ευρητε</t>
  </si>
  <si>
    <t>ευρετε</t>
  </si>
  <si>
    <t>TLev.13.6</t>
  </si>
  <si>
    <t>θερισητε</t>
  </si>
  <si>
    <t>θερισετε</t>
  </si>
  <si>
    <t>TLev.13.8</t>
  </si>
  <si>
    <t>ευρεθησεται</t>
  </si>
  <si>
    <t>ευρηθησεται</t>
  </si>
  <si>
    <t>TLev.13.9</t>
  </si>
  <si>
    <t>πραττη</t>
  </si>
  <si>
    <t>πρασση</t>
  </si>
  <si>
    <t>TLev.14.1</t>
  </si>
  <si>
    <t>ασεβησητε</t>
  </si>
  <si>
    <t>ασεβησετε</t>
  </si>
  <si>
    <t>TLev.14.2</t>
  </si>
  <si>
    <t>TLev.14.4</t>
  </si>
  <si>
    <t>επαξετε</t>
  </si>
  <si>
    <t>επαξητε</t>
  </si>
  <si>
    <t>TLev.14.5</t>
  </si>
  <si>
    <t>ληστευσητε</t>
  </si>
  <si>
    <t>ληστευετε</t>
  </si>
  <si>
    <t>κλεψητε</t>
  </si>
  <si>
    <t>κλεψετε</t>
  </si>
  <si>
    <t>TLev.14.6</t>
  </si>
  <si>
    <t>διδαξητε</t>
  </si>
  <si>
    <t>διδαξετε</t>
  </si>
  <si>
    <t>βεβηλωσητε</t>
  </si>
  <si>
    <t>βεβηλωσετε</t>
  </si>
  <si>
    <t>πορναις</t>
  </si>
  <si>
    <t>πορηναις</t>
  </si>
  <si>
    <t>μοιχαλισι</t>
  </si>
  <si>
    <t>μοικαλισι</t>
  </si>
  <si>
    <t>καθαριζοντες</t>
  </si>
  <si>
    <t>καθαρισοντες</t>
  </si>
  <si>
    <t>TLev.14.7</t>
  </si>
  <si>
    <t>TLev.14.8</t>
  </si>
  <si>
    <t>καταπαιξετε</t>
  </si>
  <si>
    <t>καταπαιζετε</t>
  </si>
  <si>
    <t>TLev.15.1</t>
  </si>
  <si>
    <t>TLev.15.4</t>
  </si>
  <si>
    <t>TLev.16.1</t>
  </si>
  <si>
    <t>TLev.16.2</t>
  </si>
  <si>
    <t>αφανισητε</t>
  </si>
  <si>
    <t>αφανισετε</t>
  </si>
  <si>
    <t>εξουθενωσητε</t>
  </si>
  <si>
    <t>εξουδενωσετε</t>
  </si>
  <si>
    <t>μισησητε</t>
  </si>
  <si>
    <t>μισησετε</t>
  </si>
  <si>
    <t>βδελυξησθε</t>
  </si>
  <si>
    <t>βδελυξεσθε</t>
  </si>
  <si>
    <t>TLev.16.3</t>
  </si>
  <si>
    <t>TLev.16.4</t>
  </si>
  <si>
    <t>μεμιαμμενα</t>
  </si>
  <si>
    <t>μεμιαμενα</t>
  </si>
  <si>
    <t>TLev.16.5</t>
  </si>
  <si>
    <t>TLev.17.1</t>
  </si>
  <si>
    <t>TLev.17.2</t>
  </si>
  <si>
    <t>TLev.17.3</t>
  </si>
  <si>
    <t>TLev.17.4</t>
  </si>
  <si>
    <t>TLev.17.5</t>
  </si>
  <si>
    <t>TLev.17.7</t>
  </si>
  <si>
    <t>ωσσαυτως</t>
  </si>
  <si>
    <t>TLev.17.10</t>
  </si>
  <si>
    <t>εμπεμπτη</t>
  </si>
  <si>
    <t>ευπεμπτη</t>
  </si>
  <si>
    <t>TLev.17.11</t>
  </si>
  <si>
    <t>TLev.18.3</t>
  </si>
  <si>
    <t>TLev.18.5</t>
  </si>
  <si>
    <t>χαρισεται</t>
  </si>
  <si>
    <t>χαρησεται</t>
  </si>
  <si>
    <t>χαρισονται</t>
  </si>
  <si>
    <t>χαρησονται</t>
  </si>
  <si>
    <t>TLev.18.6</t>
  </si>
  <si>
    <t>TLev.18.8</t>
  </si>
  <si>
    <t>ειπωμεν</t>
  </si>
  <si>
    <t>TLev.19.4</t>
  </si>
  <si>
    <t>TLev.19.5</t>
  </si>
  <si>
    <t>σωρω</t>
  </si>
  <si>
    <t>σορω</t>
  </si>
  <si>
    <t>TJud.1.3</t>
  </si>
  <si>
    <t>TJud.1.4</t>
  </si>
  <si>
    <t>TJud.1.5</t>
  </si>
  <si>
    <t>TJud.1.6</t>
  </si>
  <si>
    <t>ηυυξατο</t>
  </si>
  <si>
    <t>κατευοδουμενος</t>
  </si>
  <si>
    <t>TJud.2.1</t>
  </si>
  <si>
    <t>TJud.2.2</t>
  </si>
  <si>
    <t>TJud.2.3</t>
  </si>
  <si>
    <t>TJud.2.4</t>
  </si>
  <si>
    <t>αφελομην</t>
  </si>
  <si>
    <t>αφειλαμην</t>
  </si>
  <si>
    <t>αρκον</t>
  </si>
  <si>
    <t>αρκτον</t>
  </si>
  <si>
    <t>απεκυλησα</t>
  </si>
  <si>
    <t>απελυσα</t>
  </si>
  <si>
    <t>διησπουν</t>
  </si>
  <si>
    <t>διεσπουν</t>
  </si>
  <si>
    <t>TJud.2.5</t>
  </si>
  <si>
    <t>TJud.2.6</t>
  </si>
  <si>
    <t>οριοις</t>
  </si>
  <si>
    <t>οροις</t>
  </si>
  <si>
    <t>TJud.2.7</t>
  </si>
  <si>
    <t>TJud.3.1</t>
  </si>
  <si>
    <t>TJud.3.2</t>
  </si>
  <si>
    <t>TJud.3.3</t>
  </si>
  <si>
    <t>ανελομενος</t>
  </si>
  <si>
    <t>ανειλομενος</t>
  </si>
  <si>
    <t>TJud.3.4</t>
  </si>
  <si>
    <t>πολεμησας</t>
  </si>
  <si>
    <t>πολημησας</t>
  </si>
  <si>
    <t>TJud.3.5</t>
  </si>
  <si>
    <t>TJud.3.6</t>
  </si>
  <si>
    <t>ενειλισας</t>
  </si>
  <si>
    <t>ενειλησας</t>
  </si>
  <si>
    <t>σφενδωνισας</t>
  </si>
  <si>
    <t>σφενδονησας</t>
  </si>
  <si>
    <t>TJud.3.7</t>
  </si>
  <si>
    <t>πηχων</t>
  </si>
  <si>
    <t>πηχεων</t>
  </si>
  <si>
    <t>TJud.3.9</t>
  </si>
  <si>
    <t>TJud.3.10</t>
  </si>
  <si>
    <t>TJud.4.1</t>
  </si>
  <si>
    <t>παραταξαμενος</t>
  </si>
  <si>
    <t>TJud.4.2</t>
  </si>
  <si>
    <t>TJud.4.3</t>
  </si>
  <si>
    <t>TJud.5.1</t>
  </si>
  <si>
    <t>τειχειρη</t>
  </si>
  <si>
    <t>τειχηρη</t>
  </si>
  <si>
    <t>TJud.5.3</t>
  </si>
  <si>
    <t>νομισαντες</t>
  </si>
  <si>
    <t>νομιζοντες</t>
  </si>
  <si>
    <t>TJud.5.4</t>
  </si>
  <si>
    <t>TJud.5.5</t>
  </si>
  <si>
    <t>εμπρισαντες</t>
  </si>
  <si>
    <t>εμπρησαντες</t>
  </si>
  <si>
    <t>TJud.5.6</t>
  </si>
  <si>
    <t>TJud.5.7</t>
  </si>
  <si>
    <t>TJud.6.1</t>
  </si>
  <si>
    <t>TJud.6.2</t>
  </si>
  <si>
    <t>TJud.6.3</t>
  </si>
  <si>
    <t>TJud.6.5</t>
  </si>
  <si>
    <t>επιλαβομεθα</t>
  </si>
  <si>
    <t>επελαβομεθα</t>
  </si>
  <si>
    <t>TJud.7.1</t>
  </si>
  <si>
    <t>ερρεθη</t>
  </si>
  <si>
    <t>TJud.7.3</t>
  </si>
  <si>
    <t>καθειλομεν</t>
  </si>
  <si>
    <t>καθειλαμεν</t>
  </si>
  <si>
    <t>TJud.7.7</t>
  </si>
  <si>
    <t>εποιησεν</t>
  </si>
  <si>
    <t>εποιησαν</t>
  </si>
  <si>
    <t>TJud.7.8</t>
  </si>
  <si>
    <t>ουθεν</t>
  </si>
  <si>
    <t>TJud.7.9</t>
  </si>
  <si>
    <t>TJud.8.1</t>
  </si>
  <si>
    <t>ιραν</t>
  </si>
  <si>
    <t>ιεραμ</t>
  </si>
  <si>
    <t>οδολαμητην</t>
  </si>
  <si>
    <t>οδολαμιτην</t>
  </si>
  <si>
    <t>TJud.8.2</t>
  </si>
  <si>
    <t>TJud.8.3</t>
  </si>
  <si>
    <t>ηρ</t>
  </si>
  <si>
    <t>ειρ</t>
  </si>
  <si>
    <t>σιλωμ</t>
  </si>
  <si>
    <t>TJud.9.1</t>
  </si>
  <si>
    <t>TJud.9.2</t>
  </si>
  <si>
    <t>TJud.9.5</t>
  </si>
  <si>
    <t>ανειλον</t>
  </si>
  <si>
    <t>TJud.9.6</t>
  </si>
  <si>
    <t>TJud.9.7</t>
  </si>
  <si>
    <t>TJud.9.8</t>
  </si>
  <si>
    <t>πυρου</t>
  </si>
  <si>
    <t>TJud.10.1</t>
  </si>
  <si>
    <t>TJud.10.2</t>
  </si>
  <si>
    <t>TJud.10.5</t>
  </si>
  <si>
    <t>TJud.11.1</t>
  </si>
  <si>
    <t>TJud.11.3</t>
  </si>
  <si>
    <t>TJud.12.1</t>
  </si>
  <si>
    <t>TJud.12.2</t>
  </si>
  <si>
    <t>TJud.12.3</t>
  </si>
  <si>
    <t>υδασι</t>
  </si>
  <si>
    <t>υδατι</t>
  </si>
  <si>
    <t>TJud.12.4</t>
  </si>
  <si>
    <t>εκκλινας</t>
  </si>
  <si>
    <t>εκλινας</t>
  </si>
  <si>
    <t>ειπων</t>
  </si>
  <si>
    <t>TJud.12.5</t>
  </si>
  <si>
    <t>κατησχυνε</t>
  </si>
  <si>
    <t>κατεσχυνε</t>
  </si>
  <si>
    <t>TJud.12.6</t>
  </si>
  <si>
    <t>TJud.12.7</t>
  </si>
  <si>
    <t>TJud.12.8</t>
  </si>
  <si>
    <t>TJud.12.9</t>
  </si>
  <si>
    <t>TJud.12.10</t>
  </si>
  <si>
    <t>TJud.12.11</t>
  </si>
  <si>
    <t>ιωσηφ</t>
  </si>
  <si>
    <t>ιωωσηφ</t>
  </si>
  <si>
    <t>TJud.12.12</t>
  </si>
  <si>
    <t>TJud.13.1</t>
  </si>
  <si>
    <t>TJud.13.2</t>
  </si>
  <si>
    <t>υπερηφανεια</t>
  </si>
  <si>
    <t>υπερηφανια</t>
  </si>
  <si>
    <t>TJud.13.3</t>
  </si>
  <si>
    <t>παρεταξατο</t>
  </si>
  <si>
    <t>παρεταξαντο</t>
  </si>
  <si>
    <t>TJud.13.5</t>
  </si>
  <si>
    <t>χρυσω</t>
  </si>
  <si>
    <t>χρυσιω</t>
  </si>
  <si>
    <t>TJud.13.6</t>
  </si>
  <si>
    <t>TJud.13.8</t>
  </si>
  <si>
    <t>TJud.14.1</t>
  </si>
  <si>
    <t>TJud.14.2</t>
  </si>
  <si>
    <t>TJud.14.3</t>
  </si>
  <si>
    <t>TJud.14.4</t>
  </si>
  <si>
    <t>TJud.14.6</t>
  </si>
  <si>
    <t>TJud.14.7</t>
  </si>
  <si>
    <t>TJud.14.8</t>
  </si>
  <si>
    <t>TJud.15.5</t>
  </si>
  <si>
    <t>TJud.15.6</t>
  </si>
  <si>
    <t>αιρουσι</t>
  </si>
  <si>
    <t>αρουσι</t>
  </si>
  <si>
    <t>TJud.16.1</t>
  </si>
  <si>
    <t>αισχροκερδιας</t>
  </si>
  <si>
    <t>αισχροκαρδιας</t>
  </si>
  <si>
    <t>TJud.16.2</t>
  </si>
  <si>
    <t>ευφροσυνη</t>
  </si>
  <si>
    <t>ευφοσυνη</t>
  </si>
  <si>
    <t>TJud.16.3</t>
  </si>
  <si>
    <t>πιετε</t>
  </si>
  <si>
    <t>πιητε</t>
  </si>
  <si>
    <t>TJud.16.4</t>
  </si>
  <si>
    <t>TJud.17.1</t>
  </si>
  <si>
    <t>TJud.17.2</t>
  </si>
  <si>
    <t>TJud.17.5</t>
  </si>
  <si>
    <t>TJud.17.6</t>
  </si>
  <si>
    <t>TJud.18.1</t>
  </si>
  <si>
    <t>βιβλοις</t>
  </si>
  <si>
    <t>βιβλιοις</t>
  </si>
  <si>
    <t>TJud.18.2</t>
  </si>
  <si>
    <t>TJud.18.3</t>
  </si>
  <si>
    <t>TJud.18.4</t>
  </si>
  <si>
    <t>αγαθοσυνης</t>
  </si>
  <si>
    <t>αγαθωσυνης</t>
  </si>
  <si>
    <t>TJud.18.5</t>
  </si>
  <si>
    <t>προσωχθιζει</t>
  </si>
  <si>
    <t>προσοχθιζει</t>
  </si>
  <si>
    <t>TJud.19.2</t>
  </si>
  <si>
    <t>TJud.19.3</t>
  </si>
  <si>
    <t>TJud.19.4</t>
  </si>
  <si>
    <t>TJud.20.1</t>
  </si>
  <si>
    <t>TJud.21.1</t>
  </si>
  <si>
    <t>TJud.21.3</t>
  </si>
  <si>
    <t>TJud.21.4</t>
  </si>
  <si>
    <t>TJud.23.1</t>
  </si>
  <si>
    <t>ασελγιας</t>
  </si>
  <si>
    <t>ασελγειας</t>
  </si>
  <si>
    <t>TJud.23.2</t>
  </si>
  <si>
    <t>TJud.23.3</t>
  </si>
  <si>
    <t>συμβιων</t>
  </si>
  <si>
    <t>συνβιων</t>
  </si>
  <si>
    <t>TJud.23.5</t>
  </si>
  <si>
    <t>TJud.24.1</t>
  </si>
  <si>
    <t>δικαιοσυνη</t>
  </si>
  <si>
    <t>δικαισσυνη</t>
  </si>
  <si>
    <t>TJud.24.2</t>
  </si>
  <si>
    <t>TJud.25.2</t>
  </si>
  <si>
    <t>ισαχαρ</t>
  </si>
  <si>
    <t>ισακαρ</t>
  </si>
  <si>
    <t>TJud.25.3</t>
  </si>
  <si>
    <t>TJud.25.5</t>
  </si>
  <si>
    <t>αμαρτωλοι</t>
  </si>
  <si>
    <t>αμαρτολοι</t>
  </si>
  <si>
    <t>TJud.26.1</t>
  </si>
  <si>
    <t>TJud.26.2</t>
  </si>
  <si>
    <t>TJud.26.3</t>
  </si>
  <si>
    <t>TIss.1.3</t>
  </si>
  <si>
    <t>προαπαντησασα</t>
  </si>
  <si>
    <t>προσαπαντησασα</t>
  </si>
  <si>
    <t>ραχιηλ</t>
  </si>
  <si>
    <t>ραχηλ</t>
  </si>
  <si>
    <t>TIss.1.4</t>
  </si>
  <si>
    <t>λια</t>
  </si>
  <si>
    <t>λεια</t>
  </si>
  <si>
    <t>TIss.1.6</t>
  </si>
  <si>
    <t>TIss.1.7</t>
  </si>
  <si>
    <t>TIss.1.8</t>
  </si>
  <si>
    <t>TIss.1.9</t>
  </si>
  <si>
    <t>TIss.1.10</t>
  </si>
  <si>
    <t>TIss.1.11</t>
  </si>
  <si>
    <t>TIss.1.12</t>
  </si>
  <si>
    <t>TIss.1.13</t>
  </si>
  <si>
    <t>TIss.1.15</t>
  </si>
  <si>
    <t>λιαν</t>
  </si>
  <si>
    <t>λειαν</t>
  </si>
  <si>
    <t>TIss.2.2</t>
  </si>
  <si>
    <t>μανδραγοραις</t>
  </si>
  <si>
    <t>μανδραγοροις</t>
  </si>
  <si>
    <t>TIss.2.4</t>
  </si>
  <si>
    <t>προσθησα</t>
  </si>
  <si>
    <t>προσθεισα</t>
  </si>
  <si>
    <t>TIss.2.5</t>
  </si>
  <si>
    <t>TIss.3.3</t>
  </si>
  <si>
    <t>TIss.3.5</t>
  </si>
  <si>
    <t>TIss.3.6</t>
  </si>
  <si>
    <t>TIss.3.7</t>
  </si>
  <si>
    <t>εδιπλασιαζε</t>
  </si>
  <si>
    <t>εδιπλασιασε</t>
  </si>
  <si>
    <t>TIss.3.8</t>
  </si>
  <si>
    <t>TIss.4.1</t>
  </si>
  <si>
    <t>TIss.4.2</t>
  </si>
  <si>
    <t>TIss.4.4</t>
  </si>
  <si>
    <t>TIss.4.5</t>
  </si>
  <si>
    <t>απληστεια</t>
  </si>
  <si>
    <t>απληστια</t>
  </si>
  <si>
    <t>TIss.4.6</t>
  </si>
  <si>
    <t>TIss.5.1</t>
  </si>
  <si>
    <t>TIss.5.2</t>
  </si>
  <si>
    <t>TIss.5.3</t>
  </si>
  <si>
    <t>γεωργειαν</t>
  </si>
  <si>
    <t>γεωργιαν</t>
  </si>
  <si>
    <t>ευχαριστειας</t>
  </si>
  <si>
    <t>ευχαριστιας</t>
  </si>
  <si>
    <t>TIss.5.4</t>
  </si>
  <si>
    <t>πρωτογενημασι</t>
  </si>
  <si>
    <t>TIss.5.6</t>
  </si>
  <si>
    <t>TIss.5.7</t>
  </si>
  <si>
    <t>TIss.5.8</t>
  </si>
  <si>
    <t>TIss.6.1</t>
  </si>
  <si>
    <t>TIss.6.2</t>
  </si>
  <si>
    <t>TIss.6.3</t>
  </si>
  <si>
    <t>TIss.7.1</t>
  </si>
  <si>
    <t>TIss.7.2</t>
  </si>
  <si>
    <t>TIss.7.4</t>
  </si>
  <si>
    <t>TIss.7.5</t>
  </si>
  <si>
    <t>οδυνομενω</t>
  </si>
  <si>
    <t>οδυνωμενω</t>
  </si>
  <si>
    <t>TIss.7.6</t>
  </si>
  <si>
    <t>TIss.7.7</t>
  </si>
  <si>
    <t>TIss.7.9</t>
  </si>
  <si>
    <t>TZeb.1.1</t>
  </si>
  <si>
    <t>TZeb.1.3</t>
  </si>
  <si>
    <t>γεννηθηναι</t>
  </si>
  <si>
    <t>γενηθηναι</t>
  </si>
  <si>
    <t>TZeb.1.4</t>
  </si>
  <si>
    <t>TZeb.1.5</t>
  </si>
  <si>
    <t>TZeb.1.6</t>
  </si>
  <si>
    <t>αναιρεθηναι</t>
  </si>
  <si>
    <t>αναιρηθηναι</t>
  </si>
  <si>
    <t>TZeb.1.7</t>
  </si>
  <si>
    <t>TZeb.2.1</t>
  </si>
  <si>
    <t>TZeb.2.2</t>
  </si>
  <si>
    <t>επαγαγετε</t>
  </si>
  <si>
    <t>επαγαγητε</t>
  </si>
  <si>
    <t>TZeb.2.3</t>
  </si>
  <si>
    <t>επενεγκητε</t>
  </si>
  <si>
    <t>επενεγκατε</t>
  </si>
  <si>
    <t>TZeb.2.5</t>
  </si>
  <si>
    <t>TZeb.2.6</t>
  </si>
  <si>
    <t>συνκλαιοντα</t>
  </si>
  <si>
    <t>συγκλαιοντα</t>
  </si>
  <si>
    <t>TZeb.2.7</t>
  </si>
  <si>
    <t>TZeb.2.8</t>
  </si>
  <si>
    <t>TZeb.2.9</t>
  </si>
  <si>
    <t>TZeb.3.1</t>
  </si>
  <si>
    <t>TZeb.3.2</t>
  </si>
  <si>
    <t>TZeb.3.3</t>
  </si>
  <si>
    <t>καταπατησωμεν</t>
  </si>
  <si>
    <t>καταπατησαμεν</t>
  </si>
  <si>
    <t>TZeb.3.4</t>
  </si>
  <si>
    <t>TZeb.3.5</t>
  </si>
  <si>
    <t>TZeb.3.6</t>
  </si>
  <si>
    <t>TZeb.3.7</t>
  </si>
  <si>
    <t>TZeb.4.2</t>
  </si>
  <si>
    <t>αποπηδησαντες</t>
  </si>
  <si>
    <t>αποηδησαντες</t>
  </si>
  <si>
    <t>TZeb.4.6</t>
  </si>
  <si>
    <t>TZeb.4.7</t>
  </si>
  <si>
    <t>TZeb.4.8</t>
  </si>
  <si>
    <t>ειπομεν</t>
  </si>
  <si>
    <t>TZeb.4.9</t>
  </si>
  <si>
    <t>θυσωμεν</t>
  </si>
  <si>
    <t>θυσομεν</t>
  </si>
  <si>
    <t>εμβαψωμεν</t>
  </si>
  <si>
    <t>εμβαψομεν</t>
  </si>
  <si>
    <t>TZeb.4.10</t>
  </si>
  <si>
    <t>TZeb.4.11</t>
  </si>
  <si>
    <t>ανειλεν</t>
  </si>
  <si>
    <t>TZeb.4.12</t>
  </si>
  <si>
    <t>TZeb.5.1</t>
  </si>
  <si>
    <t>αναγγελω</t>
  </si>
  <si>
    <t>αναγγελλω</t>
  </si>
  <si>
    <t>TZeb.5.2</t>
  </si>
  <si>
    <t>TZeb.5.3</t>
  </si>
  <si>
    <t>TZeb.5.4</t>
  </si>
  <si>
    <t>TZeb.6.1</t>
  </si>
  <si>
    <t>TZeb.6.3</t>
  </si>
  <si>
    <t>ηλθωμεν</t>
  </si>
  <si>
    <t>ηλθομεν</t>
  </si>
  <si>
    <t>TZeb.6.4</t>
  </si>
  <si>
    <t>TZeb.7.4</t>
  </si>
  <si>
    <t>εστρεφετο</t>
  </si>
  <si>
    <t>ετρεφετο</t>
  </si>
  <si>
    <t>TZeb.8.3</t>
  </si>
  <si>
    <t>TZeb.8.5</t>
  </si>
  <si>
    <t>TZeb.9.4</t>
  </si>
  <si>
    <t>TZeb.9.5</t>
  </si>
  <si>
    <t>TZeb.9.6</t>
  </si>
  <si>
    <t>TZeb.9.7</t>
  </si>
  <si>
    <t>αιωνος</t>
  </si>
  <si>
    <t>TAsh.5.2</t>
  </si>
  <si>
    <t>TAsh.5.3</t>
  </si>
  <si>
    <t>TAsh.6.4</t>
  </si>
  <si>
    <t>TAsh.6.5</t>
  </si>
  <si>
    <t>TAsh.7.1</t>
  </si>
  <si>
    <t>TAsh.7.2</t>
  </si>
  <si>
    <t>TAsh.7.3</t>
  </si>
  <si>
    <t>TAsh.7.5</t>
  </si>
  <si>
    <t>TAsh.7.6</t>
  </si>
  <si>
    <t>TJos.14.2</t>
  </si>
  <si>
    <t>TJos.14.3</t>
  </si>
  <si>
    <t>TJos.14.4</t>
  </si>
  <si>
    <t>TJos.14.5</t>
  </si>
  <si>
    <t>TJos.14.6</t>
  </si>
  <si>
    <t>TJos.15.1</t>
  </si>
  <si>
    <t>TJos.15.2</t>
  </si>
  <si>
    <t>TJos.15.3</t>
  </si>
  <si>
    <t>TJos.15.5</t>
  </si>
  <si>
    <t>TJos.15.7</t>
  </si>
  <si>
    <t>TJos.16.1</t>
  </si>
  <si>
    <t>TJos.16.3</t>
  </si>
  <si>
    <t>πειραθεις</t>
  </si>
  <si>
    <t>πειρασθεις</t>
  </si>
  <si>
    <t>TJos.16.4</t>
  </si>
  <si>
    <t>TJos.16.5</t>
  </si>
  <si>
    <t>χρυσινους</t>
  </si>
  <si>
    <t>χρυσιους</t>
  </si>
  <si>
    <t>δεδωσθαι</t>
  </si>
  <si>
    <t>TJos.17.1</t>
  </si>
  <si>
    <t>TJos.17.2</t>
  </si>
  <si>
    <t>TJos.17.3</t>
  </si>
  <si>
    <t>TJos.17.4</t>
  </si>
  <si>
    <t>απεστρεψα</t>
  </si>
  <si>
    <t>απεστρεα</t>
  </si>
  <si>
    <t>TJos.17.6</t>
  </si>
  <si>
    <t>TJos.17.7</t>
  </si>
  <si>
    <t>TJos.17.8</t>
  </si>
  <si>
    <t>TJos.18.2</t>
  </si>
  <si>
    <t>TJos.18.3</t>
  </si>
  <si>
    <t>TJos.19.1</t>
  </si>
  <si>
    <t>TJos.19.8</t>
  </si>
  <si>
    <t>TJos.19.12</t>
  </si>
  <si>
    <t>αιωνιος</t>
  </si>
  <si>
    <t>οποροφυλακιον</t>
  </si>
  <si>
    <t>οπωροφυλακιον</t>
  </si>
  <si>
    <t>TJos.20.1</t>
  </si>
  <si>
    <t>θλιψωσιν</t>
  </si>
  <si>
    <t>θλιψουσιν</t>
  </si>
  <si>
    <t>TJos.20.2</t>
  </si>
  <si>
    <t>TJos.20.6</t>
  </si>
  <si>
    <t>ευεργετει</t>
  </si>
  <si>
    <t>ευηργετει</t>
  </si>
  <si>
    <t>παρισταμενος</t>
  </si>
  <si>
    <t>περισταμενος</t>
  </si>
  <si>
    <t>TBen.1.1</t>
  </si>
  <si>
    <t>TBen.1.3</t>
  </si>
  <si>
    <t>βαλλαν</t>
  </si>
  <si>
    <t>βαλαν</t>
  </si>
  <si>
    <t>TBen.1.4</t>
  </si>
  <si>
    <t>TBen.1.5</t>
  </si>
  <si>
    <t>TBen.2.1</t>
  </si>
  <si>
    <t>TBen.2.2</t>
  </si>
  <si>
    <t>εφυραν</t>
  </si>
  <si>
    <t>εφυρον</t>
  </si>
  <si>
    <t>TBen.2.4</t>
  </si>
  <si>
    <t>TBen.2.5</t>
  </si>
  <si>
    <t>ετεροις</t>
  </si>
  <si>
    <t>TBen.3.1</t>
  </si>
  <si>
    <t>TBen.3.5</t>
  </si>
  <si>
    <t>TBen.3.6</t>
  </si>
  <si>
    <t>TBen.3.7</t>
  </si>
  <si>
    <t>TBen.3.8</t>
  </si>
  <si>
    <t>TBen.4.1</t>
  </si>
  <si>
    <t>TBen.4.2</t>
  </si>
  <si>
    <t>TBen.4.3</t>
  </si>
  <si>
    <t>TBen.4.4</t>
  </si>
  <si>
    <t>TBen.5.1</t>
  </si>
  <si>
    <t>TBen.5.2</t>
  </si>
  <si>
    <t>TBen.5.4</t>
  </si>
  <si>
    <t>λοιδωρον</t>
  </si>
  <si>
    <t>λοιδορον</t>
  </si>
  <si>
    <t>TBen.6.2</t>
  </si>
  <si>
    <t>TBen.6.4</t>
  </si>
  <si>
    <t>λοιδωριαν</t>
  </si>
  <si>
    <t>λοιδοριαν</t>
  </si>
  <si>
    <t>TBen.6.5</t>
  </si>
  <si>
    <t>TBen.7.2</t>
  </si>
  <si>
    <t>TBen.7.3</t>
  </si>
  <si>
    <t>TBen.8.2</t>
  </si>
  <si>
    <t>TBen.8.3</t>
  </si>
  <si>
    <t>TBen.9.1</t>
  </si>
  <si>
    <t>απωλησθε</t>
  </si>
  <si>
    <t>απολησθε</t>
  </si>
  <si>
    <t>TBen.9.2</t>
  </si>
  <si>
    <t>TBen.9.3</t>
  </si>
  <si>
    <t>TBen.9.4</t>
  </si>
  <si>
    <t>απλωμα</t>
  </si>
  <si>
    <t>απλαυμα</t>
  </si>
  <si>
    <t>εκχυνομενον</t>
  </si>
  <si>
    <t>εγχυνομενον</t>
  </si>
  <si>
    <t>TBen.9.5</t>
  </si>
  <si>
    <t>TBen.10.1</t>
  </si>
  <si>
    <t>TBen.10.4</t>
  </si>
  <si>
    <t>TBen.10.5</t>
  </si>
  <si>
    <t>κατεκληρονομησαν</t>
  </si>
  <si>
    <t>κατεκληρονομησεν</t>
  </si>
  <si>
    <t>TBen.10.6</t>
  </si>
  <si>
    <t>TBen.10.7</t>
  </si>
  <si>
    <t>συγχαρισονται</t>
  </si>
  <si>
    <t>συγχαρησονται</t>
  </si>
  <si>
    <t>TBen.10.8</t>
  </si>
  <si>
    <t>παραγεναμενον</t>
  </si>
  <si>
    <t>παραγενομενον</t>
  </si>
  <si>
    <t>TBen.10.10</t>
  </si>
  <si>
    <t>μαδιναιοις</t>
  </si>
  <si>
    <t>μαδηναιοις</t>
  </si>
  <si>
    <t>απηλλοτριωθησαν</t>
  </si>
  <si>
    <t>απηλλωτριωθησαν</t>
  </si>
  <si>
    <t>TBen.10.11</t>
  </si>
  <si>
    <t>πορευεσθε</t>
  </si>
  <si>
    <t>πορευησθε</t>
  </si>
  <si>
    <t>TBen.11.2</t>
  </si>
  <si>
    <t>TBen.11.3</t>
  </si>
  <si>
    <t>TBen.11.4</t>
  </si>
  <si>
    <t>TBen.11.5</t>
  </si>
  <si>
    <t>TBen.12.2</t>
  </si>
  <si>
    <t>TBen.12.3</t>
  </si>
  <si>
    <t>οσον εντελλομαι</t>
  </si>
  <si>
    <t>οσα εντελλομαι</t>
  </si>
  <si>
    <t>υπνου εστι μεθ ου</t>
  </si>
  <si>
    <t>υπνου μεθ ου</t>
  </si>
  <si>
    <t>φυσει και και ταις αισθησεσιν</t>
  </si>
  <si>
    <t>φυσει και ταις αισθησεσιν</t>
  </si>
  <si>
    <t>ωραιος ωφθη</t>
  </si>
  <si>
    <t>ωραιος οφθη</t>
  </si>
  <si>
    <t>και φαντασια</t>
  </si>
  <si>
    <t>και αφθαρσια φαντασια</t>
  </si>
  <si>
    <t>φυλαξει υμας</t>
  </si>
  <si>
    <t>κοιμωμενη ακαλυφος</t>
  </si>
  <si>
    <r>
      <t xml:space="preserve">κοιμωμενη </t>
    </r>
    <r>
      <rPr>
        <b/>
        <sz val="11"/>
        <color theme="1"/>
        <rFont val="Calibri"/>
        <family val="2"/>
        <scheme val="minor"/>
      </rPr>
      <t>και</t>
    </r>
    <r>
      <rPr>
        <sz val="11"/>
        <color theme="1"/>
        <rFont val="Calibri"/>
        <family val="2"/>
        <scheme val="minor"/>
      </rPr>
      <t xml:space="preserve"> ακαλυφος</t>
    </r>
  </si>
  <si>
    <r>
      <t xml:space="preserve">κοιμωμενη </t>
    </r>
    <r>
      <rPr>
        <b/>
        <sz val="11"/>
        <color theme="1"/>
        <rFont val="Calibri"/>
        <family val="2"/>
        <scheme val="minor"/>
      </rPr>
      <t>ακαλυφος</t>
    </r>
  </si>
  <si>
    <r>
      <t xml:space="preserve">κοιμωμενη και </t>
    </r>
    <r>
      <rPr>
        <b/>
        <sz val="11"/>
        <color theme="1"/>
        <rFont val="Calibri"/>
        <family val="2"/>
        <scheme val="minor"/>
      </rPr>
      <t>ακαλυφος</t>
    </r>
  </si>
  <si>
    <t>Queens corrects to ακαλυπτως</t>
  </si>
  <si>
    <t>επ εμοι μηκετι</t>
  </si>
  <si>
    <t>επ εμε μηκετι</t>
  </si>
  <si>
    <t>οτι ηυξατο</t>
  </si>
  <si>
    <t>οτι ευξατο</t>
  </si>
  <si>
    <t>προς τον κυριον</t>
  </si>
  <si>
    <t>προς κν</t>
  </si>
  <si>
    <t>οργη κυριου ως εδειξε</t>
  </si>
  <si>
    <t>οργη κυ καθως εδειξε</t>
  </si>
  <si>
    <t>ουκ ημαρτον</t>
  </si>
  <si>
    <t>ουχ ημαρτον</t>
  </si>
  <si>
    <t>ποιει παρα τω βελιαρ</t>
  </si>
  <si>
    <t>ποιει και γελωτα παρα τω βελιαρ</t>
  </si>
  <si>
    <t>ουδε ο βελιαρ</t>
  </si>
  <si>
    <t>ουδε βελιαρ</t>
  </si>
  <si>
    <t>πλανωσιν αυτον πρωτον</t>
  </si>
  <si>
    <t>πλανωσιν αυτων πρωτον</t>
  </si>
  <si>
    <t>ουτως γαρ</t>
  </si>
  <si>
    <t>ουτω γαρ</t>
  </si>
  <si>
    <t>κακειναι επιθυμουσαι</t>
  </si>
  <si>
    <t>κακεινοι επιθυμουσαι</t>
  </si>
  <si>
    <t>Queens corrects to εγρηγοροι</t>
  </si>
  <si>
    <t>φυλασσεσθε ουν</t>
  </si>
  <si>
    <t>φυλασσασθε ουν</t>
  </si>
  <si>
    <t>φυλασσετε τας</t>
  </si>
  <si>
    <t>φυλασσασθε τας</t>
  </si>
  <si>
    <t>κακειναις δε εντειλασθε</t>
  </si>
  <si>
    <t>κακειναις δ εντειλασθε</t>
  </si>
  <si>
    <t>εδωκε κς</t>
  </si>
  <si>
    <t>εδωκεν κυριος</t>
  </si>
  <si>
    <t>μετ αυτων καμοι</t>
  </si>
  <si>
    <t>μετ αυτον καμοι</t>
  </si>
  <si>
    <t>ακουειν του λευι</t>
  </si>
  <si>
    <t>ακουειν τω λευι</t>
  </si>
  <si>
    <t>διαστελλει εις κρισιν και θυσιας</t>
  </si>
  <si>
    <r>
      <rPr>
        <b/>
        <sz val="11"/>
        <color theme="1"/>
        <rFont val="Calibri"/>
        <family val="2"/>
        <scheme val="minor"/>
      </rPr>
      <t>διαστελλει</t>
    </r>
    <r>
      <rPr>
        <sz val="11"/>
        <color theme="1"/>
        <rFont val="Calibri"/>
        <family val="2"/>
        <scheme val="minor"/>
      </rPr>
      <t xml:space="preserve"> εις κρισιν και θυσιας</t>
    </r>
  </si>
  <si>
    <r>
      <rPr>
        <b/>
        <sz val="11"/>
        <color theme="1"/>
        <rFont val="Calibri"/>
        <family val="2"/>
        <scheme val="minor"/>
      </rPr>
      <t>διαστελει</t>
    </r>
    <r>
      <rPr>
        <sz val="11"/>
        <color theme="1"/>
        <rFont val="Calibri"/>
        <family val="2"/>
        <scheme val="minor"/>
      </rPr>
      <t xml:space="preserve"> εις κρισιν εις κρισιν και θυσιας</t>
    </r>
  </si>
  <si>
    <r>
      <t xml:space="preserve">διαστελει εις κρισιν </t>
    </r>
    <r>
      <rPr>
        <b/>
        <sz val="11"/>
        <color theme="1"/>
        <rFont val="Calibri"/>
        <family val="2"/>
        <scheme val="minor"/>
      </rPr>
      <t>εις κρισιν</t>
    </r>
    <r>
      <rPr>
        <sz val="11"/>
        <color theme="1"/>
        <rFont val="Calibri"/>
        <family val="2"/>
        <scheme val="minor"/>
      </rPr>
      <t xml:space="preserve"> και θυσιας</t>
    </r>
  </si>
  <si>
    <t>ιηλ μεχρι</t>
  </si>
  <si>
    <t>ισραηλ μεμεχρι</t>
  </si>
  <si>
    <t>corrected portion is either με- or μη</t>
  </si>
  <si>
    <t>εκαστος προς</t>
  </si>
  <si>
    <t>Queens corrects to εκαστον προς</t>
  </si>
  <si>
    <t>υπερ ημων</t>
  </si>
  <si>
    <t>υπερ υμων</t>
  </si>
  <si>
    <t>ορατοις και εσται</t>
  </si>
  <si>
    <t>ορατοις και αορατοις και εσται</t>
  </si>
  <si>
    <t>θανειν αυτον εκατοστω εικοστω επι της ζωης</t>
  </si>
  <si>
    <r>
      <t xml:space="preserve">θανειν αυτον </t>
    </r>
    <r>
      <rPr>
        <b/>
        <sz val="11"/>
        <color theme="1"/>
        <rFont val="Calibri"/>
        <family val="2"/>
        <scheme val="minor"/>
      </rPr>
      <t>εν</t>
    </r>
    <r>
      <rPr>
        <sz val="11"/>
        <color theme="1"/>
        <rFont val="Calibri"/>
        <family val="2"/>
        <scheme val="minor"/>
      </rPr>
      <t xml:space="preserve"> ρκ ετει της ζωης</t>
    </r>
  </si>
  <si>
    <r>
      <t xml:space="preserve">θανειν αυτον εκατοστω εικοστω </t>
    </r>
    <r>
      <rPr>
        <b/>
        <sz val="11"/>
        <color theme="1"/>
        <rFont val="Calibri"/>
        <family val="2"/>
        <scheme val="minor"/>
      </rPr>
      <t>επι</t>
    </r>
    <r>
      <rPr>
        <sz val="11"/>
        <color theme="1"/>
        <rFont val="Calibri"/>
        <family val="2"/>
        <scheme val="minor"/>
      </rPr>
      <t xml:space="preserve"> της ζωης</t>
    </r>
  </si>
  <si>
    <r>
      <t xml:space="preserve">θανειν αυτον εν ρκ </t>
    </r>
    <r>
      <rPr>
        <b/>
        <sz val="11"/>
        <color theme="1"/>
        <rFont val="Calibri"/>
        <family val="2"/>
        <scheme val="minor"/>
      </rPr>
      <t>ετει</t>
    </r>
    <r>
      <rPr>
        <sz val="11"/>
        <color theme="1"/>
        <rFont val="Calibri"/>
        <family val="2"/>
        <scheme val="minor"/>
      </rPr>
      <t xml:space="preserve"> της ζωης</t>
    </r>
  </si>
  <si>
    <t>επισκεψασθαι ατον</t>
  </si>
  <si>
    <t>επισκεψασθαι αυτον</t>
  </si>
  <si>
    <t>εζηλωσα τον ιωσηφ</t>
  </si>
  <si>
    <t>εζηλωσα τω ιωσηφ</t>
  </si>
  <si>
    <t xml:space="preserve">πατερων αυτου αυτον εκ των χειρων μου ερρυσατο (9) ως γαρ </t>
  </si>
  <si>
    <r>
      <t xml:space="preserve">πρων αυτου </t>
    </r>
    <r>
      <rPr>
        <b/>
        <sz val="11"/>
        <color theme="1"/>
        <rFont val="Calibri"/>
        <family val="2"/>
        <scheme val="minor"/>
      </rPr>
      <t>αποστειλας τον αγγελον αυτου</t>
    </r>
    <r>
      <rPr>
        <sz val="11"/>
        <color theme="1"/>
        <rFont val="Calibri"/>
        <family val="2"/>
        <scheme val="minor"/>
      </rPr>
      <t xml:space="preserve"> ερρυσατο αυτον εκ των χειρων μου (9) ως γαρ </t>
    </r>
  </si>
  <si>
    <r>
      <t xml:space="preserve">πατερων αυτου </t>
    </r>
    <r>
      <rPr>
        <b/>
        <sz val="11"/>
        <color theme="1"/>
        <rFont val="Calibri"/>
        <family val="2"/>
        <scheme val="minor"/>
      </rPr>
      <t>αυτον εκ των χειρων μου ερρυσατο</t>
    </r>
    <r>
      <rPr>
        <sz val="11"/>
        <color theme="1"/>
        <rFont val="Calibri"/>
        <family val="2"/>
        <scheme val="minor"/>
      </rPr>
      <t xml:space="preserve"> (9) ως γαρ </t>
    </r>
  </si>
  <si>
    <r>
      <t xml:space="preserve">πρων αυτου αποστειλας τον αγγελον αυτου </t>
    </r>
    <r>
      <rPr>
        <b/>
        <sz val="11"/>
        <color theme="1"/>
        <rFont val="Calibri"/>
        <family val="2"/>
        <scheme val="minor"/>
      </rPr>
      <t>ερρυσατο αυτον εκ των χειρων μου</t>
    </r>
    <r>
      <rPr>
        <sz val="11"/>
        <color theme="1"/>
        <rFont val="Calibri"/>
        <family val="2"/>
        <scheme val="minor"/>
      </rPr>
      <t xml:space="preserve"> (9) ως γαρ </t>
    </r>
  </si>
  <si>
    <t>συνεποδισε με κυριος και εκωλυσεν</t>
  </si>
  <si>
    <r>
      <t xml:space="preserve">συνεποδισε με </t>
    </r>
    <r>
      <rPr>
        <b/>
        <sz val="11"/>
        <color theme="1"/>
        <rFont val="Calibri"/>
        <family val="2"/>
        <scheme val="minor"/>
      </rPr>
      <t>ο</t>
    </r>
    <r>
      <rPr>
        <sz val="11"/>
        <color theme="1"/>
        <rFont val="Calibri"/>
        <family val="2"/>
        <scheme val="minor"/>
      </rPr>
      <t xml:space="preserve"> θς και εκωλυσεν</t>
    </r>
  </si>
  <si>
    <r>
      <t xml:space="preserve">συνεποδισε με ο </t>
    </r>
    <r>
      <rPr>
        <b/>
        <sz val="11"/>
        <color theme="1"/>
        <rFont val="Calibri"/>
        <family val="2"/>
        <scheme val="minor"/>
      </rPr>
      <t>θς</t>
    </r>
    <r>
      <rPr>
        <sz val="11"/>
        <color theme="1"/>
        <rFont val="Calibri"/>
        <family val="2"/>
        <scheme val="minor"/>
      </rPr>
      <t xml:space="preserve"> και εκωλυσεν</t>
    </r>
  </si>
  <si>
    <r>
      <t xml:space="preserve">συνεποδισε με </t>
    </r>
    <r>
      <rPr>
        <b/>
        <sz val="11"/>
        <color theme="1"/>
        <rFont val="Calibri"/>
        <family val="2"/>
        <scheme val="minor"/>
      </rPr>
      <t>κυριος</t>
    </r>
    <r>
      <rPr>
        <sz val="11"/>
        <color theme="1"/>
        <rFont val="Calibri"/>
        <family val="2"/>
        <scheme val="minor"/>
      </rPr>
      <t xml:space="preserve"> και εκωλυσεν</t>
    </r>
  </si>
  <si>
    <t>επι ημερας επτα (13) και εγνων</t>
  </si>
  <si>
    <t>επι ημερας ξ (13) και εγνων</t>
  </si>
  <si>
    <t>και ηυξαμην</t>
  </si>
  <si>
    <t>και ευξαμην</t>
  </si>
  <si>
    <t>δια ιωσηφ</t>
  </si>
  <si>
    <t>διαα ιωσηφ</t>
  </si>
  <si>
    <t>εν φοβω κυριου</t>
  </si>
  <si>
    <r>
      <t xml:space="preserve">εκακωσα </t>
    </r>
    <r>
      <rPr>
        <b/>
        <sz val="11"/>
        <color theme="1"/>
        <rFont val="Calibri"/>
        <family val="2"/>
        <scheme val="minor"/>
      </rPr>
      <t>εν νηστεια την ψυχην μου</t>
    </r>
    <r>
      <rPr>
        <sz val="11"/>
        <color theme="1"/>
        <rFont val="Calibri"/>
        <family val="2"/>
        <scheme val="minor"/>
      </rPr>
      <t xml:space="preserve"> και εγνων</t>
    </r>
  </si>
  <si>
    <r>
      <t xml:space="preserve">εκακωσα εν </t>
    </r>
    <r>
      <rPr>
        <b/>
        <sz val="11"/>
        <color theme="1"/>
        <rFont val="Calibri"/>
        <family val="2"/>
        <scheme val="minor"/>
      </rPr>
      <t>νηστεια</t>
    </r>
    <r>
      <rPr>
        <sz val="11"/>
        <color theme="1"/>
        <rFont val="Calibri"/>
        <family val="2"/>
        <scheme val="minor"/>
      </rPr>
      <t xml:space="preserve"> την ψυχην μου και εγνων</t>
    </r>
  </si>
  <si>
    <t>φθονου δια φοβου</t>
  </si>
  <si>
    <t>φθονου δια δια φοβου</t>
  </si>
  <si>
    <t>εν αυτω</t>
  </si>
  <si>
    <t>εν εαυτω</t>
  </si>
  <si>
    <t>ψυχης και εν αγαθη</t>
  </si>
  <si>
    <t>ψυχης και και εν αγαθη</t>
  </si>
  <si>
    <t>ουκ ωνειδισεν</t>
  </si>
  <si>
    <t>ουκ ονειδισεν</t>
  </si>
  <si>
    <t>αλλα ηγαπησεν</t>
  </si>
  <si>
    <t>αλλ ηγαπησεν</t>
  </si>
  <si>
    <t>καρπους εχαρισατο πασιν ημιν (7) και υμεις</t>
  </si>
  <si>
    <t>καρπους πασιν ημιν εχαρισατο (7) και υμεις</t>
  </si>
  <si>
    <t>παρεχει τον διαβουλιον</t>
  </si>
  <si>
    <t>παρεχει το διαβουλιον</t>
  </si>
  <si>
    <t>συνεσιν ανοις ενεργειν</t>
  </si>
  <si>
    <r>
      <t xml:space="preserve">συνεσιν </t>
    </r>
    <r>
      <rPr>
        <b/>
        <sz val="11"/>
        <color theme="1"/>
        <rFont val="Calibri"/>
        <family val="2"/>
        <scheme val="minor"/>
      </rPr>
      <t>εν</t>
    </r>
    <r>
      <rPr>
        <sz val="11"/>
        <color theme="1"/>
        <rFont val="Calibri"/>
        <family val="2"/>
        <scheme val="minor"/>
      </rPr>
      <t xml:space="preserve"> ανθρωποις εν ενεργειν</t>
    </r>
  </si>
  <si>
    <r>
      <t xml:space="preserve">συνεσιν εν ανθρωποις </t>
    </r>
    <r>
      <rPr>
        <b/>
        <sz val="11"/>
        <color theme="1"/>
        <rFont val="Calibri"/>
        <family val="2"/>
        <scheme val="minor"/>
      </rPr>
      <t>εν</t>
    </r>
    <r>
      <rPr>
        <sz val="11"/>
        <color theme="1"/>
        <rFont val="Calibri"/>
        <family val="2"/>
        <scheme val="minor"/>
      </rPr>
      <t xml:space="preserve"> ενεργειν</t>
    </r>
  </si>
  <si>
    <t>εχων ουτoς φαινεται</t>
  </si>
  <si>
    <t xml:space="preserve">εν αυτω ουδεν πονηρον </t>
  </si>
  <si>
    <t xml:space="preserve">εν αυτω πονηρον </t>
  </si>
  <si>
    <t>καρδιας υμων ενωπιον κυ και ευθυνατε</t>
  </si>
  <si>
    <t>καρδιας υμων ενωπιον των ανθρωπων κυ και ευθυνατε</t>
  </si>
  <si>
    <t>οτι οι υιοι</t>
  </si>
  <si>
    <t>οτι υιοι</t>
  </si>
  <si>
    <t>ο πατηρ ιακωβ</t>
  </si>
  <si>
    <t>ο πηρ μου ιακωβ</t>
  </si>
  <si>
    <t>εις μακραν εσονται</t>
  </si>
  <si>
    <t>εις μακρον εσονται</t>
  </si>
  <si>
    <t>καταπαυσει η γη πασα απο ταραχης</t>
  </si>
  <si>
    <t>καταπαυσει πασα η γη απο ταραχης</t>
  </si>
  <si>
    <t>και ανοι</t>
  </si>
  <si>
    <t>και οι ανθρωποι</t>
  </si>
  <si>
    <t>οτι ο θεος</t>
  </si>
  <si>
    <t>οτι θς</t>
  </si>
  <si>
    <t>εσωσεν αυτους (7:1) και νυν</t>
  </si>
  <si>
    <t>εσωσεν ανους (7:1) και νυν</t>
  </si>
  <si>
    <t>εκ του ιουδα</t>
  </si>
  <si>
    <t>εκ ιουδα</t>
  </si>
  <si>
    <t>ουτως σωσει</t>
  </si>
  <si>
    <t>οτως σωσει</t>
  </si>
  <si>
    <t>δια τουτο παντα εντελλομαι</t>
  </si>
  <si>
    <t>δια τουτο εντελλομαι</t>
  </si>
  <si>
    <t>πρων αυτου εκατον εικοσι ετων (2) και εθηκαν</t>
  </si>
  <si>
    <t>πατερων αυτου ετων ρκ (2) και εθηκαν</t>
  </si>
  <si>
    <t>μετα λυχνου</t>
  </si>
  <si>
    <t>μετα λελυχνου</t>
  </si>
  <si>
    <t>αποθησκειν οτε</t>
  </si>
  <si>
    <r>
      <rPr>
        <b/>
        <sz val="11"/>
        <color theme="1"/>
        <rFont val="Calibri"/>
        <family val="2"/>
        <scheme val="minor"/>
      </rPr>
      <t>αποθνησκειν</t>
    </r>
    <r>
      <rPr>
        <sz val="11"/>
        <color theme="1"/>
        <rFont val="Calibri"/>
        <family val="2"/>
        <scheme val="minor"/>
      </rPr>
      <t xml:space="preserve"> και οτε</t>
    </r>
  </si>
  <si>
    <r>
      <rPr>
        <b/>
        <sz val="11"/>
        <color theme="1"/>
        <rFont val="Calibri"/>
        <family val="2"/>
        <scheme val="minor"/>
      </rPr>
      <t>αποθησκειν</t>
    </r>
    <r>
      <rPr>
        <sz val="11"/>
        <color theme="1"/>
        <rFont val="Calibri"/>
        <family val="2"/>
        <scheme val="minor"/>
      </rPr>
      <t xml:space="preserve"> οτε</t>
    </r>
  </si>
  <si>
    <r>
      <t xml:space="preserve">αποθνησκειν </t>
    </r>
    <r>
      <rPr>
        <b/>
        <sz val="11"/>
        <color theme="1"/>
        <rFont val="Calibri"/>
        <family val="2"/>
        <scheme val="minor"/>
      </rPr>
      <t>και</t>
    </r>
    <r>
      <rPr>
        <sz val="11"/>
        <color theme="1"/>
        <rFont val="Calibri"/>
        <family val="2"/>
        <scheme val="minor"/>
      </rPr>
      <t xml:space="preserve"> οτε</t>
    </r>
  </si>
  <si>
    <t>παντας ανθρωπους εωρων αφανιζοντας</t>
  </si>
  <si>
    <t>παντας εωρων ανθρωπους αφανιζοντας</t>
  </si>
  <si>
    <t>ιδου ηνεωχθησαν</t>
  </si>
  <si>
    <t>ιδου ανεωχθησαν</t>
  </si>
  <si>
    <t>αγγελος θυ ειπε</t>
  </si>
  <si>
    <t>αγγελος κυριου ειπε</t>
  </si>
  <si>
    <t>ην εν εν αυτω</t>
  </si>
  <si>
    <t>ην εν αυτω</t>
  </si>
  <si>
    <t>διατι ουτως και ειπεν</t>
  </si>
  <si>
    <t>διατι ουτος και ειπεν</t>
  </si>
  <si>
    <t>οτε ανελθης</t>
  </si>
  <si>
    <t>οταν ανελθης</t>
  </si>
  <si>
    <t>συνεγγυς κυ</t>
  </si>
  <si>
    <t>συ εγγυς κυριου</t>
  </si>
  <si>
    <t>αγρος και αμπελων</t>
  </si>
  <si>
    <t>αγρος αμπελων</t>
  </si>
  <si>
    <t>τηκομενων και του αδου</t>
  </si>
  <si>
    <t>τηκομενων του αδου</t>
  </si>
  <si>
    <t>επιμενουσι ταις αδικιαις</t>
  </si>
  <si>
    <r>
      <rPr>
        <b/>
        <sz val="11"/>
        <color theme="1"/>
        <rFont val="Calibri"/>
        <family val="2"/>
        <scheme val="minor"/>
      </rPr>
      <t>επιμενουσιν</t>
    </r>
    <r>
      <rPr>
        <sz val="11"/>
        <color theme="1"/>
        <rFont val="Calibri"/>
        <family val="2"/>
        <scheme val="minor"/>
      </rPr>
      <t xml:space="preserve"> εν ταις αδικιαις</t>
    </r>
  </si>
  <si>
    <r>
      <rPr>
        <b/>
        <sz val="11"/>
        <color theme="1"/>
        <rFont val="Calibri"/>
        <family val="2"/>
        <scheme val="minor"/>
      </rPr>
      <t>επιμενουσι</t>
    </r>
    <r>
      <rPr>
        <sz val="11"/>
        <color theme="1"/>
        <rFont val="Calibri"/>
        <family val="2"/>
        <scheme val="minor"/>
      </rPr>
      <t xml:space="preserve"> ταις αδικιαις</t>
    </r>
  </si>
  <si>
    <r>
      <t xml:space="preserve">επιμενουσιν </t>
    </r>
    <r>
      <rPr>
        <b/>
        <sz val="11"/>
        <color theme="1"/>
        <rFont val="Calibri"/>
        <family val="2"/>
        <scheme val="minor"/>
      </rPr>
      <t>εν</t>
    </r>
    <r>
      <rPr>
        <sz val="11"/>
        <color theme="1"/>
        <rFont val="Calibri"/>
        <family val="2"/>
        <scheme val="minor"/>
      </rPr>
      <t xml:space="preserve"> ταις αδικιαις</t>
    </r>
  </si>
  <si>
    <t>γνωσεως ως φωτεινον</t>
  </si>
  <si>
    <t>γνωσεως φωτεινον</t>
  </si>
  <si>
    <t>σπλαγχνοις υιου αυτου</t>
  </si>
  <si>
    <t>σπλαγχνοις υιοι αυτου</t>
  </si>
  <si>
    <t>περι αυτου</t>
  </si>
  <si>
    <t>περι τουτου</t>
  </si>
  <si>
    <t>εν μεσω</t>
  </si>
  <si>
    <t>συνετελεσα εν τω καιρω</t>
  </si>
  <si>
    <t>συνετελεσα τω καιρω</t>
  </si>
  <si>
    <t>εις αυτους προσβαλλει</t>
  </si>
  <si>
    <t>εις αυτον προσβαλλει</t>
  </si>
  <si>
    <t>πρα μου ευρον</t>
  </si>
  <si>
    <t>πατερα ευρον</t>
  </si>
  <si>
    <r>
      <t xml:space="preserve">(1) </t>
    </r>
    <r>
      <rPr>
        <b/>
        <sz val="11"/>
        <color theme="1"/>
        <rFont val="Calibri"/>
        <family val="2"/>
        <scheme val="minor"/>
      </rPr>
      <t>αβιλα</t>
    </r>
    <r>
      <rPr>
        <sz val="11"/>
        <color theme="1"/>
        <rFont val="Calibri"/>
        <family val="2"/>
        <scheme val="minor"/>
      </rPr>
      <t xml:space="preserve"> (2) και συνετηρουν</t>
    </r>
  </si>
  <si>
    <r>
      <t xml:space="preserve">(1) </t>
    </r>
    <r>
      <rPr>
        <b/>
        <sz val="11"/>
        <color theme="1"/>
        <rFont val="Calibri"/>
        <family val="2"/>
        <scheme val="minor"/>
      </rPr>
      <t>αβιλαμ</t>
    </r>
    <r>
      <rPr>
        <sz val="11"/>
        <color theme="1"/>
        <rFont val="Calibri"/>
        <family val="2"/>
        <scheme val="minor"/>
      </rPr>
      <t xml:space="preserve"> (2) και συνετερουν</t>
    </r>
  </si>
  <si>
    <r>
      <t xml:space="preserve">(1) αβιλαμ (2) και </t>
    </r>
    <r>
      <rPr>
        <b/>
        <sz val="11"/>
        <color theme="1"/>
        <rFont val="Calibri"/>
        <family val="2"/>
        <scheme val="minor"/>
      </rPr>
      <t>συνετερουν</t>
    </r>
  </si>
  <si>
    <r>
      <t xml:space="preserve">(1) αβιλα (2) και </t>
    </r>
    <r>
      <rPr>
        <b/>
        <sz val="11"/>
        <color theme="1"/>
        <rFont val="Calibri"/>
        <family val="2"/>
        <scheme val="minor"/>
      </rPr>
      <t>συνετηρουν</t>
    </r>
  </si>
  <si>
    <t>γνωμην αυτου πεποιηκαμεν τουτο καιγε</t>
  </si>
  <si>
    <t>γνωμην αυτου τουτο πεποιηκαμεν καιγε</t>
  </si>
  <si>
    <t>και τω σπερματι</t>
  </si>
  <si>
    <t>και σπερματι</t>
  </si>
  <si>
    <t>εψωμισε αρτον</t>
  </si>
  <si>
    <t>εψωμισεν αρτον</t>
  </si>
  <si>
    <r>
      <t xml:space="preserve">διαδημα </t>
    </r>
    <r>
      <rPr>
        <b/>
        <sz val="11"/>
        <color theme="1"/>
        <rFont val="Calibri"/>
        <family val="2"/>
        <scheme val="minor"/>
      </rPr>
      <t>μοι τη κεφαλη</t>
    </r>
    <r>
      <rPr>
        <sz val="11"/>
        <color theme="1"/>
        <rFont val="Calibri"/>
        <family val="2"/>
        <scheme val="minor"/>
      </rPr>
      <t xml:space="preserve"> περιεθηκεν ιερατειας και επληρωσαν τας χειρας</t>
    </r>
  </si>
  <si>
    <r>
      <t xml:space="preserve">διαδημα </t>
    </r>
    <r>
      <rPr>
        <b/>
        <sz val="11"/>
        <color theme="1"/>
        <rFont val="Calibri"/>
        <family val="2"/>
        <scheme val="minor"/>
      </rPr>
      <t>τη κεφαλη μοι</t>
    </r>
    <r>
      <rPr>
        <sz val="11"/>
        <color theme="1"/>
        <rFont val="Calibri"/>
        <family val="2"/>
        <scheme val="minor"/>
      </rPr>
      <t xml:space="preserve"> ιερατειας περιεθηκε και επληρωσε τας χειρας</t>
    </r>
  </si>
  <si>
    <r>
      <t xml:space="preserve">διαδημα μοι τη κεφαλη </t>
    </r>
    <r>
      <rPr>
        <b/>
        <sz val="11"/>
        <color theme="1"/>
        <rFont val="Calibri"/>
        <family val="2"/>
        <scheme val="minor"/>
      </rPr>
      <t>περιεθηκεν ιερατειας</t>
    </r>
    <r>
      <rPr>
        <sz val="11"/>
        <color theme="1"/>
        <rFont val="Calibri"/>
        <family val="2"/>
        <scheme val="minor"/>
      </rPr>
      <t xml:space="preserve"> και επληρωσαν τας χειρας</t>
    </r>
  </si>
  <si>
    <r>
      <t xml:space="preserve">διαδημα τη κεφαλη μοι </t>
    </r>
    <r>
      <rPr>
        <b/>
        <sz val="11"/>
        <color theme="1"/>
        <rFont val="Calibri"/>
        <family val="2"/>
        <scheme val="minor"/>
      </rPr>
      <t>ιερατειας περιεθηκε</t>
    </r>
    <r>
      <rPr>
        <sz val="11"/>
        <color theme="1"/>
        <rFont val="Calibri"/>
        <family val="2"/>
        <scheme val="minor"/>
      </rPr>
      <t xml:space="preserve"> και επληρωσε τας χειρας</t>
    </r>
  </si>
  <si>
    <r>
      <t xml:space="preserve">διαδημα μοι τη κεφαλη </t>
    </r>
    <r>
      <rPr>
        <b/>
        <sz val="11"/>
        <color theme="1"/>
        <rFont val="Calibri"/>
        <family val="2"/>
        <scheme val="minor"/>
      </rPr>
      <t>περιεθηκεν</t>
    </r>
    <r>
      <rPr>
        <sz val="11"/>
        <color theme="1"/>
        <rFont val="Calibri"/>
        <family val="2"/>
        <scheme val="minor"/>
      </rPr>
      <t xml:space="preserve"> ιερατειας και επληρωσαν τας χειρας</t>
    </r>
  </si>
  <si>
    <r>
      <t xml:space="preserve">διαδημα τη κεφαλη μοι ιερατειας </t>
    </r>
    <r>
      <rPr>
        <b/>
        <sz val="11"/>
        <color theme="1"/>
        <rFont val="Calibri"/>
        <family val="2"/>
        <scheme val="minor"/>
      </rPr>
      <t>περιεθηκε</t>
    </r>
    <r>
      <rPr>
        <sz val="11"/>
        <color theme="1"/>
        <rFont val="Calibri"/>
        <family val="2"/>
        <scheme val="minor"/>
      </rPr>
      <t xml:space="preserve"> και επληρωσε τας χειρας</t>
    </r>
  </si>
  <si>
    <r>
      <t xml:space="preserve">διαδημα μοι τη κεφαλη περιεθηκεν ιερατειας και </t>
    </r>
    <r>
      <rPr>
        <b/>
        <sz val="11"/>
        <color theme="1"/>
        <rFont val="Calibri"/>
        <family val="2"/>
        <scheme val="minor"/>
      </rPr>
      <t>επληρωσαν</t>
    </r>
    <r>
      <rPr>
        <sz val="11"/>
        <color theme="1"/>
        <rFont val="Calibri"/>
        <family val="2"/>
        <scheme val="minor"/>
      </rPr>
      <t xml:space="preserve"> τας χειρας</t>
    </r>
  </si>
  <si>
    <r>
      <t xml:space="preserve">διαδημα τη κεφαλη μοι ιερατειας περιεθηκε και </t>
    </r>
    <r>
      <rPr>
        <b/>
        <sz val="11"/>
        <color theme="1"/>
        <rFont val="Calibri"/>
        <family val="2"/>
        <scheme val="minor"/>
      </rPr>
      <t>επληρωσε</t>
    </r>
    <r>
      <rPr>
        <sz val="11"/>
        <color theme="1"/>
        <rFont val="Calibri"/>
        <family val="2"/>
        <scheme val="minor"/>
      </rPr>
      <t xml:space="preserve"> τας χειρας</t>
    </r>
  </si>
  <si>
    <t>πρωτος εσται κληρος μεγας</t>
  </si>
  <si>
    <r>
      <t xml:space="preserve">πρωτος </t>
    </r>
    <r>
      <rPr>
        <b/>
        <sz val="11"/>
        <color theme="1"/>
        <rFont val="Calibri"/>
        <family val="2"/>
        <scheme val="minor"/>
      </rPr>
      <t>εσται κληρος</t>
    </r>
    <r>
      <rPr>
        <sz val="11"/>
        <color theme="1"/>
        <rFont val="Calibri"/>
        <family val="2"/>
        <scheme val="minor"/>
      </rPr>
      <t xml:space="preserve"> μεγας</t>
    </r>
  </si>
  <si>
    <r>
      <t xml:space="preserve">πρωτος </t>
    </r>
    <r>
      <rPr>
        <b/>
        <sz val="11"/>
        <color theme="1"/>
        <rFont val="Calibri"/>
        <family val="2"/>
        <scheme val="minor"/>
      </rPr>
      <t>κληρος εσται</t>
    </r>
    <r>
      <rPr>
        <sz val="11"/>
        <color theme="1"/>
        <rFont val="Calibri"/>
        <family val="2"/>
        <scheme val="minor"/>
      </rPr>
      <t xml:space="preserve"> και μεγας</t>
    </r>
  </si>
  <si>
    <r>
      <t xml:space="preserve">πρωτος κληρος εσται </t>
    </r>
    <r>
      <rPr>
        <b/>
        <sz val="11"/>
        <color theme="1"/>
        <rFont val="Calibri"/>
        <family val="2"/>
        <scheme val="minor"/>
      </rPr>
      <t>και</t>
    </r>
    <r>
      <rPr>
        <sz val="11"/>
        <color theme="1"/>
        <rFont val="Calibri"/>
        <family val="2"/>
        <scheme val="minor"/>
      </rPr>
      <t xml:space="preserve"> μεγας</t>
    </r>
  </si>
  <si>
    <t>εσονται ιερεις κριται γραμματεις</t>
  </si>
  <si>
    <r>
      <t xml:space="preserve">εσονται </t>
    </r>
    <r>
      <rPr>
        <b/>
        <sz val="11"/>
        <color theme="1"/>
        <rFont val="Calibri"/>
        <family val="2"/>
        <scheme val="minor"/>
      </rPr>
      <t>αρχιερεις</t>
    </r>
    <r>
      <rPr>
        <sz val="11"/>
        <color theme="1"/>
        <rFont val="Calibri"/>
        <family val="2"/>
        <scheme val="minor"/>
      </rPr>
      <t xml:space="preserve"> και κριται και γραμματεις</t>
    </r>
  </si>
  <si>
    <r>
      <t xml:space="preserve">εσονται </t>
    </r>
    <r>
      <rPr>
        <b/>
        <sz val="11"/>
        <color theme="1"/>
        <rFont val="Calibri"/>
        <family val="2"/>
        <scheme val="minor"/>
      </rPr>
      <t>ιερεις</t>
    </r>
    <r>
      <rPr>
        <sz val="11"/>
        <color theme="1"/>
        <rFont val="Calibri"/>
        <family val="2"/>
        <scheme val="minor"/>
      </rPr>
      <t xml:space="preserve"> κριται γραμματεις</t>
    </r>
  </si>
  <si>
    <r>
      <t xml:space="preserve">εσονται αρχιερεις </t>
    </r>
    <r>
      <rPr>
        <b/>
        <sz val="11"/>
        <color theme="1"/>
        <rFont val="Calibri"/>
        <family val="2"/>
        <scheme val="minor"/>
      </rPr>
      <t>και</t>
    </r>
    <r>
      <rPr>
        <sz val="11"/>
        <color theme="1"/>
        <rFont val="Calibri"/>
        <family val="2"/>
        <scheme val="minor"/>
      </rPr>
      <t xml:space="preserve"> κριται και γραμματεις</t>
    </r>
  </si>
  <si>
    <r>
      <t xml:space="preserve">εσονται αρχιερεις και κριται </t>
    </r>
    <r>
      <rPr>
        <b/>
        <sz val="11"/>
        <color theme="1"/>
        <rFont val="Calibri"/>
        <family val="2"/>
        <scheme val="minor"/>
      </rPr>
      <t>και</t>
    </r>
    <r>
      <rPr>
        <sz val="11"/>
        <color theme="1"/>
        <rFont val="Calibri"/>
        <family val="2"/>
        <scheme val="minor"/>
      </rPr>
      <t xml:space="preserve"> γραμματεις</t>
    </r>
  </si>
  <si>
    <t>(18) ομοιον εκεινω εστι (19) καιγε εκρυψα τουτο</t>
  </si>
  <si>
    <r>
      <t xml:space="preserve">(18) ομοιον </t>
    </r>
    <r>
      <rPr>
        <b/>
        <sz val="11"/>
        <color theme="1"/>
        <rFont val="Calibri"/>
        <family val="2"/>
        <scheme val="minor"/>
      </rPr>
      <t>εκεινου</t>
    </r>
    <r>
      <rPr>
        <sz val="11"/>
        <color theme="1"/>
        <rFont val="Calibri"/>
        <family val="2"/>
        <scheme val="minor"/>
      </rPr>
      <t xml:space="preserve"> εστι (19) και εκρυψα καιγε τουτο</t>
    </r>
  </si>
  <si>
    <r>
      <t xml:space="preserve">(18) ομοιον </t>
    </r>
    <r>
      <rPr>
        <b/>
        <sz val="11"/>
        <color theme="1"/>
        <rFont val="Calibri"/>
        <family val="2"/>
        <scheme val="minor"/>
      </rPr>
      <t>εκεινω</t>
    </r>
    <r>
      <rPr>
        <sz val="11"/>
        <color theme="1"/>
        <rFont val="Calibri"/>
        <family val="2"/>
        <scheme val="minor"/>
      </rPr>
      <t xml:space="preserve"> εστι (19) καιγε εκρυψα τουτο</t>
    </r>
  </si>
  <si>
    <r>
      <t xml:space="preserve">(18) ομοιον εκεινου εστι (19) </t>
    </r>
    <r>
      <rPr>
        <b/>
        <sz val="11"/>
        <color theme="1"/>
        <rFont val="Calibri"/>
        <family val="2"/>
        <scheme val="minor"/>
      </rPr>
      <t>και</t>
    </r>
    <r>
      <rPr>
        <sz val="11"/>
        <color theme="1"/>
        <rFont val="Calibri"/>
        <family val="2"/>
        <scheme val="minor"/>
      </rPr>
      <t xml:space="preserve"> εκρυψα καιγε τουτο</t>
    </r>
  </si>
  <si>
    <r>
      <t xml:space="preserve">(18) ομοιον εκεινου εστι (19) και </t>
    </r>
    <r>
      <rPr>
        <b/>
        <sz val="11"/>
        <color theme="1"/>
        <rFont val="Calibri"/>
        <family val="2"/>
        <scheme val="minor"/>
      </rPr>
      <t>εκρυψα καιγε</t>
    </r>
    <r>
      <rPr>
        <sz val="11"/>
        <color theme="1"/>
        <rFont val="Calibri"/>
        <family val="2"/>
        <scheme val="minor"/>
      </rPr>
      <t xml:space="preserve"> τουτο</t>
    </r>
  </si>
  <si>
    <r>
      <t xml:space="preserve">(18) ομοιον εκεινω εστι (19) </t>
    </r>
    <r>
      <rPr>
        <b/>
        <sz val="11"/>
        <color theme="1"/>
        <rFont val="Calibri"/>
        <family val="2"/>
        <scheme val="minor"/>
      </rPr>
      <t>καιγε εκρυψα</t>
    </r>
    <r>
      <rPr>
        <sz val="11"/>
        <color theme="1"/>
        <rFont val="Calibri"/>
        <family val="2"/>
        <scheme val="minor"/>
      </rPr>
      <t xml:space="preserve"> τουτο</t>
    </r>
  </si>
  <si>
    <t>ανεβημεν εγω</t>
  </si>
  <si>
    <t>ανεβην εγω</t>
  </si>
  <si>
    <t>μετα του πατρος ημων</t>
  </si>
  <si>
    <t>μετα τον πρα ημων</t>
  </si>
  <si>
    <t xml:space="preserve">ηθελησε πορευθηναι </t>
  </si>
  <si>
    <t xml:space="preserve">ηθελε πορευθηναι </t>
  </si>
  <si>
    <t>ελεγε μοι προσεχε</t>
  </si>
  <si>
    <t>ελεγε μη προσεχε</t>
  </si>
  <si>
    <t>μελλει μιαινειν δια του σπερματος σου τα αγια</t>
  </si>
  <si>
    <t>μελλει δια του σπερματος σου μιαινειν τα αγια</t>
  </si>
  <si>
    <t>και εν τω θυειν</t>
  </si>
  <si>
    <t>και τω θυειν</t>
  </si>
  <si>
    <t>φυλλα αναγε κω</t>
  </si>
  <si>
    <r>
      <t xml:space="preserve">φυλλα </t>
    </r>
    <r>
      <rPr>
        <b/>
        <sz val="11"/>
        <color theme="1"/>
        <rFont val="Calibri"/>
        <family val="2"/>
        <scheme val="minor"/>
      </rPr>
      <t>αναγε</t>
    </r>
    <r>
      <rPr>
        <sz val="11"/>
        <color theme="1"/>
        <rFont val="Calibri"/>
        <family val="2"/>
        <scheme val="minor"/>
      </rPr>
      <t xml:space="preserve"> κω</t>
    </r>
  </si>
  <si>
    <r>
      <t xml:space="preserve">φυλλα </t>
    </r>
    <r>
      <rPr>
        <b/>
        <sz val="11"/>
        <color theme="1"/>
        <rFont val="Calibri"/>
        <family val="2"/>
        <scheme val="minor"/>
      </rPr>
      <t>αναγαγε</t>
    </r>
    <r>
      <rPr>
        <sz val="11"/>
        <color theme="1"/>
        <rFont val="Calibri"/>
        <family val="2"/>
        <scheme val="minor"/>
      </rPr>
      <t xml:space="preserve"> τω κυριω</t>
    </r>
  </si>
  <si>
    <r>
      <t xml:space="preserve">φυλλα αναγαγε </t>
    </r>
    <r>
      <rPr>
        <b/>
        <sz val="11"/>
        <color theme="1"/>
        <rFont val="Calibri"/>
        <family val="2"/>
        <scheme val="minor"/>
      </rPr>
      <t>τω</t>
    </r>
    <r>
      <rPr>
        <sz val="11"/>
        <color theme="1"/>
        <rFont val="Calibri"/>
        <family val="2"/>
        <scheme val="minor"/>
      </rPr>
      <t xml:space="preserve"> κυριω</t>
    </r>
  </si>
  <si>
    <t>θυσιαν τω κυριω</t>
  </si>
  <si>
    <t>θυσιαν κω</t>
  </si>
  <si>
    <t>Queens corrects to πρωτογεννηματος</t>
  </si>
  <si>
    <t>πρωτογενηματος και οινου προσφερε</t>
  </si>
  <si>
    <r>
      <rPr>
        <b/>
        <sz val="11"/>
        <color theme="1"/>
        <rFont val="Calibri"/>
        <family val="2"/>
        <scheme val="minor"/>
      </rPr>
      <t>πρωτογενηματος</t>
    </r>
    <r>
      <rPr>
        <sz val="11"/>
        <color theme="1"/>
        <rFont val="Calibri"/>
        <family val="2"/>
        <scheme val="minor"/>
      </rPr>
      <t xml:space="preserve"> σου και οινων προσφερε</t>
    </r>
  </si>
  <si>
    <r>
      <rPr>
        <b/>
        <sz val="11"/>
        <color theme="1"/>
        <rFont val="Calibri"/>
        <family val="2"/>
        <scheme val="minor"/>
      </rPr>
      <t>πρωτογενηματος</t>
    </r>
    <r>
      <rPr>
        <sz val="11"/>
        <color theme="1"/>
        <rFont val="Calibri"/>
        <family val="2"/>
        <scheme val="minor"/>
      </rPr>
      <t xml:space="preserve"> και οινου προσφερε</t>
    </r>
  </si>
  <si>
    <r>
      <t xml:space="preserve">πρωτογενηματος </t>
    </r>
    <r>
      <rPr>
        <b/>
        <sz val="11"/>
        <color theme="1"/>
        <rFont val="Calibri"/>
        <family val="2"/>
        <scheme val="minor"/>
      </rPr>
      <t>σου</t>
    </r>
    <r>
      <rPr>
        <sz val="11"/>
        <color theme="1"/>
        <rFont val="Calibri"/>
        <family val="2"/>
        <scheme val="minor"/>
      </rPr>
      <t xml:space="preserve"> και οινων προσφερε</t>
    </r>
  </si>
  <si>
    <r>
      <t xml:space="preserve">πρωτογενηματος και </t>
    </r>
    <r>
      <rPr>
        <b/>
        <sz val="11"/>
        <color theme="1"/>
        <rFont val="Calibri"/>
        <family val="2"/>
        <scheme val="minor"/>
      </rPr>
      <t>οινου</t>
    </r>
    <r>
      <rPr>
        <sz val="11"/>
        <color theme="1"/>
        <rFont val="Calibri"/>
        <family val="2"/>
        <scheme val="minor"/>
      </rPr>
      <t xml:space="preserve"> προσφερε</t>
    </r>
  </si>
  <si>
    <r>
      <t xml:space="preserve">πρωτογενηματος σου και </t>
    </r>
    <r>
      <rPr>
        <b/>
        <sz val="11"/>
        <color theme="1"/>
        <rFont val="Calibri"/>
        <family val="2"/>
        <scheme val="minor"/>
      </rPr>
      <t>οινων</t>
    </r>
    <r>
      <rPr>
        <sz val="11"/>
        <color theme="1"/>
        <rFont val="Calibri"/>
        <family val="2"/>
        <scheme val="minor"/>
      </rPr>
      <t xml:space="preserve"> προσφερε</t>
    </r>
  </si>
  <si>
    <t>απαρχας και πασαν θυσιαν</t>
  </si>
  <si>
    <t>απαρχας θυσιαν τω κυριω και πασαν θυσιαν</t>
  </si>
  <si>
    <t>οσα εγω εντελλομαι</t>
  </si>
  <si>
    <t>παρα κυριω (3) και ανομησετε</t>
  </si>
  <si>
    <t>παρα κυ (3) και ανομησετε</t>
  </si>
  <si>
    <t>βαστασαι ιερουσαλημ</t>
  </si>
  <si>
    <r>
      <rPr>
        <b/>
        <sz val="11"/>
        <color theme="1"/>
        <rFont val="Calibri"/>
        <family val="2"/>
        <scheme val="minor"/>
      </rPr>
      <t>βασταξαι</t>
    </r>
    <r>
      <rPr>
        <sz val="11"/>
        <color theme="1"/>
        <rFont val="Calibri"/>
        <family val="2"/>
        <scheme val="minor"/>
      </rPr>
      <t xml:space="preserve"> την ιλημ</t>
    </r>
  </si>
  <si>
    <r>
      <rPr>
        <b/>
        <sz val="11"/>
        <color theme="1"/>
        <rFont val="Calibri"/>
        <family val="2"/>
        <scheme val="minor"/>
      </rPr>
      <t>βαστασαι</t>
    </r>
    <r>
      <rPr>
        <sz val="11"/>
        <color theme="1"/>
        <rFont val="Calibri"/>
        <family val="2"/>
        <scheme val="minor"/>
      </rPr>
      <t xml:space="preserve"> ιερουσαλημ</t>
    </r>
  </si>
  <si>
    <r>
      <t xml:space="preserve">βασταξαι </t>
    </r>
    <r>
      <rPr>
        <b/>
        <sz val="11"/>
        <color theme="1"/>
        <rFont val="Calibri"/>
        <family val="2"/>
        <scheme val="minor"/>
      </rPr>
      <t>την</t>
    </r>
    <r>
      <rPr>
        <sz val="11"/>
        <color theme="1"/>
        <rFont val="Calibri"/>
        <family val="2"/>
        <scheme val="minor"/>
      </rPr>
      <t xml:space="preserve"> ιλημ</t>
    </r>
  </si>
  <si>
    <t>και εις καταραν</t>
  </si>
  <si>
    <t>και καταραν</t>
  </si>
  <si>
    <t>γυναικα ημην ετων εικοσιοκτω η ονομα</t>
  </si>
  <si>
    <t>γυναικα κη ετων ημην η ονομα</t>
  </si>
  <si>
    <t xml:space="preserve">(2) γραφεται (3) ιδων δε </t>
  </si>
  <si>
    <t xml:space="preserve">(2) γραφεται (3) ειδον δε </t>
  </si>
  <si>
    <t>ουκ εστιν εν πρωτη</t>
  </si>
  <si>
    <t>ουκ εσται εν πρωτη</t>
  </si>
  <si>
    <t>εκαλεσα το ονομα</t>
  </si>
  <si>
    <t>εκαλεσε το ονομα</t>
  </si>
  <si>
    <t>ελαβε γηρσαμ</t>
  </si>
  <si>
    <r>
      <rPr>
        <b/>
        <sz val="11"/>
        <color theme="1"/>
        <rFont val="Calibri"/>
        <family val="2"/>
        <scheme val="minor"/>
      </rPr>
      <t>ελαβε</t>
    </r>
    <r>
      <rPr>
        <sz val="11"/>
        <color theme="1"/>
        <rFont val="Calibri"/>
        <family val="2"/>
        <scheme val="minor"/>
      </rPr>
      <t xml:space="preserve"> γηρσαμ</t>
    </r>
  </si>
  <si>
    <r>
      <rPr>
        <b/>
        <sz val="11"/>
        <color theme="1"/>
        <rFont val="Calibri"/>
        <family val="2"/>
        <scheme val="minor"/>
      </rPr>
      <t>ελαβεν</t>
    </r>
    <r>
      <rPr>
        <sz val="11"/>
        <color theme="1"/>
        <rFont val="Calibri"/>
        <family val="2"/>
        <scheme val="minor"/>
      </rPr>
      <t xml:space="preserve"> ο γηρσαμ</t>
    </r>
  </si>
  <si>
    <r>
      <t xml:space="preserve">ελαβεν </t>
    </r>
    <r>
      <rPr>
        <b/>
        <sz val="11"/>
        <color theme="1"/>
        <rFont val="Calibri"/>
        <family val="2"/>
        <scheme val="minor"/>
      </rPr>
      <t>ο</t>
    </r>
    <r>
      <rPr>
        <sz val="11"/>
        <color theme="1"/>
        <rFont val="Calibri"/>
        <family val="2"/>
        <scheme val="minor"/>
      </rPr>
      <t xml:space="preserve"> γηρσαμ</t>
    </r>
  </si>
  <si>
    <t>και σεμει</t>
  </si>
  <si>
    <t>και τον σεμει</t>
  </si>
  <si>
    <r>
      <t xml:space="preserve">υιοι </t>
    </r>
    <r>
      <rPr>
        <b/>
        <sz val="11"/>
        <color theme="1"/>
        <rFont val="Calibri"/>
        <family val="2"/>
        <scheme val="minor"/>
      </rPr>
      <t>κααθ</t>
    </r>
    <r>
      <rPr>
        <sz val="11"/>
        <color theme="1"/>
        <rFont val="Calibri"/>
        <family val="2"/>
        <scheme val="minor"/>
      </rPr>
      <t xml:space="preserve"> αμβραμ ισααρ χεβρω οζηλ</t>
    </r>
  </si>
  <si>
    <r>
      <t xml:space="preserve">υιοι </t>
    </r>
    <r>
      <rPr>
        <b/>
        <sz val="11"/>
        <color theme="1"/>
        <rFont val="Calibri"/>
        <family val="2"/>
        <scheme val="minor"/>
      </rPr>
      <t>καθ</t>
    </r>
    <r>
      <rPr>
        <sz val="11"/>
        <color theme="1"/>
        <rFont val="Calibri"/>
        <family val="2"/>
        <scheme val="minor"/>
      </rPr>
      <t xml:space="preserve"> αβραμ ισααρ χεβρω οζιηλ</t>
    </r>
  </si>
  <si>
    <r>
      <t xml:space="preserve">υιοι καθ </t>
    </r>
    <r>
      <rPr>
        <b/>
        <sz val="11"/>
        <color theme="1"/>
        <rFont val="Calibri"/>
        <family val="2"/>
        <scheme val="minor"/>
      </rPr>
      <t>αβραμ</t>
    </r>
    <r>
      <rPr>
        <sz val="11"/>
        <color theme="1"/>
        <rFont val="Calibri"/>
        <family val="2"/>
        <scheme val="minor"/>
      </rPr>
      <t xml:space="preserve"> ισααρ χεβρω οζιηλ</t>
    </r>
  </si>
  <si>
    <r>
      <t xml:space="preserve">υιοι κααθ </t>
    </r>
    <r>
      <rPr>
        <b/>
        <sz val="11"/>
        <color theme="1"/>
        <rFont val="Calibri"/>
        <family val="2"/>
        <scheme val="minor"/>
      </rPr>
      <t>αμβραμ</t>
    </r>
    <r>
      <rPr>
        <sz val="11"/>
        <color theme="1"/>
        <rFont val="Calibri"/>
        <family val="2"/>
        <scheme val="minor"/>
      </rPr>
      <t xml:space="preserve"> ισααρ χεβρω οζηλ</t>
    </r>
  </si>
  <si>
    <r>
      <t xml:space="preserve">υιοι κααθ αμβραμ ισααρ χεβρω </t>
    </r>
    <r>
      <rPr>
        <b/>
        <sz val="11"/>
        <color theme="1"/>
        <rFont val="Calibri"/>
        <family val="2"/>
        <scheme val="minor"/>
      </rPr>
      <t>οζηλ</t>
    </r>
  </si>
  <si>
    <r>
      <t xml:space="preserve">υιοι καθ αβραμ ισααρ χεβρω </t>
    </r>
    <r>
      <rPr>
        <b/>
        <sz val="11"/>
        <color theme="1"/>
        <rFont val="Calibri"/>
        <family val="2"/>
        <scheme val="minor"/>
      </rPr>
      <t>οζιηλ</t>
    </r>
  </si>
  <si>
    <r>
      <rPr>
        <b/>
        <sz val="11"/>
        <color theme="1"/>
        <rFont val="Calibri"/>
        <family val="2"/>
        <scheme val="minor"/>
      </rPr>
      <t>μοολι</t>
    </r>
    <r>
      <rPr>
        <sz val="11"/>
        <color theme="1"/>
        <rFont val="Calibri"/>
        <family val="2"/>
        <scheme val="minor"/>
      </rPr>
      <t xml:space="preserve"> και ομουσι</t>
    </r>
  </si>
  <si>
    <r>
      <rPr>
        <b/>
        <sz val="11"/>
        <color theme="1"/>
        <rFont val="Calibri"/>
        <family val="2"/>
        <scheme val="minor"/>
      </rPr>
      <t>μολθη</t>
    </r>
    <r>
      <rPr>
        <sz val="11"/>
        <color theme="1"/>
        <rFont val="Calibri"/>
        <family val="2"/>
        <scheme val="minor"/>
      </rPr>
      <t xml:space="preserve"> και ομοιση</t>
    </r>
  </si>
  <si>
    <r>
      <t xml:space="preserve">μολθη και </t>
    </r>
    <r>
      <rPr>
        <b/>
        <sz val="11"/>
        <color theme="1"/>
        <rFont val="Calibri"/>
        <family val="2"/>
        <scheme val="minor"/>
      </rPr>
      <t>ομοιση</t>
    </r>
  </si>
  <si>
    <r>
      <t xml:space="preserve">μοολι και </t>
    </r>
    <r>
      <rPr>
        <b/>
        <sz val="11"/>
        <color theme="1"/>
        <rFont val="Calibri"/>
        <family val="2"/>
        <scheme val="minor"/>
      </rPr>
      <t>ομουσι</t>
    </r>
  </si>
  <si>
    <t>και ενενηκοστω τεταρτω ετει μου ελαβεν</t>
  </si>
  <si>
    <r>
      <t xml:space="preserve">και </t>
    </r>
    <r>
      <rPr>
        <b/>
        <sz val="11"/>
        <color theme="1"/>
        <rFont val="Calibri"/>
        <family val="2"/>
        <scheme val="minor"/>
      </rPr>
      <t>τω</t>
    </r>
    <r>
      <rPr>
        <sz val="11"/>
        <color theme="1"/>
        <rFont val="Calibri"/>
        <family val="2"/>
        <scheme val="minor"/>
      </rPr>
      <t xml:space="preserve"> εννενηκοστω ετει μου συν τεταρτω ελαβεν</t>
    </r>
  </si>
  <si>
    <r>
      <t xml:space="preserve">και </t>
    </r>
    <r>
      <rPr>
        <b/>
        <sz val="11"/>
        <color theme="1"/>
        <rFont val="Calibri"/>
        <family val="2"/>
        <scheme val="minor"/>
      </rPr>
      <t>ενενηκοστω</t>
    </r>
    <r>
      <rPr>
        <sz val="11"/>
        <color theme="1"/>
        <rFont val="Calibri"/>
        <family val="2"/>
        <scheme val="minor"/>
      </rPr>
      <t xml:space="preserve"> τεταρτω ετει μου ελαβεν</t>
    </r>
  </si>
  <si>
    <r>
      <t xml:space="preserve">και τω </t>
    </r>
    <r>
      <rPr>
        <b/>
        <sz val="11"/>
        <color theme="1"/>
        <rFont val="Calibri"/>
        <family val="2"/>
        <scheme val="minor"/>
      </rPr>
      <t>εννενηκοστω</t>
    </r>
    <r>
      <rPr>
        <sz val="11"/>
        <color theme="1"/>
        <rFont val="Calibri"/>
        <family val="2"/>
        <scheme val="minor"/>
      </rPr>
      <t xml:space="preserve"> ετει μου συν τεταρτω ελαβεν</t>
    </r>
  </si>
  <si>
    <r>
      <t xml:space="preserve">και ενενηκοστω </t>
    </r>
    <r>
      <rPr>
        <b/>
        <sz val="11"/>
        <color theme="1"/>
        <rFont val="Calibri"/>
        <family val="2"/>
        <scheme val="minor"/>
      </rPr>
      <t>τεταρτω ετει μου</t>
    </r>
    <r>
      <rPr>
        <sz val="11"/>
        <color theme="1"/>
        <rFont val="Calibri"/>
        <family val="2"/>
        <scheme val="minor"/>
      </rPr>
      <t xml:space="preserve"> ελαβεν</t>
    </r>
  </si>
  <si>
    <r>
      <t xml:space="preserve">και τω εννενηκοστω </t>
    </r>
    <r>
      <rPr>
        <b/>
        <sz val="11"/>
        <color theme="1"/>
        <rFont val="Calibri"/>
        <family val="2"/>
        <scheme val="minor"/>
      </rPr>
      <t>ετει μου συν τεταρτω</t>
    </r>
    <r>
      <rPr>
        <sz val="11"/>
        <color theme="1"/>
        <rFont val="Calibri"/>
        <family val="2"/>
        <scheme val="minor"/>
      </rPr>
      <t xml:space="preserve"> ελαβεν</t>
    </r>
  </si>
  <si>
    <r>
      <t xml:space="preserve">και τω εννενηκοστω ετει μου </t>
    </r>
    <r>
      <rPr>
        <b/>
        <sz val="11"/>
        <color theme="1"/>
        <rFont val="Calibri"/>
        <family val="2"/>
        <scheme val="minor"/>
      </rPr>
      <t>συν</t>
    </r>
    <r>
      <rPr>
        <sz val="11"/>
        <color theme="1"/>
        <rFont val="Calibri"/>
        <family val="2"/>
        <scheme val="minor"/>
      </rPr>
      <t xml:space="preserve"> τεταρτω ελαβεν</t>
    </r>
  </si>
  <si>
    <t>ελαβεν αβραμ</t>
  </si>
  <si>
    <r>
      <t xml:space="preserve">ελαβεν </t>
    </r>
    <r>
      <rPr>
        <b/>
        <sz val="11"/>
        <color theme="1"/>
        <rFont val="Calibri"/>
        <family val="2"/>
        <scheme val="minor"/>
      </rPr>
      <t>ο</t>
    </r>
    <r>
      <rPr>
        <sz val="11"/>
        <color theme="1"/>
        <rFont val="Calibri"/>
        <family val="2"/>
        <scheme val="minor"/>
      </rPr>
      <t xml:space="preserve"> αμβραμ</t>
    </r>
  </si>
  <si>
    <r>
      <t xml:space="preserve">ελαβεν ο </t>
    </r>
    <r>
      <rPr>
        <b/>
        <sz val="11"/>
        <color theme="1"/>
        <rFont val="Calibri"/>
        <family val="2"/>
        <scheme val="minor"/>
      </rPr>
      <t>αμβραμ</t>
    </r>
  </si>
  <si>
    <r>
      <t xml:space="preserve">ελαβεν </t>
    </r>
    <r>
      <rPr>
        <b/>
        <sz val="11"/>
        <color theme="1"/>
        <rFont val="Calibri"/>
        <family val="2"/>
        <scheme val="minor"/>
      </rPr>
      <t>αβραμ</t>
    </r>
  </si>
  <si>
    <t>θυγατερα μου αυτω</t>
  </si>
  <si>
    <t>θυγατερα μου εαυτω</t>
  </si>
  <si>
    <t>εις γην χανααν</t>
  </si>
  <si>
    <t>εις χανααν</t>
  </si>
  <si>
    <t>δεκα και οκτω</t>
  </si>
  <si>
    <r>
      <rPr>
        <b/>
        <sz val="11"/>
        <color theme="1"/>
        <rFont val="Calibri"/>
        <family val="2"/>
        <scheme val="minor"/>
      </rPr>
      <t>εννεακαιδεκα</t>
    </r>
    <r>
      <rPr>
        <sz val="11"/>
        <color theme="1"/>
        <rFont val="Calibri"/>
        <family val="2"/>
        <scheme val="minor"/>
      </rPr>
      <t xml:space="preserve"> ετων ιερατευσα</t>
    </r>
  </si>
  <si>
    <r>
      <rPr>
        <b/>
        <sz val="11"/>
        <color theme="1"/>
        <rFont val="Calibri"/>
        <family val="2"/>
        <scheme val="minor"/>
      </rPr>
      <t>δεκα και εννεα</t>
    </r>
    <r>
      <rPr>
        <sz val="11"/>
        <color theme="1"/>
        <rFont val="Calibri"/>
        <family val="2"/>
        <scheme val="minor"/>
      </rPr>
      <t xml:space="preserve"> ετη ιερατευσα</t>
    </r>
  </si>
  <si>
    <r>
      <t xml:space="preserve">εννεακαιδεκα </t>
    </r>
    <r>
      <rPr>
        <b/>
        <sz val="11"/>
        <color theme="1"/>
        <rFont val="Calibri"/>
        <family val="2"/>
        <scheme val="minor"/>
      </rPr>
      <t>ετων</t>
    </r>
    <r>
      <rPr>
        <sz val="11"/>
        <color theme="1"/>
        <rFont val="Calibri"/>
        <family val="2"/>
        <scheme val="minor"/>
      </rPr>
      <t xml:space="preserve"> ιερατευσα</t>
    </r>
  </si>
  <si>
    <r>
      <t xml:space="preserve">δεκα και εννεα </t>
    </r>
    <r>
      <rPr>
        <b/>
        <sz val="11"/>
        <color theme="1"/>
        <rFont val="Calibri"/>
        <family val="2"/>
        <scheme val="minor"/>
      </rPr>
      <t>ετη</t>
    </r>
    <r>
      <rPr>
        <sz val="11"/>
        <color theme="1"/>
        <rFont val="Calibri"/>
        <family val="2"/>
        <scheme val="minor"/>
      </rPr>
      <t xml:space="preserve"> ιερατευσα</t>
    </r>
  </si>
  <si>
    <t>και εικοσι οκτω ετων</t>
  </si>
  <si>
    <t>και κ και η ετων</t>
  </si>
  <si>
    <t>ιδου τεκνα μου εστε τεκνα μου τριτη</t>
  </si>
  <si>
    <t>ιδου τεκνα μου τριτη</t>
  </si>
  <si>
    <r>
      <t>εκατοστω</t>
    </r>
    <r>
      <rPr>
        <b/>
        <sz val="11"/>
        <color theme="1"/>
        <rFont val="Calibri"/>
        <family val="2"/>
        <scheme val="minor"/>
      </rPr>
      <t xml:space="preserve"> </t>
    </r>
    <r>
      <rPr>
        <sz val="11"/>
        <color theme="1"/>
        <rFont val="Calibri"/>
        <family val="2"/>
        <scheme val="minor"/>
      </rPr>
      <t>οκτωκαιδεκατω ετει</t>
    </r>
  </si>
  <si>
    <r>
      <t xml:space="preserve">εκατοστω ογδοω και δεκατω </t>
    </r>
    <r>
      <rPr>
        <b/>
        <sz val="11"/>
        <color theme="1"/>
        <rFont val="Calibri"/>
        <family val="2"/>
        <scheme val="minor"/>
      </rPr>
      <t>μου</t>
    </r>
    <r>
      <rPr>
        <sz val="11"/>
        <color theme="1"/>
        <rFont val="Calibri"/>
        <family val="2"/>
        <scheme val="minor"/>
      </rPr>
      <t xml:space="preserve"> ετει</t>
    </r>
  </si>
  <si>
    <r>
      <t xml:space="preserve">εκατοστω </t>
    </r>
    <r>
      <rPr>
        <b/>
        <sz val="11"/>
        <color theme="1"/>
        <rFont val="Calibri"/>
        <family val="2"/>
        <scheme val="minor"/>
      </rPr>
      <t>οκτω</t>
    </r>
    <r>
      <rPr>
        <sz val="11"/>
        <color theme="1"/>
        <rFont val="Calibri"/>
        <family val="2"/>
        <scheme val="minor"/>
      </rPr>
      <t>καιδεκατω ετει</t>
    </r>
  </si>
  <si>
    <r>
      <t xml:space="preserve">εκατοστω </t>
    </r>
    <r>
      <rPr>
        <b/>
        <sz val="11"/>
        <color theme="1"/>
        <rFont val="Calibri"/>
        <family val="2"/>
        <scheme val="minor"/>
      </rPr>
      <t>ογδοω</t>
    </r>
    <r>
      <rPr>
        <sz val="11"/>
        <color theme="1"/>
        <rFont val="Calibri"/>
        <family val="2"/>
        <scheme val="minor"/>
      </rPr>
      <t xml:space="preserve"> και δεκατω μου ετει</t>
    </r>
  </si>
  <si>
    <t>εντελλομαι υμιν φοβεισθαι κυριον τον θεον ημων</t>
  </si>
  <si>
    <t>εντελλομαι υμιν ινα φοβεισθε τον κν ημων</t>
  </si>
  <si>
    <r>
      <t xml:space="preserve">εντελλομαι υμιν </t>
    </r>
    <r>
      <rPr>
        <b/>
        <sz val="11"/>
        <color theme="1"/>
        <rFont val="Calibri"/>
        <family val="2"/>
        <scheme val="minor"/>
      </rPr>
      <t>φοβεισθαι</t>
    </r>
    <r>
      <rPr>
        <sz val="11"/>
        <color theme="1"/>
        <rFont val="Calibri"/>
        <family val="2"/>
        <scheme val="minor"/>
      </rPr>
      <t xml:space="preserve"> κυριον τον θεον ημων</t>
    </r>
  </si>
  <si>
    <r>
      <t xml:space="preserve">εντελλομαι υμιν ινα φοβεισθε </t>
    </r>
    <r>
      <rPr>
        <b/>
        <sz val="11"/>
        <color theme="1"/>
        <rFont val="Calibri"/>
        <family val="2"/>
        <scheme val="minor"/>
      </rPr>
      <t>τον</t>
    </r>
    <r>
      <rPr>
        <sz val="11"/>
        <color theme="1"/>
        <rFont val="Calibri"/>
        <family val="2"/>
        <scheme val="minor"/>
      </rPr>
      <t xml:space="preserve"> κν ημων</t>
    </r>
  </si>
  <si>
    <r>
      <t xml:space="preserve">εντελλομαι υμιν φοβεισθαι κυριον </t>
    </r>
    <r>
      <rPr>
        <b/>
        <sz val="11"/>
        <color theme="1"/>
        <rFont val="Calibri"/>
        <family val="2"/>
        <scheme val="minor"/>
      </rPr>
      <t>τον θεον</t>
    </r>
    <r>
      <rPr>
        <sz val="11"/>
        <color theme="1"/>
        <rFont val="Calibri"/>
        <family val="2"/>
        <scheme val="minor"/>
      </rPr>
      <t xml:space="preserve"> ημων</t>
    </r>
  </si>
  <si>
    <t>ολης της καρδιας</t>
  </si>
  <si>
    <t>ολης καρδιας</t>
  </si>
  <si>
    <t>απλοτητι καρδιας κατα παντα</t>
  </si>
  <si>
    <t>απλοτητι κατα παντα</t>
  </si>
  <si>
    <t>νομον αυτων (2) διδαξατε</t>
  </si>
  <si>
    <t>νομον αυτου (2) διδαξατε</t>
  </si>
  <si>
    <t>πας ο γνωσεται</t>
  </si>
  <si>
    <t>πας ος γνωσεται</t>
  </si>
  <si>
    <t>σπειρετε εν ταις ψυχαις</t>
  </si>
  <si>
    <t>σπειρατε εν ταις ψυχαις</t>
  </si>
  <si>
    <t>σπειρητε κακα</t>
  </si>
  <si>
    <t>σπειρατε κακα</t>
  </si>
  <si>
    <t xml:space="preserve">(7) αμαρτιας (8) τοτε γενησεται </t>
  </si>
  <si>
    <t xml:space="preserve">(7) αμαρτιας (8) οτι γενησεται </t>
  </si>
  <si>
    <t>(8) φιλος (9) ος εαν διδασκη</t>
  </si>
  <si>
    <t>(8) φιλος (9) εαν διδασκη</t>
  </si>
  <si>
    <t>βασιλεως ως και ιωσηφ</t>
  </si>
  <si>
    <t>βασιλεως και ιωσηφ</t>
  </si>
  <si>
    <t>εφ υμιν οι αδελφοι</t>
  </si>
  <si>
    <t>εφ υμας οι αδελφοι</t>
  </si>
  <si>
    <t>καθαρος εσται απο της</t>
  </si>
  <si>
    <t>καθαρος εστιν απο της</t>
  </si>
  <si>
    <t>σκοτισθητε εν ασεβεια</t>
  </si>
  <si>
    <t>σκοτισθησεσθε εν ασεβεια</t>
  </si>
  <si>
    <t>γενος ημων</t>
  </si>
  <si>
    <t>γενος υμων</t>
  </si>
  <si>
    <t>τουτον θελοντες</t>
  </si>
  <si>
    <t>τουτο θελοντες</t>
  </si>
  <si>
    <t>Queens corrects to ληστευσετε</t>
  </si>
  <si>
    <t>(5) πορνων (6) και εν πλεονεξια</t>
  </si>
  <si>
    <t>(5) πορνων (6) εν πλεονεξια</t>
  </si>
  <si>
    <t>εντολας κυριου</t>
  </si>
  <si>
    <t>εντολας του κυ</t>
  </si>
  <si>
    <t>παρθενους ισραηλ μιανειτε</t>
  </si>
  <si>
    <t>παρνους ιλημ μιανειτε</t>
  </si>
  <si>
    <t>Queenst = πονηραις</t>
  </si>
  <si>
    <t>μιξις υμων ως σοδομα</t>
  </si>
  <si>
    <t>μιξις υμων σοδομα</t>
  </si>
  <si>
    <t>κατα ανθρωπων</t>
  </si>
  <si>
    <t>κατα των ανων</t>
  </si>
  <si>
    <t>εκλεξηται κς</t>
  </si>
  <si>
    <t>εκλεξετο κυριος</t>
  </si>
  <si>
    <t>Queens corrects εκλεξετο -&gt; εκλεξετε</t>
  </si>
  <si>
    <t>πρας ημων</t>
  </si>
  <si>
    <t>πατερας υμων</t>
  </si>
  <si>
    <t>σπερματος μου κατελειφθη</t>
  </si>
  <si>
    <r>
      <t xml:space="preserve">σπερματος μου </t>
    </r>
    <r>
      <rPr>
        <b/>
        <sz val="11"/>
        <color theme="1"/>
        <rFont val="Calibri"/>
        <family val="2"/>
        <scheme val="minor"/>
      </rPr>
      <t>ου μη</t>
    </r>
    <r>
      <rPr>
        <sz val="11"/>
        <color theme="1"/>
        <rFont val="Calibri"/>
        <family val="2"/>
        <scheme val="minor"/>
      </rPr>
      <t xml:space="preserve"> καταλειφθη</t>
    </r>
  </si>
  <si>
    <r>
      <t xml:space="preserve">σπερματος μου ου μη </t>
    </r>
    <r>
      <rPr>
        <b/>
        <sz val="11"/>
        <color theme="1"/>
        <rFont val="Calibri"/>
        <family val="2"/>
        <scheme val="minor"/>
      </rPr>
      <t>καταλειφθη</t>
    </r>
  </si>
  <si>
    <r>
      <t xml:space="preserve">σπερματος μου </t>
    </r>
    <r>
      <rPr>
        <b/>
        <sz val="11"/>
        <color theme="1"/>
        <rFont val="Calibri"/>
        <family val="2"/>
        <scheme val="minor"/>
      </rPr>
      <t>κατελειφθη</t>
    </r>
  </si>
  <si>
    <t>και ευσεβεις</t>
  </si>
  <si>
    <t>και ασεβεις</t>
  </si>
  <si>
    <t>ανακαινοποιουντα τον νομον</t>
  </si>
  <si>
    <t>ανακαινοποιουντα νομον</t>
  </si>
  <si>
    <t>επι κεφαλας</t>
  </si>
  <si>
    <t>επι κεφαλης</t>
  </si>
  <si>
    <t>(3) αναδεχομενοι (4) δι αυτον εσται τα αγια</t>
  </si>
  <si>
    <r>
      <t xml:space="preserve">(3) αναδεχομενοι (4) </t>
    </r>
    <r>
      <rPr>
        <b/>
        <sz val="11"/>
        <color theme="1"/>
        <rFont val="Calibri"/>
        <family val="2"/>
        <scheme val="minor"/>
      </rPr>
      <t>και</t>
    </r>
    <r>
      <rPr>
        <sz val="11"/>
        <color theme="1"/>
        <rFont val="Calibri"/>
        <family val="2"/>
        <scheme val="minor"/>
      </rPr>
      <t xml:space="preserve"> δι αυτον εσονται τα αγια</t>
    </r>
  </si>
  <si>
    <r>
      <t xml:space="preserve">(3) αναδεχομενοι (4) και δι αυτον </t>
    </r>
    <r>
      <rPr>
        <b/>
        <sz val="11"/>
        <color theme="1"/>
        <rFont val="Calibri"/>
        <family val="2"/>
        <scheme val="minor"/>
      </rPr>
      <t>εσονται</t>
    </r>
    <r>
      <rPr>
        <sz val="11"/>
        <color theme="1"/>
        <rFont val="Calibri"/>
        <family val="2"/>
        <scheme val="minor"/>
      </rPr>
      <t xml:space="preserve"> τα αγια</t>
    </r>
  </si>
  <si>
    <r>
      <t xml:space="preserve">(3) αναδεχομενοι (4) δι αυτον </t>
    </r>
    <r>
      <rPr>
        <b/>
        <sz val="11"/>
        <color theme="1"/>
        <rFont val="Calibri"/>
        <family val="2"/>
        <scheme val="minor"/>
      </rPr>
      <t>εσται</t>
    </r>
    <r>
      <rPr>
        <sz val="11"/>
        <color theme="1"/>
        <rFont val="Calibri"/>
        <family val="2"/>
        <scheme val="minor"/>
      </rPr>
      <t xml:space="preserve"> τα αγια</t>
    </r>
  </si>
  <si>
    <t>προσδεξηται υμας</t>
  </si>
  <si>
    <t>προσδεξετε υμας</t>
  </si>
  <si>
    <t>ακουσατε περι της</t>
  </si>
  <si>
    <t>ακουσατε και περι της</t>
  </si>
  <si>
    <t>ιερωσυνη και εν τω πρωτω</t>
  </si>
  <si>
    <t>ιερωσυνη εν τω πρωτω</t>
  </si>
  <si>
    <t>εν δε τω δευτερω</t>
  </si>
  <si>
    <t>εν τω δευτερω</t>
  </si>
  <si>
    <t>ιωβηλαιω χριομενος</t>
  </si>
  <si>
    <t>ιωβηλαιω ο χριομενος</t>
  </si>
  <si>
    <t>ιερευς λυπη</t>
  </si>
  <si>
    <t>ιερευς εν λυπη</t>
  </si>
  <si>
    <t>(4) παραληφθησεται (5) ο δε τεταρτος</t>
  </si>
  <si>
    <t>(4) παραληφθησεται (5) και ο τεταρτος</t>
  </si>
  <si>
    <t>εν οδυναις εσται</t>
  </si>
  <si>
    <t>εν οδυνη εσται</t>
  </si>
  <si>
    <t>επ αυτω η αδικια</t>
  </si>
  <si>
    <t>επ αυτον η αδικια</t>
  </si>
  <si>
    <t>οικον κυριω (11) εν δε</t>
  </si>
  <si>
    <t>οικον κυ (11) εν δε</t>
  </si>
  <si>
    <t>ηξουσιν ιερεις</t>
  </si>
  <si>
    <t>ηξουσιν οι ιερεις</t>
  </si>
  <si>
    <t>παιδοφθοροι κτηνοφθοροι</t>
  </si>
  <si>
    <t>παιδοφθοροι και κτηνοφθοροι</t>
  </si>
  <si>
    <r>
      <t xml:space="preserve">ως </t>
    </r>
    <r>
      <rPr>
        <b/>
        <sz val="11"/>
        <color theme="1"/>
        <rFont val="Calibri"/>
        <family val="2"/>
        <scheme val="minor"/>
      </rPr>
      <t>βασιλευς</t>
    </r>
    <r>
      <rPr>
        <sz val="11"/>
        <color theme="1"/>
        <rFont val="Calibri"/>
        <family val="2"/>
        <scheme val="minor"/>
      </rPr>
      <t xml:space="preserve"> φωτιζων φως</t>
    </r>
  </si>
  <si>
    <r>
      <t xml:space="preserve">ως </t>
    </r>
    <r>
      <rPr>
        <b/>
        <sz val="11"/>
        <color theme="1"/>
        <rFont val="Calibri"/>
        <family val="2"/>
        <scheme val="minor"/>
      </rPr>
      <t>βασιλεως</t>
    </r>
    <r>
      <rPr>
        <sz val="11"/>
        <color theme="1"/>
        <rFont val="Calibri"/>
        <family val="2"/>
        <scheme val="minor"/>
      </rPr>
      <t xml:space="preserve"> φωτιζον φως</t>
    </r>
  </si>
  <si>
    <r>
      <t xml:space="preserve">ως βασιλευς </t>
    </r>
    <r>
      <rPr>
        <b/>
        <sz val="11"/>
        <color theme="1"/>
        <rFont val="Calibri"/>
        <family val="2"/>
        <scheme val="minor"/>
      </rPr>
      <t>φωτιζων</t>
    </r>
    <r>
      <rPr>
        <sz val="11"/>
        <color theme="1"/>
        <rFont val="Calibri"/>
        <family val="2"/>
        <scheme val="minor"/>
      </rPr>
      <t xml:space="preserve"> φως</t>
    </r>
  </si>
  <si>
    <r>
      <t xml:space="preserve">ως βασιλεως </t>
    </r>
    <r>
      <rPr>
        <b/>
        <sz val="11"/>
        <color theme="1"/>
        <rFont val="Calibri"/>
        <family val="2"/>
        <scheme val="minor"/>
      </rPr>
      <t>φωτιζον</t>
    </r>
    <r>
      <rPr>
        <sz val="11"/>
        <color theme="1"/>
        <rFont val="Calibri"/>
        <family val="2"/>
        <scheme val="minor"/>
      </rPr>
      <t xml:space="preserve"> φως</t>
    </r>
  </si>
  <si>
    <t>ηλιω ημερων και</t>
  </si>
  <si>
    <t>ηλιω ημερας και</t>
  </si>
  <si>
    <t>γνωσις κυριου εκχυθησεται</t>
  </si>
  <si>
    <t>γνωσις κυ χυθησεται</t>
  </si>
  <si>
    <t>της δοξης και του προσωπου</t>
  </si>
  <si>
    <t>της δοξης του προσωπου</t>
  </si>
  <si>
    <t>οι ουνοι</t>
  </si>
  <si>
    <t>οι ουρανοι</t>
  </si>
  <si>
    <t>Queens strikes out οι</t>
  </si>
  <si>
    <t>εως αιωνος</t>
  </si>
  <si>
    <t>εως του αιωνος</t>
  </si>
  <si>
    <t>ζησας εκατον τριακοντα επτα ετη (5) και εθηκαν</t>
  </si>
  <si>
    <t>ζησας ρλζ (5) και εθηκαν</t>
  </si>
  <si>
    <t>εγενομην εγω τω πατρι</t>
  </si>
  <si>
    <t>εγενομην τω πρι</t>
  </si>
  <si>
    <t>και η μηρ</t>
  </si>
  <si>
    <t>και μητηρ</t>
  </si>
  <si>
    <t>ιουδαν λεγουσα</t>
  </si>
  <si>
    <t>ιουδα λεγουσα</t>
  </si>
  <si>
    <t>ανθομολογουμαι τω κω</t>
  </si>
  <si>
    <t>ανθομολογουμαι κυριω</t>
  </si>
  <si>
    <t>οτι δεδωκε</t>
  </si>
  <si>
    <t>οτι εδωκε</t>
  </si>
  <si>
    <t>μοι καιγε τεταρτον</t>
  </si>
  <si>
    <t>μοι και τεταρτον</t>
  </si>
  <si>
    <t>πατρι κατα παντα</t>
  </si>
  <si>
    <t>πρι μου κατα παντα</t>
  </si>
  <si>
    <t>μητερα και</t>
  </si>
  <si>
    <t>μρα μου και</t>
  </si>
  <si>
    <t>και ευοδουμενος</t>
  </si>
  <si>
    <t>εργοις μου εν τε αγρω</t>
  </si>
  <si>
    <t>εποιησα τω πατρι μου βρωμα (3) τας δορκαδας</t>
  </si>
  <si>
    <t>εποιησα βρωμα τω πρι μου (3) τας δορκαδας</t>
  </si>
  <si>
    <t>παν οτι ην</t>
  </si>
  <si>
    <t>παν ο ην</t>
  </si>
  <si>
    <t>πιασας ημερωσα</t>
  </si>
  <si>
    <t>πιασας αυτην ημερωσα</t>
  </si>
  <si>
    <t>λαβων απο του ποδος</t>
  </si>
  <si>
    <t>λαβων εκ του ποδος</t>
  </si>
  <si>
    <t>εις τον κρημνον</t>
  </si>
  <si>
    <t>εις κρημνον</t>
  </si>
  <si>
    <r>
      <rPr>
        <b/>
        <sz val="11"/>
        <color theme="1"/>
        <rFont val="Calibri"/>
        <family val="2"/>
        <scheme val="minor"/>
      </rPr>
      <t>επεστρεφε</t>
    </r>
    <r>
      <rPr>
        <sz val="11"/>
        <color theme="1"/>
        <rFont val="Calibri"/>
        <family val="2"/>
        <scheme val="minor"/>
      </rPr>
      <t xml:space="preserve"> προς με</t>
    </r>
  </si>
  <si>
    <r>
      <rPr>
        <b/>
        <sz val="11"/>
        <color theme="1"/>
        <rFont val="Calibri"/>
        <family val="2"/>
        <scheme val="minor"/>
      </rPr>
      <t>επεστρεφεν</t>
    </r>
    <r>
      <rPr>
        <sz val="11"/>
        <color theme="1"/>
        <rFont val="Calibri"/>
        <family val="2"/>
        <scheme val="minor"/>
      </rPr>
      <t xml:space="preserve"> επ εμε</t>
    </r>
  </si>
  <si>
    <r>
      <t xml:space="preserve">επεστρεφεν </t>
    </r>
    <r>
      <rPr>
        <b/>
        <sz val="11"/>
        <color theme="1"/>
        <rFont val="Calibri"/>
        <family val="2"/>
        <scheme val="minor"/>
      </rPr>
      <t>επ</t>
    </r>
    <r>
      <rPr>
        <sz val="11"/>
        <color theme="1"/>
        <rFont val="Calibri"/>
        <family val="2"/>
        <scheme val="minor"/>
      </rPr>
      <t xml:space="preserve"> εμε</t>
    </r>
  </si>
  <si>
    <r>
      <t xml:space="preserve">επεστρεφε </t>
    </r>
    <r>
      <rPr>
        <b/>
        <sz val="11"/>
        <color theme="1"/>
        <rFont val="Calibri"/>
        <family val="2"/>
        <scheme val="minor"/>
      </rPr>
      <t>προς</t>
    </r>
    <r>
      <rPr>
        <sz val="11"/>
        <color theme="1"/>
        <rFont val="Calibri"/>
        <family val="2"/>
        <scheme val="minor"/>
      </rPr>
      <t xml:space="preserve"> με</t>
    </r>
  </si>
  <si>
    <r>
      <t xml:space="preserve">επεστρεφε προς </t>
    </r>
    <r>
      <rPr>
        <b/>
        <sz val="11"/>
        <color theme="1"/>
        <rFont val="Calibri"/>
        <family val="2"/>
        <scheme val="minor"/>
      </rPr>
      <t>με</t>
    </r>
  </si>
  <si>
    <r>
      <t xml:space="preserve">επεστρεφεν επ </t>
    </r>
    <r>
      <rPr>
        <b/>
        <sz val="11"/>
        <color theme="1"/>
        <rFont val="Calibri"/>
        <family val="2"/>
        <scheme val="minor"/>
      </rPr>
      <t>εμε</t>
    </r>
  </si>
  <si>
    <t xml:space="preserve">(4) κυνα (5) αγριω χοιρω  συνεδραμον </t>
  </si>
  <si>
    <r>
      <t xml:space="preserve">(4) κυνα (5) </t>
    </r>
    <r>
      <rPr>
        <b/>
        <sz val="11"/>
        <color theme="1"/>
        <rFont val="Calibri"/>
        <family val="2"/>
        <scheme val="minor"/>
      </rPr>
      <t>τω χοιρω τω αγριω</t>
    </r>
    <r>
      <rPr>
        <sz val="11"/>
        <color theme="1"/>
        <rFont val="Calibri"/>
        <family val="2"/>
        <scheme val="minor"/>
      </rPr>
      <t xml:space="preserve"> συνεδραμον</t>
    </r>
  </si>
  <si>
    <r>
      <t xml:space="preserve">(4) κυνα (5) </t>
    </r>
    <r>
      <rPr>
        <b/>
        <sz val="11"/>
        <color theme="1"/>
        <rFont val="Calibri"/>
        <family val="2"/>
        <scheme val="minor"/>
      </rPr>
      <t>αγριω χοιρω</t>
    </r>
    <r>
      <rPr>
        <sz val="11"/>
        <color theme="1"/>
        <rFont val="Calibri"/>
        <family val="2"/>
        <scheme val="minor"/>
      </rPr>
      <t xml:space="preserve">  συνεδραμον </t>
    </r>
  </si>
  <si>
    <r>
      <t xml:space="preserve">(4) κυνα (5) </t>
    </r>
    <r>
      <rPr>
        <b/>
        <sz val="11"/>
        <color theme="1"/>
        <rFont val="Calibri"/>
        <family val="2"/>
        <scheme val="minor"/>
      </rPr>
      <t>τω</t>
    </r>
    <r>
      <rPr>
        <sz val="11"/>
        <color theme="1"/>
        <rFont val="Calibri"/>
        <family val="2"/>
        <scheme val="minor"/>
      </rPr>
      <t xml:space="preserve"> χοιρω τω αγριω συνεδραμον</t>
    </r>
  </si>
  <si>
    <r>
      <t xml:space="preserve">(4) κυνα (5) τω χοιρω </t>
    </r>
    <r>
      <rPr>
        <b/>
        <sz val="11"/>
        <color theme="1"/>
        <rFont val="Calibri"/>
        <family val="2"/>
        <scheme val="minor"/>
      </rPr>
      <t>τω</t>
    </r>
    <r>
      <rPr>
        <sz val="11"/>
        <color theme="1"/>
        <rFont val="Calibri"/>
        <family val="2"/>
        <scheme val="minor"/>
      </rPr>
      <t xml:space="preserve"> αγριω συνεδραμον</t>
    </r>
  </si>
  <si>
    <t>αγριον χωρα</t>
  </si>
  <si>
    <t>αγριον εν χωρα</t>
  </si>
  <si>
    <t>εκρατησα εκ των κερατων</t>
  </si>
  <si>
    <t>εκρατησα των κερατων</t>
  </si>
  <si>
    <t>τας κνιμιδας</t>
  </si>
  <si>
    <t>τας κημιδας</t>
  </si>
  <si>
    <t>Queens corrects to κνημιδας</t>
  </si>
  <si>
    <t>του ιππου ανειλον</t>
  </si>
  <si>
    <t>του ιπουου ανειλον</t>
  </si>
  <si>
    <t>ανδρα γιγαντα βαλλοντα</t>
  </si>
  <si>
    <t>ανδρα γιγαντων βαλλοντα</t>
  </si>
  <si>
    <t>εμπροσθε και οπισθεν</t>
  </si>
  <si>
    <t>εμπροσθεν και οπισθεν</t>
  </si>
  <si>
    <t>λιθον εξηκοντα λιτρων ακοντισας</t>
  </si>
  <si>
    <t>λιθον λιτρων ξ ακοντισας</t>
  </si>
  <si>
    <t>ακοντισας δεδωκα και απεκτεινα</t>
  </si>
  <si>
    <r>
      <t xml:space="preserve">ακοντισας </t>
    </r>
    <r>
      <rPr>
        <b/>
        <sz val="11"/>
        <color theme="1"/>
        <rFont val="Calibri"/>
        <family val="2"/>
        <scheme val="minor"/>
      </rPr>
      <t>εδωκα</t>
    </r>
    <r>
      <rPr>
        <sz val="11"/>
        <color theme="1"/>
        <rFont val="Calibri"/>
        <family val="2"/>
        <scheme val="minor"/>
      </rPr>
      <t xml:space="preserve"> τω ιππω και απεκτεινα</t>
    </r>
  </si>
  <si>
    <r>
      <t xml:space="preserve">ακοντισας </t>
    </r>
    <r>
      <rPr>
        <b/>
        <sz val="11"/>
        <color theme="1"/>
        <rFont val="Calibri"/>
        <family val="2"/>
        <scheme val="minor"/>
      </rPr>
      <t>δεδωκα</t>
    </r>
    <r>
      <rPr>
        <sz val="11"/>
        <color theme="1"/>
        <rFont val="Calibri"/>
        <family val="2"/>
        <scheme val="minor"/>
      </rPr>
      <t xml:space="preserve"> και απεκτεινα</t>
    </r>
  </si>
  <si>
    <r>
      <t xml:space="preserve">ακοντισας εδωκα </t>
    </r>
    <r>
      <rPr>
        <b/>
        <sz val="11"/>
        <color theme="1"/>
        <rFont val="Calibri"/>
        <family val="2"/>
        <scheme val="minor"/>
      </rPr>
      <t>τω ιππω</t>
    </r>
    <r>
      <rPr>
        <sz val="11"/>
        <color theme="1"/>
        <rFont val="Calibri"/>
        <family val="2"/>
        <scheme val="minor"/>
      </rPr>
      <t xml:space="preserve"> και απεκτεινα</t>
    </r>
  </si>
  <si>
    <t>reading is marked in the margin</t>
  </si>
  <si>
    <t>δυο μεριδας ποιησας</t>
  </si>
  <si>
    <t>δυο μερη ποιησας</t>
  </si>
  <si>
    <t>θωρακα και ιδου</t>
  </si>
  <si>
    <t>θωρακα ιδου</t>
  </si>
  <si>
    <t>ιδου οκτω ανδρες εταιροι</t>
  </si>
  <si>
    <t>ιδου ανδρες οκτω εταιροι</t>
  </si>
  <si>
    <t>βεελισα βασιλεα</t>
  </si>
  <si>
    <t>βελισαθ βασιλεα</t>
  </si>
  <si>
    <t>οτε εγω ημην</t>
  </si>
  <si>
    <t>οτι εγω ημην</t>
  </si>
  <si>
    <t>ημην συν τοις αδελφοις</t>
  </si>
  <si>
    <t>ημην εν τοις αδελφοις</t>
  </si>
  <si>
    <t>δυναμεως επεται</t>
  </si>
  <si>
    <t>δυναμεως συνεπεται</t>
  </si>
  <si>
    <t>παραταξομενος</t>
  </si>
  <si>
    <t>τεσσαρας βασιλεις</t>
  </si>
  <si>
    <t>τεσσαρες βασιλεις</t>
  </si>
  <si>
    <t>δυο βασιλεις</t>
  </si>
  <si>
    <t>δυο ο βασιλεις</t>
  </si>
  <si>
    <t>ουτως ελευθερωσαμεν</t>
  </si>
  <si>
    <t>ουτως ηλευθερωσαμεν</t>
  </si>
  <si>
    <t>εις ετεραν πολιν</t>
  </si>
  <si>
    <t>εις αρεταν πολιν</t>
  </si>
  <si>
    <r>
      <t xml:space="preserve">και </t>
    </r>
    <r>
      <rPr>
        <b/>
        <sz val="11"/>
        <color theme="1"/>
        <rFont val="Calibri"/>
        <family val="2"/>
        <scheme val="minor"/>
      </rPr>
      <t>απροσεγγιστον</t>
    </r>
    <r>
      <rPr>
        <sz val="11"/>
        <color theme="1"/>
        <rFont val="Calibri"/>
        <family val="2"/>
        <scheme val="minor"/>
      </rPr>
      <t xml:space="preserve"> απειλουσαν ημιν θανατον (2) εγω ουν</t>
    </r>
  </si>
  <si>
    <r>
      <t xml:space="preserve">και </t>
    </r>
    <r>
      <rPr>
        <b/>
        <sz val="11"/>
        <color theme="1"/>
        <rFont val="Calibri"/>
        <family val="2"/>
        <scheme val="minor"/>
      </rPr>
      <t>προσεγγιστον</t>
    </r>
    <r>
      <rPr>
        <sz val="11"/>
        <color theme="1"/>
        <rFont val="Calibri"/>
        <family val="2"/>
        <scheme val="minor"/>
      </rPr>
      <t xml:space="preserve"> ημιν θανατον απειλουσαν (2) εγω ουν</t>
    </r>
  </si>
  <si>
    <r>
      <t xml:space="preserve">και απροσεγγιστον </t>
    </r>
    <r>
      <rPr>
        <b/>
        <sz val="11"/>
        <color theme="1"/>
        <rFont val="Calibri"/>
        <family val="2"/>
        <scheme val="minor"/>
      </rPr>
      <t>απειλουσαν ημιν θανατον</t>
    </r>
    <r>
      <rPr>
        <sz val="11"/>
        <color theme="1"/>
        <rFont val="Calibri"/>
        <family val="2"/>
        <scheme val="minor"/>
      </rPr>
      <t xml:space="preserve"> (2) εγω ουν</t>
    </r>
  </si>
  <si>
    <r>
      <t xml:space="preserve">και προσεγγιστον </t>
    </r>
    <r>
      <rPr>
        <b/>
        <sz val="11"/>
        <color theme="1"/>
        <rFont val="Calibri"/>
        <family val="2"/>
        <scheme val="minor"/>
      </rPr>
      <t>ημιν θανατον απειλουσαν</t>
    </r>
    <r>
      <rPr>
        <sz val="11"/>
        <color theme="1"/>
        <rFont val="Calibri"/>
        <family val="2"/>
        <scheme val="minor"/>
      </rPr>
      <t xml:space="preserve"> (2) εγω ουν</t>
    </r>
  </si>
  <si>
    <t>οι απο του τειχους</t>
  </si>
  <si>
    <t>οι επι του τειχους</t>
  </si>
  <si>
    <r>
      <t xml:space="preserve">εσμεν </t>
    </r>
    <r>
      <rPr>
        <b/>
        <sz val="11"/>
        <color theme="1"/>
        <rFont val="Calibri"/>
        <family val="2"/>
        <scheme val="minor"/>
      </rPr>
      <t>εφελκυσθησαν</t>
    </r>
    <r>
      <rPr>
        <sz val="11"/>
        <color theme="1"/>
        <rFont val="Calibri"/>
        <family val="2"/>
        <scheme val="minor"/>
      </rPr>
      <t xml:space="preserve"> εφ ημας</t>
    </r>
  </si>
  <si>
    <r>
      <t xml:space="preserve">εσμεν </t>
    </r>
    <r>
      <rPr>
        <b/>
        <sz val="11"/>
        <color theme="1"/>
        <rFont val="Calibri"/>
        <family val="2"/>
        <scheme val="minor"/>
      </rPr>
      <t>αφειλκυσθησαν</t>
    </r>
    <r>
      <rPr>
        <sz val="11"/>
        <color theme="1"/>
        <rFont val="Calibri"/>
        <family val="2"/>
        <scheme val="minor"/>
      </rPr>
      <t xml:space="preserve"> προς ημας</t>
    </r>
  </si>
  <si>
    <r>
      <t xml:space="preserve">εσμεν εφελκυσθησαν </t>
    </r>
    <r>
      <rPr>
        <b/>
        <sz val="11"/>
        <color theme="1"/>
        <rFont val="Calibri"/>
        <family val="2"/>
        <scheme val="minor"/>
      </rPr>
      <t>εφ</t>
    </r>
    <r>
      <rPr>
        <sz val="11"/>
        <color theme="1"/>
        <rFont val="Calibri"/>
        <family val="2"/>
        <scheme val="minor"/>
      </rPr>
      <t xml:space="preserve"> ημας</t>
    </r>
  </si>
  <si>
    <r>
      <t xml:space="preserve">εσμεν αφειλκυσθησαν </t>
    </r>
    <r>
      <rPr>
        <b/>
        <sz val="11"/>
        <color theme="1"/>
        <rFont val="Calibri"/>
        <family val="2"/>
        <scheme val="minor"/>
      </rPr>
      <t>προς</t>
    </r>
    <r>
      <rPr>
        <sz val="11"/>
        <color theme="1"/>
        <rFont val="Calibri"/>
        <family val="2"/>
        <scheme val="minor"/>
      </rPr>
      <t xml:space="preserve"> ημας</t>
    </r>
  </si>
  <si>
    <t>αδελφοι μου εξ εκατερων</t>
  </si>
  <si>
    <t>αδελφοι εξ εκατερων</t>
  </si>
  <si>
    <t>θαφφου επεβαλον</t>
  </si>
  <si>
    <t>Queens corrects θαφφου -&gt; θαφουε</t>
  </si>
  <si>
    <t>αυτην τοις υιοις</t>
  </si>
  <si>
    <t>αυτην συν τοις υιοις</t>
  </si>
  <si>
    <t>ενεπρισαμεν παντα</t>
  </si>
  <si>
    <r>
      <rPr>
        <b/>
        <sz val="11"/>
        <color theme="1"/>
        <rFont val="Calibri"/>
        <family val="2"/>
        <scheme val="minor"/>
      </rPr>
      <t>ενεπρισαμεν</t>
    </r>
    <r>
      <rPr>
        <sz val="11"/>
        <color theme="1"/>
        <rFont val="Calibri"/>
        <family val="2"/>
        <scheme val="minor"/>
      </rPr>
      <t xml:space="preserve"> παντα</t>
    </r>
  </si>
  <si>
    <r>
      <rPr>
        <b/>
        <sz val="11"/>
        <color theme="1"/>
        <rFont val="Calibri"/>
        <family val="2"/>
        <scheme val="minor"/>
      </rPr>
      <t>ενεπρησαμεν</t>
    </r>
    <r>
      <rPr>
        <sz val="11"/>
        <color theme="1"/>
        <rFont val="Calibri"/>
        <family val="2"/>
        <scheme val="minor"/>
      </rPr>
      <t xml:space="preserve"> και παντα</t>
    </r>
  </si>
  <si>
    <r>
      <t xml:space="preserve">ενεπρησαμεν </t>
    </r>
    <r>
      <rPr>
        <b/>
        <sz val="11"/>
        <color theme="1"/>
        <rFont val="Calibri"/>
        <family val="2"/>
        <scheme val="minor"/>
      </rPr>
      <t>και</t>
    </r>
    <r>
      <rPr>
        <sz val="11"/>
        <color theme="1"/>
        <rFont val="Calibri"/>
        <family val="2"/>
        <scheme val="minor"/>
      </rPr>
      <t xml:space="preserve"> παντα</t>
    </r>
  </si>
  <si>
    <t>αυτη σκυλευσαντες</t>
  </si>
  <si>
    <t>αυτη εσκυλευσαμεν</t>
  </si>
  <si>
    <t>ηλθον εφ ημας</t>
  </si>
  <si>
    <t>ηλθον προς ημας</t>
  </si>
  <si>
    <t>συνηψαμεν αυτους και τους απο σηλωμ</t>
  </si>
  <si>
    <t>συνηψαμεν αυτους κακεινους απεκτεναμεν και τους απο σηλωμ</t>
  </si>
  <si>
    <t>συμμαχους αυτων απεκτειναμεν και ουκ</t>
  </si>
  <si>
    <t>συμμαχους αυτων απεκτειναμεν απεκτειναμεν και ουκ</t>
  </si>
  <si>
    <t>και απο μαχιρ</t>
  </si>
  <si>
    <r>
      <t xml:space="preserve">και </t>
    </r>
    <r>
      <rPr>
        <b/>
        <sz val="11"/>
        <color theme="1"/>
        <rFont val="Calibri"/>
        <family val="2"/>
        <scheme val="minor"/>
      </rPr>
      <t>οι</t>
    </r>
    <r>
      <rPr>
        <sz val="11"/>
        <color theme="1"/>
        <rFont val="Calibri"/>
        <family val="2"/>
        <scheme val="minor"/>
      </rPr>
      <t xml:space="preserve"> απο μεχηρ</t>
    </r>
  </si>
  <si>
    <r>
      <t xml:space="preserve">και απο </t>
    </r>
    <r>
      <rPr>
        <b/>
        <sz val="11"/>
        <color theme="1"/>
        <rFont val="Calibri"/>
        <family val="2"/>
        <scheme val="minor"/>
      </rPr>
      <t>μαχιρ</t>
    </r>
  </si>
  <si>
    <r>
      <t xml:space="preserve">και οι απο </t>
    </r>
    <r>
      <rPr>
        <b/>
        <sz val="11"/>
        <color theme="1"/>
        <rFont val="Calibri"/>
        <family val="2"/>
        <scheme val="minor"/>
      </rPr>
      <t>μεχηρ</t>
    </r>
  </si>
  <si>
    <t>εν καρτερα</t>
  </si>
  <si>
    <t>εν κρατερα</t>
  </si>
  <si>
    <t>πολιν ωλοθρευσαμεν</t>
  </si>
  <si>
    <t>πολιν ολοθρευσαμεν</t>
  </si>
  <si>
    <t>ερρηθη</t>
  </si>
  <si>
    <t>τα αυτων ολοθρευσαμεν και παντα τα αυτων προνομευσαντες</t>
  </si>
  <si>
    <t>τα αυτων δ προνομευσαντες</t>
  </si>
  <si>
    <r>
      <t xml:space="preserve">τα αυτων </t>
    </r>
    <r>
      <rPr>
        <b/>
        <sz val="11"/>
        <color theme="1"/>
        <rFont val="Calibri"/>
        <family val="2"/>
        <scheme val="minor"/>
      </rPr>
      <t>ολοθρευσαμεν και παντα τα αυτων</t>
    </r>
    <r>
      <rPr>
        <sz val="11"/>
        <color theme="1"/>
        <rFont val="Calibri"/>
        <family val="2"/>
        <scheme val="minor"/>
      </rPr>
      <t xml:space="preserve"> προνομευσαντες</t>
    </r>
  </si>
  <si>
    <r>
      <t xml:space="preserve">τα αυτων </t>
    </r>
    <r>
      <rPr>
        <b/>
        <sz val="11"/>
        <color theme="1"/>
        <rFont val="Calibri"/>
        <family val="2"/>
        <scheme val="minor"/>
      </rPr>
      <t>δ</t>
    </r>
    <r>
      <rPr>
        <sz val="11"/>
        <color theme="1"/>
        <rFont val="Calibri"/>
        <family val="2"/>
        <scheme val="minor"/>
      </rPr>
      <t xml:space="preserve"> προνομευσαντες</t>
    </r>
  </si>
  <si>
    <t>θαμνα και</t>
  </si>
  <si>
    <t>θαμναν και</t>
  </si>
  <si>
    <t>τον ηρ</t>
  </si>
  <si>
    <t>τον ειρ</t>
  </si>
  <si>
    <t>και τον αυναν</t>
  </si>
  <si>
    <t>και αυναν</t>
  </si>
  <si>
    <t>δεκα οκτω ετη</t>
  </si>
  <si>
    <t>Queens corrects to σιλων</t>
  </si>
  <si>
    <t>δεκαοκτω ετει</t>
  </si>
  <si>
    <t>εζησε και</t>
  </si>
  <si>
    <t>εζησεν και</t>
  </si>
  <si>
    <t>μετα το ελθειν</t>
  </si>
  <si>
    <t>μετα του ελθειν</t>
  </si>
  <si>
    <t>πληρωθεντων δεκα οκτω</t>
  </si>
  <si>
    <t>πληρωθεντων των δεκαοκτω</t>
  </si>
  <si>
    <t>εν τεσσαρακοστω ετει ζωης</t>
  </si>
  <si>
    <r>
      <t xml:space="preserve">εν </t>
    </r>
    <r>
      <rPr>
        <b/>
        <sz val="11"/>
        <color theme="1"/>
        <rFont val="Calibri"/>
        <family val="2"/>
        <scheme val="minor"/>
      </rPr>
      <t>τω</t>
    </r>
    <r>
      <rPr>
        <sz val="11"/>
        <color theme="1"/>
        <rFont val="Calibri"/>
        <family val="2"/>
        <scheme val="minor"/>
      </rPr>
      <t xml:space="preserve"> τεσσαρακοστω ετει της ζωης</t>
    </r>
  </si>
  <si>
    <r>
      <t xml:space="preserve">εν τω τεσσαρακοστω ετει </t>
    </r>
    <r>
      <rPr>
        <b/>
        <sz val="11"/>
        <color theme="1"/>
        <rFont val="Calibri"/>
        <family val="2"/>
        <scheme val="minor"/>
      </rPr>
      <t>της</t>
    </r>
    <r>
      <rPr>
        <sz val="11"/>
        <color theme="1"/>
        <rFont val="Calibri"/>
        <family val="2"/>
        <scheme val="minor"/>
      </rPr>
      <t xml:space="preserve"> ζωης</t>
    </r>
  </si>
  <si>
    <r>
      <t xml:space="preserve">μετα </t>
    </r>
    <r>
      <rPr>
        <b/>
        <sz val="11"/>
        <color theme="1"/>
        <rFont val="Calibri"/>
        <family val="2"/>
        <scheme val="minor"/>
      </rPr>
      <t>εικοσιν ημερας</t>
    </r>
    <r>
      <rPr>
        <sz val="11"/>
        <color theme="1"/>
        <rFont val="Calibri"/>
        <family val="2"/>
        <scheme val="minor"/>
      </rPr>
      <t xml:space="preserve"> ορωντων</t>
    </r>
  </si>
  <si>
    <r>
      <t xml:space="preserve">μετα </t>
    </r>
    <r>
      <rPr>
        <b/>
        <sz val="11"/>
        <color theme="1"/>
        <rFont val="Calibri"/>
        <family val="2"/>
        <scheme val="minor"/>
      </rPr>
      <t>ημερας εικοσι</t>
    </r>
    <r>
      <rPr>
        <sz val="11"/>
        <color theme="1"/>
        <rFont val="Calibri"/>
        <family val="2"/>
        <scheme val="minor"/>
      </rPr>
      <t xml:space="preserve"> ορωντων</t>
    </r>
  </si>
  <si>
    <r>
      <t xml:space="preserve">μετα ημερας </t>
    </r>
    <r>
      <rPr>
        <b/>
        <sz val="11"/>
        <color theme="1"/>
        <rFont val="Calibri"/>
        <family val="2"/>
        <scheme val="minor"/>
      </rPr>
      <t>εικοσι</t>
    </r>
    <r>
      <rPr>
        <sz val="11"/>
        <color theme="1"/>
        <rFont val="Calibri"/>
        <family val="2"/>
        <scheme val="minor"/>
      </rPr>
      <t xml:space="preserve"> ορωντων</t>
    </r>
  </si>
  <si>
    <r>
      <t xml:space="preserve">μετα </t>
    </r>
    <r>
      <rPr>
        <b/>
        <sz val="11"/>
        <color theme="1"/>
        <rFont val="Calibri"/>
        <family val="2"/>
        <scheme val="minor"/>
      </rPr>
      <t>εικοσιν</t>
    </r>
    <r>
      <rPr>
        <sz val="11"/>
        <color theme="1"/>
        <rFont val="Calibri"/>
        <family val="2"/>
        <scheme val="minor"/>
      </rPr>
      <t xml:space="preserve"> ημερας ορωντων</t>
    </r>
  </si>
  <si>
    <t>ανελθων τεσσαρας</t>
  </si>
  <si>
    <r>
      <t xml:space="preserve">ανελθων </t>
    </r>
    <r>
      <rPr>
        <b/>
        <sz val="11"/>
        <color theme="1"/>
        <rFont val="Calibri"/>
        <family val="2"/>
        <scheme val="minor"/>
      </rPr>
      <t>ανειλον</t>
    </r>
    <r>
      <rPr>
        <sz val="11"/>
        <color theme="1"/>
        <rFont val="Calibri"/>
        <family val="2"/>
        <scheme val="minor"/>
      </rPr>
      <t xml:space="preserve"> τεσσαρες</t>
    </r>
  </si>
  <si>
    <r>
      <t xml:space="preserve">ανελθων ανειλον </t>
    </r>
    <r>
      <rPr>
        <b/>
        <sz val="11"/>
        <color theme="1"/>
        <rFont val="Calibri"/>
        <family val="2"/>
        <scheme val="minor"/>
      </rPr>
      <t>τεσσαρες</t>
    </r>
  </si>
  <si>
    <r>
      <t xml:space="preserve">ανελθων </t>
    </r>
    <r>
      <rPr>
        <b/>
        <sz val="11"/>
        <color theme="1"/>
        <rFont val="Calibri"/>
        <family val="2"/>
        <scheme val="minor"/>
      </rPr>
      <t>τεσσαρας</t>
    </r>
  </si>
  <si>
    <t>και τη εξης</t>
  </si>
  <si>
    <t>και της εξης</t>
  </si>
  <si>
    <t>ετερους εξ (7) τοτε</t>
  </si>
  <si>
    <t>ετερους εξηκοντα (7) τοτε</t>
  </si>
  <si>
    <t>γενομενοι της βουλης</t>
  </si>
  <si>
    <t>γενομενοι βουλης</t>
  </si>
  <si>
    <t>κορους διακοσιους ελαιου βεθ φ οινου</t>
  </si>
  <si>
    <r>
      <t xml:space="preserve">κορους </t>
    </r>
    <r>
      <rPr>
        <b/>
        <sz val="11"/>
        <color theme="1"/>
        <rFont val="Calibri"/>
        <family val="2"/>
        <scheme val="minor"/>
      </rPr>
      <t>διακοσιους</t>
    </r>
    <r>
      <rPr>
        <sz val="11"/>
        <color theme="1"/>
        <rFont val="Calibri"/>
        <family val="2"/>
        <scheme val="minor"/>
      </rPr>
      <t xml:space="preserve"> ελαιου βεθ φ οινου</t>
    </r>
  </si>
  <si>
    <r>
      <t xml:space="preserve">κορους </t>
    </r>
    <r>
      <rPr>
        <b/>
        <sz val="11"/>
        <color theme="1"/>
        <rFont val="Calibri"/>
        <family val="2"/>
        <scheme val="minor"/>
      </rPr>
      <t>φ</t>
    </r>
    <r>
      <rPr>
        <sz val="11"/>
        <color theme="1"/>
        <rFont val="Calibri"/>
        <family val="2"/>
        <scheme val="minor"/>
      </rPr>
      <t xml:space="preserve"> ελαιου φ μεθ φ οινου</t>
    </r>
  </si>
  <si>
    <r>
      <t xml:space="preserve">κορους φ ελαιου </t>
    </r>
    <r>
      <rPr>
        <b/>
        <sz val="11"/>
        <color theme="1"/>
        <rFont val="Calibri"/>
        <family val="2"/>
        <scheme val="minor"/>
      </rPr>
      <t>φ</t>
    </r>
    <r>
      <rPr>
        <sz val="11"/>
        <color theme="1"/>
        <rFont val="Calibri"/>
        <family val="2"/>
        <scheme val="minor"/>
      </rPr>
      <t xml:space="preserve"> μεθ φ οινου</t>
    </r>
  </si>
  <si>
    <r>
      <t xml:space="preserve">κορους διακοσιους ελαιου </t>
    </r>
    <r>
      <rPr>
        <b/>
        <sz val="11"/>
        <color theme="1"/>
        <rFont val="Calibri"/>
        <family val="2"/>
        <scheme val="minor"/>
      </rPr>
      <t>βεθ</t>
    </r>
    <r>
      <rPr>
        <sz val="11"/>
        <color theme="1"/>
        <rFont val="Calibri"/>
        <family val="2"/>
        <scheme val="minor"/>
      </rPr>
      <t xml:space="preserve"> φ οινου</t>
    </r>
  </si>
  <si>
    <r>
      <t xml:space="preserve">κορους φ ελαιου φ </t>
    </r>
    <r>
      <rPr>
        <b/>
        <sz val="11"/>
        <color theme="1"/>
        <rFont val="Calibri"/>
        <family val="2"/>
        <scheme val="minor"/>
      </rPr>
      <t>μεθ</t>
    </r>
    <r>
      <rPr>
        <sz val="11"/>
        <color theme="1"/>
        <rFont val="Calibri"/>
        <family val="2"/>
        <scheme val="minor"/>
      </rPr>
      <t xml:space="preserve"> φ οινου</t>
    </r>
  </si>
  <si>
    <t>μετα ταυτα ηρ ο υιος</t>
  </si>
  <si>
    <r>
      <t xml:space="preserve">μετα </t>
    </r>
    <r>
      <rPr>
        <b/>
        <sz val="11"/>
        <color theme="1"/>
        <rFont val="Calibri"/>
        <family val="2"/>
        <scheme val="minor"/>
      </rPr>
      <t>δε</t>
    </r>
    <r>
      <rPr>
        <sz val="11"/>
        <color theme="1"/>
        <rFont val="Calibri"/>
        <family val="2"/>
        <scheme val="minor"/>
      </rPr>
      <t xml:space="preserve"> ταυτα ειρ ο υιος</t>
    </r>
  </si>
  <si>
    <r>
      <t xml:space="preserve">μετα δε ταυτα </t>
    </r>
    <r>
      <rPr>
        <b/>
        <sz val="11"/>
        <color theme="1"/>
        <rFont val="Calibri"/>
        <family val="2"/>
        <scheme val="minor"/>
      </rPr>
      <t>ειρ</t>
    </r>
    <r>
      <rPr>
        <sz val="11"/>
        <color theme="1"/>
        <rFont val="Calibri"/>
        <family val="2"/>
        <scheme val="minor"/>
      </rPr>
      <t xml:space="preserve"> ο υιος</t>
    </r>
  </si>
  <si>
    <r>
      <t xml:space="preserve">μετα ταυτα </t>
    </r>
    <r>
      <rPr>
        <b/>
        <sz val="11"/>
        <color theme="1"/>
        <rFont val="Calibri"/>
        <family val="2"/>
        <scheme val="minor"/>
      </rPr>
      <t>ηρ</t>
    </r>
    <r>
      <rPr>
        <sz val="11"/>
        <color theme="1"/>
        <rFont val="Calibri"/>
        <family val="2"/>
        <scheme val="minor"/>
      </rPr>
      <t xml:space="preserve"> ο υιος</t>
    </r>
  </si>
  <si>
    <t>ηπορειτο περι</t>
  </si>
  <si>
    <t>ηπορει περι</t>
  </si>
  <si>
    <t>μητρος αυτου (6) ηθελον δε</t>
  </si>
  <si>
    <t>την καρδιαν</t>
  </si>
  <si>
    <t>την υ καρδιαν</t>
  </si>
  <si>
    <t>ελαβετο σιλωμ</t>
  </si>
  <si>
    <t>ελαβε τω σιλωμ</t>
  </si>
  <si>
    <t>προς την πυλην (2) νομος</t>
  </si>
  <si>
    <t>προς την πολιν (2) νομος</t>
  </si>
  <si>
    <t>Queens corrects πολιν -&gt; πυλιν</t>
  </si>
  <si>
    <t>και συνελθων</t>
  </si>
  <si>
    <r>
      <t xml:space="preserve">και </t>
    </r>
    <r>
      <rPr>
        <b/>
        <sz val="11"/>
        <color theme="1"/>
        <rFont val="Calibri"/>
        <family val="2"/>
        <scheme val="minor"/>
      </rPr>
      <t>ως</t>
    </r>
    <r>
      <rPr>
        <sz val="11"/>
        <color theme="1"/>
        <rFont val="Calibri"/>
        <family val="2"/>
        <scheme val="minor"/>
      </rPr>
      <t xml:space="preserve"> συνηλθον</t>
    </r>
  </si>
  <si>
    <r>
      <t xml:space="preserve">και ως </t>
    </r>
    <r>
      <rPr>
        <b/>
        <sz val="11"/>
        <color theme="1"/>
        <rFont val="Calibri"/>
        <family val="2"/>
        <scheme val="minor"/>
      </rPr>
      <t>συνηλθον</t>
    </r>
  </si>
  <si>
    <r>
      <t xml:space="preserve">και </t>
    </r>
    <r>
      <rPr>
        <b/>
        <sz val="11"/>
        <color theme="1"/>
        <rFont val="Calibri"/>
        <family val="2"/>
        <scheme val="minor"/>
      </rPr>
      <t>συνελθων</t>
    </r>
  </si>
  <si>
    <t>ηθελον ανελειν αυτην πεμψασα</t>
  </si>
  <si>
    <t>ηθελον αυτην ανελειν πεμψασα</t>
  </si>
  <si>
    <t>ελεγον δε μηποτε</t>
  </si>
  <si>
    <t>ελεγον γαρ μηποτε</t>
  </si>
  <si>
    <t>λαβουσα τον αρραβωνα</t>
  </si>
  <si>
    <t>λαβουσα τον τον αρραβωνα</t>
  </si>
  <si>
    <t>ουδε ηγγισα</t>
  </si>
  <si>
    <t>ουδε εγγισα</t>
  </si>
  <si>
    <t>εν τη πολει ελεγον</t>
  </si>
  <si>
    <t>εν η πολει ελεγον</t>
  </si>
  <si>
    <t>εν τη πυλη</t>
  </si>
  <si>
    <t>εν πυλη</t>
  </si>
  <si>
    <t>εισηλθον εις αυτην</t>
  </si>
  <si>
    <t>εισηλθον προς αυτην</t>
  </si>
  <si>
    <t xml:space="preserve">(11) λιμον (12) σαρακοντα εξ ετων ημην </t>
  </si>
  <si>
    <t xml:space="preserve">(11) λιμον (12) μς ετων ημην </t>
  </si>
  <si>
    <t>εβδομηκοντα τρια ετη εζησα εκει (13:1) και νυν</t>
  </si>
  <si>
    <t>ογ εζησα εκει ετη (13:1) και νυν</t>
  </si>
  <si>
    <t>οσα εγω υμιν εντελλομαι</t>
  </si>
  <si>
    <t>οσα λεγω υμιν εντελλομαι</t>
  </si>
  <si>
    <t>ακουσατε τεκνα μου υμων</t>
  </si>
  <si>
    <t>ακουσατε τεκνα του πρς υμων</t>
  </si>
  <si>
    <t>ποιειν παντα τα δικαιωματα</t>
  </si>
  <si>
    <t>ποιειν τα δικαιωματα</t>
  </si>
  <si>
    <t>υπακουειν εντολας θεου</t>
  </si>
  <si>
    <r>
      <t xml:space="preserve">υπακουειν </t>
    </r>
    <r>
      <rPr>
        <b/>
        <sz val="11"/>
        <color theme="1"/>
        <rFont val="Calibri"/>
        <family val="2"/>
        <scheme val="minor"/>
      </rPr>
      <t>εντολης</t>
    </r>
    <r>
      <rPr>
        <sz val="11"/>
        <color theme="1"/>
        <rFont val="Calibri"/>
        <family val="2"/>
        <scheme val="minor"/>
      </rPr>
      <t xml:space="preserve"> κυ θυ</t>
    </r>
  </si>
  <si>
    <r>
      <t xml:space="preserve">υπακουειν </t>
    </r>
    <r>
      <rPr>
        <b/>
        <sz val="11"/>
        <color theme="1"/>
        <rFont val="Calibri"/>
        <family val="2"/>
        <scheme val="minor"/>
      </rPr>
      <t>εντολας</t>
    </r>
    <r>
      <rPr>
        <sz val="11"/>
        <color theme="1"/>
        <rFont val="Calibri"/>
        <family val="2"/>
        <scheme val="minor"/>
      </rPr>
      <t xml:space="preserve"> θεου</t>
    </r>
  </si>
  <si>
    <r>
      <t xml:space="preserve">υπακουειν εντολης </t>
    </r>
    <r>
      <rPr>
        <b/>
        <sz val="11"/>
        <color theme="1"/>
        <rFont val="Calibri"/>
        <family val="2"/>
        <scheme val="minor"/>
      </rPr>
      <t>κυ</t>
    </r>
    <r>
      <rPr>
        <sz val="11"/>
        <color theme="1"/>
        <rFont val="Calibri"/>
        <family val="2"/>
        <scheme val="minor"/>
      </rPr>
      <t xml:space="preserve"> θυ</t>
    </r>
  </si>
  <si>
    <t>οτι καιγε τουτο</t>
  </si>
  <si>
    <t>οτι γε τουτο</t>
  </si>
  <si>
    <t>ουκ ηπατησε</t>
  </si>
  <si>
    <t>ουχ ηπατησε</t>
  </si>
  <si>
    <t>ευμορφου ωνειδιζον</t>
  </si>
  <si>
    <t>ευμορφου ονειδιζων</t>
  </si>
  <si>
    <t>πατρος μου και το πνευμα</t>
  </si>
  <si>
    <t>πρς μου το πνα</t>
  </si>
  <si>
    <t>εν εμοι εως συνεπεσα</t>
  </si>
  <si>
    <t>εν εμοι εεως συνεπεσα</t>
  </si>
  <si>
    <t>διεστρεψε μοι τους οφθαλμους</t>
  </si>
  <si>
    <t>διεστρεψε μου τους οφθαλμους</t>
  </si>
  <si>
    <t>ημαυρωσε μου την καρδιαν ηδονη</t>
  </si>
  <si>
    <r>
      <t xml:space="preserve">ημαυρωσε </t>
    </r>
    <r>
      <rPr>
        <b/>
        <sz val="11"/>
        <color theme="1"/>
        <rFont val="Calibri"/>
        <family val="2"/>
        <scheme val="minor"/>
      </rPr>
      <t>μου την καρδιαν</t>
    </r>
    <r>
      <rPr>
        <sz val="11"/>
        <color theme="1"/>
        <rFont val="Calibri"/>
        <family val="2"/>
        <scheme val="minor"/>
      </rPr>
      <t xml:space="preserve"> ηδονη</t>
    </r>
  </si>
  <si>
    <r>
      <t xml:space="preserve">ημαυρωσε </t>
    </r>
    <r>
      <rPr>
        <b/>
        <sz val="11"/>
        <color theme="1"/>
        <rFont val="Calibri"/>
        <family val="2"/>
        <scheme val="minor"/>
      </rPr>
      <t>την καρδιαν μου</t>
    </r>
    <r>
      <rPr>
        <sz val="11"/>
        <color theme="1"/>
        <rFont val="Calibri"/>
        <family val="2"/>
        <scheme val="minor"/>
      </rPr>
      <t xml:space="preserve"> η ηδονη</t>
    </r>
  </si>
  <si>
    <r>
      <t xml:space="preserve">ημαυρωσε την καρδιαν μου </t>
    </r>
    <r>
      <rPr>
        <b/>
        <sz val="11"/>
        <color theme="1"/>
        <rFont val="Calibri"/>
        <family val="2"/>
        <scheme val="minor"/>
      </rPr>
      <t>η</t>
    </r>
    <r>
      <rPr>
        <sz val="11"/>
        <color theme="1"/>
        <rFont val="Calibri"/>
        <family val="2"/>
        <scheme val="minor"/>
      </rPr>
      <t xml:space="preserve"> ηδονη</t>
    </r>
  </si>
  <si>
    <r>
      <t xml:space="preserve">ουκ </t>
    </r>
    <r>
      <rPr>
        <b/>
        <sz val="11"/>
        <color theme="1"/>
        <rFont val="Calibri"/>
        <family val="2"/>
        <scheme val="minor"/>
      </rPr>
      <t>ηυφρανθην</t>
    </r>
    <r>
      <rPr>
        <sz val="11"/>
        <color theme="1"/>
        <rFont val="Calibri"/>
        <family val="2"/>
        <scheme val="minor"/>
      </rPr>
      <t xml:space="preserve"> επι τοις τεκνοις</t>
    </r>
  </si>
  <si>
    <r>
      <t xml:space="preserve">ουκ </t>
    </r>
    <r>
      <rPr>
        <b/>
        <sz val="11"/>
        <color theme="1"/>
        <rFont val="Calibri"/>
        <family val="2"/>
        <scheme val="minor"/>
      </rPr>
      <t>ευφρανθην</t>
    </r>
    <r>
      <rPr>
        <sz val="11"/>
        <color theme="1"/>
        <rFont val="Calibri"/>
        <family val="2"/>
        <scheme val="minor"/>
      </rPr>
      <t xml:space="preserve"> εν τοις τεκνοις</t>
    </r>
  </si>
  <si>
    <r>
      <t xml:space="preserve">ουκ ηυφρανθην </t>
    </r>
    <r>
      <rPr>
        <b/>
        <sz val="11"/>
        <color theme="1"/>
        <rFont val="Calibri"/>
        <family val="2"/>
        <scheme val="minor"/>
      </rPr>
      <t>επι</t>
    </r>
    <r>
      <rPr>
        <sz val="11"/>
        <color theme="1"/>
        <rFont val="Calibri"/>
        <family val="2"/>
        <scheme val="minor"/>
      </rPr>
      <t xml:space="preserve"> τοις τεκνοις</t>
    </r>
  </si>
  <si>
    <r>
      <t xml:space="preserve">ουκ ευφρανθην </t>
    </r>
    <r>
      <rPr>
        <b/>
        <sz val="11"/>
        <color theme="1"/>
        <rFont val="Calibri"/>
        <family val="2"/>
        <scheme val="minor"/>
      </rPr>
      <t>εν</t>
    </r>
    <r>
      <rPr>
        <sz val="11"/>
        <color theme="1"/>
        <rFont val="Calibri"/>
        <family val="2"/>
        <scheme val="minor"/>
      </rPr>
      <t xml:space="preserve"> τοις τεκνοις</t>
    </r>
  </si>
  <si>
    <t>οτι ο οινος</t>
  </si>
  <si>
    <t>οτι οινος</t>
  </si>
  <si>
    <t>προς τας ηδονας</t>
  </si>
  <si>
    <t>εαν γαρ τις πιη</t>
  </si>
  <si>
    <t>εαν γαρ τις τις πιη</t>
  </si>
  <si>
    <t>σωμα εις μιξιν</t>
  </si>
  <si>
    <t>σωμα προς μιξιν</t>
  </si>
  <si>
    <t>ουδενα αιδειται</t>
  </si>
  <si>
    <t>ουδεν αιδειται</t>
  </si>
  <si>
    <t>ουκ αισχυνθην εντολην θυ</t>
  </si>
  <si>
    <r>
      <t xml:space="preserve">ουκ </t>
    </r>
    <r>
      <rPr>
        <b/>
        <sz val="11"/>
        <color theme="1"/>
        <rFont val="Calibri"/>
        <family val="2"/>
        <scheme val="minor"/>
      </rPr>
      <t>αισχυνθην</t>
    </r>
    <r>
      <rPr>
        <sz val="11"/>
        <color theme="1"/>
        <rFont val="Calibri"/>
        <family val="2"/>
        <scheme val="minor"/>
      </rPr>
      <t xml:space="preserve"> εντολην θυ</t>
    </r>
  </si>
  <si>
    <r>
      <t xml:space="preserve">ουκ ησχυνθην </t>
    </r>
    <r>
      <rPr>
        <b/>
        <sz val="11"/>
        <color theme="1"/>
        <rFont val="Calibri"/>
        <family val="2"/>
        <scheme val="minor"/>
      </rPr>
      <t>την</t>
    </r>
    <r>
      <rPr>
        <sz val="11"/>
        <color theme="1"/>
        <rFont val="Calibri"/>
        <family val="2"/>
        <scheme val="minor"/>
      </rPr>
      <t xml:space="preserve"> εντολην του θεου</t>
    </r>
  </si>
  <si>
    <r>
      <t xml:space="preserve">ουκ ησχυνθην την εντολην </t>
    </r>
    <r>
      <rPr>
        <b/>
        <sz val="11"/>
        <color theme="1"/>
        <rFont val="Calibri"/>
        <family val="2"/>
        <scheme val="minor"/>
      </rPr>
      <t>του</t>
    </r>
    <r>
      <rPr>
        <sz val="11"/>
        <color theme="1"/>
        <rFont val="Calibri"/>
        <family val="2"/>
        <scheme val="minor"/>
      </rPr>
      <t xml:space="preserve"> θεου</t>
    </r>
  </si>
  <si>
    <t>(6) χαναναιαν (7) διο συνεσεως χρηζει</t>
  </si>
  <si>
    <t>(6) χαναναιαν (7) συνεσεως γαρ χρηζει</t>
  </si>
  <si>
    <t>ο πινων οινον</t>
  </si>
  <si>
    <t>ο πιων οινον</t>
  </si>
  <si>
    <r>
      <rPr>
        <b/>
        <sz val="11"/>
        <color theme="1"/>
        <rFont val="Calibri"/>
        <family val="2"/>
        <scheme val="minor"/>
      </rPr>
      <t>οτε</t>
    </r>
    <r>
      <rPr>
        <sz val="11"/>
        <color theme="1"/>
        <rFont val="Calibri"/>
        <family val="2"/>
        <scheme val="minor"/>
      </rPr>
      <t xml:space="preserve"> εχει αιδω πινη</t>
    </r>
  </si>
  <si>
    <r>
      <rPr>
        <b/>
        <sz val="11"/>
        <color theme="1"/>
        <rFont val="Calibri"/>
        <family val="2"/>
        <scheme val="minor"/>
      </rPr>
      <t>οτου</t>
    </r>
    <r>
      <rPr>
        <sz val="11"/>
        <color theme="1"/>
        <rFont val="Calibri"/>
        <family val="2"/>
        <scheme val="minor"/>
      </rPr>
      <t xml:space="preserve"> εχει αιδω πιη</t>
    </r>
  </si>
  <si>
    <r>
      <t xml:space="preserve">οτου εχει αιδω </t>
    </r>
    <r>
      <rPr>
        <b/>
        <sz val="11"/>
        <color theme="1"/>
        <rFont val="Calibri"/>
        <family val="2"/>
        <scheme val="minor"/>
      </rPr>
      <t>πιη</t>
    </r>
  </si>
  <si>
    <r>
      <t xml:space="preserve">οτε εχει αιδω </t>
    </r>
    <r>
      <rPr>
        <b/>
        <sz val="11"/>
        <color theme="1"/>
        <rFont val="Calibri"/>
        <family val="2"/>
        <scheme val="minor"/>
      </rPr>
      <t>πινη</t>
    </r>
  </si>
  <si>
    <t>τον νουν και ποιει το πνα</t>
  </si>
  <si>
    <t>τον νουν το πνευμα</t>
  </si>
  <si>
    <t>αλλ εγκαυχασθαι</t>
  </si>
  <si>
    <r>
      <rPr>
        <b/>
        <sz val="11"/>
        <color theme="1"/>
        <rFont val="Calibri"/>
        <family val="2"/>
        <scheme val="minor"/>
      </rPr>
      <t>αλλα</t>
    </r>
    <r>
      <rPr>
        <sz val="11"/>
        <color theme="1"/>
        <rFont val="Calibri"/>
        <family val="2"/>
        <scheme val="minor"/>
      </rPr>
      <t xml:space="preserve"> και εγκαυχασθαι</t>
    </r>
  </si>
  <si>
    <r>
      <rPr>
        <b/>
        <sz val="11"/>
        <color theme="1"/>
        <rFont val="Calibri"/>
        <family val="2"/>
        <scheme val="minor"/>
      </rPr>
      <t>αλλ</t>
    </r>
    <r>
      <rPr>
        <sz val="11"/>
        <color theme="1"/>
        <rFont val="Calibri"/>
        <family val="2"/>
        <scheme val="minor"/>
      </rPr>
      <t xml:space="preserve"> εγκαυχασθαι</t>
    </r>
  </si>
  <si>
    <r>
      <t xml:space="preserve">αλλα </t>
    </r>
    <r>
      <rPr>
        <b/>
        <sz val="11"/>
        <color theme="1"/>
        <rFont val="Calibri"/>
        <family val="2"/>
        <scheme val="minor"/>
      </rPr>
      <t>και</t>
    </r>
    <r>
      <rPr>
        <sz val="11"/>
        <color theme="1"/>
        <rFont val="Calibri"/>
        <family val="2"/>
        <scheme val="minor"/>
      </rPr>
      <t xml:space="preserve"> εγκαυχασθαι</t>
    </r>
  </si>
  <si>
    <t>ο αγγελος του θυ εως</t>
  </si>
  <si>
    <r>
      <t xml:space="preserve">ο αγγελος του </t>
    </r>
    <r>
      <rPr>
        <b/>
        <sz val="11"/>
        <color theme="1"/>
        <rFont val="Calibri"/>
        <family val="2"/>
        <scheme val="minor"/>
      </rPr>
      <t>κυριου</t>
    </r>
    <r>
      <rPr>
        <sz val="11"/>
        <color theme="1"/>
        <rFont val="Calibri"/>
        <family val="2"/>
        <scheme val="minor"/>
      </rPr>
      <t xml:space="preserve"> θεου εως</t>
    </r>
  </si>
  <si>
    <r>
      <t xml:space="preserve">ο αγγελος του </t>
    </r>
    <r>
      <rPr>
        <b/>
        <sz val="11"/>
        <color theme="1"/>
        <rFont val="Calibri"/>
        <family val="2"/>
        <scheme val="minor"/>
      </rPr>
      <t>θυ εως</t>
    </r>
  </si>
  <si>
    <r>
      <t xml:space="preserve">ο αγγελος του κυριου </t>
    </r>
    <r>
      <rPr>
        <b/>
        <sz val="11"/>
        <color theme="1"/>
        <rFont val="Calibri"/>
        <family val="2"/>
        <scheme val="minor"/>
      </rPr>
      <t>θεου εως</t>
    </r>
  </si>
  <si>
    <t>Queens adds οτι between these words</t>
  </si>
  <si>
    <r>
      <t xml:space="preserve">αιωνος </t>
    </r>
    <r>
      <rPr>
        <b/>
        <sz val="11"/>
        <color theme="1"/>
        <rFont val="Calibri"/>
        <family val="2"/>
        <scheme val="minor"/>
      </rPr>
      <t>οτι και</t>
    </r>
    <r>
      <rPr>
        <sz val="11"/>
        <color theme="1"/>
        <rFont val="Calibri"/>
        <family val="2"/>
        <scheme val="minor"/>
      </rPr>
      <t xml:space="preserve"> βασιλει και πτωχω</t>
    </r>
  </si>
  <si>
    <r>
      <t xml:space="preserve">αιωνος </t>
    </r>
    <r>
      <rPr>
        <b/>
        <sz val="11"/>
        <color theme="1"/>
        <rFont val="Calibri"/>
        <family val="2"/>
        <scheme val="minor"/>
      </rPr>
      <t>οτι και</t>
    </r>
    <r>
      <rPr>
        <sz val="11"/>
        <color theme="1"/>
        <rFont val="Calibri"/>
        <family val="2"/>
        <scheme val="minor"/>
      </rPr>
      <t xml:space="preserve"> βασιλει καν πτωχω</t>
    </r>
  </si>
  <si>
    <r>
      <t xml:space="preserve">αιωνος οτι και βασιλει </t>
    </r>
    <r>
      <rPr>
        <b/>
        <sz val="11"/>
        <color theme="1"/>
        <rFont val="Calibri"/>
        <family val="2"/>
        <scheme val="minor"/>
      </rPr>
      <t>και</t>
    </r>
    <r>
      <rPr>
        <sz val="11"/>
        <color theme="1"/>
        <rFont val="Calibri"/>
        <family val="2"/>
        <scheme val="minor"/>
      </rPr>
      <t xml:space="preserve"> πτωχω</t>
    </r>
  </si>
  <si>
    <r>
      <t xml:space="preserve">αιωνος οτι και βασιλει </t>
    </r>
    <r>
      <rPr>
        <b/>
        <sz val="11"/>
        <color theme="1"/>
        <rFont val="Calibri"/>
        <family val="2"/>
        <scheme val="minor"/>
      </rPr>
      <t>καν</t>
    </r>
    <r>
      <rPr>
        <sz val="11"/>
        <color theme="1"/>
        <rFont val="Calibri"/>
        <family val="2"/>
        <scheme val="minor"/>
      </rPr>
      <t xml:space="preserve"> πτωχω</t>
    </r>
  </si>
  <si>
    <t>Queens corrects to καν</t>
  </si>
  <si>
    <t>Queens corrects to κατακυριευσωσι</t>
  </si>
  <si>
    <t>(5) κατακυριευουσι (6)  του μεν</t>
  </si>
  <si>
    <r>
      <t xml:space="preserve">(5) </t>
    </r>
    <r>
      <rPr>
        <b/>
        <sz val="11"/>
        <color theme="1"/>
        <rFont val="Calibri"/>
        <family val="2"/>
        <scheme val="minor"/>
      </rPr>
      <t>κατακυριευουσι</t>
    </r>
    <r>
      <rPr>
        <sz val="11"/>
        <color theme="1"/>
        <rFont val="Calibri"/>
        <family val="2"/>
        <scheme val="minor"/>
      </rPr>
      <t xml:space="preserve"> (6) και του μεν</t>
    </r>
  </si>
  <si>
    <r>
      <t xml:space="preserve">(5) </t>
    </r>
    <r>
      <rPr>
        <b/>
        <sz val="11"/>
        <color theme="1"/>
        <rFont val="Calibri"/>
        <family val="2"/>
        <scheme val="minor"/>
      </rPr>
      <t>κατακυριευουσι</t>
    </r>
    <r>
      <rPr>
        <sz val="11"/>
        <color theme="1"/>
        <rFont val="Calibri"/>
        <family val="2"/>
        <scheme val="minor"/>
      </rPr>
      <t xml:space="preserve"> (6)  του μεν</t>
    </r>
  </si>
  <si>
    <r>
      <t xml:space="preserve">(5) κατακυριευουσι (6) </t>
    </r>
    <r>
      <rPr>
        <b/>
        <sz val="11"/>
        <color theme="1"/>
        <rFont val="Calibri"/>
        <family val="2"/>
        <scheme val="minor"/>
      </rPr>
      <t>και</t>
    </r>
    <r>
      <rPr>
        <sz val="11"/>
        <color theme="1"/>
        <rFont val="Calibri"/>
        <family val="2"/>
        <scheme val="minor"/>
      </rPr>
      <t xml:space="preserve"> του μεν</t>
    </r>
  </si>
  <si>
    <t>πτωχου της πτωχειας</t>
  </si>
  <si>
    <t>πτωχου το της πτωχειας</t>
  </si>
  <si>
    <t>τεκνα μου ορον οινου</t>
  </si>
  <si>
    <r>
      <t xml:space="preserve">τεκνα μου </t>
    </r>
    <r>
      <rPr>
        <b/>
        <sz val="11"/>
        <color theme="1"/>
        <rFont val="Calibri"/>
        <family val="2"/>
        <scheme val="minor"/>
      </rPr>
      <t>τον</t>
    </r>
    <r>
      <rPr>
        <sz val="11"/>
        <color theme="1"/>
        <rFont val="Calibri"/>
        <family val="2"/>
        <scheme val="minor"/>
      </rPr>
      <t xml:space="preserve"> ορον του οινου</t>
    </r>
  </si>
  <si>
    <r>
      <t xml:space="preserve">τεκνα μου τον ορον </t>
    </r>
    <r>
      <rPr>
        <b/>
        <sz val="11"/>
        <color theme="1"/>
        <rFont val="Calibri"/>
        <family val="2"/>
        <scheme val="minor"/>
      </rPr>
      <t>του</t>
    </r>
    <r>
      <rPr>
        <sz val="11"/>
        <color theme="1"/>
        <rFont val="Calibri"/>
        <family val="2"/>
        <scheme val="minor"/>
      </rPr>
      <t xml:space="preserve"> οινου</t>
    </r>
  </si>
  <si>
    <t>απολεισθε ουκ</t>
  </si>
  <si>
    <t>απολεσθαι ουκ</t>
  </si>
  <si>
    <t>πολεμου δε και ταραχης</t>
  </si>
  <si>
    <t>πολεμου και ταραχης</t>
  </si>
  <si>
    <t>εντελλομαι υμιν</t>
  </si>
  <si>
    <t>εντελλομαι ουν υμιν</t>
  </si>
  <si>
    <t>και δι ευμορφιαν</t>
  </si>
  <si>
    <t>και ευμορφιαν</t>
  </si>
  <si>
    <t>ταυτα εσται το γενος</t>
  </si>
  <si>
    <t>ταυτα εσεσθε το γενος</t>
  </si>
  <si>
    <t>(5) ευλογησε μει ουτως (6) διοτι εγω οιδα</t>
  </si>
  <si>
    <r>
      <t xml:space="preserve">(5) ευλογησε </t>
    </r>
    <r>
      <rPr>
        <b/>
        <sz val="11"/>
        <color theme="1"/>
        <rFont val="Calibri"/>
        <family val="2"/>
        <scheme val="minor"/>
      </rPr>
      <t>μει</t>
    </r>
    <r>
      <rPr>
        <sz val="11"/>
        <color theme="1"/>
        <rFont val="Calibri"/>
        <family val="2"/>
        <scheme val="minor"/>
      </rPr>
      <t xml:space="preserve"> ουτως (6) διοτι εγω οιδα</t>
    </r>
  </si>
  <si>
    <r>
      <t xml:space="preserve">(5) ευλογησε με βασιλευειν εν ιηλ και ισαακ επευλογησε με ουτως (6) </t>
    </r>
    <r>
      <rPr>
        <b/>
        <sz val="11"/>
        <color theme="1"/>
        <rFont val="Calibri"/>
        <family val="2"/>
        <scheme val="minor"/>
      </rPr>
      <t>και</t>
    </r>
    <r>
      <rPr>
        <sz val="11"/>
        <color theme="1"/>
        <rFont val="Calibri"/>
        <family val="2"/>
        <scheme val="minor"/>
      </rPr>
      <t xml:space="preserve"> εγω οιδα</t>
    </r>
  </si>
  <si>
    <r>
      <t xml:space="preserve">(5) ευλογησε μει ουτως (6) </t>
    </r>
    <r>
      <rPr>
        <b/>
        <sz val="11"/>
        <color theme="1"/>
        <rFont val="Calibri"/>
        <family val="2"/>
        <scheme val="minor"/>
      </rPr>
      <t>διοτι</t>
    </r>
    <r>
      <rPr>
        <sz val="11"/>
        <color theme="1"/>
        <rFont val="Calibri"/>
        <family val="2"/>
        <scheme val="minor"/>
      </rPr>
      <t xml:space="preserve"> εγω οιδα</t>
    </r>
  </si>
  <si>
    <t>(17:6) βασιλειον (18:1) καιγε εγνων</t>
  </si>
  <si>
    <r>
      <t xml:space="preserve">(17:6) βασιλειον (18:1) </t>
    </r>
    <r>
      <rPr>
        <b/>
        <sz val="11"/>
        <color theme="1"/>
        <rFont val="Calibri"/>
        <family val="2"/>
        <scheme val="minor"/>
      </rPr>
      <t>οτι</t>
    </r>
    <r>
      <rPr>
        <sz val="11"/>
        <color theme="1"/>
        <rFont val="Calibri"/>
        <family val="2"/>
        <scheme val="minor"/>
      </rPr>
      <t xml:space="preserve"> καιγε ανεγνων</t>
    </r>
  </si>
  <si>
    <r>
      <t xml:space="preserve">(17:6) βασιλειον (18:1) οτι καιγε </t>
    </r>
    <r>
      <rPr>
        <b/>
        <sz val="11"/>
        <color theme="1"/>
        <rFont val="Calibri"/>
        <family val="2"/>
        <scheme val="minor"/>
      </rPr>
      <t>ανεγνων</t>
    </r>
  </si>
  <si>
    <r>
      <t xml:space="preserve">(17:6) βασιλειον (18:1) καιγε </t>
    </r>
    <r>
      <rPr>
        <b/>
        <sz val="11"/>
        <color theme="1"/>
        <rFont val="Calibri"/>
        <family val="2"/>
        <scheme val="minor"/>
      </rPr>
      <t>εγνων</t>
    </r>
  </si>
  <si>
    <r>
      <rPr>
        <b/>
        <sz val="11"/>
        <color theme="1"/>
        <rFont val="Calibri"/>
        <family val="2"/>
        <scheme val="minor"/>
      </rPr>
      <t>κακα ποιησετε</t>
    </r>
    <r>
      <rPr>
        <sz val="11"/>
        <color theme="1"/>
        <rFont val="Calibri"/>
        <family val="2"/>
        <scheme val="minor"/>
      </rPr>
      <t xml:space="preserve"> επ εσχαταις</t>
    </r>
  </si>
  <si>
    <r>
      <rPr>
        <b/>
        <sz val="11"/>
        <color theme="1"/>
        <rFont val="Calibri"/>
        <family val="2"/>
        <scheme val="minor"/>
      </rPr>
      <t>κακοποιησατε</t>
    </r>
    <r>
      <rPr>
        <sz val="11"/>
        <color theme="1"/>
        <rFont val="Calibri"/>
        <family val="2"/>
        <scheme val="minor"/>
      </rPr>
      <t xml:space="preserve"> εν εσχαταις</t>
    </r>
  </si>
  <si>
    <r>
      <t xml:space="preserve">κακα ποιησετε </t>
    </r>
    <r>
      <rPr>
        <b/>
        <sz val="11"/>
        <color theme="1"/>
        <rFont val="Calibri"/>
        <family val="2"/>
        <scheme val="minor"/>
      </rPr>
      <t>επ</t>
    </r>
    <r>
      <rPr>
        <sz val="11"/>
        <color theme="1"/>
        <rFont val="Calibri"/>
        <family val="2"/>
        <scheme val="minor"/>
      </rPr>
      <t xml:space="preserve"> εσχαταις</t>
    </r>
  </si>
  <si>
    <r>
      <t xml:space="preserve">κακοποιησατε </t>
    </r>
    <r>
      <rPr>
        <b/>
        <sz val="11"/>
        <color theme="1"/>
        <rFont val="Calibri"/>
        <family val="2"/>
        <scheme val="minor"/>
      </rPr>
      <t>εν</t>
    </r>
    <r>
      <rPr>
        <sz val="11"/>
        <color theme="1"/>
        <rFont val="Calibri"/>
        <family val="2"/>
        <scheme val="minor"/>
      </rPr>
      <t xml:space="preserve"> εσχαταις</t>
    </r>
  </si>
  <si>
    <t>αφιει ανδρα</t>
  </si>
  <si>
    <t>αφιησιν ανδρα</t>
  </si>
  <si>
    <t>ελεησαι τον πλησιον</t>
  </si>
  <si>
    <t>ελεησαι του πλησιον</t>
  </si>
  <si>
    <t>συνεχει αυτον</t>
  </si>
  <si>
    <t>συνεχει εαυτον</t>
  </si>
  <si>
    <t>υπνον αυτου και καταδαπανα</t>
  </si>
  <si>
    <t>υπνον αυτου καταδαπανα</t>
  </si>
  <si>
    <t>ουκ υπακουει</t>
  </si>
  <si>
    <t>ουχ υπακουει</t>
  </si>
  <si>
    <r>
      <rPr>
        <b/>
        <sz val="11"/>
        <color theme="1"/>
        <rFont val="Calibri"/>
        <family val="2"/>
        <scheme val="minor"/>
      </rPr>
      <t>δια</t>
    </r>
    <r>
      <rPr>
        <sz val="11"/>
        <color theme="1"/>
        <rFont val="Calibri"/>
        <family val="2"/>
        <scheme val="minor"/>
      </rPr>
      <t xml:space="preserve"> αργυριον εγω</t>
    </r>
  </si>
  <si>
    <r>
      <rPr>
        <b/>
        <sz val="11"/>
        <color theme="1"/>
        <rFont val="Calibri"/>
        <family val="2"/>
        <scheme val="minor"/>
      </rPr>
      <t>δι</t>
    </r>
    <r>
      <rPr>
        <sz val="11"/>
        <color theme="1"/>
        <rFont val="Calibri"/>
        <family val="2"/>
        <scheme val="minor"/>
      </rPr>
      <t xml:space="preserve"> αργυριου εγω</t>
    </r>
  </si>
  <si>
    <r>
      <t xml:space="preserve">δια </t>
    </r>
    <r>
      <rPr>
        <b/>
        <sz val="11"/>
        <color theme="1"/>
        <rFont val="Calibri"/>
        <family val="2"/>
        <scheme val="minor"/>
      </rPr>
      <t>αργυριον</t>
    </r>
    <r>
      <rPr>
        <sz val="11"/>
        <color theme="1"/>
        <rFont val="Calibri"/>
        <family val="2"/>
        <scheme val="minor"/>
      </rPr>
      <t xml:space="preserve"> εγω</t>
    </r>
  </si>
  <si>
    <r>
      <t xml:space="preserve">δι </t>
    </r>
    <r>
      <rPr>
        <b/>
        <sz val="11"/>
        <color theme="1"/>
        <rFont val="Calibri"/>
        <family val="2"/>
        <scheme val="minor"/>
      </rPr>
      <t>αργυριου</t>
    </r>
    <r>
      <rPr>
        <sz val="11"/>
        <color theme="1"/>
        <rFont val="Calibri"/>
        <family val="2"/>
        <scheme val="minor"/>
      </rPr>
      <t xml:space="preserve"> εγω</t>
    </r>
  </si>
  <si>
    <t>μετανοια της σαρκος</t>
  </si>
  <si>
    <t>μετανοια σαρκος</t>
  </si>
  <si>
    <t>ταπεινωσις ψυχης</t>
  </si>
  <si>
    <t>ταπεινωσις της ψυχης</t>
  </si>
  <si>
    <t>και αι ευχαι</t>
  </si>
  <si>
    <t>και ευχαι</t>
  </si>
  <si>
    <t>πατερων μου οικτιρμων</t>
  </si>
  <si>
    <t>πρων μου ο οικτιρμων</t>
  </si>
  <si>
    <t>ετυφλωσε με</t>
  </si>
  <si>
    <t>ετυφλωσε γαρ με</t>
  </si>
  <si>
    <t>εν αμαρτιαις φθαρεις</t>
  </si>
  <si>
    <t>εν αμαρτιαν φθαρεις</t>
  </si>
  <si>
    <r>
      <rPr>
        <b/>
        <sz val="11"/>
        <color theme="1"/>
        <rFont val="Calibri"/>
        <family val="2"/>
        <scheme val="minor"/>
      </rPr>
      <t>επεγνων</t>
    </r>
    <r>
      <rPr>
        <sz val="11"/>
        <color theme="1"/>
        <rFont val="Calibri"/>
        <family val="2"/>
        <scheme val="minor"/>
      </rPr>
      <t xml:space="preserve"> την εμαυτου</t>
    </r>
  </si>
  <si>
    <r>
      <rPr>
        <b/>
        <sz val="11"/>
        <color theme="1"/>
        <rFont val="Calibri"/>
        <family val="2"/>
        <scheme val="minor"/>
      </rPr>
      <t>επεγνω</t>
    </r>
    <r>
      <rPr>
        <sz val="11"/>
        <color theme="1"/>
        <rFont val="Calibri"/>
        <family val="2"/>
        <scheme val="minor"/>
      </rPr>
      <t xml:space="preserve"> την εματου</t>
    </r>
  </si>
  <si>
    <r>
      <t xml:space="preserve">επεγνων την </t>
    </r>
    <r>
      <rPr>
        <b/>
        <sz val="11"/>
        <color theme="1"/>
        <rFont val="Calibri"/>
        <family val="2"/>
        <scheme val="minor"/>
      </rPr>
      <t>εμαυτου</t>
    </r>
  </si>
  <si>
    <r>
      <t xml:space="preserve">επεγνω την </t>
    </r>
    <r>
      <rPr>
        <b/>
        <sz val="11"/>
        <color theme="1"/>
        <rFont val="Calibri"/>
        <family val="2"/>
        <scheme val="minor"/>
      </rPr>
      <t>εματου</t>
    </r>
  </si>
  <si>
    <t>ανω το της αληθειας</t>
  </si>
  <si>
    <t>ανθρωπω το της ασθενειας</t>
  </si>
  <si>
    <t>τεκνα μου αγαπησατε</t>
  </si>
  <si>
    <t>τεκνα αγαπησατε</t>
  </si>
  <si>
    <t>επ αυτον ινα</t>
  </si>
  <si>
    <t>επ αυτων ινα</t>
  </si>
  <si>
    <t>της γης εκεινω</t>
  </si>
  <si>
    <t>της γης κακεινω</t>
  </si>
  <si>
    <t>ως υπερεχει</t>
  </si>
  <si>
    <t>ωσπερ εχει</t>
  </si>
  <si>
    <t>ουτως και</t>
  </si>
  <si>
    <t>ουτω και</t>
  </si>
  <si>
    <r>
      <rPr>
        <b/>
        <sz val="11"/>
        <color theme="1"/>
        <rFont val="Calibri"/>
        <family val="2"/>
        <scheme val="minor"/>
      </rPr>
      <t>επιμιγησεσθε</t>
    </r>
    <r>
      <rPr>
        <sz val="11"/>
        <color theme="1"/>
        <rFont val="Calibri"/>
        <family val="2"/>
        <scheme val="minor"/>
      </rPr>
      <t xml:space="preserve"> εν βδελυγμασιν</t>
    </r>
  </si>
  <si>
    <r>
      <rPr>
        <b/>
        <sz val="11"/>
        <color theme="1"/>
        <rFont val="Calibri"/>
        <family val="2"/>
        <scheme val="minor"/>
      </rPr>
      <t>επιμιγγησεσθε</t>
    </r>
    <r>
      <rPr>
        <sz val="11"/>
        <color theme="1"/>
        <rFont val="Calibri"/>
        <family val="2"/>
        <scheme val="minor"/>
      </rPr>
      <t xml:space="preserve"> εν βδηλυγμασιν</t>
    </r>
  </si>
  <si>
    <r>
      <t xml:space="preserve">επιμιγησεσθε εν </t>
    </r>
    <r>
      <rPr>
        <b/>
        <sz val="11"/>
        <color theme="1"/>
        <rFont val="Calibri"/>
        <family val="2"/>
        <scheme val="minor"/>
      </rPr>
      <t>βδελυγμασιν</t>
    </r>
  </si>
  <si>
    <r>
      <t xml:space="preserve">επιμιγγησεσθε εν </t>
    </r>
    <r>
      <rPr>
        <b/>
        <sz val="11"/>
        <color theme="1"/>
        <rFont val="Calibri"/>
        <family val="2"/>
        <scheme val="minor"/>
      </rPr>
      <t>βδηλυγμασιν</t>
    </r>
  </si>
  <si>
    <t xml:space="preserve">αρπαγην γης ερημωσιν ναου θεου εμπυρισμον υμων αυτων </t>
  </si>
  <si>
    <t xml:space="preserve">αρπαγην ναου θεου εμπυρισμον γης ερημωσιν υμων αυτων </t>
  </si>
  <si>
    <t>(4) αυτων (5) εως αν</t>
  </si>
  <si>
    <r>
      <t xml:space="preserve">(4) αυτων (5) </t>
    </r>
    <r>
      <rPr>
        <b/>
        <sz val="11"/>
        <color theme="1"/>
        <rFont val="Calibri"/>
        <family val="2"/>
        <scheme val="minor"/>
      </rPr>
      <t>και</t>
    </r>
    <r>
      <rPr>
        <sz val="11"/>
        <color theme="1"/>
        <rFont val="Calibri"/>
        <family val="2"/>
        <scheme val="minor"/>
      </rPr>
      <t xml:space="preserve"> ως αν</t>
    </r>
  </si>
  <si>
    <r>
      <t xml:space="preserve">(4) αυτων (5) </t>
    </r>
    <r>
      <rPr>
        <b/>
        <sz val="11"/>
        <color theme="1"/>
        <rFont val="Calibri"/>
        <family val="2"/>
        <scheme val="minor"/>
      </rPr>
      <t>εως</t>
    </r>
    <r>
      <rPr>
        <sz val="11"/>
        <color theme="1"/>
        <rFont val="Calibri"/>
        <family val="2"/>
        <scheme val="minor"/>
      </rPr>
      <t xml:space="preserve"> αν</t>
    </r>
  </si>
  <si>
    <r>
      <t xml:space="preserve">(4) αυτων (5) και </t>
    </r>
    <r>
      <rPr>
        <b/>
        <sz val="11"/>
        <color theme="1"/>
        <rFont val="Calibri"/>
        <family val="2"/>
        <scheme val="minor"/>
      </rPr>
      <t>ως</t>
    </r>
    <r>
      <rPr>
        <sz val="11"/>
        <color theme="1"/>
        <rFont val="Calibri"/>
        <family val="2"/>
        <scheme val="minor"/>
      </rPr>
      <t xml:space="preserve"> αν</t>
    </r>
  </si>
  <si>
    <r>
      <rPr>
        <b/>
        <sz val="11"/>
        <color theme="1"/>
        <rFont val="Calibri"/>
        <family val="2"/>
        <scheme val="minor"/>
      </rPr>
      <t>ευτελεια</t>
    </r>
    <r>
      <rPr>
        <sz val="11"/>
        <color theme="1"/>
        <rFont val="Calibri"/>
        <family val="2"/>
        <scheme val="minor"/>
      </rPr>
      <t xml:space="preserve"> καρδιας μεταμελουμενοι</t>
    </r>
  </si>
  <si>
    <r>
      <rPr>
        <b/>
        <sz val="11"/>
        <color theme="1"/>
        <rFont val="Calibri"/>
        <family val="2"/>
        <scheme val="minor"/>
      </rPr>
      <t>εν τελεια</t>
    </r>
    <r>
      <rPr>
        <sz val="11"/>
        <color theme="1"/>
        <rFont val="Calibri"/>
        <family val="2"/>
        <scheme val="minor"/>
      </rPr>
      <t xml:space="preserve"> καρδια μεταμετουμενοι</t>
    </r>
  </si>
  <si>
    <r>
      <t xml:space="preserve">ευτελεια </t>
    </r>
    <r>
      <rPr>
        <b/>
        <sz val="11"/>
        <color theme="1"/>
        <rFont val="Calibri"/>
        <family val="2"/>
        <scheme val="minor"/>
      </rPr>
      <t>καρδιας</t>
    </r>
    <r>
      <rPr>
        <sz val="11"/>
        <color theme="1"/>
        <rFont val="Calibri"/>
        <family val="2"/>
        <scheme val="minor"/>
      </rPr>
      <t xml:space="preserve"> μεταμελουμενοι</t>
    </r>
  </si>
  <si>
    <r>
      <t xml:space="preserve">εν τελεια </t>
    </r>
    <r>
      <rPr>
        <b/>
        <sz val="11"/>
        <color theme="1"/>
        <rFont val="Calibri"/>
        <family val="2"/>
        <scheme val="minor"/>
      </rPr>
      <t>καρδια</t>
    </r>
    <r>
      <rPr>
        <sz val="11"/>
        <color theme="1"/>
        <rFont val="Calibri"/>
        <family val="2"/>
        <scheme val="minor"/>
      </rPr>
      <t xml:space="preserve"> μεταμετουμενοι</t>
    </r>
  </si>
  <si>
    <r>
      <t xml:space="preserve">ευτελεια καρδιας </t>
    </r>
    <r>
      <rPr>
        <b/>
        <sz val="11"/>
        <color theme="1"/>
        <rFont val="Calibri"/>
        <family val="2"/>
        <scheme val="minor"/>
      </rPr>
      <t>μεταμελουμενοι</t>
    </r>
  </si>
  <si>
    <r>
      <t xml:space="preserve">εν τελεια καρδια </t>
    </r>
    <r>
      <rPr>
        <b/>
        <sz val="11"/>
        <color theme="1"/>
        <rFont val="Calibri"/>
        <family val="2"/>
        <scheme val="minor"/>
      </rPr>
      <t>μεταμετουμενοι</t>
    </r>
  </si>
  <si>
    <t>επισκεψηται υμας</t>
  </si>
  <si>
    <t>επισκεψεσθαι υμας</t>
  </si>
  <si>
    <t>Queens corrects επισκεψεσθαι -&gt; επισκεψεται</t>
  </si>
  <si>
    <t>και εν αγαπη</t>
  </si>
  <si>
    <t>και αναγαπη</t>
  </si>
  <si>
    <t>εχθρων υμων (24:1) και μετα</t>
  </si>
  <si>
    <t>εχθρων (24:1) και μετα</t>
  </si>
  <si>
    <t>ως ηλιος δικαιοσυνης</t>
  </si>
  <si>
    <r>
      <t xml:space="preserve">ως </t>
    </r>
    <r>
      <rPr>
        <b/>
        <sz val="11"/>
        <color theme="1"/>
        <rFont val="Calibri"/>
        <family val="2"/>
        <scheme val="minor"/>
      </rPr>
      <t>ο</t>
    </r>
    <r>
      <rPr>
        <sz val="11"/>
        <color theme="1"/>
        <rFont val="Calibri"/>
        <family val="2"/>
        <scheme val="minor"/>
      </rPr>
      <t xml:space="preserve"> ηλιος της δικαιοσυνης</t>
    </r>
  </si>
  <si>
    <r>
      <t xml:space="preserve">ως ο ηλιος </t>
    </r>
    <r>
      <rPr>
        <b/>
        <sz val="11"/>
        <color theme="1"/>
        <rFont val="Calibri"/>
        <family val="2"/>
        <scheme val="minor"/>
      </rPr>
      <t>της</t>
    </r>
    <r>
      <rPr>
        <sz val="11"/>
        <color theme="1"/>
        <rFont val="Calibri"/>
        <family val="2"/>
        <scheme val="minor"/>
      </rPr>
      <t xml:space="preserve"> δικαιοσυνης</t>
    </r>
  </si>
  <si>
    <t>επ αυτω οι ουρανοι</t>
  </si>
  <si>
    <t>εκχεαι πνς</t>
  </si>
  <si>
    <t>εκχεαι πνευμα</t>
  </si>
  <si>
    <t>τον ζαβουλων τα ορη</t>
  </si>
  <si>
    <r>
      <t xml:space="preserve">τον </t>
    </r>
    <r>
      <rPr>
        <b/>
        <sz val="11"/>
        <color theme="1"/>
        <rFont val="Calibri"/>
        <family val="2"/>
        <scheme val="minor"/>
      </rPr>
      <t>ζαβουλων</t>
    </r>
    <r>
      <rPr>
        <sz val="11"/>
        <color theme="1"/>
        <rFont val="Calibri"/>
        <family val="2"/>
        <scheme val="minor"/>
      </rPr>
      <t xml:space="preserve"> τα ορη</t>
    </r>
  </si>
  <si>
    <r>
      <t xml:space="preserve">τον </t>
    </r>
    <r>
      <rPr>
        <b/>
        <sz val="11"/>
        <color theme="1"/>
        <rFont val="Calibri"/>
        <family val="2"/>
        <scheme val="minor"/>
      </rPr>
      <t>ζαβυλων</t>
    </r>
    <r>
      <rPr>
        <sz val="11"/>
        <color theme="1"/>
        <rFont val="Calibri"/>
        <family val="2"/>
        <scheme val="minor"/>
      </rPr>
      <t xml:space="preserve"> ο ουρανος τον ρουβημ τα ορη</t>
    </r>
  </si>
  <si>
    <r>
      <t xml:space="preserve">τον ζαβυλων </t>
    </r>
    <r>
      <rPr>
        <b/>
        <sz val="11"/>
        <color theme="1"/>
        <rFont val="Calibri"/>
        <family val="2"/>
        <scheme val="minor"/>
      </rPr>
      <t>ο ουρανος τον ρουβημ</t>
    </r>
    <r>
      <rPr>
        <sz val="11"/>
        <color theme="1"/>
        <rFont val="Calibri"/>
        <family val="2"/>
        <scheme val="minor"/>
      </rPr>
      <t xml:space="preserve"> τα ορη</t>
    </r>
  </si>
  <si>
    <t>και εις λαος</t>
  </si>
  <si>
    <t>και εσται εις λαος</t>
  </si>
  <si>
    <t>ιηλ πετασθησονται</t>
  </si>
  <si>
    <t>ισραηλ μεταθησονται</t>
  </si>
  <si>
    <t>εις αιωνας (26:1) φυλαξατε</t>
  </si>
  <si>
    <t>εις αιωνα (26:1) φυλαξατε</t>
  </si>
  <si>
    <t>παντα τον νομον</t>
  </si>
  <si>
    <t>παντα νομον</t>
  </si>
  <si>
    <t>ειπεν προς αυτους</t>
  </si>
  <si>
    <t>ειπε προς αυτους</t>
  </si>
  <si>
    <t>εκατον δεκαεννεα ετων εγω αποθνησκω σημερον</t>
  </si>
  <si>
    <t>ριθ ετων αποθνησκω εγω σημερον</t>
  </si>
  <si>
    <t>πολυτελη εσθητι</t>
  </si>
  <si>
    <t>πολυτελει εσθητι</t>
  </si>
  <si>
    <r>
      <t xml:space="preserve">εσθητι η την κοιλιαν μου </t>
    </r>
    <r>
      <rPr>
        <b/>
        <sz val="11"/>
        <color theme="1"/>
        <rFont val="Calibri"/>
        <family val="2"/>
        <scheme val="minor"/>
      </rPr>
      <t>αναρηξει</t>
    </r>
    <r>
      <rPr>
        <sz val="11"/>
        <color theme="1"/>
        <rFont val="Calibri"/>
        <family val="2"/>
        <scheme val="minor"/>
      </rPr>
      <t xml:space="preserve"> οτι ταυτα</t>
    </r>
  </si>
  <si>
    <r>
      <t xml:space="preserve">εσθητι η </t>
    </r>
    <r>
      <rPr>
        <b/>
        <sz val="11"/>
        <color theme="1"/>
        <rFont val="Calibri"/>
        <family val="2"/>
        <scheme val="minor"/>
      </rPr>
      <t>αναρρηξοι</t>
    </r>
    <r>
      <rPr>
        <sz val="11"/>
        <color theme="1"/>
        <rFont val="Calibri"/>
        <family val="2"/>
        <scheme val="minor"/>
      </rPr>
      <t xml:space="preserve"> την κοιλιαν μου οτι ταυτα</t>
    </r>
  </si>
  <si>
    <t>δωσω σοι αυτα οτι</t>
  </si>
  <si>
    <t>δωσω αυτα σοι οτι</t>
  </si>
  <si>
    <t>ειπεν ιδου</t>
  </si>
  <si>
    <t>ειπε ιδου</t>
  </si>
  <si>
    <t>πατρι ημων ιδ</t>
  </si>
  <si>
    <t>πρι ημων ετη δεκατεσσαρα</t>
  </si>
  <si>
    <t>ης συ ορωσα</t>
  </si>
  <si>
    <t>ης ορωσα</t>
  </si>
  <si>
    <t>γυνη αυτου ει συ αλλ</t>
  </si>
  <si>
    <t>γυνη αυτου συ ει αλλ</t>
  </si>
  <si>
    <t>αντ εμου</t>
  </si>
  <si>
    <t>αντι εμου</t>
  </si>
  <si>
    <t>μεταστησας τη νυκτι</t>
  </si>
  <si>
    <t>μεταστησας με τη νυκτι</t>
  </si>
  <si>
    <t>και εγνω</t>
  </si>
  <si>
    <t>και εγεγνω</t>
  </si>
  <si>
    <t>μητηρ μου απεδω αντι συνουσιας τα δυο</t>
  </si>
  <si>
    <t>μηρ μου αντι συνουσιας απεδω τα δυο</t>
  </si>
  <si>
    <t>εν μανδραγοραις</t>
  </si>
  <si>
    <r>
      <t xml:space="preserve">εν </t>
    </r>
    <r>
      <rPr>
        <b/>
        <sz val="11"/>
        <color theme="1"/>
        <rFont val="Calibri"/>
        <family val="2"/>
        <scheme val="minor"/>
      </rPr>
      <t>τοις</t>
    </r>
    <r>
      <rPr>
        <sz val="11"/>
        <color theme="1"/>
        <rFont val="Calibri"/>
        <family val="2"/>
        <scheme val="minor"/>
      </rPr>
      <t xml:space="preserve"> μανδραγοροις</t>
    </r>
  </si>
  <si>
    <r>
      <t xml:space="preserve">εν τοις </t>
    </r>
    <r>
      <rPr>
        <b/>
        <sz val="11"/>
        <color theme="1"/>
        <rFont val="Calibri"/>
        <family val="2"/>
        <scheme val="minor"/>
      </rPr>
      <t>μανδραγοροις</t>
    </r>
  </si>
  <si>
    <r>
      <t xml:space="preserve">εν </t>
    </r>
    <r>
      <rPr>
        <b/>
        <sz val="11"/>
        <color theme="1"/>
        <rFont val="Calibri"/>
        <family val="2"/>
        <scheme val="minor"/>
      </rPr>
      <t>μανδραγοραις</t>
    </r>
  </si>
  <si>
    <t>αυτην ο κυριος</t>
  </si>
  <si>
    <t>αυτην κς</t>
  </si>
  <si>
    <t>ποθησασα αυτους</t>
  </si>
  <si>
    <t>ποθησασα αυτας</t>
  </si>
  <si>
    <t>αλλα ανεθηκεν</t>
  </si>
  <si>
    <t>αλλ ανεθηκεν</t>
  </si>
  <si>
    <t>προσενεγκασα ιερει υψιστου τω οντι</t>
  </si>
  <si>
    <r>
      <rPr>
        <b/>
        <sz val="11"/>
        <color theme="1"/>
        <rFont val="Calibri"/>
        <family val="2"/>
        <scheme val="minor"/>
      </rPr>
      <t>προσενεγκασα</t>
    </r>
    <r>
      <rPr>
        <sz val="11"/>
        <color theme="1"/>
        <rFont val="Calibri"/>
        <family val="2"/>
        <scheme val="minor"/>
      </rPr>
      <t xml:space="preserve"> ιερει υψιστου τω οντι</t>
    </r>
  </si>
  <si>
    <r>
      <rPr>
        <b/>
        <sz val="11"/>
        <color theme="1"/>
        <rFont val="Calibri"/>
        <family val="2"/>
        <scheme val="minor"/>
      </rPr>
      <t>προσενεγκεισα</t>
    </r>
    <r>
      <rPr>
        <sz val="11"/>
        <color theme="1"/>
        <rFont val="Calibri"/>
        <family val="2"/>
        <scheme val="minor"/>
      </rPr>
      <t xml:space="preserve"> τω ιερει υμων υψιστω οντι</t>
    </r>
  </si>
  <si>
    <r>
      <t xml:space="preserve">προσενεγκεισα </t>
    </r>
    <r>
      <rPr>
        <b/>
        <sz val="11"/>
        <color theme="1"/>
        <rFont val="Calibri"/>
        <family val="2"/>
        <scheme val="minor"/>
      </rPr>
      <t>τω</t>
    </r>
    <r>
      <rPr>
        <sz val="11"/>
        <color theme="1"/>
        <rFont val="Calibri"/>
        <family val="2"/>
        <scheme val="minor"/>
      </rPr>
      <t xml:space="preserve"> ιερει υμων υψιστω οντι</t>
    </r>
  </si>
  <si>
    <r>
      <t xml:space="preserve">προσενεγκεισα τω ιερει </t>
    </r>
    <r>
      <rPr>
        <b/>
        <sz val="11"/>
        <color theme="1"/>
        <rFont val="Calibri"/>
        <family val="2"/>
        <scheme val="minor"/>
      </rPr>
      <t>υμων</t>
    </r>
    <r>
      <rPr>
        <sz val="11"/>
        <color theme="1"/>
        <rFont val="Calibri"/>
        <family val="2"/>
        <scheme val="minor"/>
      </rPr>
      <t xml:space="preserve"> υψιστω οντι</t>
    </r>
  </si>
  <si>
    <r>
      <t xml:space="preserve">προσενεγκεισα τω ιερει υμων </t>
    </r>
    <r>
      <rPr>
        <b/>
        <sz val="11"/>
        <color theme="1"/>
        <rFont val="Calibri"/>
        <family val="2"/>
        <scheme val="minor"/>
      </rPr>
      <t>υψιστω</t>
    </r>
    <r>
      <rPr>
        <sz val="11"/>
        <color theme="1"/>
        <rFont val="Calibri"/>
        <family val="2"/>
        <scheme val="minor"/>
      </rPr>
      <t xml:space="preserve"> οντι</t>
    </r>
  </si>
  <si>
    <t>(2) πορευομαι (3) ουκ ημην</t>
  </si>
  <si>
    <t>(2) πορευομαι (3) και ουκ ημην</t>
  </si>
  <si>
    <t>πλησιον μου (4) ου κατελαλησα</t>
  </si>
  <si>
    <t>πλησιον (4) ου κατελαλησα</t>
  </si>
  <si>
    <t>ουκ ενενοουν</t>
  </si>
  <si>
    <t>ουκ ενοουν</t>
  </si>
  <si>
    <t>κοπου υπνος μοι περιεγενετο</t>
  </si>
  <si>
    <r>
      <t xml:space="preserve">κοπου </t>
    </r>
    <r>
      <rPr>
        <b/>
        <sz val="11"/>
        <color theme="1"/>
        <rFont val="Calibri"/>
        <family val="2"/>
        <scheme val="minor"/>
      </rPr>
      <t>ο</t>
    </r>
    <r>
      <rPr>
        <sz val="11"/>
        <color theme="1"/>
        <rFont val="Calibri"/>
        <family val="2"/>
        <scheme val="minor"/>
      </rPr>
      <t xml:space="preserve"> υπνος μου περιεγενετο</t>
    </r>
  </si>
  <si>
    <r>
      <t xml:space="preserve">κοπου ο υπνος </t>
    </r>
    <r>
      <rPr>
        <b/>
        <sz val="11"/>
        <color theme="1"/>
        <rFont val="Calibri"/>
        <family val="2"/>
        <scheme val="minor"/>
      </rPr>
      <t>μου</t>
    </r>
    <r>
      <rPr>
        <sz val="11"/>
        <color theme="1"/>
        <rFont val="Calibri"/>
        <family val="2"/>
        <scheme val="minor"/>
      </rPr>
      <t xml:space="preserve"> περιεγενετο</t>
    </r>
  </si>
  <si>
    <r>
      <t xml:space="preserve">κοπου υπνος </t>
    </r>
    <r>
      <rPr>
        <b/>
        <sz val="11"/>
        <color theme="1"/>
        <rFont val="Calibri"/>
        <family val="2"/>
        <scheme val="minor"/>
      </rPr>
      <t>μοι</t>
    </r>
    <r>
      <rPr>
        <sz val="11"/>
        <color theme="1"/>
        <rFont val="Calibri"/>
        <family val="2"/>
        <scheme val="minor"/>
      </rPr>
      <t xml:space="preserve"> περιεγενετο</t>
    </r>
  </si>
  <si>
    <t>ειτα εκαμνον</t>
  </si>
  <si>
    <r>
      <rPr>
        <b/>
        <sz val="11"/>
        <color theme="1"/>
        <rFont val="Calibri"/>
        <family val="2"/>
        <scheme val="minor"/>
      </rPr>
      <t>ειτι</t>
    </r>
    <r>
      <rPr>
        <sz val="11"/>
        <color theme="1"/>
        <rFont val="Calibri"/>
        <family val="2"/>
        <scheme val="minor"/>
      </rPr>
      <t xml:space="preserve"> γαρ εκαμνον</t>
    </r>
  </si>
  <si>
    <r>
      <rPr>
        <b/>
        <sz val="11"/>
        <color theme="1"/>
        <rFont val="Calibri"/>
        <family val="2"/>
        <scheme val="minor"/>
      </rPr>
      <t>ειτα</t>
    </r>
    <r>
      <rPr>
        <sz val="11"/>
        <color theme="1"/>
        <rFont val="Calibri"/>
        <family val="2"/>
        <scheme val="minor"/>
      </rPr>
      <t xml:space="preserve"> εκαμνον</t>
    </r>
  </si>
  <si>
    <r>
      <t xml:space="preserve">ειτι </t>
    </r>
    <r>
      <rPr>
        <b/>
        <sz val="11"/>
        <color theme="1"/>
        <rFont val="Calibri"/>
        <family val="2"/>
        <scheme val="minor"/>
      </rPr>
      <t>γαρ</t>
    </r>
    <r>
      <rPr>
        <sz val="11"/>
        <color theme="1"/>
        <rFont val="Calibri"/>
        <family val="2"/>
        <scheme val="minor"/>
      </rPr>
      <t xml:space="preserve"> εκαμνον</t>
    </r>
  </si>
  <si>
    <t>προτογενημα δια του</t>
  </si>
  <si>
    <r>
      <rPr>
        <b/>
        <sz val="11"/>
        <color theme="1"/>
        <rFont val="Calibri"/>
        <family val="2"/>
        <scheme val="minor"/>
      </rPr>
      <t>πρωτογενημα</t>
    </r>
    <r>
      <rPr>
        <sz val="11"/>
        <color theme="1"/>
        <rFont val="Calibri"/>
        <family val="2"/>
        <scheme val="minor"/>
      </rPr>
      <t xml:space="preserve"> πρωτον δια του</t>
    </r>
  </si>
  <si>
    <r>
      <rPr>
        <b/>
        <sz val="11"/>
        <color theme="1"/>
        <rFont val="Calibri"/>
        <family val="2"/>
        <scheme val="minor"/>
      </rPr>
      <t>προτογενημα</t>
    </r>
    <r>
      <rPr>
        <sz val="11"/>
        <color theme="1"/>
        <rFont val="Calibri"/>
        <family val="2"/>
        <scheme val="minor"/>
      </rPr>
      <t xml:space="preserve"> δια του</t>
    </r>
  </si>
  <si>
    <r>
      <t xml:space="preserve">πρωτογενημα </t>
    </r>
    <r>
      <rPr>
        <b/>
        <sz val="11"/>
        <color theme="1"/>
        <rFont val="Calibri"/>
        <family val="2"/>
        <scheme val="minor"/>
      </rPr>
      <t>πρωτον</t>
    </r>
    <r>
      <rPr>
        <sz val="11"/>
        <color theme="1"/>
        <rFont val="Calibri"/>
        <family val="2"/>
        <scheme val="minor"/>
      </rPr>
      <t xml:space="preserve"> δια του</t>
    </r>
  </si>
  <si>
    <t>αγαθα χερσι</t>
  </si>
  <si>
    <t>αγαθα εν χερσι</t>
  </si>
  <si>
    <t>παντι γαρ</t>
  </si>
  <si>
    <t>παντα γαρ</t>
  </si>
  <si>
    <t>ευαρεστησιν κυριω (2) ο απλους</t>
  </si>
  <si>
    <t>ευαρεστησιν κυ (2) ο απλους</t>
  </si>
  <si>
    <t>ουκ εφιεται</t>
  </si>
  <si>
    <t>ουκ αφιεται</t>
  </si>
  <si>
    <r>
      <t xml:space="preserve">πλανης </t>
    </r>
    <r>
      <rPr>
        <b/>
        <sz val="11"/>
        <color theme="1"/>
        <rFont val="Calibri"/>
        <family val="2"/>
        <scheme val="minor"/>
      </rPr>
      <t>ουδεν</t>
    </r>
    <r>
      <rPr>
        <sz val="11"/>
        <color theme="1"/>
        <rFont val="Calibri"/>
        <family val="2"/>
        <scheme val="minor"/>
      </rPr>
      <t xml:space="preserve"> ισχυουσι προς αυτον</t>
    </r>
  </si>
  <si>
    <r>
      <t xml:space="preserve">πλανης </t>
    </r>
    <r>
      <rPr>
        <b/>
        <sz val="11"/>
        <color theme="1"/>
        <rFont val="Calibri"/>
        <family val="2"/>
        <scheme val="minor"/>
      </rPr>
      <t>ουκ</t>
    </r>
    <r>
      <rPr>
        <sz val="11"/>
        <color theme="1"/>
        <rFont val="Calibri"/>
        <family val="2"/>
        <scheme val="minor"/>
      </rPr>
      <t xml:space="preserve"> ισχυσουσι προς αυτον</t>
    </r>
  </si>
  <si>
    <r>
      <t xml:space="preserve">πλανης ουκ </t>
    </r>
    <r>
      <rPr>
        <b/>
        <sz val="11"/>
        <color theme="1"/>
        <rFont val="Calibri"/>
        <family val="2"/>
        <scheme val="minor"/>
      </rPr>
      <t>ισχυσουσι</t>
    </r>
    <r>
      <rPr>
        <sz val="11"/>
        <color theme="1"/>
        <rFont val="Calibri"/>
        <family val="2"/>
        <scheme val="minor"/>
      </rPr>
      <t xml:space="preserve"> προς αυτον</t>
    </r>
  </si>
  <si>
    <r>
      <t xml:space="preserve">πλανης ουδεν </t>
    </r>
    <r>
      <rPr>
        <b/>
        <sz val="11"/>
        <color theme="1"/>
        <rFont val="Calibri"/>
        <family val="2"/>
        <scheme val="minor"/>
      </rPr>
      <t>ισχυουσι</t>
    </r>
    <r>
      <rPr>
        <sz val="11"/>
        <color theme="1"/>
        <rFont val="Calibri"/>
        <family val="2"/>
        <scheme val="minor"/>
      </rPr>
      <t xml:space="preserve"> προς αυτον</t>
    </r>
  </si>
  <si>
    <t>μιανη τον νουν</t>
  </si>
  <si>
    <t>μιανη τον τον νουν</t>
  </si>
  <si>
    <t>πορευεται γαρ εν ευθυτητι</t>
  </si>
  <si>
    <t>πορευεται δε εν ευθυτητι</t>
  </si>
  <si>
    <t>ζωης παντα</t>
  </si>
  <si>
    <t>ζωης και παντα</t>
  </si>
  <si>
    <t>φυλαξατε ουν τεκνα μου νομον θεου και την απλοτητα</t>
  </si>
  <si>
    <t>φυλαξατε ουν νομον θυ τεκνα μου και την απλοτητα</t>
  </si>
  <si>
    <r>
      <t xml:space="preserve">(2) ασθενη </t>
    </r>
    <r>
      <rPr>
        <b/>
        <sz val="11"/>
        <color theme="1"/>
        <rFont val="Calibri"/>
        <family val="2"/>
        <scheme val="minor"/>
      </rPr>
      <t>ελεατε</t>
    </r>
    <r>
      <rPr>
        <sz val="11"/>
        <color theme="1"/>
        <rFont val="Calibri"/>
        <family val="2"/>
        <scheme val="minor"/>
      </rPr>
      <t xml:space="preserve"> (3) υποθετε τον νωτον</t>
    </r>
  </si>
  <si>
    <r>
      <t xml:space="preserve">(2) ασθενη </t>
    </r>
    <r>
      <rPr>
        <b/>
        <sz val="11"/>
        <color theme="1"/>
        <rFont val="Calibri"/>
        <family val="2"/>
        <scheme val="minor"/>
      </rPr>
      <t>ελεησατε</t>
    </r>
    <r>
      <rPr>
        <sz val="11"/>
        <color theme="1"/>
        <rFont val="Calibri"/>
        <family val="2"/>
        <scheme val="minor"/>
      </rPr>
      <t xml:space="preserve"> (3) υποτιθετε τον νωτον</t>
    </r>
  </si>
  <si>
    <r>
      <t xml:space="preserve">(2) ασθενη ελεατε (3) </t>
    </r>
    <r>
      <rPr>
        <b/>
        <sz val="11"/>
        <color theme="1"/>
        <rFont val="Calibri"/>
        <family val="2"/>
        <scheme val="minor"/>
      </rPr>
      <t>υποθετε</t>
    </r>
    <r>
      <rPr>
        <sz val="11"/>
        <color theme="1"/>
        <rFont val="Calibri"/>
        <family val="2"/>
        <scheme val="minor"/>
      </rPr>
      <t xml:space="preserve"> τον νωτον</t>
    </r>
  </si>
  <si>
    <r>
      <t xml:space="preserve">(2) ασθενη ελεησατε (3) </t>
    </r>
    <r>
      <rPr>
        <b/>
        <sz val="11"/>
        <color theme="1"/>
        <rFont val="Calibri"/>
        <family val="2"/>
        <scheme val="minor"/>
      </rPr>
      <t>υποτιθετε</t>
    </r>
    <r>
      <rPr>
        <sz val="11"/>
        <color theme="1"/>
        <rFont val="Calibri"/>
        <family val="2"/>
        <scheme val="minor"/>
      </rPr>
      <t xml:space="preserve"> τον νωτον</t>
    </r>
  </si>
  <si>
    <t>εργαζεσθε εν εργοις</t>
  </si>
  <si>
    <t>εργαζεσθαι εν εργοις</t>
  </si>
  <si>
    <t>Queens corrects to πρωτογεννημασι</t>
  </si>
  <si>
    <t>ευλογησε σε κυριος</t>
  </si>
  <si>
    <t>ευλογησε κυριος</t>
  </si>
  <si>
    <t>οτι ο πηρ</t>
  </si>
  <si>
    <t>οτι και ο πατηρ</t>
  </si>
  <si>
    <r>
      <rPr>
        <b/>
        <sz val="11"/>
        <color theme="1"/>
        <rFont val="Calibri"/>
        <family val="2"/>
        <scheme val="minor"/>
      </rPr>
      <t>ιουδας</t>
    </r>
    <r>
      <rPr>
        <sz val="11"/>
        <color theme="1"/>
        <rFont val="Calibri"/>
        <family val="2"/>
        <scheme val="minor"/>
      </rPr>
      <t xml:space="preserve"> εδοξασθη</t>
    </r>
  </si>
  <si>
    <r>
      <rPr>
        <b/>
        <sz val="11"/>
        <color theme="1"/>
        <rFont val="Calibri"/>
        <family val="2"/>
        <scheme val="minor"/>
      </rPr>
      <t>ιουδα</t>
    </r>
    <r>
      <rPr>
        <sz val="11"/>
        <color theme="1"/>
        <rFont val="Calibri"/>
        <family val="2"/>
        <scheme val="minor"/>
      </rPr>
      <t xml:space="preserve"> εδοξασθη</t>
    </r>
  </si>
  <si>
    <r>
      <t xml:space="preserve">ιουδας </t>
    </r>
    <r>
      <rPr>
        <b/>
        <sz val="11"/>
        <color theme="1"/>
        <rFont val="Calibri"/>
        <family val="2"/>
        <scheme val="minor"/>
      </rPr>
      <t>εδοξασθη</t>
    </r>
  </si>
  <si>
    <r>
      <t xml:space="preserve">ιουδα </t>
    </r>
    <r>
      <rPr>
        <b/>
        <sz val="11"/>
        <color theme="1"/>
        <rFont val="Calibri"/>
        <family val="2"/>
        <scheme val="minor"/>
      </rPr>
      <t>εδοξασθη</t>
    </r>
  </si>
  <si>
    <t>Queens corrects to either εδοξασθεαν or εδοξασθη εαν</t>
  </si>
  <si>
    <t>παρα κυ εν υιοις</t>
  </si>
  <si>
    <t>παρα κυριω εν υιοις</t>
  </si>
  <si>
    <t>και γαρ ο κυριος</t>
  </si>
  <si>
    <t>και γαρ κς</t>
  </si>
  <si>
    <t>τω δε την βασιλειαν</t>
  </si>
  <si>
    <t>τω δε βασιλειαν</t>
  </si>
  <si>
    <t>αυτοις υπακουσατε τη απλοτητι</t>
  </si>
  <si>
    <r>
      <t xml:space="preserve">αυτοις </t>
    </r>
    <r>
      <rPr>
        <b/>
        <sz val="11"/>
        <color theme="1"/>
        <rFont val="Calibri"/>
        <family val="2"/>
        <scheme val="minor"/>
      </rPr>
      <t>ουν</t>
    </r>
    <r>
      <rPr>
        <sz val="11"/>
        <color theme="1"/>
        <rFont val="Calibri"/>
        <family val="2"/>
        <scheme val="minor"/>
      </rPr>
      <t xml:space="preserve"> υπακουσατε και τη απλοτητι</t>
    </r>
  </si>
  <si>
    <r>
      <t xml:space="preserve">αυτοις ουν υπακουσατε </t>
    </r>
    <r>
      <rPr>
        <b/>
        <sz val="11"/>
        <color theme="1"/>
        <rFont val="Calibri"/>
        <family val="2"/>
        <scheme val="minor"/>
      </rPr>
      <t>και</t>
    </r>
    <r>
      <rPr>
        <sz val="11"/>
        <color theme="1"/>
        <rFont val="Calibri"/>
        <family val="2"/>
        <scheme val="minor"/>
      </rPr>
      <t xml:space="preserve"> τη απλοτητι</t>
    </r>
  </si>
  <si>
    <t>οτι και τω γαδ</t>
  </si>
  <si>
    <t>οτι εν τω γαδ</t>
  </si>
  <si>
    <t>επερχομενα τω ιηλ</t>
  </si>
  <si>
    <t>επερχομενα ισραηλ</t>
  </si>
  <si>
    <t>οιδα δε τεκνα</t>
  </si>
  <si>
    <t>οιδα τεκνα</t>
  </si>
  <si>
    <t>υιοι υμων</t>
  </si>
  <si>
    <t>Queens corrects υμων -&gt; ημων</t>
  </si>
  <si>
    <t>δουλευσουσι τοις εχθροις</t>
  </si>
  <si>
    <r>
      <rPr>
        <b/>
        <sz val="11"/>
        <color theme="1"/>
        <rFont val="Calibri"/>
        <family val="2"/>
        <scheme val="minor"/>
      </rPr>
      <t>δουλευσουσι</t>
    </r>
    <r>
      <rPr>
        <sz val="11"/>
        <color theme="1"/>
        <rFont val="Calibri"/>
        <family val="2"/>
        <scheme val="minor"/>
      </rPr>
      <t xml:space="preserve"> τοις εχθροις</t>
    </r>
  </si>
  <si>
    <r>
      <rPr>
        <b/>
        <sz val="11"/>
        <color theme="1"/>
        <rFont val="Calibri"/>
        <family val="2"/>
        <scheme val="minor"/>
      </rPr>
      <t>δουλευσουσιν</t>
    </r>
    <r>
      <rPr>
        <sz val="11"/>
        <color theme="1"/>
        <rFont val="Calibri"/>
        <family val="2"/>
        <scheme val="minor"/>
      </rPr>
      <t xml:space="preserve"> εν τοις εχθροις</t>
    </r>
  </si>
  <si>
    <r>
      <t xml:space="preserve">δουλευσουσιν </t>
    </r>
    <r>
      <rPr>
        <b/>
        <sz val="11"/>
        <color theme="1"/>
        <rFont val="Calibri"/>
        <family val="2"/>
        <scheme val="minor"/>
      </rPr>
      <t>εν</t>
    </r>
    <r>
      <rPr>
        <sz val="11"/>
        <color theme="1"/>
        <rFont val="Calibri"/>
        <family val="2"/>
        <scheme val="minor"/>
      </rPr>
      <t xml:space="preserve"> τοις εχθροις</t>
    </r>
  </si>
  <si>
    <r>
      <t xml:space="preserve">οπως </t>
    </r>
    <r>
      <rPr>
        <b/>
        <sz val="11"/>
        <color theme="1"/>
        <rFont val="Calibri"/>
        <family val="2"/>
        <scheme val="minor"/>
      </rPr>
      <t>εαν</t>
    </r>
    <r>
      <rPr>
        <sz val="11"/>
        <color theme="1"/>
        <rFont val="Calibri"/>
        <family val="2"/>
        <scheme val="minor"/>
      </rPr>
      <t xml:space="preserve"> αμαρτησωσι ταχειον επιστρεψουσι προς κν</t>
    </r>
  </si>
  <si>
    <r>
      <t xml:space="preserve">οπως </t>
    </r>
    <r>
      <rPr>
        <b/>
        <sz val="11"/>
        <color theme="1"/>
        <rFont val="Calibri"/>
        <family val="2"/>
        <scheme val="minor"/>
      </rPr>
      <t>αν</t>
    </r>
    <r>
      <rPr>
        <sz val="11"/>
        <color theme="1"/>
        <rFont val="Calibri"/>
        <family val="2"/>
        <scheme val="minor"/>
      </rPr>
      <t xml:space="preserve"> αμαρτησωσι ταχιον επιστρεψωσι προς κυριον</t>
    </r>
  </si>
  <si>
    <r>
      <t xml:space="preserve">οπως εαν αμαρτησωσι </t>
    </r>
    <r>
      <rPr>
        <b/>
        <sz val="11"/>
        <color theme="1"/>
        <rFont val="Calibri"/>
        <family val="2"/>
        <scheme val="minor"/>
      </rPr>
      <t>ταχειον</t>
    </r>
    <r>
      <rPr>
        <sz val="11"/>
        <color theme="1"/>
        <rFont val="Calibri"/>
        <family val="2"/>
        <scheme val="minor"/>
      </rPr>
      <t xml:space="preserve"> επιστρεψουσι προς κν</t>
    </r>
  </si>
  <si>
    <r>
      <t xml:space="preserve">οπως αν αμαρτησωσι </t>
    </r>
    <r>
      <rPr>
        <b/>
        <sz val="11"/>
        <color theme="1"/>
        <rFont val="Calibri"/>
        <family val="2"/>
        <scheme val="minor"/>
      </rPr>
      <t>ταχιον</t>
    </r>
    <r>
      <rPr>
        <sz val="11"/>
        <color theme="1"/>
        <rFont val="Calibri"/>
        <family val="2"/>
        <scheme val="minor"/>
      </rPr>
      <t xml:space="preserve"> επιστρεψωσι προς κυριον</t>
    </r>
  </si>
  <si>
    <r>
      <t xml:space="preserve">οπως εαν αμαρτησωσι ταχειον </t>
    </r>
    <r>
      <rPr>
        <b/>
        <sz val="11"/>
        <color theme="1"/>
        <rFont val="Calibri"/>
        <family val="2"/>
        <scheme val="minor"/>
      </rPr>
      <t>επιστρεψουσι</t>
    </r>
    <r>
      <rPr>
        <sz val="11"/>
        <color theme="1"/>
        <rFont val="Calibri"/>
        <family val="2"/>
        <scheme val="minor"/>
      </rPr>
      <t xml:space="preserve"> προς κν</t>
    </r>
  </si>
  <si>
    <r>
      <t xml:space="preserve">οπως αν αμαρτησωσι ταχιον </t>
    </r>
    <r>
      <rPr>
        <b/>
        <sz val="11"/>
        <color theme="1"/>
        <rFont val="Calibri"/>
        <family val="2"/>
        <scheme val="minor"/>
      </rPr>
      <t>επιστρεψωσι</t>
    </r>
    <r>
      <rPr>
        <sz val="11"/>
        <color theme="1"/>
        <rFont val="Calibri"/>
        <family val="2"/>
        <scheme val="minor"/>
      </rPr>
      <t xml:space="preserve"> προς κυριον</t>
    </r>
  </si>
  <si>
    <t>εγνων εν εμοι αμαρτιαν</t>
  </si>
  <si>
    <t>εγνων επ εμε αμαρτιαν</t>
  </si>
  <si>
    <t>οφθαλμων (3) οινον</t>
  </si>
  <si>
    <t>οφθαλμων μου (3) οινον</t>
  </si>
  <si>
    <t>δια των χειλεων</t>
  </si>
  <si>
    <t>δι α χειλεων</t>
  </si>
  <si>
    <t>ημεραις εμου αληθειαν</t>
  </si>
  <si>
    <r>
      <t xml:space="preserve">ημεραις </t>
    </r>
    <r>
      <rPr>
        <b/>
        <sz val="11"/>
        <color theme="1"/>
        <rFont val="Calibri"/>
        <family val="2"/>
        <scheme val="minor"/>
      </rPr>
      <t>μου</t>
    </r>
    <r>
      <rPr>
        <sz val="11"/>
        <color theme="1"/>
        <rFont val="Calibri"/>
        <family val="2"/>
        <scheme val="minor"/>
      </rPr>
      <t xml:space="preserve"> και αληθειαν</t>
    </r>
  </si>
  <si>
    <r>
      <t xml:space="preserve">ημεραις </t>
    </r>
    <r>
      <rPr>
        <b/>
        <sz val="11"/>
        <color theme="1"/>
        <rFont val="Calibri"/>
        <family val="2"/>
        <scheme val="minor"/>
      </rPr>
      <t>εμου</t>
    </r>
    <r>
      <rPr>
        <sz val="11"/>
        <color theme="1"/>
        <rFont val="Calibri"/>
        <family val="2"/>
        <scheme val="minor"/>
      </rPr>
      <t xml:space="preserve"> αληθειαν</t>
    </r>
  </si>
  <si>
    <r>
      <t xml:space="preserve">ημεραις μου </t>
    </r>
    <r>
      <rPr>
        <b/>
        <sz val="11"/>
        <color theme="1"/>
        <rFont val="Calibri"/>
        <family val="2"/>
        <scheme val="minor"/>
      </rPr>
      <t>και</t>
    </r>
    <r>
      <rPr>
        <sz val="11"/>
        <color theme="1"/>
        <rFont val="Calibri"/>
        <family val="2"/>
        <scheme val="minor"/>
      </rPr>
      <t xml:space="preserve"> αληθειαν</t>
    </r>
  </si>
  <si>
    <t>ως τα τεκνα</t>
  </si>
  <si>
    <t>ως τεκνα</t>
  </si>
  <si>
    <t>ταυτα ποιησατε και υμεις τεκνα</t>
  </si>
  <si>
    <t>ταυτα και υμεις ποιησατε τεκνα</t>
  </si>
  <si>
    <t>εαυτων τον θν</t>
  </si>
  <si>
    <t>εαυτων θεον</t>
  </si>
  <si>
    <t>συμπορευομενον τοις ανοις</t>
  </si>
  <si>
    <t>συμπορευομενοι τοις ανθρωποις</t>
  </si>
  <si>
    <t>απεθανε πεμπτος</t>
  </si>
  <si>
    <t>απεθανεν πεμπτος</t>
  </si>
  <si>
    <t>ριδ</t>
  </si>
  <si>
    <t>μετα λβ ετη</t>
  </si>
  <si>
    <t>μετα δυο ετη</t>
  </si>
  <si>
    <t>εν ταις ποικιλαις ραβδοις</t>
  </si>
  <si>
    <t>εν τοις ποικιλοις ραβδοις</t>
  </si>
  <si>
    <t>ημεραις παρεκτος</t>
  </si>
  <si>
    <t>ημεραις μου παρεκτος</t>
  </si>
  <si>
    <t>επι ιωσηφ</t>
  </si>
  <si>
    <t>επι του ιωσηφ</t>
  </si>
  <si>
    <t>εξειποι το μυστηριον</t>
  </si>
  <si>
    <t>εξειπη το μυστηριον</t>
  </si>
  <si>
    <t>πλην οτε</t>
  </si>
  <si>
    <t>πλην δε οτε</t>
  </si>
  <si>
    <t>ηλθε γαρ</t>
  </si>
  <si>
    <t>ηλθον γαρ</t>
  </si>
  <si>
    <t>οικτειρησατε τα σπλαγχνα</t>
  </si>
  <si>
    <t>οικτειρησατε σπλαγχνα</t>
  </si>
  <si>
    <t>πρς ημων</t>
  </si>
  <si>
    <t>πατρος υμων</t>
  </si>
  <si>
    <t>ει δε και ημαρτον</t>
  </si>
  <si>
    <t>ει δε ημαρτον</t>
  </si>
  <si>
    <t>εβομβει η καρδια</t>
  </si>
  <si>
    <t>εβομβη η καρδια</t>
  </si>
  <si>
    <t>ηδυναμην του στηναι</t>
  </si>
  <si>
    <t>ηδυναμην στηναι</t>
  </si>
  <si>
    <t>ουχ ευρον</t>
  </si>
  <si>
    <t>ουκ ευρον</t>
  </si>
  <si>
    <t>κυριος υδωρ αναβηναι εν αυτοις</t>
  </si>
  <si>
    <r>
      <t xml:space="preserve">κς </t>
    </r>
    <r>
      <rPr>
        <b/>
        <sz val="11"/>
        <color theme="1"/>
        <rFont val="Calibri"/>
        <family val="2"/>
        <scheme val="minor"/>
      </rPr>
      <t>του αναβηναι υδωρ</t>
    </r>
    <r>
      <rPr>
        <sz val="11"/>
        <color theme="1"/>
        <rFont val="Calibri"/>
        <family val="2"/>
        <scheme val="minor"/>
      </rPr>
      <t xml:space="preserve"> εν αυτοις</t>
    </r>
  </si>
  <si>
    <r>
      <t xml:space="preserve">κυριος </t>
    </r>
    <r>
      <rPr>
        <b/>
        <sz val="11"/>
        <color theme="1"/>
        <rFont val="Calibri"/>
        <family val="2"/>
        <scheme val="minor"/>
      </rPr>
      <t>υδωρ αναβηναι</t>
    </r>
    <r>
      <rPr>
        <sz val="11"/>
        <color theme="1"/>
        <rFont val="Calibri"/>
        <family val="2"/>
        <scheme val="minor"/>
      </rPr>
      <t xml:space="preserve"> εν αυτοις</t>
    </r>
  </si>
  <si>
    <r>
      <t xml:space="preserve">κς </t>
    </r>
    <r>
      <rPr>
        <b/>
        <sz val="11"/>
        <color theme="1"/>
        <rFont val="Calibri"/>
        <family val="2"/>
        <scheme val="minor"/>
      </rPr>
      <t>του</t>
    </r>
    <r>
      <rPr>
        <sz val="11"/>
        <color theme="1"/>
        <rFont val="Calibri"/>
        <family val="2"/>
        <scheme val="minor"/>
      </rPr>
      <t xml:space="preserve"> αναβηναι υδωρ εν αυτοις</t>
    </r>
  </si>
  <si>
    <t>περιποιησις τω ιωσηφ</t>
  </si>
  <si>
    <t>περιποιησις του ιωσηφ</t>
  </si>
  <si>
    <t>εως ου αυτον τοις ισμαηλιταις επωλησαν (3:1) και γαρ</t>
  </si>
  <si>
    <t>ιωσηφ εγω ουκ εκοινωνησα τεκνα (2) αλλα</t>
  </si>
  <si>
    <t>ιωσηφ τεκνα εγω ουκ εκοινωνησα (2) αλλα</t>
  </si>
  <si>
    <t>οι αδελφοι εξ ημων</t>
  </si>
  <si>
    <r>
      <t xml:space="preserve">οι </t>
    </r>
    <r>
      <rPr>
        <b/>
        <sz val="11"/>
        <color theme="1"/>
        <rFont val="Calibri"/>
        <family val="2"/>
        <scheme val="minor"/>
      </rPr>
      <t>αλλοι</t>
    </r>
    <r>
      <rPr>
        <sz val="11"/>
        <color theme="1"/>
        <rFont val="Calibri"/>
        <family val="2"/>
        <scheme val="minor"/>
      </rPr>
      <t xml:space="preserve"> εξ αδελφοι ημων</t>
    </r>
  </si>
  <si>
    <r>
      <t xml:space="preserve">οι </t>
    </r>
    <r>
      <rPr>
        <b/>
        <sz val="11"/>
        <color theme="1"/>
        <rFont val="Calibri"/>
        <family val="2"/>
        <scheme val="minor"/>
      </rPr>
      <t>αδελφοι εξ</t>
    </r>
    <r>
      <rPr>
        <sz val="11"/>
        <color theme="1"/>
        <rFont val="Calibri"/>
        <family val="2"/>
        <scheme val="minor"/>
      </rPr>
      <t xml:space="preserve"> ημων</t>
    </r>
  </si>
  <si>
    <r>
      <t xml:space="preserve">οι αλλοι </t>
    </r>
    <r>
      <rPr>
        <b/>
        <sz val="11"/>
        <color theme="1"/>
        <rFont val="Calibri"/>
        <family val="2"/>
        <scheme val="minor"/>
      </rPr>
      <t>εξ αδελφοι</t>
    </r>
    <r>
      <rPr>
        <sz val="11"/>
        <color theme="1"/>
        <rFont val="Calibri"/>
        <family val="2"/>
        <scheme val="minor"/>
      </rPr>
      <t xml:space="preserve"> ημων </t>
    </r>
  </si>
  <si>
    <t>ημων λαβοντες</t>
  </si>
  <si>
    <t>ημων και λαβοντες</t>
  </si>
  <si>
    <t>(2) ειποντες (3) ου φαγωμεθα αυτην οτι τιμη αιματος του αδελφου ημων αυτη αλλα</t>
  </si>
  <si>
    <r>
      <t xml:space="preserve">(2) ειποντες (3) </t>
    </r>
    <r>
      <rPr>
        <b/>
        <sz val="11"/>
        <color theme="1"/>
        <rFont val="Calibri"/>
        <family val="2"/>
        <scheme val="minor"/>
      </rPr>
      <t>οτι τιμη αιματος εστιν αδελφου ημων αυτη και ου φαγωμεθα αυτην</t>
    </r>
    <r>
      <rPr>
        <sz val="11"/>
        <color theme="1"/>
        <rFont val="Calibri"/>
        <family val="2"/>
        <scheme val="minor"/>
      </rPr>
      <t xml:space="preserve"> αλλα</t>
    </r>
  </si>
  <si>
    <t>3.0.7 transposition</t>
  </si>
  <si>
    <r>
      <t xml:space="preserve">(2) ειποντες (3) οτι τιμη αιματος </t>
    </r>
    <r>
      <rPr>
        <b/>
        <sz val="11"/>
        <color theme="1"/>
        <rFont val="Calibri"/>
        <family val="2"/>
        <scheme val="minor"/>
      </rPr>
      <t>εστιν</t>
    </r>
    <r>
      <rPr>
        <sz val="11"/>
        <color theme="1"/>
        <rFont val="Calibri"/>
        <family val="2"/>
        <scheme val="minor"/>
      </rPr>
      <t xml:space="preserve"> αδελφου ημων αυτη και ου φαγωμεθα αυτην αλλα</t>
    </r>
  </si>
  <si>
    <r>
      <t xml:space="preserve">(2) ειποντες (3) ου φαγωμεθα αυτην οτι τιμη αιματος </t>
    </r>
    <r>
      <rPr>
        <b/>
        <sz val="11"/>
        <color theme="1"/>
        <rFont val="Calibri"/>
        <family val="2"/>
        <scheme val="minor"/>
      </rPr>
      <t>του</t>
    </r>
    <r>
      <rPr>
        <sz val="11"/>
        <color theme="1"/>
        <rFont val="Calibri"/>
        <family val="2"/>
        <scheme val="minor"/>
      </rPr>
      <t xml:space="preserve"> αδελφου ημων αυτη αλλα</t>
    </r>
  </si>
  <si>
    <r>
      <t xml:space="preserve">(2) ειποντες (3) οτι τιμη αιματος εστιν αδελφου ημων αυτη </t>
    </r>
    <r>
      <rPr>
        <b/>
        <sz val="11"/>
        <color theme="1"/>
        <rFont val="Calibri"/>
        <family val="2"/>
        <scheme val="minor"/>
      </rPr>
      <t>και</t>
    </r>
    <r>
      <rPr>
        <sz val="11"/>
        <color theme="1"/>
        <rFont val="Calibri"/>
        <family val="2"/>
        <scheme val="minor"/>
      </rPr>
      <t xml:space="preserve"> ου φαγωμεθα αυτην αλλα</t>
    </r>
  </si>
  <si>
    <t>Queens corrects to καταπατησομεν</t>
  </si>
  <si>
    <t>ειπε βασιλευειν</t>
  </si>
  <si>
    <t>ειπεν βασιλευειν</t>
  </si>
  <si>
    <r>
      <t xml:space="preserve">και </t>
    </r>
    <r>
      <rPr>
        <b/>
        <sz val="11"/>
        <color theme="1"/>
        <rFont val="Calibri"/>
        <family val="2"/>
        <scheme val="minor"/>
      </rPr>
      <t>ειδωμεν</t>
    </r>
    <r>
      <rPr>
        <sz val="11"/>
        <color theme="1"/>
        <rFont val="Calibri"/>
        <family val="2"/>
        <scheme val="minor"/>
      </rPr>
      <t xml:space="preserve"> τι εσται τα ενυπνια</t>
    </r>
  </si>
  <si>
    <r>
      <t xml:space="preserve">και </t>
    </r>
    <r>
      <rPr>
        <b/>
        <sz val="11"/>
        <color theme="1"/>
        <rFont val="Calibri"/>
        <family val="2"/>
        <scheme val="minor"/>
      </rPr>
      <t>ιδωμεν</t>
    </r>
    <r>
      <rPr>
        <sz val="11"/>
        <color theme="1"/>
        <rFont val="Calibri"/>
        <family val="2"/>
        <scheme val="minor"/>
      </rPr>
      <t xml:space="preserve"> τι εστι τα ενυπνια</t>
    </r>
  </si>
  <si>
    <r>
      <t xml:space="preserve">και ειδωμεν τι </t>
    </r>
    <r>
      <rPr>
        <b/>
        <sz val="11"/>
        <color theme="1"/>
        <rFont val="Calibri"/>
        <family val="2"/>
        <scheme val="minor"/>
      </rPr>
      <t>εσται</t>
    </r>
    <r>
      <rPr>
        <sz val="11"/>
        <color theme="1"/>
        <rFont val="Calibri"/>
        <family val="2"/>
        <scheme val="minor"/>
      </rPr>
      <t xml:space="preserve"> τα ενυπνια</t>
    </r>
  </si>
  <si>
    <r>
      <t xml:space="preserve">και ιδωμεν τι </t>
    </r>
    <r>
      <rPr>
        <b/>
        <sz val="11"/>
        <color theme="1"/>
        <rFont val="Calibri"/>
        <family val="2"/>
        <scheme val="minor"/>
      </rPr>
      <t>εστι</t>
    </r>
    <r>
      <rPr>
        <sz val="11"/>
        <color theme="1"/>
        <rFont val="Calibri"/>
        <family val="2"/>
        <scheme val="minor"/>
      </rPr>
      <t xml:space="preserve"> τα ενυπνια</t>
    </r>
  </si>
  <si>
    <t>θελοντα σπερμα αναστησαι τω αδελφω</t>
  </si>
  <si>
    <t>θελοντα αναστησαι σπερμα τω αδελφω</t>
  </si>
  <si>
    <t>υπελυσεν αυτους</t>
  </si>
  <si>
    <t>υπελυσεν αυτοις</t>
  </si>
  <si>
    <t>υπο των παιδων ιωσηφ εμπροσθε του πυλωνος και ουτως προσεκυνησαν τω ιωσηφ κατα</t>
  </si>
  <si>
    <t>υπο των παιδων ιωσηφ κατα</t>
  </si>
  <si>
    <t>τον τυπον</t>
  </si>
  <si>
    <t>τον το τυπον</t>
  </si>
  <si>
    <t>εμπροσθεν αιγυπτιων</t>
  </si>
  <si>
    <r>
      <rPr>
        <b/>
        <sz val="11"/>
        <color theme="1"/>
        <rFont val="Calibri"/>
        <family val="2"/>
        <scheme val="minor"/>
      </rPr>
      <t>εμπροσθε</t>
    </r>
    <r>
      <rPr>
        <sz val="11"/>
        <color theme="1"/>
        <rFont val="Calibri"/>
        <family val="2"/>
        <scheme val="minor"/>
      </rPr>
      <t xml:space="preserve"> των αιγυπτιων</t>
    </r>
  </si>
  <si>
    <r>
      <rPr>
        <b/>
        <sz val="11"/>
        <color theme="1"/>
        <rFont val="Calibri"/>
        <family val="2"/>
        <scheme val="minor"/>
      </rPr>
      <t>εμπροσθεν</t>
    </r>
    <r>
      <rPr>
        <sz val="11"/>
        <color theme="1"/>
        <rFont val="Calibri"/>
        <family val="2"/>
        <scheme val="minor"/>
      </rPr>
      <t xml:space="preserve"> αιγυπτιων</t>
    </r>
  </si>
  <si>
    <r>
      <t xml:space="preserve">εμπροσθε </t>
    </r>
    <r>
      <rPr>
        <b/>
        <sz val="11"/>
        <color theme="1"/>
        <rFont val="Calibri"/>
        <family val="2"/>
        <scheme val="minor"/>
      </rPr>
      <t>των</t>
    </r>
    <r>
      <rPr>
        <sz val="11"/>
        <color theme="1"/>
        <rFont val="Calibri"/>
        <family val="2"/>
        <scheme val="minor"/>
      </rPr>
      <t xml:space="preserve"> αιγυπτιων</t>
    </r>
  </si>
  <si>
    <t>και δυο νυκτας</t>
  </si>
  <si>
    <t>και νυκτας</t>
  </si>
  <si>
    <t>ουδεν ευρων αφεντες την οδον</t>
  </si>
  <si>
    <r>
      <rPr>
        <b/>
        <sz val="11"/>
        <color theme="1"/>
        <rFont val="Calibri"/>
        <family val="2"/>
        <scheme val="minor"/>
      </rPr>
      <t>ουδενα</t>
    </r>
    <r>
      <rPr>
        <sz val="11"/>
        <color theme="1"/>
        <rFont val="Calibri"/>
        <family val="2"/>
        <scheme val="minor"/>
      </rPr>
      <t xml:space="preserve"> ευρεν αφεντες γαρ την οδον</t>
    </r>
  </si>
  <si>
    <r>
      <rPr>
        <b/>
        <sz val="11"/>
        <color theme="1"/>
        <rFont val="Calibri"/>
        <family val="2"/>
        <scheme val="minor"/>
      </rPr>
      <t>ουδεν</t>
    </r>
    <r>
      <rPr>
        <sz val="11"/>
        <color theme="1"/>
        <rFont val="Calibri"/>
        <family val="2"/>
        <scheme val="minor"/>
      </rPr>
      <t xml:space="preserve"> ευρων αφεντες την οδον</t>
    </r>
  </si>
  <si>
    <r>
      <t xml:space="preserve">ουδεν </t>
    </r>
    <r>
      <rPr>
        <b/>
        <sz val="11"/>
        <color theme="1"/>
        <rFont val="Calibri"/>
        <family val="2"/>
        <scheme val="minor"/>
      </rPr>
      <t>ευρων</t>
    </r>
    <r>
      <rPr>
        <sz val="11"/>
        <color theme="1"/>
        <rFont val="Calibri"/>
        <family val="2"/>
        <scheme val="minor"/>
      </rPr>
      <t xml:space="preserve"> αφεντες την οδον</t>
    </r>
  </si>
  <si>
    <r>
      <t xml:space="preserve">ουδενα </t>
    </r>
    <r>
      <rPr>
        <b/>
        <sz val="11"/>
        <color theme="1"/>
        <rFont val="Calibri"/>
        <family val="2"/>
        <scheme val="minor"/>
      </rPr>
      <t>ευρεν</t>
    </r>
    <r>
      <rPr>
        <sz val="11"/>
        <color theme="1"/>
        <rFont val="Calibri"/>
        <family val="2"/>
        <scheme val="minor"/>
      </rPr>
      <t xml:space="preserve"> αφεντες γαρ την οδον</t>
    </r>
  </si>
  <si>
    <r>
      <t xml:space="preserve">ουδενα ευρεν αφεντες </t>
    </r>
    <r>
      <rPr>
        <b/>
        <sz val="11"/>
        <color theme="1"/>
        <rFont val="Calibri"/>
        <family val="2"/>
        <scheme val="minor"/>
      </rPr>
      <t>γαρ</t>
    </r>
    <r>
      <rPr>
        <sz val="11"/>
        <color theme="1"/>
        <rFont val="Calibri"/>
        <family val="2"/>
        <scheme val="minor"/>
      </rPr>
      <t xml:space="preserve"> την οδον</t>
    </r>
  </si>
  <si>
    <t>και ουκ εφαγε</t>
  </si>
  <si>
    <t>και εφαγε</t>
  </si>
  <si>
    <t>προσελθων ουν δαν</t>
  </si>
  <si>
    <t>προσελθων ουν ο δαν</t>
  </si>
  <si>
    <t>πιπρασκειν και ενεδυσαν</t>
  </si>
  <si>
    <t>πιπρασκειν αυτον και ενεδυσαν</t>
  </si>
  <si>
    <t>δουναι αυτον θελων</t>
  </si>
  <si>
    <t>δουναι αυτω θελων</t>
  </si>
  <si>
    <t>δω ερουμεν</t>
  </si>
  <si>
    <t>δως ερουμεν</t>
  </si>
  <si>
    <r>
      <t xml:space="preserve">ευσπλαγχνιαν </t>
    </r>
    <r>
      <rPr>
        <b/>
        <sz val="11"/>
        <color theme="1"/>
        <rFont val="Calibri"/>
        <family val="2"/>
        <scheme val="minor"/>
      </rPr>
      <t>προς παντας εχειν</t>
    </r>
    <r>
      <rPr>
        <sz val="11"/>
        <color theme="1"/>
        <rFont val="Calibri"/>
        <family val="2"/>
        <scheme val="minor"/>
      </rPr>
      <t xml:space="preserve"> ου μονον προς ανους</t>
    </r>
  </si>
  <si>
    <r>
      <t xml:space="preserve">ευσπλαγχνιαν </t>
    </r>
    <r>
      <rPr>
        <b/>
        <sz val="11"/>
        <color theme="1"/>
        <rFont val="Calibri"/>
        <family val="2"/>
        <scheme val="minor"/>
      </rPr>
      <t>εχειν προς παντας</t>
    </r>
    <r>
      <rPr>
        <sz val="11"/>
        <color theme="1"/>
        <rFont val="Calibri"/>
        <family val="2"/>
        <scheme val="minor"/>
      </rPr>
      <t xml:space="preserve"> ου μονον εις ανθρωπους</t>
    </r>
  </si>
  <si>
    <r>
      <t xml:space="preserve">ευσπλαγχνιαν προς παντας εχειν ου μονον </t>
    </r>
    <r>
      <rPr>
        <b/>
        <sz val="11"/>
        <color theme="1"/>
        <rFont val="Calibri"/>
        <family val="2"/>
        <scheme val="minor"/>
      </rPr>
      <t>προς</t>
    </r>
    <r>
      <rPr>
        <sz val="11"/>
        <color theme="1"/>
        <rFont val="Calibri"/>
        <family val="2"/>
        <scheme val="minor"/>
      </rPr>
      <t xml:space="preserve"> ανους</t>
    </r>
  </si>
  <si>
    <r>
      <t xml:space="preserve">ευσπλαγχνιαν εχειν προς παντας ου μονον </t>
    </r>
    <r>
      <rPr>
        <b/>
        <sz val="11"/>
        <color theme="1"/>
        <rFont val="Calibri"/>
        <family val="2"/>
        <scheme val="minor"/>
      </rPr>
      <t>εις</t>
    </r>
    <r>
      <rPr>
        <sz val="11"/>
        <color theme="1"/>
        <rFont val="Calibri"/>
        <family val="2"/>
        <scheme val="minor"/>
      </rPr>
      <t xml:space="preserve"> ανθρωπους</t>
    </r>
  </si>
  <si>
    <t>οιδε γαρ</t>
  </si>
  <si>
    <t>οιδα γαρ</t>
  </si>
  <si>
    <t>ελεος εν σπλαγχνοις</t>
  </si>
  <si>
    <r>
      <rPr>
        <b/>
        <sz val="11"/>
        <color theme="1"/>
        <rFont val="Calibri"/>
        <family val="2"/>
        <scheme val="minor"/>
      </rPr>
      <t>ελεος</t>
    </r>
    <r>
      <rPr>
        <sz val="11"/>
        <color theme="1"/>
        <rFont val="Calibri"/>
        <family val="2"/>
        <scheme val="minor"/>
      </rPr>
      <t xml:space="preserve"> εν σπλαγχνοις</t>
    </r>
  </si>
  <si>
    <r>
      <rPr>
        <b/>
        <sz val="11"/>
        <color theme="1"/>
        <rFont val="Calibri"/>
        <family val="2"/>
        <scheme val="minor"/>
      </rPr>
      <t>ελεοςος</t>
    </r>
    <r>
      <rPr>
        <sz val="11"/>
        <color theme="1"/>
        <rFont val="Calibri"/>
        <family val="2"/>
        <scheme val="minor"/>
      </rPr>
      <t xml:space="preserve"> εν τοις σπλαγχνοις</t>
    </r>
  </si>
  <si>
    <r>
      <t xml:space="preserve">ελεοςος εν </t>
    </r>
    <r>
      <rPr>
        <b/>
        <sz val="11"/>
        <color theme="1"/>
        <rFont val="Calibri"/>
        <family val="2"/>
        <scheme val="minor"/>
      </rPr>
      <t>τοις</t>
    </r>
    <r>
      <rPr>
        <sz val="11"/>
        <color theme="1"/>
        <rFont val="Calibri"/>
        <family val="2"/>
        <scheme val="minor"/>
      </rPr>
      <t xml:space="preserve"> σπλαγχνοις</t>
    </r>
  </si>
  <si>
    <t>και ο κς</t>
  </si>
  <si>
    <t>και κυριος</t>
  </si>
  <si>
    <r>
      <t xml:space="preserve">σκαφος </t>
    </r>
    <r>
      <rPr>
        <b/>
        <sz val="11"/>
        <color theme="1"/>
        <rFont val="Calibri"/>
        <family val="2"/>
        <scheme val="minor"/>
      </rPr>
      <t>επιπλεειν εν τη θαλασση</t>
    </r>
    <r>
      <rPr>
        <sz val="11"/>
        <color theme="1"/>
        <rFont val="Calibri"/>
        <family val="2"/>
        <scheme val="minor"/>
      </rPr>
      <t xml:space="preserve"> οτι κυριος</t>
    </r>
  </si>
  <si>
    <r>
      <t xml:space="preserve">σκαφος επιπλεειν εν </t>
    </r>
    <r>
      <rPr>
        <b/>
        <sz val="11"/>
        <color theme="1"/>
        <rFont val="Calibri"/>
        <family val="2"/>
        <scheme val="minor"/>
      </rPr>
      <t>τη</t>
    </r>
    <r>
      <rPr>
        <sz val="11"/>
        <color theme="1"/>
        <rFont val="Calibri"/>
        <family val="2"/>
        <scheme val="minor"/>
      </rPr>
      <t xml:space="preserve"> θαλασση οτι κυριος</t>
    </r>
  </si>
  <si>
    <t>και ημην εν αυτω</t>
  </si>
  <si>
    <t>και εν αυτω</t>
  </si>
  <si>
    <t>οικω πατρος</t>
  </si>
  <si>
    <t>οικω του πρς</t>
  </si>
  <si>
    <t>εκ θηρας</t>
  </si>
  <si>
    <t>εκ της θηρας</t>
  </si>
  <si>
    <t>ευρε προς το παρον</t>
  </si>
  <si>
    <t>ευρε το παρον</t>
  </si>
  <si>
    <t>σπλαγχνιζετε εις τον</t>
  </si>
  <si>
    <t>σπλαγχνιζεται εις τον</t>
  </si>
  <si>
    <t>λογιζεσθω εκαστος κακιαν</t>
  </si>
  <si>
    <r>
      <rPr>
        <b/>
        <sz val="11"/>
        <color theme="1"/>
        <rFont val="Calibri"/>
        <family val="2"/>
        <scheme val="minor"/>
      </rPr>
      <t>λογιζεσθε</t>
    </r>
    <r>
      <rPr>
        <sz val="11"/>
        <color theme="1"/>
        <rFont val="Calibri"/>
        <family val="2"/>
        <scheme val="minor"/>
      </rPr>
      <t xml:space="preserve"> εκαστος την κακιαν</t>
    </r>
  </si>
  <si>
    <r>
      <rPr>
        <b/>
        <sz val="11"/>
        <color theme="1"/>
        <rFont val="Calibri"/>
        <family val="2"/>
        <scheme val="minor"/>
      </rPr>
      <t>λογιζεσθω</t>
    </r>
    <r>
      <rPr>
        <sz val="11"/>
        <color theme="1"/>
        <rFont val="Calibri"/>
        <family val="2"/>
        <scheme val="minor"/>
      </rPr>
      <t xml:space="preserve"> εκαστος κακιαν</t>
    </r>
  </si>
  <si>
    <r>
      <t xml:space="preserve">λογιζεσθε εκαστος </t>
    </r>
    <r>
      <rPr>
        <b/>
        <sz val="11"/>
        <color theme="1"/>
        <rFont val="Calibri"/>
        <family val="2"/>
        <scheme val="minor"/>
      </rPr>
      <t>την</t>
    </r>
    <r>
      <rPr>
        <sz val="11"/>
        <color theme="1"/>
        <rFont val="Calibri"/>
        <family val="2"/>
        <scheme val="minor"/>
      </rPr>
      <t xml:space="preserve"> κακιαν</t>
    </r>
  </si>
  <si>
    <t>εποιησε κυριος</t>
  </si>
  <si>
    <r>
      <rPr>
        <b/>
        <sz val="11"/>
        <color theme="1"/>
        <rFont val="Calibri"/>
        <family val="2"/>
        <scheme val="minor"/>
      </rPr>
      <t>εποιησεν</t>
    </r>
    <r>
      <rPr>
        <sz val="11"/>
        <color theme="1"/>
        <rFont val="Calibri"/>
        <family val="2"/>
        <scheme val="minor"/>
      </rPr>
      <t xml:space="preserve"> ο κς</t>
    </r>
  </si>
  <si>
    <r>
      <rPr>
        <b/>
        <sz val="11"/>
        <color theme="1"/>
        <rFont val="Calibri"/>
        <family val="2"/>
        <scheme val="minor"/>
      </rPr>
      <t>εποιησε</t>
    </r>
    <r>
      <rPr>
        <sz val="11"/>
        <color theme="1"/>
        <rFont val="Calibri"/>
        <family val="2"/>
        <scheme val="minor"/>
      </rPr>
      <t xml:space="preserve"> κυριος</t>
    </r>
  </si>
  <si>
    <r>
      <t xml:space="preserve">εποιησεν </t>
    </r>
    <r>
      <rPr>
        <b/>
        <sz val="11"/>
        <color theme="1"/>
        <rFont val="Calibri"/>
        <family val="2"/>
        <scheme val="minor"/>
      </rPr>
      <t>ο</t>
    </r>
    <r>
      <rPr>
        <sz val="11"/>
        <color theme="1"/>
        <rFont val="Calibri"/>
        <family val="2"/>
        <scheme val="minor"/>
      </rPr>
      <t xml:space="preserve"> κς</t>
    </r>
  </si>
  <si>
    <t>δυο ωμους ποδας χειρας αλλα</t>
  </si>
  <si>
    <t>δυο ωμους χειρας ποδας αλλα</t>
  </si>
  <si>
    <t>παντα μελη μια κεφαλη</t>
  </si>
  <si>
    <r>
      <t xml:space="preserve">παντα </t>
    </r>
    <r>
      <rPr>
        <b/>
        <sz val="11"/>
        <color theme="1"/>
        <rFont val="Calibri"/>
        <family val="2"/>
        <scheme val="minor"/>
      </rPr>
      <t>τα</t>
    </r>
    <r>
      <rPr>
        <sz val="11"/>
        <color theme="1"/>
        <rFont val="Calibri"/>
        <family val="2"/>
        <scheme val="minor"/>
      </rPr>
      <t xml:space="preserve"> μελη τη μια κεφαλη</t>
    </r>
  </si>
  <si>
    <r>
      <t xml:space="preserve">παντα τα μελη </t>
    </r>
    <r>
      <rPr>
        <b/>
        <sz val="11"/>
        <color theme="1"/>
        <rFont val="Calibri"/>
        <family val="2"/>
        <scheme val="minor"/>
      </rPr>
      <t>τη</t>
    </r>
    <r>
      <rPr>
        <sz val="11"/>
        <color theme="1"/>
        <rFont val="Calibri"/>
        <family val="2"/>
        <scheme val="minor"/>
      </rPr>
      <t xml:space="preserve"> μια κεφαλη</t>
    </r>
  </si>
  <si>
    <t>και δυσι βασιλευσιν</t>
  </si>
  <si>
    <t>και δυο βασιλευσιν</t>
  </si>
  <si>
    <t>εν εθνεσι εν πασαις</t>
  </si>
  <si>
    <r>
      <t xml:space="preserve">εν </t>
    </r>
    <r>
      <rPr>
        <b/>
        <sz val="11"/>
        <color theme="1"/>
        <rFont val="Calibri"/>
        <family val="2"/>
        <scheme val="minor"/>
      </rPr>
      <t>τοις</t>
    </r>
    <r>
      <rPr>
        <sz val="11"/>
        <color theme="1"/>
        <rFont val="Calibri"/>
        <family val="2"/>
        <scheme val="minor"/>
      </rPr>
      <t xml:space="preserve"> εθνεσιν εν πασαις</t>
    </r>
  </si>
  <si>
    <r>
      <t xml:space="preserve">εν τοις </t>
    </r>
    <r>
      <rPr>
        <b/>
        <sz val="11"/>
        <color theme="1"/>
        <rFont val="Calibri"/>
        <family val="2"/>
        <scheme val="minor"/>
      </rPr>
      <t>εθνεσιν</t>
    </r>
    <r>
      <rPr>
        <sz val="11"/>
        <color theme="1"/>
        <rFont val="Calibri"/>
        <family val="2"/>
        <scheme val="minor"/>
      </rPr>
      <t xml:space="preserve"> εν πασαις</t>
    </r>
  </si>
  <si>
    <r>
      <t xml:space="preserve">εν </t>
    </r>
    <r>
      <rPr>
        <b/>
        <sz val="11"/>
        <color theme="1"/>
        <rFont val="Calibri"/>
        <family val="2"/>
        <scheme val="minor"/>
      </rPr>
      <t>εθνεσι</t>
    </r>
    <r>
      <rPr>
        <sz val="11"/>
        <color theme="1"/>
        <rFont val="Calibri"/>
        <family val="2"/>
        <scheme val="minor"/>
      </rPr>
      <t xml:space="preserve"> εν πασαις</t>
    </r>
  </si>
  <si>
    <t>και οδυνης ψυχης</t>
  </si>
  <si>
    <t>και οδυναις ψυχης</t>
  </si>
  <si>
    <t>πασαις ταις πραξεσιν</t>
  </si>
  <si>
    <t>πασαις πραξεσιν</t>
  </si>
  <si>
    <t>(9:8) ευσπλαγχνια επι ταις πτερυξιν αυτου ... (9:9) ... (10:1) ... (10:2) ... εμμεσω υιων αυτου και ευφρανθησομαι</t>
  </si>
  <si>
    <t>(9:8) ευσπλαγχνια επι  (9:9) (10:1) (10:2)  ευφρανθησομαι</t>
  </si>
  <si>
    <t>εισιν υπο ζωην</t>
  </si>
  <si>
    <r>
      <rPr>
        <b/>
        <sz val="11"/>
        <color theme="1"/>
        <rFont val="Calibri"/>
        <family val="2"/>
        <scheme val="minor"/>
      </rPr>
      <t>εισι</t>
    </r>
    <r>
      <rPr>
        <sz val="11"/>
        <color theme="1"/>
        <rFont val="Calibri"/>
        <family val="2"/>
        <scheme val="minor"/>
      </rPr>
      <t xml:space="preserve"> και υπο ζωην</t>
    </r>
  </si>
  <si>
    <r>
      <rPr>
        <b/>
        <sz val="11"/>
        <color theme="1"/>
        <rFont val="Calibri"/>
        <family val="2"/>
        <scheme val="minor"/>
      </rPr>
      <t>εισιν</t>
    </r>
    <r>
      <rPr>
        <sz val="11"/>
        <color theme="1"/>
        <rFont val="Calibri"/>
        <family val="2"/>
        <scheme val="minor"/>
      </rPr>
      <t xml:space="preserve"> υπο ζωην</t>
    </r>
  </si>
  <si>
    <r>
      <t xml:space="preserve">εισι </t>
    </r>
    <r>
      <rPr>
        <b/>
        <sz val="11"/>
        <color theme="1"/>
        <rFont val="Calibri"/>
        <family val="2"/>
        <scheme val="minor"/>
      </rPr>
      <t>και</t>
    </r>
    <r>
      <rPr>
        <sz val="11"/>
        <color theme="1"/>
        <rFont val="Calibri"/>
        <family val="2"/>
        <scheme val="minor"/>
      </rPr>
      <t xml:space="preserve"> υπο ζωην</t>
    </r>
  </si>
  <si>
    <t>τα παντα υπο τον θν (4) ταυτα</t>
  </si>
  <si>
    <r>
      <t xml:space="preserve">τα </t>
    </r>
    <r>
      <rPr>
        <b/>
        <sz val="11"/>
        <color theme="1"/>
        <rFont val="Calibri"/>
        <family val="2"/>
        <scheme val="minor"/>
      </rPr>
      <t>παντα</t>
    </r>
    <r>
      <rPr>
        <sz val="11"/>
        <color theme="1"/>
        <rFont val="Calibri"/>
        <family val="2"/>
        <scheme val="minor"/>
      </rPr>
      <t xml:space="preserve"> υπο τον θν (4) ταυτα</t>
    </r>
  </si>
  <si>
    <r>
      <t xml:space="preserve">τα </t>
    </r>
    <r>
      <rPr>
        <b/>
        <sz val="11"/>
        <color theme="1"/>
        <rFont val="Calibri"/>
        <family val="2"/>
        <scheme val="minor"/>
      </rPr>
      <t>ολα</t>
    </r>
    <r>
      <rPr>
        <sz val="11"/>
        <color theme="1"/>
        <rFont val="Calibri"/>
        <family val="2"/>
        <scheme val="minor"/>
      </rPr>
      <t xml:space="preserve"> υπο τον θεον εστι (4) ταυτα</t>
    </r>
  </si>
  <si>
    <r>
      <t xml:space="preserve">τα ολα υπο τον θεον </t>
    </r>
    <r>
      <rPr>
        <b/>
        <sz val="11"/>
        <color theme="1"/>
        <rFont val="Calibri"/>
        <family val="2"/>
        <scheme val="minor"/>
      </rPr>
      <t>εστι</t>
    </r>
    <r>
      <rPr>
        <sz val="11"/>
        <color theme="1"/>
        <rFont val="Calibri"/>
        <family val="2"/>
        <scheme val="minor"/>
      </rPr>
      <t xml:space="preserve"> (4) ταυτα</t>
    </r>
  </si>
  <si>
    <t>τα τελη</t>
  </si>
  <si>
    <t>τα πελη</t>
  </si>
  <si>
    <t>αυτων γνωριζοντες</t>
  </si>
  <si>
    <t>αυτωντ γνωριζοντες</t>
  </si>
  <si>
    <t xml:space="preserve">(4) σατανα (5) οτε γαρ </t>
  </si>
  <si>
    <t xml:space="preserve">(4) σατανα (5) εαν γαρ </t>
  </si>
  <si>
    <t xml:space="preserve">τεταραγμενη η ψυχη </t>
  </si>
  <si>
    <t xml:space="preserve">τεταραγμενη ψυχη </t>
  </si>
  <si>
    <t>πνς ου και</t>
  </si>
  <si>
    <t>πνευματος ω και</t>
  </si>
  <si>
    <t>γινεσθε ως σοδομα</t>
  </si>
  <si>
    <t>γινεσθε τεκνα ως σοδομα</t>
  </si>
  <si>
    <t>εχθρων υμων και η γη</t>
  </si>
  <si>
    <t>εχθρων υμων η γη</t>
  </si>
  <si>
    <t>ανος μετα ανων εσθιων και πινων και εν ησυχια</t>
  </si>
  <si>
    <r>
      <t xml:space="preserve">ανθρωπος </t>
    </r>
    <r>
      <rPr>
        <b/>
        <sz val="11"/>
        <color theme="1"/>
        <rFont val="Calibri"/>
        <family val="2"/>
        <scheme val="minor"/>
      </rPr>
      <t>εσθιων και πινων μετα των ανθρωπων</t>
    </r>
    <r>
      <rPr>
        <sz val="11"/>
        <color theme="1"/>
        <rFont val="Calibri"/>
        <family val="2"/>
        <scheme val="minor"/>
      </rPr>
      <t xml:space="preserve"> και εν ησυχια</t>
    </r>
  </si>
  <si>
    <r>
      <t xml:space="preserve">ανος </t>
    </r>
    <r>
      <rPr>
        <b/>
        <sz val="11"/>
        <color theme="1"/>
        <rFont val="Calibri"/>
        <family val="2"/>
        <scheme val="minor"/>
      </rPr>
      <t>μετα ανων εσθιων και πινων</t>
    </r>
    <r>
      <rPr>
        <sz val="11"/>
        <color theme="1"/>
        <rFont val="Calibri"/>
        <family val="2"/>
        <scheme val="minor"/>
      </rPr>
      <t xml:space="preserve"> και εν ησυχια</t>
    </r>
  </si>
  <si>
    <r>
      <t xml:space="preserve">ανθρωπος εσθιων και πινων μετα </t>
    </r>
    <r>
      <rPr>
        <b/>
        <sz val="11"/>
        <color theme="1"/>
        <rFont val="Calibri"/>
        <family val="2"/>
        <scheme val="minor"/>
      </rPr>
      <t>των</t>
    </r>
    <r>
      <rPr>
        <sz val="11"/>
        <color theme="1"/>
        <rFont val="Calibri"/>
        <family val="2"/>
        <scheme val="minor"/>
      </rPr>
      <t xml:space="preserve"> ανθρωπων και εν ησυχια</t>
    </r>
  </si>
  <si>
    <t>απειθουντες απειθησετε</t>
  </si>
  <si>
    <t>απειθουντες επιθησετε</t>
  </si>
  <si>
    <t>προσεχοντες τω νομω του θεου</t>
  </si>
  <si>
    <t>και ως δαν</t>
  </si>
  <si>
    <t>και δαν</t>
  </si>
  <si>
    <t>φυλακισθηναι ημας εως</t>
  </si>
  <si>
    <t>φυλακισθηναι με εως</t>
  </si>
  <si>
    <t>γυνη λεγει</t>
  </si>
  <si>
    <t>γυνη αυτου λεγει</t>
  </si>
  <si>
    <t>αιχμαλωτον ευγενη</t>
  </si>
  <si>
    <t>αιχμαλωτον και ευγενη</t>
  </si>
  <si>
    <t>εδει μαλλον ανετον ειναι και</t>
  </si>
  <si>
    <t>εδει ειναι μαλλον ανετον και</t>
  </si>
  <si>
    <t>ηγνοουν εν πασι</t>
  </si>
  <si>
    <t>ηγνοουν επι πασι</t>
  </si>
  <si>
    <t>εστι τοις αιγυπτιοις</t>
  </si>
  <si>
    <t>εστι παρ αιγυπτιοις</t>
  </si>
  <si>
    <t>περι μεταβολου οτι οφειλα εγκατακλειστος</t>
  </si>
  <si>
    <r>
      <t xml:space="preserve">περι </t>
    </r>
    <r>
      <rPr>
        <b/>
        <sz val="11"/>
        <color theme="1"/>
        <rFont val="Calibri"/>
        <family val="2"/>
        <scheme val="minor"/>
      </rPr>
      <t>του</t>
    </r>
    <r>
      <rPr>
        <sz val="11"/>
        <color theme="1"/>
        <rFont val="Calibri"/>
        <family val="2"/>
        <scheme val="minor"/>
      </rPr>
      <t xml:space="preserve"> μεταβολου και περι εμου οτι οφειλα εγκατακλειστος</t>
    </r>
  </si>
  <si>
    <r>
      <t xml:space="preserve">περι του μεταβολου </t>
    </r>
    <r>
      <rPr>
        <b/>
        <sz val="11"/>
        <color theme="1"/>
        <rFont val="Calibri"/>
        <family val="2"/>
        <scheme val="minor"/>
      </rPr>
      <t>και περι εμου</t>
    </r>
    <r>
      <rPr>
        <sz val="11"/>
        <color theme="1"/>
        <rFont val="Calibri"/>
        <family val="2"/>
        <scheme val="minor"/>
      </rPr>
      <t xml:space="preserve"> οτι οφειλα εγκατακλειστος</t>
    </r>
  </si>
  <si>
    <r>
      <t xml:space="preserve">περι του μεταβολου και περι εμου οτι </t>
    </r>
    <r>
      <rPr>
        <b/>
        <sz val="11"/>
        <color theme="1"/>
        <rFont val="Calibri"/>
        <family val="2"/>
        <scheme val="minor"/>
      </rPr>
      <t>οφειλα</t>
    </r>
    <r>
      <rPr>
        <sz val="11"/>
        <color theme="1"/>
        <rFont val="Calibri"/>
        <family val="2"/>
        <scheme val="minor"/>
      </rPr>
      <t xml:space="preserve"> εγκατακλειστος</t>
    </r>
  </si>
  <si>
    <r>
      <t xml:space="preserve">περι μεταβολου οτι </t>
    </r>
    <r>
      <rPr>
        <b/>
        <sz val="11"/>
        <color theme="1"/>
        <rFont val="Calibri"/>
        <family val="2"/>
        <scheme val="minor"/>
      </rPr>
      <t>οφειλα</t>
    </r>
    <r>
      <rPr>
        <sz val="11"/>
        <color theme="1"/>
        <rFont val="Calibri"/>
        <family val="2"/>
        <scheme val="minor"/>
      </rPr>
      <t xml:space="preserve"> εγκατακλειστος</t>
    </r>
  </si>
  <si>
    <t>Queens corrects to οφειλει</t>
  </si>
  <si>
    <t>ειπασι προς με</t>
  </si>
  <si>
    <t>ειπον προς με</t>
  </si>
  <si>
    <r>
      <t xml:space="preserve">ειπας </t>
    </r>
    <r>
      <rPr>
        <b/>
        <sz val="11"/>
        <color theme="1"/>
        <rFont val="Calibri"/>
        <family val="2"/>
        <scheme val="minor"/>
      </rPr>
      <t>σεαυτον</t>
    </r>
    <r>
      <rPr>
        <sz val="11"/>
        <color theme="1"/>
        <rFont val="Calibri"/>
        <family val="2"/>
        <scheme val="minor"/>
      </rPr>
      <t xml:space="preserve"> οτι δουλος ειμι και ιδου</t>
    </r>
  </si>
  <si>
    <t>εν τη γη χανααν</t>
  </si>
  <si>
    <t>εν τη χανααν</t>
  </si>
  <si>
    <t>και πενθει περι σου ο πατηρ</t>
  </si>
  <si>
    <t>εν λακκω</t>
  </si>
  <si>
    <t>εν σακκω</t>
  </si>
  <si>
    <t>δακρυσαι επεσχον</t>
  </si>
  <si>
    <t>δακρυσαι και επεσχον</t>
  </si>
  <si>
    <t>ειπα εγω</t>
  </si>
  <si>
    <t>ειπον εγω</t>
  </si>
  <si>
    <t>ποιησει εν αυτοις</t>
  </si>
  <si>
    <t>ποιηση εν αυτοις</t>
  </si>
  <si>
    <t>ουν αιτουνται με λεγοντες οτι</t>
  </si>
  <si>
    <r>
      <t xml:space="preserve">ουν </t>
    </r>
    <r>
      <rPr>
        <b/>
        <sz val="11"/>
        <color theme="1"/>
        <rFont val="Calibri"/>
        <family val="2"/>
        <scheme val="minor"/>
      </rPr>
      <t>αιτουνται</t>
    </r>
    <r>
      <rPr>
        <sz val="11"/>
        <color theme="1"/>
        <rFont val="Calibri"/>
        <family val="2"/>
        <scheme val="minor"/>
      </rPr>
      <t xml:space="preserve"> με λεγοντες οτι</t>
    </r>
  </si>
  <si>
    <r>
      <t xml:space="preserve">ουν </t>
    </r>
    <r>
      <rPr>
        <b/>
        <sz val="11"/>
        <color theme="1"/>
        <rFont val="Calibri"/>
        <family val="2"/>
        <scheme val="minor"/>
      </rPr>
      <t>ητουν</t>
    </r>
    <r>
      <rPr>
        <sz val="11"/>
        <color theme="1"/>
        <rFont val="Calibri"/>
        <family val="2"/>
        <scheme val="minor"/>
      </rPr>
      <t xml:space="preserve"> με λεγοντες ειπε οτι</t>
    </r>
  </si>
  <si>
    <r>
      <t xml:space="preserve">ουν ητουν με λεγοντες </t>
    </r>
    <r>
      <rPr>
        <b/>
        <sz val="11"/>
        <color theme="1"/>
        <rFont val="Calibri"/>
        <family val="2"/>
        <scheme val="minor"/>
      </rPr>
      <t>ειπε</t>
    </r>
    <r>
      <rPr>
        <sz val="11"/>
        <color theme="1"/>
        <rFont val="Calibri"/>
        <family val="2"/>
        <scheme val="minor"/>
      </rPr>
      <t xml:space="preserve"> οτι</t>
    </r>
  </si>
  <si>
    <t>(15:7) ημας (16:1) εδηλωσε δε η μεμφις τω ανδρι</t>
  </si>
  <si>
    <t>(15:7) ημας (16:1) η δε μεμφις εδηλωσε τω ανδρι</t>
  </si>
  <si>
    <t>δηλοι τη δεσποινη</t>
  </si>
  <si>
    <t>δηλοι δε τη δεσποινη</t>
  </si>
  <si>
    <t>χρυσιου αιτωσι προσεχε</t>
  </si>
  <si>
    <t>χρυσιου ζητουσι προσεχε</t>
  </si>
  <si>
    <t>φεισασθαι χρυσιου</t>
  </si>
  <si>
    <t>φεισασθε χρυσιου</t>
  </si>
  <si>
    <t>Queens corrects to δεδοσθαι</t>
  </si>
  <si>
    <t>τεκνα μου ποσα</t>
  </si>
  <si>
    <t>τεκνα ποσα</t>
  </si>
  <si>
    <t>αλληλους εν μακροθυμια συγκρυπτετε</t>
  </si>
  <si>
    <r>
      <t xml:space="preserve">αλληλους </t>
    </r>
    <r>
      <rPr>
        <b/>
        <sz val="11"/>
        <color theme="1"/>
        <rFont val="Calibri"/>
        <family val="2"/>
        <scheme val="minor"/>
      </rPr>
      <t>και</t>
    </r>
    <r>
      <rPr>
        <sz val="11"/>
        <color theme="1"/>
        <rFont val="Calibri"/>
        <family val="2"/>
        <scheme val="minor"/>
      </rPr>
      <t xml:space="preserve"> εν μακροθυμιαις συγκρυπτετε</t>
    </r>
  </si>
  <si>
    <r>
      <t xml:space="preserve">αλληλους και εν </t>
    </r>
    <r>
      <rPr>
        <b/>
        <sz val="11"/>
        <color theme="1"/>
        <rFont val="Calibri"/>
        <family val="2"/>
        <scheme val="minor"/>
      </rPr>
      <t>μακροθυμιαις</t>
    </r>
    <r>
      <rPr>
        <sz val="11"/>
        <color theme="1"/>
        <rFont val="Calibri"/>
        <family val="2"/>
        <scheme val="minor"/>
      </rPr>
      <t xml:space="preserve"> συγκρυπτετε</t>
    </r>
  </si>
  <si>
    <r>
      <t xml:space="preserve">αλληλους εν </t>
    </r>
    <r>
      <rPr>
        <b/>
        <sz val="11"/>
        <color theme="1"/>
        <rFont val="Calibri"/>
        <family val="2"/>
        <scheme val="minor"/>
      </rPr>
      <t>μακροθυμια</t>
    </r>
    <r>
      <rPr>
        <sz val="11"/>
        <color theme="1"/>
        <rFont val="Calibri"/>
        <family val="2"/>
        <scheme val="minor"/>
      </rPr>
      <t xml:space="preserve"> συγκρυπτετε</t>
    </r>
  </si>
  <si>
    <t>τερπεται ο θεος</t>
  </si>
  <si>
    <t>τερπεται γαρ ο θς</t>
  </si>
  <si>
    <t>ως εγνωσαν οτι</t>
  </si>
  <si>
    <t>ως οιδασιν οτι</t>
  </si>
  <si>
    <t>ουκ ωνειδισα</t>
  </si>
  <si>
    <t>ουκ ονειδισα</t>
  </si>
  <si>
    <t>αλλα παρεκαλεσα</t>
  </si>
  <si>
    <t>αλλα και παρεκαλεσα</t>
  </si>
  <si>
    <t>αφηκα γαρ αυτους</t>
  </si>
  <si>
    <t>αφηκα γαρ αυτοις</t>
  </si>
  <si>
    <t>αυτοις εδωκα</t>
  </si>
  <si>
    <t>αυτοις δεδωκα</t>
  </si>
  <si>
    <t>και οι υιοι</t>
  </si>
  <si>
    <t>και υιοι</t>
  </si>
  <si>
    <t>αυτων ασθενεια</t>
  </si>
  <si>
    <t>αυτων μαασθενεια</t>
  </si>
  <si>
    <t>ουκ υψωσα</t>
  </si>
  <si>
    <t>ουχ υψωσα</t>
  </si>
  <si>
    <t>υμεις εν αγαθοποιια</t>
  </si>
  <si>
    <t>υμεις τη αγαθοποιια</t>
  </si>
  <si>
    <t>(2) κυ (3) ιδου</t>
  </si>
  <si>
    <t>(2) κυριου (3) διδου</t>
  </si>
  <si>
    <t>μοι αυτος εδουλευσε</t>
  </si>
  <si>
    <t>μοι αυτους εδουλευσε</t>
  </si>
  <si>
    <t>ακουσατε δε τεκνα μου ο ειδον ενυπνιον</t>
  </si>
  <si>
    <t>ακουσατε τεκνα μου και ων ειδον ενυπνιων</t>
  </si>
  <si>
    <r>
      <t xml:space="preserve">ακουσατε </t>
    </r>
    <r>
      <rPr>
        <b/>
        <sz val="11"/>
        <color theme="1"/>
        <rFont val="Calibri"/>
        <family val="2"/>
        <scheme val="minor"/>
      </rPr>
      <t>δε</t>
    </r>
    <r>
      <rPr>
        <sz val="11"/>
        <color theme="1"/>
        <rFont val="Calibri"/>
        <family val="2"/>
        <scheme val="minor"/>
      </rPr>
      <t xml:space="preserve"> τεκνα μου ο ειδον ενυπνιον</t>
    </r>
  </si>
  <si>
    <r>
      <t xml:space="preserve">ακουσατε τεκνα μου </t>
    </r>
    <r>
      <rPr>
        <b/>
        <sz val="11"/>
        <color theme="1"/>
        <rFont val="Calibri"/>
        <family val="2"/>
        <scheme val="minor"/>
      </rPr>
      <t>και</t>
    </r>
    <r>
      <rPr>
        <sz val="11"/>
        <color theme="1"/>
        <rFont val="Calibri"/>
        <family val="2"/>
        <scheme val="minor"/>
      </rPr>
      <t xml:space="preserve"> ων ειδον ενυπνιων</t>
    </r>
  </si>
  <si>
    <t>σκοτει εσται μετα των</t>
  </si>
  <si>
    <t>σκοτει μετα των</t>
  </si>
  <si>
    <t>ζησας ετη εκατον εικοσι (2) και φιλησας</t>
  </si>
  <si>
    <r>
      <t xml:space="preserve">ζησας </t>
    </r>
    <r>
      <rPr>
        <b/>
        <sz val="11"/>
        <color theme="1"/>
        <rFont val="Calibri"/>
        <family val="2"/>
        <scheme val="minor"/>
      </rPr>
      <t>ετη</t>
    </r>
    <r>
      <rPr>
        <sz val="11"/>
        <color theme="1"/>
        <rFont val="Calibri"/>
        <family val="2"/>
        <scheme val="minor"/>
      </rPr>
      <t xml:space="preserve"> εκατον εικοσι (2) και φιλησας</t>
    </r>
  </si>
  <si>
    <r>
      <t xml:space="preserve">ζησας </t>
    </r>
    <r>
      <rPr>
        <b/>
        <sz val="11"/>
        <color theme="1"/>
        <rFont val="Calibri"/>
        <family val="2"/>
        <scheme val="minor"/>
      </rPr>
      <t>ετε</t>
    </r>
    <r>
      <rPr>
        <sz val="11"/>
        <color theme="1"/>
        <rFont val="Calibri"/>
        <family val="2"/>
        <scheme val="minor"/>
      </rPr>
      <t xml:space="preserve"> ρκε (2) και φιλησας</t>
    </r>
  </si>
  <si>
    <r>
      <t>ζησας ετε ρκ</t>
    </r>
    <r>
      <rPr>
        <b/>
        <sz val="11"/>
        <color theme="1"/>
        <rFont val="Calibri"/>
        <family val="2"/>
        <scheme val="minor"/>
      </rPr>
      <t>ε</t>
    </r>
    <r>
      <rPr>
        <sz val="11"/>
        <color theme="1"/>
        <rFont val="Calibri"/>
        <family val="2"/>
        <scheme val="minor"/>
      </rPr>
      <t xml:space="preserve"> (2) και φιλησας</t>
    </r>
  </si>
  <si>
    <t>(2) ιακωβ (3) και επειδη ραχηλ</t>
  </si>
  <si>
    <t>(2) ιακωβ (3) επειδη ουν ραχηλ</t>
  </si>
  <si>
    <t>τεκειν αυτην τον ιωσηφ</t>
  </si>
  <si>
    <t>τεκειν τον ιωσηφ</t>
  </si>
  <si>
    <t>υιους ιδειν απ αυτης</t>
  </si>
  <si>
    <t>υιους τεκειν απ αυτης</t>
  </si>
  <si>
    <t>και ανεγνωρισε</t>
  </si>
  <si>
    <t>και εγνωρισε</t>
  </si>
  <si>
    <t>χιτωνα αιματι</t>
  </si>
  <si>
    <t>χιτωνα σου αιματι</t>
  </si>
  <si>
    <t>ει χιτων</t>
  </si>
  <si>
    <t>ει ο χιτων</t>
  </si>
  <si>
    <t>υιου σου εστιν ουτος</t>
  </si>
  <si>
    <t>υιου σου ουτος</t>
  </si>
  <si>
    <t>υπαγειν κρυψαι</t>
  </si>
  <si>
    <t>υπαγειν αυτον κρυψαι</t>
  </si>
  <si>
    <t>Queens corrects to εταιροις</t>
  </si>
  <si>
    <t>αγαπησατε και υμεις τον θεον</t>
  </si>
  <si>
    <t>φυλαξατε εντολας</t>
  </si>
  <si>
    <t>φυλαξατε τας εντολας</t>
  </si>
  <si>
    <t>και απο επιβουλης</t>
  </si>
  <si>
    <t>και υπο επιβουλης</t>
  </si>
  <si>
    <t>εδεηθη του πατρος</t>
  </si>
  <si>
    <t>εδεηθην του πρς</t>
  </si>
  <si>
    <r>
      <t xml:space="preserve">αυτοις </t>
    </r>
    <r>
      <rPr>
        <b/>
        <sz val="11"/>
        <color theme="1"/>
        <rFont val="Calibri"/>
        <family val="2"/>
        <scheme val="minor"/>
      </rPr>
      <t>ο</t>
    </r>
    <r>
      <rPr>
        <sz val="11"/>
        <color theme="1"/>
        <rFont val="Calibri"/>
        <family val="2"/>
        <scheme val="minor"/>
      </rPr>
      <t xml:space="preserve"> κς ειτι ενεθυμηθησαν</t>
    </r>
  </si>
  <si>
    <r>
      <t xml:space="preserve">αυτοις ο κς </t>
    </r>
    <r>
      <rPr>
        <b/>
        <sz val="11"/>
        <color theme="1"/>
        <rFont val="Calibri"/>
        <family val="2"/>
        <scheme val="minor"/>
      </rPr>
      <t>ειτι</t>
    </r>
    <r>
      <rPr>
        <sz val="11"/>
        <color theme="1"/>
        <rFont val="Calibri"/>
        <family val="2"/>
        <scheme val="minor"/>
      </rPr>
      <t xml:space="preserve"> ενεθυμηθησαν</t>
    </r>
  </si>
  <si>
    <t>αυτοις κυριος οτε ενεθυμηθησαν</t>
  </si>
  <si>
    <r>
      <t xml:space="preserve">αυτοις κυριος </t>
    </r>
    <r>
      <rPr>
        <b/>
        <sz val="11"/>
        <color theme="1"/>
        <rFont val="Calibri"/>
        <family val="2"/>
        <scheme val="minor"/>
      </rPr>
      <t>οτε</t>
    </r>
    <r>
      <rPr>
        <sz val="11"/>
        <color theme="1"/>
        <rFont val="Calibri"/>
        <family val="2"/>
        <scheme val="minor"/>
      </rPr>
      <t xml:space="preserve"> ενεθυμηθησαν</t>
    </r>
  </si>
  <si>
    <t>αυτον επι δυο</t>
  </si>
  <si>
    <t>αυτον δυο</t>
  </si>
  <si>
    <t>πληρωθησεται επι σοι</t>
  </si>
  <si>
    <t>πληρωθησεται εν σοι</t>
  </si>
  <si>
    <t>σρια εθνων και ιηλ και καταργησει</t>
  </si>
  <si>
    <r>
      <t xml:space="preserve">σρια </t>
    </r>
    <r>
      <rPr>
        <b/>
        <sz val="11"/>
        <color theme="1"/>
        <rFont val="Calibri"/>
        <family val="2"/>
        <scheme val="minor"/>
      </rPr>
      <t>εθνων και ιηλ</t>
    </r>
    <r>
      <rPr>
        <sz val="11"/>
        <color theme="1"/>
        <rFont val="Calibri"/>
        <family val="2"/>
        <scheme val="minor"/>
      </rPr>
      <t xml:space="preserve"> και καταργησει</t>
    </r>
  </si>
  <si>
    <r>
      <t xml:space="preserve">σωτηρια </t>
    </r>
    <r>
      <rPr>
        <b/>
        <sz val="11"/>
        <color theme="1"/>
        <rFont val="Calibri"/>
        <family val="2"/>
        <scheme val="minor"/>
      </rPr>
      <t>ισραηλ και των εθνων</t>
    </r>
    <r>
      <rPr>
        <sz val="11"/>
        <color theme="1"/>
        <rFont val="Calibri"/>
        <family val="2"/>
        <scheme val="minor"/>
      </rPr>
      <t xml:space="preserve"> και καταργησει</t>
    </r>
  </si>
  <si>
    <r>
      <t xml:space="preserve">σωτηρια ισραηλ και </t>
    </r>
    <r>
      <rPr>
        <b/>
        <sz val="11"/>
        <color theme="1"/>
        <rFont val="Calibri"/>
        <family val="2"/>
        <scheme val="minor"/>
      </rPr>
      <t>των</t>
    </r>
    <r>
      <rPr>
        <sz val="11"/>
        <color theme="1"/>
        <rFont val="Calibri"/>
        <family val="2"/>
        <scheme val="minor"/>
      </rPr>
      <t xml:space="preserve"> εθνων και καταργησει</t>
    </r>
  </si>
  <si>
    <t>μιμησασθε ουν εν αγαθη</t>
  </si>
  <si>
    <t>μιμησασθε εν αγαθη</t>
  </si>
  <si>
    <t>ελεα γαρ</t>
  </si>
  <si>
    <t>ελεει γαρ</t>
  </si>
  <si>
    <t>ουτος αγαθοποιων</t>
  </si>
  <si>
    <r>
      <rPr>
        <b/>
        <sz val="11"/>
        <color theme="1"/>
        <rFont val="Calibri"/>
        <family val="2"/>
        <scheme val="minor"/>
      </rPr>
      <t>ουτως</t>
    </r>
    <r>
      <rPr>
        <sz val="11"/>
        <color theme="1"/>
        <rFont val="Calibri"/>
        <family val="2"/>
        <scheme val="minor"/>
      </rPr>
      <t xml:space="preserve"> ο αγαθοποιων</t>
    </r>
  </si>
  <si>
    <r>
      <rPr>
        <b/>
        <sz val="11"/>
        <color theme="1"/>
        <rFont val="Calibri"/>
        <family val="2"/>
        <scheme val="minor"/>
      </rPr>
      <t>ουτος</t>
    </r>
    <r>
      <rPr>
        <sz val="11"/>
        <color theme="1"/>
        <rFont val="Calibri"/>
        <family val="2"/>
        <scheme val="minor"/>
      </rPr>
      <t xml:space="preserve"> αγαθοποιων</t>
    </r>
  </si>
  <si>
    <r>
      <t xml:space="preserve">ουτως </t>
    </r>
    <r>
      <rPr>
        <b/>
        <sz val="11"/>
        <color theme="1"/>
        <rFont val="Calibri"/>
        <family val="2"/>
        <scheme val="minor"/>
      </rPr>
      <t>ο</t>
    </r>
    <r>
      <rPr>
        <sz val="11"/>
        <color theme="1"/>
        <rFont val="Calibri"/>
        <family val="2"/>
        <scheme val="minor"/>
      </rPr>
      <t xml:space="preserve"> αγαθοποιων</t>
    </r>
  </si>
  <si>
    <t>νικα τον κακον</t>
  </si>
  <si>
    <t>νικα το κακον</t>
  </si>
  <si>
    <t>πλουτη ου ζηλοι</t>
  </si>
  <si>
    <t>πλουτει ου ζηλοι</t>
  </si>
  <si>
    <t>εαν ουν εχητε</t>
  </si>
  <si>
    <t>εαν εχητε</t>
  </si>
  <si>
    <t>του παθους</t>
  </si>
  <si>
    <t>του παπαθους</t>
  </si>
  <si>
    <t>πνατα φευξεται</t>
  </si>
  <si>
    <t>πνευματα φευξεται</t>
  </si>
  <si>
    <t>Queens corrects φευξεται -&gt; φευξονται</t>
  </si>
  <si>
    <t>γαρ οσιος</t>
  </si>
  <si>
    <t>γαρ o οσιος</t>
  </si>
  <si>
    <t>ουκ ορα</t>
  </si>
  <si>
    <t>ουχ ορα</t>
  </si>
  <si>
    <t>φωτιζει την ψυχην</t>
  </si>
  <si>
    <t>φωτιζει ψυχην</t>
  </si>
  <si>
    <t>ειλικρινη καθαραν</t>
  </si>
  <si>
    <t>Queens adds και between these words</t>
  </si>
  <si>
    <t>πρωτος ο φθονος</t>
  </si>
  <si>
    <t>πρωτος φθονος</t>
  </si>
  <si>
    <t>επτα εκδικιαις</t>
  </si>
  <si>
    <t>επτα επιδικιαις</t>
  </si>
  <si>
    <t>εν τη καρδια</t>
  </si>
  <si>
    <t>εν καρδια</t>
  </si>
  <si>
    <r>
      <rPr>
        <b/>
        <sz val="11"/>
        <color theme="1"/>
        <rFont val="Calibri"/>
        <family val="2"/>
        <scheme val="minor"/>
      </rPr>
      <t>αναπαυεται</t>
    </r>
    <r>
      <rPr>
        <sz val="11"/>
        <color theme="1"/>
        <rFont val="Calibri"/>
        <family val="2"/>
        <scheme val="minor"/>
      </rPr>
      <t xml:space="preserve"> εν αυτω</t>
    </r>
  </si>
  <si>
    <r>
      <rPr>
        <b/>
        <sz val="11"/>
        <color theme="1"/>
        <rFont val="Calibri"/>
        <family val="2"/>
        <scheme val="minor"/>
      </rPr>
      <t>αναπεπαυται</t>
    </r>
    <r>
      <rPr>
        <sz val="11"/>
        <color theme="1"/>
        <rFont val="Calibri"/>
        <family val="2"/>
        <scheme val="minor"/>
      </rPr>
      <t xml:space="preserve"> επ αυτου</t>
    </r>
  </si>
  <si>
    <r>
      <t xml:space="preserve">αναπεπαυται </t>
    </r>
    <r>
      <rPr>
        <b/>
        <sz val="11"/>
        <color theme="1"/>
        <rFont val="Calibri"/>
        <family val="2"/>
        <scheme val="minor"/>
      </rPr>
      <t>επ</t>
    </r>
    <r>
      <rPr>
        <sz val="11"/>
        <color theme="1"/>
        <rFont val="Calibri"/>
        <family val="2"/>
        <scheme val="minor"/>
      </rPr>
      <t xml:space="preserve"> αυτου</t>
    </r>
  </si>
  <si>
    <r>
      <t xml:space="preserve">αναπαυεται </t>
    </r>
    <r>
      <rPr>
        <b/>
        <sz val="11"/>
        <color theme="1"/>
        <rFont val="Calibri"/>
        <family val="2"/>
        <scheme val="minor"/>
      </rPr>
      <t>εν</t>
    </r>
    <r>
      <rPr>
        <sz val="11"/>
        <color theme="1"/>
        <rFont val="Calibri"/>
        <family val="2"/>
        <scheme val="minor"/>
      </rPr>
      <t xml:space="preserve"> αυτω</t>
    </r>
  </si>
  <si>
    <t>μιασμοις της γης</t>
  </si>
  <si>
    <t>μιασμασι της γης</t>
  </si>
  <si>
    <r>
      <t xml:space="preserve">οικοδομα αυτος </t>
    </r>
    <r>
      <rPr>
        <b/>
        <sz val="11"/>
        <color theme="1"/>
        <rFont val="Calibri"/>
        <family val="2"/>
        <scheme val="minor"/>
      </rPr>
      <t>και</t>
    </r>
    <r>
      <rPr>
        <sz val="11"/>
        <color theme="1"/>
        <rFont val="Calibri"/>
        <family val="2"/>
        <scheme val="minor"/>
      </rPr>
      <t xml:space="preserve"> ου μιαινεται</t>
    </r>
  </si>
  <si>
    <r>
      <t xml:space="preserve">οικοδομει αυτος </t>
    </r>
    <r>
      <rPr>
        <b/>
        <sz val="11"/>
        <color theme="1"/>
        <rFont val="Calibri"/>
        <family val="2"/>
        <scheme val="minor"/>
      </rPr>
      <t>δε</t>
    </r>
    <r>
      <rPr>
        <sz val="11"/>
        <color theme="1"/>
        <rFont val="Calibri"/>
        <family val="2"/>
        <scheme val="minor"/>
      </rPr>
      <t xml:space="preserve"> ου μιαινεται</t>
    </r>
  </si>
  <si>
    <r>
      <rPr>
        <b/>
        <sz val="11"/>
        <color theme="1"/>
        <rFont val="Calibri"/>
        <family val="2"/>
        <scheme val="minor"/>
      </rPr>
      <t>οικοδομει</t>
    </r>
    <r>
      <rPr>
        <sz val="11"/>
        <color theme="1"/>
        <rFont val="Calibri"/>
        <family val="2"/>
        <scheme val="minor"/>
      </rPr>
      <t xml:space="preserve"> αυτος δε ου μιαινεται</t>
    </r>
  </si>
  <si>
    <r>
      <rPr>
        <b/>
        <sz val="11"/>
        <color theme="1"/>
        <rFont val="Calibri"/>
        <family val="2"/>
        <scheme val="minor"/>
      </rPr>
      <t>οικοδομα</t>
    </r>
    <r>
      <rPr>
        <sz val="11"/>
        <color theme="1"/>
        <rFont val="Calibri"/>
        <family val="2"/>
        <scheme val="minor"/>
      </rPr>
      <t xml:space="preserve"> αυτος και ου μιαινεται</t>
    </r>
  </si>
  <si>
    <t>εσεσθαι απο λογων</t>
  </si>
  <si>
    <t>εσεσθει απο λογων</t>
  </si>
  <si>
    <t>Queens corrects to απολεσθε</t>
  </si>
  <si>
    <t>γενησεται ναος θεου</t>
  </si>
  <si>
    <r>
      <t xml:space="preserve">γενησεται </t>
    </r>
    <r>
      <rPr>
        <b/>
        <sz val="11"/>
        <color theme="1"/>
        <rFont val="Calibri"/>
        <family val="2"/>
        <scheme val="minor"/>
      </rPr>
      <t>ο</t>
    </r>
    <r>
      <rPr>
        <sz val="11"/>
        <color theme="1"/>
        <rFont val="Calibri"/>
        <family val="2"/>
        <scheme val="minor"/>
      </rPr>
      <t xml:space="preserve"> ναος του θυ</t>
    </r>
  </si>
  <si>
    <r>
      <t xml:space="preserve">γενησεται ο ναος </t>
    </r>
    <r>
      <rPr>
        <b/>
        <sz val="11"/>
        <color theme="1"/>
        <rFont val="Calibri"/>
        <family val="2"/>
        <scheme val="minor"/>
      </rPr>
      <t>του</t>
    </r>
    <r>
      <rPr>
        <sz val="11"/>
        <color theme="1"/>
        <rFont val="Calibri"/>
        <family val="2"/>
        <scheme val="minor"/>
      </rPr>
      <t xml:space="preserve"> θυ</t>
    </r>
  </si>
  <si>
    <t>υβρισθησεται και επι ξυλου</t>
  </si>
  <si>
    <t>υβρισθησεται και εξουθενωθησεται και επι ξυλου</t>
  </si>
  <si>
    <t>και καταβησεται</t>
  </si>
  <si>
    <t>και μεταβησεται</t>
  </si>
  <si>
    <t>εγνων οιος</t>
  </si>
  <si>
    <r>
      <rPr>
        <b/>
        <sz val="11"/>
        <color theme="1"/>
        <rFont val="Calibri"/>
        <family val="2"/>
        <scheme val="minor"/>
      </rPr>
      <t>εγνω</t>
    </r>
    <r>
      <rPr>
        <sz val="11"/>
        <color theme="1"/>
        <rFont val="Calibri"/>
        <family val="2"/>
        <scheme val="minor"/>
      </rPr>
      <t xml:space="preserve"> δε οιος</t>
    </r>
  </si>
  <si>
    <r>
      <rPr>
        <b/>
        <sz val="11"/>
        <color theme="1"/>
        <rFont val="Calibri"/>
        <family val="2"/>
        <scheme val="minor"/>
      </rPr>
      <t>εγνων</t>
    </r>
    <r>
      <rPr>
        <sz val="11"/>
        <color theme="1"/>
        <rFont val="Calibri"/>
        <family val="2"/>
        <scheme val="minor"/>
      </rPr>
      <t xml:space="preserve"> οιος</t>
    </r>
  </si>
  <si>
    <r>
      <t xml:space="preserve">εγνω </t>
    </r>
    <r>
      <rPr>
        <b/>
        <sz val="11"/>
        <color theme="1"/>
        <rFont val="Calibri"/>
        <family val="2"/>
        <scheme val="minor"/>
      </rPr>
      <t>δε</t>
    </r>
    <r>
      <rPr>
        <sz val="11"/>
        <color theme="1"/>
        <rFont val="Calibri"/>
        <family val="2"/>
        <scheme val="minor"/>
      </rPr>
      <t xml:space="preserve"> οιος</t>
    </r>
  </si>
  <si>
    <t>επι της γης</t>
  </si>
  <si>
    <t>επι γης</t>
  </si>
  <si>
    <t>οτε δε</t>
  </si>
  <si>
    <t>οτι δε</t>
  </si>
  <si>
    <t>ιωσηφ εν αιγυπτω ην επεθυμουν</t>
  </si>
  <si>
    <t>ιωσηφ ην εν αιγυπτω επεθυμουν</t>
  </si>
  <si>
    <t>την ειδεαν</t>
  </si>
  <si>
    <t>την ιδεαν</t>
  </si>
  <si>
    <r>
      <t xml:space="preserve">την </t>
    </r>
    <r>
      <rPr>
        <b/>
        <sz val="11"/>
        <color theme="1"/>
        <rFont val="Calibri"/>
        <family val="2"/>
        <scheme val="minor"/>
      </rPr>
      <t>μορφην</t>
    </r>
    <r>
      <rPr>
        <sz val="11"/>
        <color theme="1"/>
        <rFont val="Calibri"/>
        <family val="2"/>
        <scheme val="minor"/>
      </rPr>
      <t xml:space="preserve"> της οψεως αυτου και</t>
    </r>
  </si>
  <si>
    <r>
      <t xml:space="preserve">την </t>
    </r>
    <r>
      <rPr>
        <b/>
        <sz val="11"/>
        <color theme="1"/>
        <rFont val="Calibri"/>
        <family val="2"/>
        <scheme val="minor"/>
      </rPr>
      <t>μορφωσιν</t>
    </r>
    <r>
      <rPr>
        <sz val="11"/>
        <color theme="1"/>
        <rFont val="Calibri"/>
        <family val="2"/>
        <scheme val="minor"/>
      </rPr>
      <t xml:space="preserve"> της οψεως αυτους και</t>
    </r>
  </si>
  <si>
    <r>
      <t xml:space="preserve">την μορφην της οψεως </t>
    </r>
    <r>
      <rPr>
        <b/>
        <sz val="11"/>
        <color theme="1"/>
        <rFont val="Calibri"/>
        <family val="2"/>
        <scheme val="minor"/>
      </rPr>
      <t>αυτου</t>
    </r>
    <r>
      <rPr>
        <sz val="11"/>
        <color theme="1"/>
        <rFont val="Calibri"/>
        <family val="2"/>
        <scheme val="minor"/>
      </rPr>
      <t xml:space="preserve"> και</t>
    </r>
  </si>
  <si>
    <r>
      <t xml:space="preserve">την μορφωσιν της οψεως </t>
    </r>
    <r>
      <rPr>
        <b/>
        <sz val="11"/>
        <color theme="1"/>
        <rFont val="Calibri"/>
        <family val="2"/>
        <scheme val="minor"/>
      </rPr>
      <t>αυτους</t>
    </r>
    <r>
      <rPr>
        <sz val="11"/>
        <color theme="1"/>
        <rFont val="Calibri"/>
        <family val="2"/>
        <scheme val="minor"/>
      </rPr>
      <t xml:space="preserve"> και</t>
    </r>
  </si>
  <si>
    <t>ευχων του πατρος ιακωβ ειδον</t>
  </si>
  <si>
    <r>
      <t xml:space="preserve">ευχων </t>
    </r>
    <r>
      <rPr>
        <b/>
        <sz val="11"/>
        <color theme="1"/>
        <rFont val="Calibri"/>
        <family val="2"/>
        <scheme val="minor"/>
      </rPr>
      <t>ιακωβ του πρς</t>
    </r>
    <r>
      <rPr>
        <sz val="11"/>
        <color theme="1"/>
        <rFont val="Calibri"/>
        <family val="2"/>
        <scheme val="minor"/>
      </rPr>
      <t xml:space="preserve"> μου ειδον</t>
    </r>
  </si>
  <si>
    <r>
      <t xml:space="preserve">ευχων </t>
    </r>
    <r>
      <rPr>
        <b/>
        <sz val="11"/>
        <color theme="1"/>
        <rFont val="Calibri"/>
        <family val="2"/>
        <scheme val="minor"/>
      </rPr>
      <t>του πατρος ιακωβ</t>
    </r>
    <r>
      <rPr>
        <sz val="11"/>
        <color theme="1"/>
        <rFont val="Calibri"/>
        <family val="2"/>
        <scheme val="minor"/>
      </rPr>
      <t xml:space="preserve"> ειδον</t>
    </r>
  </si>
  <si>
    <r>
      <t xml:space="preserve">ευχων ιακωβ του πρς </t>
    </r>
    <r>
      <rPr>
        <b/>
        <sz val="11"/>
        <color theme="1"/>
        <rFont val="Calibri"/>
        <family val="2"/>
        <scheme val="minor"/>
      </rPr>
      <t>μου</t>
    </r>
    <r>
      <rPr>
        <sz val="11"/>
        <color theme="1"/>
        <rFont val="Calibri"/>
        <family val="2"/>
        <scheme val="minor"/>
      </rPr>
      <t xml:space="preserve"> ειδον</t>
    </r>
  </si>
  <si>
    <t>η ειδεα</t>
  </si>
  <si>
    <t>η ιδεα</t>
  </si>
  <si>
    <t>ταυτα γαρ αντι πασης κληρονομιας υμας διδασκω</t>
  </si>
  <si>
    <t>ταυτα γαρ υμας αντι πασης κληρονομιας διδασκω</t>
  </si>
  <si>
    <t>δοτε αυτα</t>
  </si>
  <si>
    <t>δοτε ταυτα</t>
  </si>
  <si>
    <t>εποιησεν αβρααμ</t>
  </si>
  <si>
    <r>
      <rPr>
        <b/>
        <sz val="11"/>
        <color theme="1"/>
        <rFont val="Calibri"/>
        <family val="2"/>
        <scheme val="minor"/>
      </rPr>
      <t>εποιησαν</t>
    </r>
    <r>
      <rPr>
        <sz val="11"/>
        <color theme="1"/>
        <rFont val="Calibri"/>
        <family val="2"/>
        <scheme val="minor"/>
      </rPr>
      <t xml:space="preserve"> και αβρααμ</t>
    </r>
  </si>
  <si>
    <r>
      <rPr>
        <b/>
        <sz val="11"/>
        <color theme="1"/>
        <rFont val="Calibri"/>
        <family val="2"/>
        <scheme val="minor"/>
      </rPr>
      <t>εποιησεν</t>
    </r>
    <r>
      <rPr>
        <sz val="11"/>
        <color theme="1"/>
        <rFont val="Calibri"/>
        <family val="2"/>
        <scheme val="minor"/>
      </rPr>
      <t xml:space="preserve"> αβρααμ</t>
    </r>
  </si>
  <si>
    <r>
      <t xml:space="preserve">εποιησαν </t>
    </r>
    <r>
      <rPr>
        <b/>
        <sz val="11"/>
        <color theme="1"/>
        <rFont val="Calibri"/>
        <family val="2"/>
        <scheme val="minor"/>
      </rPr>
      <t>και</t>
    </r>
    <r>
      <rPr>
        <sz val="11"/>
        <color theme="1"/>
        <rFont val="Calibri"/>
        <family val="2"/>
        <scheme val="minor"/>
      </rPr>
      <t xml:space="preserve"> αβρααμ</t>
    </r>
  </si>
  <si>
    <t xml:space="preserve">(4) ιακωβ (5) ταυτα παντα ημας </t>
  </si>
  <si>
    <t xml:space="preserve">(4) ιακωβ (5) παντα ταυτα ημας </t>
  </si>
  <si>
    <t>οτου ο κυριος</t>
  </si>
  <si>
    <t>αποκαλυψη το σριον</t>
  </si>
  <si>
    <t xml:space="preserve">αποκαλυψει το σωτηριον </t>
  </si>
  <si>
    <t>νωε και σημ</t>
  </si>
  <si>
    <t>νωε σημ</t>
  </si>
  <si>
    <t>φανεντα μορφη</t>
  </si>
  <si>
    <t>φανεντα εν μορφη</t>
  </si>
  <si>
    <t xml:space="preserve">(7) αυτω (8) τοτε και </t>
  </si>
  <si>
    <t xml:space="preserve">(7) αυτω (8) οτε και </t>
  </si>
  <si>
    <t>ισραηλ και περι</t>
  </si>
  <si>
    <t>ιηλ περι</t>
  </si>
  <si>
    <t>απατησασιν αδελφον αυτων</t>
  </si>
  <si>
    <t>απατησασιν αδελφους αυτων</t>
  </si>
  <si>
    <t>γενομενοι ουν τεκνα</t>
  </si>
  <si>
    <t>γενομενοι ου τεκνα</t>
  </si>
  <si>
    <t>φοβουμενων τον κυριον</t>
  </si>
  <si>
    <t>φοβουμενων κν</t>
  </si>
  <si>
    <r>
      <rPr>
        <b/>
        <sz val="11"/>
        <color theme="1"/>
        <rFont val="Calibri"/>
        <family val="2"/>
        <scheme val="minor"/>
      </rPr>
      <t>κατοικησεται</t>
    </r>
    <r>
      <rPr>
        <sz val="11"/>
        <color theme="1"/>
        <rFont val="Calibri"/>
        <family val="2"/>
        <scheme val="minor"/>
      </rPr>
      <t xml:space="preserve"> επ ελπιδι</t>
    </r>
  </si>
  <si>
    <r>
      <rPr>
        <b/>
        <sz val="11"/>
        <color theme="1"/>
        <rFont val="Calibri"/>
        <family val="2"/>
        <scheme val="minor"/>
      </rPr>
      <t>κατοικησετε</t>
    </r>
    <r>
      <rPr>
        <sz val="11"/>
        <color theme="1"/>
        <rFont val="Calibri"/>
        <family val="2"/>
        <scheme val="minor"/>
      </rPr>
      <t xml:space="preserve"> εν ελπιδι</t>
    </r>
  </si>
  <si>
    <r>
      <t xml:space="preserve">κατοικησετε </t>
    </r>
    <r>
      <rPr>
        <b/>
        <sz val="11"/>
        <color theme="1"/>
        <rFont val="Calibri"/>
        <family val="2"/>
        <scheme val="minor"/>
      </rPr>
      <t>εν</t>
    </r>
    <r>
      <rPr>
        <sz val="11"/>
        <color theme="1"/>
        <rFont val="Calibri"/>
        <family val="2"/>
        <scheme val="minor"/>
      </rPr>
      <t xml:space="preserve"> ελπιδι</t>
    </r>
  </si>
  <si>
    <r>
      <t xml:space="preserve">κατοικησεται </t>
    </r>
    <r>
      <rPr>
        <b/>
        <sz val="11"/>
        <color theme="1"/>
        <rFont val="Calibri"/>
        <family val="2"/>
        <scheme val="minor"/>
      </rPr>
      <t>επ</t>
    </r>
    <r>
      <rPr>
        <sz val="11"/>
        <color theme="1"/>
        <rFont val="Calibri"/>
        <family val="2"/>
        <scheme val="minor"/>
      </rPr>
      <t xml:space="preserve"> ελπιδι</t>
    </r>
  </si>
  <si>
    <t>συναχθησεται προς κυριον πας ισραηλ (11:1) και ουκ ετι</t>
  </si>
  <si>
    <t>συναχθησεται πας ιηλ προς κυριον (11:1) και ουκετι</t>
  </si>
  <si>
    <t>ακουων την φωνην αυτου</t>
  </si>
  <si>
    <t>ακουων επι γης φωνην αυτου</t>
  </si>
  <si>
    <t xml:space="preserve">επεμβαινων εν σωτηρια τω ισραηλ και </t>
  </si>
  <si>
    <t xml:space="preserve">επεμβαινων τω ιηλ εν σρια και </t>
  </si>
  <si>
    <t>εν συναγωγαις εθνων</t>
  </si>
  <si>
    <r>
      <t xml:space="preserve">εν </t>
    </r>
    <r>
      <rPr>
        <b/>
        <sz val="11"/>
        <color theme="1"/>
        <rFont val="Calibri"/>
        <family val="2"/>
        <scheme val="minor"/>
      </rPr>
      <t>ταις</t>
    </r>
    <r>
      <rPr>
        <sz val="11"/>
        <color theme="1"/>
        <rFont val="Calibri"/>
        <family val="2"/>
        <scheme val="minor"/>
      </rPr>
      <t xml:space="preserve"> συναγωγαις των εθνων</t>
    </r>
  </si>
  <si>
    <r>
      <t xml:space="preserve">εν ταις συναγωγαις </t>
    </r>
    <r>
      <rPr>
        <b/>
        <sz val="11"/>
        <color theme="1"/>
        <rFont val="Calibri"/>
        <family val="2"/>
        <scheme val="minor"/>
      </rPr>
      <t>των</t>
    </r>
    <r>
      <rPr>
        <sz val="11"/>
        <color theme="1"/>
        <rFont val="Calibri"/>
        <family val="2"/>
        <scheme val="minor"/>
      </rPr>
      <t xml:space="preserve"> εθνων</t>
    </r>
  </si>
  <si>
    <t>βιβλοις ταις αγιαις</t>
  </si>
  <si>
    <t>βιβλοις αγιαις</t>
  </si>
  <si>
    <t>δι αυτον συνετισε</t>
  </si>
  <si>
    <t>δι τον συνετισε</t>
  </si>
  <si>
    <t>γηρι καλω</t>
  </si>
  <si>
    <t>γηρει καλω</t>
  </si>
  <si>
    <t>και εν τω ϟ ετει</t>
  </si>
  <si>
    <t>και ενενηκοστω πρωτω ετει</t>
  </si>
  <si>
    <r>
      <t xml:space="preserve">και </t>
    </r>
    <r>
      <rPr>
        <b/>
        <sz val="11"/>
        <color theme="1"/>
        <rFont val="Calibri"/>
        <family val="2"/>
        <scheme val="minor"/>
      </rPr>
      <t>εν τω</t>
    </r>
    <r>
      <rPr>
        <sz val="11"/>
        <color theme="1"/>
        <rFont val="Calibri"/>
        <family val="2"/>
        <scheme val="minor"/>
      </rPr>
      <t xml:space="preserve"> ϟ ετει</t>
    </r>
  </si>
  <si>
    <r>
      <t xml:space="preserve">και ενενηκοστω </t>
    </r>
    <r>
      <rPr>
        <b/>
        <sz val="11"/>
        <color theme="1"/>
        <rFont val="Calibri"/>
        <family val="2"/>
        <scheme val="minor"/>
      </rPr>
      <t>πρωτω</t>
    </r>
    <r>
      <rPr>
        <sz val="11"/>
        <color theme="1"/>
        <rFont val="Calibri"/>
        <family val="2"/>
        <scheme val="minor"/>
      </rPr>
      <t xml:space="preserve"> ετει</t>
    </r>
  </si>
  <si>
    <t>this is definitely a Barocci reading</t>
  </si>
  <si>
    <t>Speech part add/omitted</t>
  </si>
  <si>
    <t>Visual Cues</t>
  </si>
  <si>
    <t>Duplicate Material</t>
  </si>
  <si>
    <t>Singularity</t>
  </si>
  <si>
    <t>Secondary</t>
  </si>
  <si>
    <t>Minutiae</t>
  </si>
  <si>
    <t>Nonsense</t>
  </si>
  <si>
    <t>Adjective</t>
  </si>
  <si>
    <t>Present</t>
  </si>
  <si>
    <t>Dittography</t>
  </si>
  <si>
    <t>Singular</t>
  </si>
  <si>
    <t>Itacism</t>
  </si>
  <si>
    <t>Generated - strict</t>
  </si>
  <si>
    <t>Article</t>
  </si>
  <si>
    <t>Absent</t>
  </si>
  <si>
    <t>Repetition</t>
  </si>
  <si>
    <t>Non-singular</t>
  </si>
  <si>
    <t>Movable ν</t>
  </si>
  <si>
    <t>Generated - contextual</t>
  </si>
  <si>
    <t>Adverb</t>
  </si>
  <si>
    <t>Dual</t>
  </si>
  <si>
    <t>Iota Adscript</t>
  </si>
  <si>
    <t>Removed - strict</t>
  </si>
  <si>
    <t>Conjunction</t>
  </si>
  <si>
    <t>Iota Subscript</t>
  </si>
  <si>
    <t>Removed - contextual</t>
  </si>
  <si>
    <t>Compound word</t>
  </si>
  <si>
    <t>Abbreviation</t>
  </si>
  <si>
    <t>Noun</t>
  </si>
  <si>
    <t>Breathings</t>
  </si>
  <si>
    <t>Pronoun</t>
  </si>
  <si>
    <t>Accents</t>
  </si>
  <si>
    <t>Preposition</t>
  </si>
  <si>
    <t>Punctuation</t>
  </si>
  <si>
    <t>Participle</t>
  </si>
  <si>
    <t>Vocative</t>
  </si>
  <si>
    <t>Exclusion Grounds</t>
  </si>
  <si>
    <t>Corrector Followed</t>
  </si>
  <si>
    <t>Apograph Corrected</t>
  </si>
  <si>
    <t>Phrase Length</t>
  </si>
  <si>
    <t>Words Length</t>
  </si>
  <si>
    <t>Letters Length</t>
  </si>
  <si>
    <t>Speech Part Add/Omitted</t>
  </si>
  <si>
    <t>Cue Regions</t>
  </si>
  <si>
    <t>Cue Length</t>
  </si>
  <si>
    <t>AO Word Frequency</t>
  </si>
  <si>
    <t>SUB Frequency Difference</t>
  </si>
  <si>
    <t>Orthographic - General</t>
  </si>
  <si>
    <t>Review</t>
  </si>
  <si>
    <t>Harmonization - Context</t>
  </si>
  <si>
    <t>Parallel Present</t>
  </si>
  <si>
    <t>Harmonization - Parallel</t>
  </si>
  <si>
    <t>Mere Minutiae</t>
  </si>
  <si>
    <t>Disharmonizing</t>
  </si>
  <si>
    <t>Substitution - Word</t>
  </si>
  <si>
    <t>NA</t>
  </si>
  <si>
    <t>Substitution - Form</t>
  </si>
  <si>
    <t>Substitution - Both</t>
  </si>
  <si>
    <t>Below word level</t>
  </si>
  <si>
    <t>Particle</t>
  </si>
  <si>
    <t>Unfiltered variants:</t>
  </si>
  <si>
    <t>Total variants:</t>
  </si>
  <si>
    <t>Barocci</t>
  </si>
  <si>
    <t>Oo.VI.9.8 has a variant in the same place, but a slightly different reading (ζηλωσητε), though the two differ only by orthography</t>
  </si>
  <si>
    <t>Queens corrects to φυλαξασθε (which matches Barocci)</t>
  </si>
  <si>
    <t>Barocci does use εδωκεν, but uses ο θς instead of anarthrous κς</t>
  </si>
  <si>
    <t>Dual-agreement</t>
  </si>
  <si>
    <t>Oo.VI.9.8:</t>
  </si>
  <si>
    <t>Barocci:</t>
  </si>
  <si>
    <t>Smith</t>
  </si>
  <si>
    <t>Oo.VI.9.8</t>
  </si>
  <si>
    <t>Smith:</t>
  </si>
  <si>
    <t>ως κτηνος επι κρημνον</t>
  </si>
  <si>
    <t>ως κτηνον επι κρημνον</t>
  </si>
  <si>
    <t>Verb</t>
  </si>
  <si>
    <t>ΝΑ</t>
  </si>
  <si>
    <t>ει-ι</t>
  </si>
  <si>
    <t>ι-ει</t>
  </si>
  <si>
    <t>ω-ο</t>
  </si>
  <si>
    <t>φυλαξεται υμας</t>
  </si>
  <si>
    <t>Frequency = κομαω - κοιμαω</t>
  </si>
  <si>
    <t>η-ε</t>
  </si>
  <si>
    <t>θανατω πονρω</t>
  </si>
  <si>
    <t>θανατω πονηρω</t>
  </si>
  <si>
    <t>AB:AC</t>
  </si>
  <si>
    <t>3:3</t>
  </si>
  <si>
    <t>BD:CD</t>
  </si>
  <si>
    <t>5:5</t>
  </si>
  <si>
    <t>ι-η</t>
  </si>
  <si>
    <t>lexical form = σκεπεινος, therefore won't call this either generation or removal of nonsense</t>
  </si>
  <si>
    <t>Name Spelling</t>
  </si>
  <si>
    <t>freq. = ατος - αυτος</t>
  </si>
  <si>
    <t>AC:AD</t>
  </si>
  <si>
    <t>3:4</t>
  </si>
  <si>
    <t>1.0.5 transposition</t>
  </si>
  <si>
    <t>skips 1.5 lines (207v.1.10-11); frequency = ρυομαι; similarities with Oo.VI.9.8 include not only nonsense readings, but also major add/omits</t>
  </si>
  <si>
    <t>2.0.3 transposition</t>
  </si>
  <si>
    <t>2.0.1 transposition</t>
  </si>
  <si>
    <t>εχων ουτως φαινεται</t>
  </si>
  <si>
    <t>AC</t>
  </si>
  <si>
    <t>4</t>
  </si>
  <si>
    <t>εν τοις ταμειοις</t>
  </si>
  <si>
    <t>εν τοις ταμειας</t>
  </si>
  <si>
    <t>τη αιγυπτω σκοτος</t>
  </si>
  <si>
    <t>τη αιγυπτου σκοτος</t>
  </si>
  <si>
    <t>1.0.1 transposition</t>
  </si>
  <si>
    <t>ο-ω</t>
  </si>
  <si>
    <t>ε-η</t>
  </si>
  <si>
    <t>1.0.2 transposition</t>
  </si>
  <si>
    <t>4.0.1 transposition</t>
  </si>
  <si>
    <t>μωμον μηδε βεβηλωμενην</t>
  </si>
  <si>
    <t>μωμον μητε βεβηλωμενην</t>
  </si>
  <si>
    <t>1.1.1 transposition</t>
  </si>
  <si>
    <t>Frequency = οραω - ειδος</t>
  </si>
  <si>
    <t>8</t>
  </si>
  <si>
    <r>
      <t xml:space="preserve">εντελλομαι υμιν </t>
    </r>
    <r>
      <rPr>
        <b/>
        <sz val="11"/>
        <color theme="1"/>
        <rFont val="Calibri"/>
        <family val="2"/>
        <scheme val="minor"/>
      </rPr>
      <t>ινα</t>
    </r>
    <r>
      <rPr>
        <sz val="11"/>
        <color theme="1"/>
        <rFont val="Calibri"/>
        <family val="2"/>
        <scheme val="minor"/>
      </rPr>
      <t xml:space="preserve"> φοβεισθε τον κν ημων</t>
    </r>
  </si>
  <si>
    <r>
      <t>εντελλομαι υμιν ινα</t>
    </r>
    <r>
      <rPr>
        <b/>
        <sz val="11"/>
        <color theme="1"/>
        <rFont val="Calibri"/>
        <family val="2"/>
        <scheme val="minor"/>
      </rPr>
      <t xml:space="preserve"> φοβεισθε</t>
    </r>
    <r>
      <rPr>
        <sz val="11"/>
        <color theme="1"/>
        <rFont val="Calibri"/>
        <family val="2"/>
        <scheme val="minor"/>
      </rPr>
      <t xml:space="preserve"> τον κν ημων</t>
    </r>
  </si>
  <si>
    <t>BC:CD</t>
  </si>
  <si>
    <t>frequency = μη</t>
  </si>
  <si>
    <r>
      <t xml:space="preserve">εργοις μου </t>
    </r>
    <r>
      <rPr>
        <b/>
        <sz val="11"/>
        <color theme="1"/>
        <rFont val="Calibri"/>
        <family val="2"/>
        <scheme val="minor"/>
      </rPr>
      <t>εν τε</t>
    </r>
    <r>
      <rPr>
        <sz val="11"/>
        <color theme="1"/>
        <rFont val="Calibri"/>
        <family val="2"/>
        <scheme val="minor"/>
      </rPr>
      <t xml:space="preserve"> αγρω</t>
    </r>
  </si>
  <si>
    <r>
      <t xml:space="preserve">εργοις μου </t>
    </r>
    <r>
      <rPr>
        <b/>
        <sz val="11"/>
        <color theme="1"/>
        <rFont val="Calibri"/>
        <family val="2"/>
        <scheme val="minor"/>
      </rPr>
      <t>ειτε</t>
    </r>
    <r>
      <rPr>
        <sz val="11"/>
        <color theme="1"/>
        <rFont val="Calibri"/>
        <family val="2"/>
        <scheme val="minor"/>
      </rPr>
      <t xml:space="preserve"> τω αγρω</t>
    </r>
  </si>
  <si>
    <r>
      <t xml:space="preserve">εργοις μου ειτε </t>
    </r>
    <r>
      <rPr>
        <b/>
        <sz val="11"/>
        <color theme="1"/>
        <rFont val="Calibri"/>
        <family val="2"/>
        <scheme val="minor"/>
      </rPr>
      <t>τω</t>
    </r>
    <r>
      <rPr>
        <sz val="11"/>
        <color theme="1"/>
        <rFont val="Calibri"/>
        <family val="2"/>
        <scheme val="minor"/>
      </rPr>
      <t xml:space="preserve"> αγρω</t>
    </r>
  </si>
  <si>
    <t>freq = ειτε - τε</t>
  </si>
  <si>
    <t>1.0.3 transposition</t>
  </si>
  <si>
    <t>1.1.1 transposition (or 1.0.1?)</t>
  </si>
  <si>
    <t>Frequency = ορος -οριος</t>
  </si>
  <si>
    <t>ω-ο; ι-η</t>
  </si>
  <si>
    <t>(4:3) βασιλεων (5:1) τη εξης</t>
  </si>
  <si>
    <t>(4:3) βασιλεων (5:1) και τη εξης</t>
  </si>
  <si>
    <t>BD</t>
  </si>
  <si>
    <t>6</t>
  </si>
  <si>
    <t>12</t>
  </si>
  <si>
    <t>AC:BD</t>
  </si>
  <si>
    <t>8:7</t>
  </si>
  <si>
    <t>η-ι</t>
  </si>
  <si>
    <t>σιτου is marked in Ff 1.24 as an alternate reading/correction; Queens does not follow; exact same thing happens in Oo.VI.9.8</t>
  </si>
  <si>
    <t>Frequency = πονηρια</t>
  </si>
  <si>
    <t>πορνεια επτα ημερας</t>
  </si>
  <si>
    <t>πορνεια ρ επτα ημερας</t>
  </si>
  <si>
    <t>λογους καθευδων συν αυτη εν τη μεθη μου ους ελαλησα</t>
  </si>
  <si>
    <t>λογους ους καθευδων συν αυτη εν τη μεθη μου ελαλησα</t>
  </si>
  <si>
    <t>7.0.1 transposition</t>
  </si>
  <si>
    <t>προς την ηδονην</t>
  </si>
  <si>
    <t>freq = rel. pron.</t>
  </si>
  <si>
    <r>
      <t xml:space="preserve">ουκ </t>
    </r>
    <r>
      <rPr>
        <b/>
        <sz val="11"/>
        <color theme="1"/>
        <rFont val="Calibri"/>
        <family val="2"/>
        <scheme val="minor"/>
      </rPr>
      <t>ησχυνθην</t>
    </r>
    <r>
      <rPr>
        <sz val="11"/>
        <color theme="1"/>
        <rFont val="Calibri"/>
        <family val="2"/>
        <scheme val="minor"/>
      </rPr>
      <t xml:space="preserve"> την εντολην του θεου</t>
    </r>
  </si>
  <si>
    <r>
      <t xml:space="preserve">(5) ευλογησε με </t>
    </r>
    <r>
      <rPr>
        <b/>
        <sz val="11"/>
        <color theme="1"/>
        <rFont val="Calibri"/>
        <family val="2"/>
        <scheme val="minor"/>
      </rPr>
      <t>βασιλευειν εν ιηλ και ισαακ επευλογησε με ομοιως</t>
    </r>
    <r>
      <rPr>
        <sz val="11"/>
        <color theme="1"/>
        <rFont val="Calibri"/>
        <family val="2"/>
        <scheme val="minor"/>
      </rPr>
      <t xml:space="preserve"> ουτως (6) και εγω οιδα</t>
    </r>
  </si>
  <si>
    <t>freq = κακοποιεω - κακος</t>
  </si>
  <si>
    <t>3.0.2 transposition</t>
  </si>
  <si>
    <r>
      <t>εσθητι η</t>
    </r>
    <r>
      <rPr>
        <b/>
        <sz val="11"/>
        <color theme="1"/>
        <rFont val="Calibri"/>
        <family val="2"/>
        <scheme val="minor"/>
      </rPr>
      <t xml:space="preserve"> την κοιλιαν μου αναρηξει</t>
    </r>
    <r>
      <rPr>
        <sz val="11"/>
        <color theme="1"/>
        <rFont val="Calibri"/>
        <family val="2"/>
        <scheme val="minor"/>
      </rPr>
      <t xml:space="preserve"> οτι ταυτα</t>
    </r>
  </si>
  <si>
    <r>
      <t>εσθητι η</t>
    </r>
    <r>
      <rPr>
        <b/>
        <sz val="11"/>
        <color theme="1"/>
        <rFont val="Calibri"/>
        <family val="2"/>
        <scheme val="minor"/>
      </rPr>
      <t xml:space="preserve"> αναρρηξοι την κοιλιαν μου</t>
    </r>
    <r>
      <rPr>
        <sz val="11"/>
        <color theme="1"/>
        <rFont val="Calibri"/>
        <family val="2"/>
        <scheme val="minor"/>
      </rPr>
      <t xml:space="preserve"> οτι ταυτα</t>
    </r>
  </si>
  <si>
    <t>3.0.1 transposition</t>
  </si>
  <si>
    <t>2.0.2 transposition</t>
  </si>
  <si>
    <t>Queens corrects to δια χειλεων; counting as omission since I'm not dealing with word division issues</t>
  </si>
  <si>
    <r>
      <t xml:space="preserve">εκατοστω </t>
    </r>
    <r>
      <rPr>
        <b/>
        <sz val="11"/>
        <color theme="1"/>
        <rFont val="Calibri"/>
        <family val="2"/>
        <scheme val="minor"/>
      </rPr>
      <t>τεσσαρακοστω</t>
    </r>
    <r>
      <rPr>
        <sz val="11"/>
        <color theme="1"/>
        <rFont val="Calibri"/>
        <family val="2"/>
        <scheme val="minor"/>
      </rPr>
      <t xml:space="preserve"> και δεκατω</t>
    </r>
  </si>
  <si>
    <r>
      <t xml:space="preserve">εκατοστω τεσσαρακοστω </t>
    </r>
    <r>
      <rPr>
        <b/>
        <sz val="11"/>
        <color theme="1"/>
        <rFont val="Calibri"/>
        <family val="2"/>
        <scheme val="minor"/>
      </rPr>
      <t>και</t>
    </r>
    <r>
      <rPr>
        <sz val="11"/>
        <color theme="1"/>
        <rFont val="Calibri"/>
        <family val="2"/>
        <scheme val="minor"/>
      </rPr>
      <t xml:space="preserve"> δεκατω</t>
    </r>
  </si>
  <si>
    <t>frequency = οραω - οιδα</t>
  </si>
  <si>
    <t>skips 2 lines (232v.2.18-20); frequency = πυλων</t>
  </si>
  <si>
    <t>autograph pattern matches that found in 4:4 = &lt;num&gt; ημερας και &lt;num&gt; νυκτας; apograph disharmonizes</t>
  </si>
  <si>
    <t>autograph reading matches pattern in 5:4 exactly (ελεος εν σπλαγχνοις); apograph disharmonizes</t>
  </si>
  <si>
    <r>
      <t xml:space="preserve">οι δε </t>
    </r>
    <r>
      <rPr>
        <b/>
        <sz val="11"/>
        <color theme="1"/>
        <rFont val="Calibri"/>
        <family val="2"/>
        <scheme val="minor"/>
      </rPr>
      <t>εμοι υιοι</t>
    </r>
    <r>
      <rPr>
        <sz val="11"/>
        <color theme="1"/>
        <rFont val="Calibri"/>
        <family val="2"/>
        <scheme val="minor"/>
      </rPr>
      <t xml:space="preserve"> ανοσοι διεφυλαχθησαν ως οιδατε </t>
    </r>
  </si>
  <si>
    <r>
      <t xml:space="preserve">οι δε </t>
    </r>
    <r>
      <rPr>
        <b/>
        <sz val="11"/>
        <color theme="1"/>
        <rFont val="Calibri"/>
        <family val="2"/>
        <scheme val="minor"/>
      </rPr>
      <t>υιοι μου</t>
    </r>
    <r>
      <rPr>
        <sz val="11"/>
        <color theme="1"/>
        <rFont val="Calibri"/>
        <family val="2"/>
        <scheme val="minor"/>
      </rPr>
      <t xml:space="preserve"> ανοσοι διαφυλαχθησαν ως οιδατε </t>
    </r>
  </si>
  <si>
    <r>
      <t xml:space="preserve">οι δε </t>
    </r>
    <r>
      <rPr>
        <b/>
        <sz val="11"/>
        <color theme="1"/>
        <rFont val="Calibri"/>
        <family val="2"/>
        <scheme val="minor"/>
      </rPr>
      <t>εμοι</t>
    </r>
    <r>
      <rPr>
        <sz val="11"/>
        <color theme="1"/>
        <rFont val="Calibri"/>
        <family val="2"/>
        <scheme val="minor"/>
      </rPr>
      <t xml:space="preserve"> υιοι ανοσοι </t>
    </r>
  </si>
  <si>
    <r>
      <t xml:space="preserve">οι δε υιοι </t>
    </r>
    <r>
      <rPr>
        <b/>
        <sz val="11"/>
        <color theme="1"/>
        <rFont val="Calibri"/>
        <family val="2"/>
        <scheme val="minor"/>
      </rPr>
      <t>μου</t>
    </r>
    <r>
      <rPr>
        <sz val="11"/>
        <color theme="1"/>
        <rFont val="Calibri"/>
        <family val="2"/>
        <scheme val="minor"/>
      </rPr>
      <t xml:space="preserve"> ανοσοι </t>
    </r>
  </si>
  <si>
    <t>TZeb.9.8</t>
  </si>
  <si>
    <t>3</t>
  </si>
  <si>
    <t>frequency = peri</t>
  </si>
  <si>
    <t>ειπας εαυτον δουλον ειναι και ιδου</t>
  </si>
  <si>
    <t>AB</t>
  </si>
  <si>
    <t>1.1.1.1:d.b.a.c transposition</t>
  </si>
  <si>
    <t>frequency = χρυσεος - χρυσινος</t>
  </si>
  <si>
    <t>freq = διδωμι - ιδου</t>
  </si>
  <si>
    <r>
      <t xml:space="preserve">ακουσατε τεκνα μου και </t>
    </r>
    <r>
      <rPr>
        <b/>
        <sz val="11"/>
        <color theme="1"/>
        <rFont val="Calibri"/>
        <family val="2"/>
        <scheme val="minor"/>
      </rPr>
      <t>ων</t>
    </r>
    <r>
      <rPr>
        <sz val="11"/>
        <color theme="1"/>
        <rFont val="Calibri"/>
        <family val="2"/>
        <scheme val="minor"/>
      </rPr>
      <t xml:space="preserve"> ειδον </t>
    </r>
    <r>
      <rPr>
        <b/>
        <sz val="11"/>
        <color theme="1"/>
        <rFont val="Calibri"/>
        <family val="2"/>
        <scheme val="minor"/>
      </rPr>
      <t>ενυπνιων</t>
    </r>
  </si>
  <si>
    <r>
      <t xml:space="preserve">ακουσατε δε τεκνα μου </t>
    </r>
    <r>
      <rPr>
        <b/>
        <sz val="11"/>
        <color theme="1"/>
        <rFont val="Calibri"/>
        <family val="2"/>
        <scheme val="minor"/>
      </rPr>
      <t>ο</t>
    </r>
    <r>
      <rPr>
        <sz val="11"/>
        <color theme="1"/>
        <rFont val="Calibri"/>
        <family val="2"/>
        <scheme val="minor"/>
      </rPr>
      <t xml:space="preserve"> ειδον </t>
    </r>
    <r>
      <rPr>
        <b/>
        <sz val="11"/>
        <color theme="1"/>
        <rFont val="Calibri"/>
        <family val="2"/>
        <scheme val="minor"/>
      </rPr>
      <t>ενυπνιον</t>
    </r>
  </si>
  <si>
    <t>freq = ετος (sent) - ετος (year)</t>
  </si>
  <si>
    <t>πατρι μου οτε επωλησαν</t>
  </si>
  <si>
    <t>taking ειτι as 3s of ειμι (to go)</t>
  </si>
  <si>
    <t>τα θηρια φοβηθησονται υμας (3) οπου</t>
  </si>
  <si>
    <r>
      <t xml:space="preserve">τα θηρια </t>
    </r>
    <r>
      <rPr>
        <b/>
        <sz val="11"/>
        <color theme="1"/>
        <rFont val="Calibri"/>
        <family val="2"/>
        <scheme val="minor"/>
      </rPr>
      <t>φευξεται</t>
    </r>
    <r>
      <rPr>
        <sz val="11"/>
        <color theme="1"/>
        <rFont val="Calibri"/>
        <family val="2"/>
        <scheme val="minor"/>
      </rPr>
      <t xml:space="preserve"> αφ υμων φοβηθεντες (3) οπου</t>
    </r>
  </si>
  <si>
    <r>
      <t xml:space="preserve">τα θηρια φευξεται </t>
    </r>
    <r>
      <rPr>
        <b/>
        <sz val="11"/>
        <color theme="1"/>
        <rFont val="Calibri"/>
        <family val="2"/>
        <scheme val="minor"/>
      </rPr>
      <t>αφ υμων φοβηθεντες</t>
    </r>
    <r>
      <rPr>
        <sz val="11"/>
        <color theme="1"/>
        <rFont val="Calibri"/>
        <family val="2"/>
        <scheme val="minor"/>
      </rPr>
      <t xml:space="preserve"> (3) οπου</t>
    </r>
  </si>
  <si>
    <r>
      <t xml:space="preserve">τα θηρια </t>
    </r>
    <r>
      <rPr>
        <b/>
        <sz val="11"/>
        <color theme="1"/>
        <rFont val="Calibri"/>
        <family val="2"/>
        <scheme val="minor"/>
      </rPr>
      <t>φοβηθησονται υμας</t>
    </r>
    <r>
      <rPr>
        <sz val="11"/>
        <color theme="1"/>
        <rFont val="Calibri"/>
        <family val="2"/>
        <scheme val="minor"/>
      </rPr>
      <t xml:space="preserve"> (3) οπου</t>
    </r>
  </si>
  <si>
    <r>
      <t xml:space="preserve">τα θηρια φευξεται </t>
    </r>
    <r>
      <rPr>
        <b/>
        <sz val="11"/>
        <color theme="1"/>
        <rFont val="Calibri"/>
        <family val="2"/>
        <scheme val="minor"/>
      </rPr>
      <t>αφ υμων</t>
    </r>
    <r>
      <rPr>
        <sz val="11"/>
        <color theme="1"/>
        <rFont val="Calibri"/>
        <family val="2"/>
        <scheme val="minor"/>
      </rPr>
      <t xml:space="preserve"> φοβηθεντες (3) οπου</t>
    </r>
  </si>
  <si>
    <r>
      <t xml:space="preserve">τα θηρια φοβηθησονται </t>
    </r>
    <r>
      <rPr>
        <b/>
        <sz val="11"/>
        <color theme="1"/>
        <rFont val="Calibri"/>
        <family val="2"/>
        <scheme val="minor"/>
      </rPr>
      <t>υμας</t>
    </r>
    <r>
      <rPr>
        <sz val="11"/>
        <color theme="1"/>
        <rFont val="Calibri"/>
        <family val="2"/>
        <scheme val="minor"/>
      </rPr>
      <t xml:space="preserve"> (3) οπου</t>
    </r>
  </si>
  <si>
    <r>
      <t xml:space="preserve">τα θηρια φευξεται αφ υμων </t>
    </r>
    <r>
      <rPr>
        <b/>
        <sz val="11"/>
        <color theme="1"/>
        <rFont val="Calibri"/>
        <family val="2"/>
        <scheme val="minor"/>
      </rPr>
      <t>φοβηθεντες</t>
    </r>
    <r>
      <rPr>
        <sz val="11"/>
        <color theme="1"/>
        <rFont val="Calibri"/>
        <family val="2"/>
        <scheme val="minor"/>
      </rPr>
      <t xml:space="preserve"> (3) οπου</t>
    </r>
  </si>
  <si>
    <r>
      <t xml:space="preserve">τα θηρια </t>
    </r>
    <r>
      <rPr>
        <b/>
        <sz val="11"/>
        <color theme="1"/>
        <rFont val="Calibri"/>
        <family val="2"/>
        <scheme val="minor"/>
      </rPr>
      <t>φοβηθησονται</t>
    </r>
    <r>
      <rPr>
        <sz val="11"/>
        <color theme="1"/>
        <rFont val="Calibri"/>
        <family val="2"/>
        <scheme val="minor"/>
      </rPr>
      <t xml:space="preserve"> υμας (3) οπου</t>
    </r>
  </si>
  <si>
    <t>autograph matches format at beginning of vs. 7 (τοτε και ημεις αναστησομεθα); apograph disharmonizes</t>
  </si>
  <si>
    <t>Var Type</t>
  </si>
  <si>
    <t>Indpendent</t>
  </si>
  <si>
    <t>% Dual:</t>
  </si>
  <si>
    <t>W/ Nons</t>
  </si>
  <si>
    <t>W/o Nons</t>
  </si>
  <si>
    <t>Adds:</t>
  </si>
  <si>
    <t>Omits:</t>
  </si>
  <si>
    <t>9:9</t>
  </si>
  <si>
    <t>7:3</t>
  </si>
  <si>
    <t>W/ ditt.</t>
  </si>
  <si>
    <t>W/o ditt.</t>
  </si>
  <si>
    <t>Non-Duals</t>
  </si>
  <si>
    <t>SimGem</t>
  </si>
  <si>
    <t>AspChan</t>
  </si>
  <si>
    <t>ε-η; ω-ο</t>
  </si>
  <si>
    <t>ω-ο; ο-ω</t>
  </si>
  <si>
    <t>SibOm</t>
  </si>
  <si>
    <r>
      <t xml:space="preserve">ειπας </t>
    </r>
    <r>
      <rPr>
        <b/>
        <sz val="11"/>
        <color theme="1"/>
        <rFont val="Calibri"/>
        <family val="2"/>
        <scheme val="minor"/>
      </rPr>
      <t>εαυτον</t>
    </r>
    <r>
      <rPr>
        <sz val="11"/>
        <color theme="1"/>
        <rFont val="Calibri"/>
        <family val="2"/>
        <scheme val="minor"/>
      </rPr>
      <t xml:space="preserve"> δουλον ειναι και ιδου</t>
    </r>
  </si>
  <si>
    <r>
      <t xml:space="preserve">ειπας σεαυτον </t>
    </r>
    <r>
      <rPr>
        <b/>
        <sz val="11"/>
        <color theme="1"/>
        <rFont val="Calibri"/>
        <family val="2"/>
        <scheme val="minor"/>
      </rPr>
      <t>οτι</t>
    </r>
    <r>
      <rPr>
        <sz val="11"/>
        <color theme="1"/>
        <rFont val="Calibri"/>
        <family val="2"/>
        <scheme val="minor"/>
      </rPr>
      <t xml:space="preserve"> δουλος ειμι και ιδου</t>
    </r>
  </si>
  <si>
    <r>
      <t xml:space="preserve">ειπας εαυτον </t>
    </r>
    <r>
      <rPr>
        <b/>
        <sz val="11"/>
        <color theme="1"/>
        <rFont val="Calibri"/>
        <family val="2"/>
        <scheme val="minor"/>
      </rPr>
      <t>δουλον</t>
    </r>
    <r>
      <rPr>
        <sz val="11"/>
        <color theme="1"/>
        <rFont val="Calibri"/>
        <family val="2"/>
        <scheme val="minor"/>
      </rPr>
      <t xml:space="preserve"> ειναι και ιδου</t>
    </r>
  </si>
  <si>
    <r>
      <t xml:space="preserve">ειπας σεαυτον οτι </t>
    </r>
    <r>
      <rPr>
        <b/>
        <sz val="11"/>
        <color theme="1"/>
        <rFont val="Calibri"/>
        <family val="2"/>
        <scheme val="minor"/>
      </rPr>
      <t>δουλος</t>
    </r>
    <r>
      <rPr>
        <sz val="11"/>
        <color theme="1"/>
        <rFont val="Calibri"/>
        <family val="2"/>
        <scheme val="minor"/>
      </rPr>
      <t xml:space="preserve"> ειμι και ιδου</t>
    </r>
  </si>
  <si>
    <r>
      <t xml:space="preserve">ειπας εαυτον δουλον </t>
    </r>
    <r>
      <rPr>
        <b/>
        <sz val="11"/>
        <color theme="1"/>
        <rFont val="Calibri"/>
        <family val="2"/>
        <scheme val="minor"/>
      </rPr>
      <t>ειναι</t>
    </r>
    <r>
      <rPr>
        <sz val="11"/>
        <color theme="1"/>
        <rFont val="Calibri"/>
        <family val="2"/>
        <scheme val="minor"/>
      </rPr>
      <t xml:space="preserve"> και ιδου</t>
    </r>
  </si>
  <si>
    <r>
      <t xml:space="preserve">ειπας σεαυτον οτι δουλος </t>
    </r>
    <r>
      <rPr>
        <b/>
        <sz val="11"/>
        <color theme="1"/>
        <rFont val="Calibri"/>
        <family val="2"/>
        <scheme val="minor"/>
      </rPr>
      <t>ειμι</t>
    </r>
    <r>
      <rPr>
        <sz val="11"/>
        <color theme="1"/>
        <rFont val="Calibri"/>
        <family val="2"/>
        <scheme val="minor"/>
      </rPr>
      <t xml:space="preserve"> και ιδου</t>
    </r>
  </si>
  <si>
    <t>AltForm</t>
  </si>
  <si>
    <t>Contraction</t>
  </si>
  <si>
    <t>Dependent variant</t>
  </si>
  <si>
    <t>adds:</t>
  </si>
  <si>
    <t>omits:</t>
  </si>
  <si>
    <t>Add rate:</t>
  </si>
  <si>
    <t>LM</t>
  </si>
  <si>
    <t>HM</t>
  </si>
  <si>
    <t>LM-adds:</t>
  </si>
  <si>
    <t>LM-omits:</t>
  </si>
  <si>
    <t>LM-add rate:</t>
  </si>
  <si>
    <t>Adds</t>
  </si>
  <si>
    <t>Omits</t>
  </si>
  <si>
    <t>Length</t>
  </si>
  <si>
    <t>AddRate</t>
  </si>
  <si>
    <t>Cues</t>
  </si>
  <si>
    <t>Not</t>
  </si>
  <si>
    <t>% present</t>
  </si>
  <si>
    <t>Total</t>
  </si>
  <si>
    <t>HM-adds:</t>
  </si>
  <si>
    <t>HM-omits:</t>
  </si>
  <si>
    <t>HM-add rate:</t>
  </si>
  <si>
    <t>Add rate diff.</t>
  </si>
  <si>
    <t>Add Ratio</t>
  </si>
  <si>
    <t>Cues Abs.</t>
  </si>
  <si>
    <t>Cues Pres.</t>
  </si>
  <si>
    <t>Non-ditt.</t>
  </si>
  <si>
    <t>Ditt.</t>
  </si>
  <si>
    <t>2-3</t>
  </si>
  <si>
    <t>4+</t>
  </si>
  <si>
    <t>&gt;=5</t>
  </si>
  <si>
    <t>Words in corpus (Genesis - Deuteronomy)</t>
  </si>
  <si>
    <t>SUB_Aut_Freq</t>
  </si>
  <si>
    <t>SUB_Apog_Freq</t>
  </si>
  <si>
    <t/>
  </si>
  <si>
    <t>Freq-per-10000</t>
  </si>
  <si>
    <t>Med-word-freq</t>
  </si>
  <si>
    <t>HF-adds</t>
  </si>
  <si>
    <t>HF-omits</t>
  </si>
  <si>
    <t>HF-add-ratio</t>
  </si>
  <si>
    <t>LF-adds</t>
  </si>
  <si>
    <t>LF-omits</t>
  </si>
  <si>
    <t>LF-add-ratio</t>
  </si>
  <si>
    <t>art-adds</t>
  </si>
  <si>
    <t>art-omits</t>
  </si>
  <si>
    <t>art-add-rate</t>
  </si>
  <si>
    <t>Aut_P10K_Freq</t>
  </si>
  <si>
    <t>Apog_P10K_Freq</t>
  </si>
  <si>
    <t>P10K_Freq_Diff</t>
  </si>
  <si>
    <t>pos</t>
  </si>
  <si>
    <t>neg</t>
  </si>
  <si>
    <t>p =</t>
  </si>
  <si>
    <t>avg_diff</t>
  </si>
  <si>
    <t>stdv</t>
  </si>
  <si>
    <t>avg_P10K_diff</t>
  </si>
  <si>
    <t>P10K_stdv</t>
  </si>
  <si>
    <t>AddRatioDiff</t>
  </si>
  <si>
    <t>total_subs</t>
  </si>
  <si>
    <t>std_dev</t>
  </si>
  <si>
    <t>Harmonizations</t>
  </si>
  <si>
    <t>Disharmonizations</t>
  </si>
  <si>
    <t>Harm_Ratio</t>
  </si>
  <si>
    <t>Words copied</t>
  </si>
  <si>
    <t>Raw Errors</t>
  </si>
  <si>
    <t>Variants</t>
  </si>
  <si>
    <t>Raw PKW Error Rate</t>
  </si>
  <si>
    <t>PKW Meaningful Error Rate</t>
  </si>
  <si>
    <t>Pseudo-singular</t>
  </si>
  <si>
    <t>Correction Readings Followed</t>
  </si>
  <si>
    <t>% Yes</t>
  </si>
  <si>
    <t>Variant Corrected</t>
  </si>
  <si>
    <t>Count</t>
  </si>
  <si>
    <t>% of Variants</t>
  </si>
  <si>
    <t>Proportion of "Corrections"</t>
  </si>
  <si>
    <t>Partially</t>
  </si>
  <si>
    <t>To Other Variant</t>
  </si>
  <si>
    <t>treating υμων -&gt; υμας  as dependent on αφ</t>
  </si>
  <si>
    <t>Diff.:</t>
  </si>
  <si>
    <r>
      <t xml:space="preserve">αδελφος </t>
    </r>
    <r>
      <rPr>
        <b/>
        <sz val="11"/>
        <color theme="1"/>
        <rFont val="Calibri"/>
        <family val="2"/>
        <scheme val="minor"/>
      </rPr>
      <t>ημων</t>
    </r>
    <r>
      <rPr>
        <sz val="11"/>
        <color theme="1"/>
        <rFont val="Calibri"/>
        <family val="2"/>
        <scheme val="minor"/>
      </rPr>
      <t xml:space="preserve"> επωλησεν </t>
    </r>
  </si>
  <si>
    <r>
      <t xml:space="preserve">αδελφος </t>
    </r>
    <r>
      <rPr>
        <b/>
        <sz val="11"/>
        <color theme="1"/>
        <rFont val="Calibri"/>
        <family val="2"/>
        <scheme val="minor"/>
      </rPr>
      <t>μου</t>
    </r>
    <r>
      <rPr>
        <sz val="11"/>
        <color theme="1"/>
        <rFont val="Calibri"/>
        <family val="2"/>
        <scheme val="minor"/>
      </rPr>
      <t xml:space="preserve"> επωλεσεν </t>
    </r>
  </si>
  <si>
    <r>
      <t xml:space="preserve">αδελφος ημων </t>
    </r>
    <r>
      <rPr>
        <b/>
        <sz val="11"/>
        <color theme="1"/>
        <rFont val="Calibri"/>
        <family val="2"/>
        <scheme val="minor"/>
      </rPr>
      <t>επωλησεν</t>
    </r>
    <r>
      <rPr>
        <sz val="11"/>
        <color theme="1"/>
        <rFont val="Calibri"/>
        <family val="2"/>
        <scheme val="minor"/>
      </rPr>
      <t xml:space="preserve"> </t>
    </r>
  </si>
  <si>
    <r>
      <t xml:space="preserve">αδελφος μου </t>
    </r>
    <r>
      <rPr>
        <b/>
        <sz val="11"/>
        <color theme="1"/>
        <rFont val="Calibri"/>
        <family val="2"/>
        <scheme val="minor"/>
      </rPr>
      <t>επωλεσεν</t>
    </r>
    <r>
      <rPr>
        <sz val="11"/>
        <color theme="1"/>
        <rFont val="Calibri"/>
        <family val="2"/>
        <scheme val="minor"/>
      </rPr>
      <t xml:space="preserve"> </t>
    </r>
  </si>
  <si>
    <t>εν φοω κυ</t>
  </si>
  <si>
    <r>
      <t xml:space="preserve">εκακωσα την ψυχην μου εν </t>
    </r>
    <r>
      <rPr>
        <b/>
        <sz val="11"/>
        <color theme="1"/>
        <rFont val="Calibri"/>
        <family val="2"/>
        <scheme val="minor"/>
      </rPr>
      <t>νεστεια</t>
    </r>
    <r>
      <rPr>
        <sz val="11"/>
        <color theme="1"/>
        <rFont val="Calibri"/>
        <family val="2"/>
        <scheme val="minor"/>
      </rPr>
      <t xml:space="preserve"> και εγνων</t>
    </r>
  </si>
  <si>
    <r>
      <t xml:space="preserve">εκακωσα </t>
    </r>
    <r>
      <rPr>
        <b/>
        <sz val="11"/>
        <color theme="1"/>
        <rFont val="Calibri"/>
        <family val="2"/>
        <scheme val="minor"/>
      </rPr>
      <t>την ψυχην μου εν νεστεια</t>
    </r>
    <r>
      <rPr>
        <sz val="11"/>
        <color theme="1"/>
        <rFont val="Calibri"/>
        <family val="2"/>
        <scheme val="minor"/>
      </rPr>
      <t xml:space="preserve"> και εγνων</t>
    </r>
  </si>
  <si>
    <t>ως αυτως</t>
  </si>
  <si>
    <t>μρς αυτου καιγε ουτος εν πονηρια απεθανεν (6) ηθελον δε</t>
  </si>
  <si>
    <r>
      <t xml:space="preserve">(5) ευλογησε </t>
    </r>
    <r>
      <rPr>
        <b/>
        <sz val="11"/>
        <color theme="1"/>
        <rFont val="Calibri"/>
        <family val="2"/>
        <scheme val="minor"/>
      </rPr>
      <t>με</t>
    </r>
    <r>
      <rPr>
        <sz val="11"/>
        <color theme="1"/>
        <rFont val="Calibri"/>
        <family val="2"/>
        <scheme val="minor"/>
      </rPr>
      <t xml:space="preserve"> βασιλευειν εν ιηλ και ισαακ επευλογησε με ομοιως ουτως (6) και εγω οιδα</t>
    </r>
  </si>
  <si>
    <t>επ αυτον οι ουνοι</t>
  </si>
  <si>
    <t>εως ου επωλησαν αυτον τοις ισμαηλιταις (3:1) και γαρ</t>
  </si>
  <si>
    <r>
      <t xml:space="preserve">(2) ειποντες (3) </t>
    </r>
    <r>
      <rPr>
        <b/>
        <sz val="11"/>
        <color theme="1"/>
        <rFont val="Calibri"/>
        <family val="2"/>
        <scheme val="minor"/>
      </rPr>
      <t>ου φαγομεθα αυτην οτι τιμη αιματος του αδελφου ημων αυτη</t>
    </r>
    <r>
      <rPr>
        <sz val="11"/>
        <color theme="1"/>
        <rFont val="Calibri"/>
        <family val="2"/>
        <scheme val="minor"/>
      </rPr>
      <t xml:space="preserve"> αλλα</t>
    </r>
  </si>
  <si>
    <r>
      <t xml:space="preserve">σκαφος </t>
    </r>
    <r>
      <rPr>
        <b/>
        <sz val="11"/>
        <color theme="1"/>
        <rFont val="Calibri"/>
        <family val="2"/>
        <scheme val="minor"/>
      </rPr>
      <t>εν θαλασση επιπλεειν</t>
    </r>
    <r>
      <rPr>
        <sz val="11"/>
        <color theme="1"/>
        <rFont val="Calibri"/>
        <family val="2"/>
        <scheme val="minor"/>
      </rPr>
      <t xml:space="preserve"> οτι κς</t>
    </r>
  </si>
  <si>
    <t>σκαφος εν θαλασση επιπλεειν οτι κς</t>
  </si>
  <si>
    <t>προσεχοντες τον νομον του θυ</t>
  </si>
  <si>
    <t>και πενθει ο πηρ</t>
  </si>
  <si>
    <t>πρι μου οτι επωλησαν</t>
  </si>
  <si>
    <t>αγαπησατε κν τον θν</t>
  </si>
  <si>
    <t>οτε ο κς</t>
  </si>
  <si>
    <r>
      <t xml:space="preserve">προσενεγκασα ιερει </t>
    </r>
    <r>
      <rPr>
        <b/>
        <sz val="11"/>
        <color theme="1"/>
        <rFont val="Calibri"/>
        <family val="2"/>
        <scheme val="minor"/>
      </rPr>
      <t xml:space="preserve">υψιστου </t>
    </r>
    <r>
      <rPr>
        <sz val="11"/>
        <color theme="1"/>
        <rFont val="Calibri"/>
        <family val="2"/>
        <scheme val="minor"/>
      </rPr>
      <t>τω οντι</t>
    </r>
  </si>
  <si>
    <t>προσενεγκεισα τω ιερει υμων υψιστω οντι</t>
  </si>
  <si>
    <t>τα θηρια φευξεται αφ υμων φοβηθεντες (3) οπου</t>
  </si>
  <si>
    <t>freq. = δυω - δυνατος</t>
  </si>
  <si>
    <t>The name is spelled εμμωρ in every other instance on this page (cff. 6:3,4); apograph disharmonizes (note, however, that the apograph is consistent with it's current spelling hereafter… so never mind)</t>
  </si>
  <si>
    <t>skips 1 column (235v.1.5 - 2.5)</t>
  </si>
  <si>
    <t>Harmonization_Direction</t>
  </si>
  <si>
    <t>Forward</t>
  </si>
  <si>
    <t>Backward</t>
  </si>
  <si>
    <t>Both</t>
  </si>
  <si>
    <t>Directionality</t>
  </si>
  <si>
    <t>Oo.VI.91.8: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</si>
</sst>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0"/>
      <color theme="1"/>
      <name val="Arial Unicode MS"/>
    </font>
  </fonts>
  <fills count="6">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0" xfId="0" applyFont="1"/>
    <xf numFmtId="0" fontId="0" fillId="2" borderId="0" xfId="0" applyFill="1"/>
    <xf numFmtId="0" fontId="1" fillId="0" borderId="0" xfId="0" applyFont="1" applyAlignment="1">
      <alignment wrapText="1"/>
    </xf>
    <xf numFmtId="0" fontId="0" fillId="0" borderId="0" xfId="0" applyAlignment="1">
      <alignment wrapText="1"/>
    </xf>
    <xf numFmtId="0" fontId="0" fillId="3" borderId="0" xfId="0" applyFill="1"/>
    <xf numFmtId="0" fontId="0" fillId="2" borderId="0" xfId="0" applyFill="1" applyAlignment="1">
      <alignment wrapText="1"/>
    </xf>
    <xf numFmtId="0" fontId="0" fillId="4" borderId="0" xfId="0" applyFill="1"/>
    <xf numFmtId="0" fontId="0" fillId="4" borderId="0" xfId="0" applyFill="1" applyAlignment="1">
      <alignment wrapText="1"/>
    </xf>
    <xf numFmtId="49" fontId="1" fillId="0" borderId="0" xfId="0" applyNumberFormat="1" applyFont="1"/>
    <xf numFmtId="0" fontId="0" fillId="5" borderId="1" xfId="0" applyFill="1" applyBorder="1"/>
    <xf numFmtId="49" fontId="0" fillId="5" borderId="1" xfId="0" applyNumberFormat="1" applyFill="1" applyBorder="1"/>
    <xf numFmtId="49" fontId="0" fillId="0" borderId="0" xfId="0" applyNumberFormat="1"/>
    <xf numFmtId="0" fontId="4" fillId="0" borderId="0" xfId="0" applyFont="1" applyAlignment="1">
      <alignment vertical="center"/>
    </xf>
    <xf numFmtId="0" fontId="0" fillId="3" borderId="0" xfId="0" applyFill="1" applyAlignment="1">
      <alignment wrapText="1"/>
    </xf>
    <xf numFmtId="0" fontId="0" fillId="0" borderId="0" xfId="0" applyAlignment="1">
      <alignment horizontal="center"/>
    </xf>
  </cellXfs>
  <cellStyles count="1">
    <cellStyle name="Normal" xfId="0" builtinId="0"/>
  </cellStyles>
  <dxfs count="342">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Jonathan Wilken" id="{5D048A0C-9405-47F1-A020-6E53793B23CD}" userId="186593bc330ab858"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1" dT="2024-01-16T10:00:06.98" personId="{5D048A0C-9405-47F1-A020-6E53793B23CD}" id="{A583AA6A-921A-4652-A75F-52BF1C7A80F4}">
    <text>For substitutions, the word frequency of the apograph reading</text>
  </threadedComment>
  <threadedComment ref="V1" dT="2024-01-16T09:59:48.08" personId="{5D048A0C-9405-47F1-A020-6E53793B23CD}" id="{7132590E-CF94-437D-BF1C-0C6BE5CC1AC9}">
    <text>For substitutions, the word frequency of the autograph reading</text>
  </threadedComment>
</ThreadedComments>
</file>

<file path=xl/threadedComments/threadedComment2.xml><?xml version="1.0" encoding="utf-8"?>
<ThreadedComments xmlns="http://schemas.microsoft.com/office/spreadsheetml/2018/threadedcomments" xmlns:x="http://schemas.openxmlformats.org/spreadsheetml/2006/main">
  <threadedComment ref="R1" dT="2024-01-16T10:00:06.98" personId="{5D048A0C-9405-47F1-A020-6E53793B23CD}" id="{598D0D53-13BE-4122-82DE-8C75A47DDF5F}">
    <text>For substitutions, the word frequency of the apograph reading</text>
  </threadedComment>
  <threadedComment ref="S1" dT="2024-01-16T09:59:48.08" personId="{5D048A0C-9405-47F1-A020-6E53793B23CD}" id="{8B22FD64-2CD5-4803-A814-2C105B0C5C8F}">
    <text>For substitutions, the word frequency of the autograph reading</text>
  </threadedComment>
</ThreadedComments>
</file>

<file path=xl/threadedComments/threadedComment3.xml><?xml version="1.0" encoding="utf-8"?>
<ThreadedComments xmlns="http://schemas.microsoft.com/office/spreadsheetml/2018/threadedcomments" xmlns:x="http://schemas.openxmlformats.org/spreadsheetml/2006/main">
  <threadedComment ref="Q1" dT="2024-01-15T15:51:08.85" personId="{5D048A0C-9405-47F1-A020-6E53793B23CD}" id="{D3E1503E-ADBC-4901-9CB8-381D4D4972F5}">
    <text>Derived variable indicating the number of times per 1000 words the added or omitted word occurs. Thus, Freq-per-10,000 = (AO Word Frequency / Words in Corpus) * 10,000</text>
  </threadedComment>
  <threadedComment ref="S1" dT="2024-01-16T10:00:06.98" personId="{5D048A0C-9405-47F1-A020-6E53793B23CD}" id="{87ED9665-BC39-4A35-8052-63185454DE40}">
    <text>For substitutions, the word frequency of the apograph reading</text>
  </threadedComment>
  <threadedComment ref="T1" dT="2024-01-16T09:59:48.08" personId="{5D048A0C-9405-47F1-A020-6E53793B23CD}" id="{CAC986C3-627C-49E5-BD61-8C23B48414F7}">
    <text>For substitutions, the word frequency of the autograph reading</text>
  </threadedComment>
  <threadedComment ref="F254" dT="2023-09-09T16:20:24.92" personId="{5D048A0C-9405-47F1-A020-6E53793B23CD}" id="{E1CF37CC-2296-4744-BD75-A9DC9E9E43ED}">
    <text>Raw number of additions</text>
  </threadedComment>
  <threadedComment ref="B255" dT="2023-09-09T13:15:24.43" personId="{5D048A0C-9405-47F1-A020-6E53793B23CD}" id="{274ECC98-4F63-4ACA-9230-8E28CD046088}">
    <text>"Low Meaning" words</text>
  </threadedComment>
  <threadedComment ref="C255" dT="2023-09-09T13:15:40.92" personId="{5D048A0C-9405-47F1-A020-6E53793B23CD}" id="{EBDEF904-8C3F-4F0C-B849-17AAF95A02AC}">
    <text>"High Meaning" words</text>
  </threadedComment>
  <threadedComment ref="F255" dT="2023-09-09T16:20:41.93" personId="{5D048A0C-9405-47F1-A020-6E53793B23CD}" id="{6445E331-8537-4664-881E-30CB6814AE82}">
    <text>Raw number of omissions</text>
  </threadedComment>
  <threadedComment ref="F256" dT="2023-09-09T16:21:30.82" personId="{5D048A0C-9405-47F1-A020-6E53793B23CD}" id="{BDBDD0D7-A8BB-43D2-8F64-9BAED6B4662F}">
    <text>% of add-omits that are additions</text>
  </threadedComment>
  <threadedComment ref="F259" dT="2023-09-09T16:22:43.13" personId="{5D048A0C-9405-47F1-A020-6E53793B23CD}" id="{156C5498-9434-4C58-8B08-E23339B1F693}">
    <text>Raw number of additions of "low meaning" words. See LM column for included word types (and adjust equation as necessary)</text>
  </threadedComment>
  <threadedComment ref="F260" dT="2023-09-09T16:23:00.73" personId="{5D048A0C-9405-47F1-A020-6E53793B23CD}" id="{947B5530-17C7-426F-90C7-956BD178CF85}">
    <text>Raw number of omissions of "low meaning" words. See LM column for included word types (and adjust equation as necessary)</text>
  </threadedComment>
  <threadedComment ref="F261" dT="2023-09-09T16:23:25.50" personId="{5D048A0C-9405-47F1-A020-6E53793B23CD}" id="{760A03EA-59D3-4D61-8E5C-761EC28A7CE5}">
    <text>Addition rate for "low meaning" words. See LM column for included word types (and adjust equation as necessary)</text>
  </threadedComment>
  <threadedComment ref="F264" dT="2023-09-09T16:26:23.57" personId="{5D048A0C-9405-47F1-A020-6E53793B23CD}" id="{E9CECDCC-BE71-4DB9-BC6B-AFE76C70F0D9}">
    <text>Raw number of additions of "high meaning" words. See HM column for included word types (and adjust equation as necessary)</text>
  </threadedComment>
  <threadedComment ref="F265" dT="2023-09-09T16:26:53.68" personId="{5D048A0C-9405-47F1-A020-6E53793B23CD}" id="{AAC78893-3907-4B4C-8001-8DFE279797E8}">
    <text>Raw number of omissions of "high meaning" words. See HM column for included word types (and adjust equation as necessary)</text>
  </threadedComment>
  <threadedComment ref="F266" dT="2023-09-09T16:27:24.75" personId="{5D048A0C-9405-47F1-A020-6E53793B23CD}" id="{9E1C9C85-CE38-41FA-9E7E-66C9CE7D2D7B}">
    <text>Addition rate for "high meaning" words. See HM column for included word types (and adjust equation as necessary)</text>
  </threadedComment>
  <threadedComment ref="D272" dT="2023-09-09T16:31:02.72" personId="{5D048A0C-9405-47F1-A020-6E53793B23CD}" id="{D60A5237-A586-4DD2-A8C9-43C2D538F938}">
    <text>The number of add-omits where visual cues are present that are, in fact, additions. I.e., the number of additions that result in the presence of visual cues</text>
  </threadedComment>
  <threadedComment ref="E272" dT="2023-09-09T16:31:50.60" personId="{5D048A0C-9405-47F1-A020-6E53793B23CD}" id="{2E2E06E3-F17D-45D5-A8F1-043AEC20C753}">
    <text>The number of add-omits where visual cues are NOT present that are, in fact, additions. I.e., the number of additions that generate no visual cues</text>
  </threadedComment>
  <threadedComment ref="F272" dT="2023-09-09T16:33:25.83" personId="{5D048A0C-9405-47F1-A020-6E53793B23CD}" id="{98E28E1E-00CD-4499-BE87-B3700A0AB4CE}">
    <text>The percentage of add-omits where visual cues are present that are, in fact, additions. I.e., a percent frequency indicating how often an addition generates visual cues</text>
  </threadedComment>
  <threadedComment ref="D273" dT="2023-09-09T16:34:19.48" personId="{5D048A0C-9405-47F1-A020-6E53793B23CD}" id="{E82BCE92-A9EC-4E7E-A5AC-E9F3D39997D5}">
    <text>The number of add-omits where visual cues are present that are, in fact, omissions. I.e., the number of times that omissions occurred in the presence of visual cues</text>
  </threadedComment>
  <threadedComment ref="E273" dT="2023-09-09T16:34:51.06" personId="{5D048A0C-9405-47F1-A020-6E53793B23CD}" id="{286BD359-AFF3-4611-B830-54CE0746A6A6}">
    <text>The number of add-omits where visual cues are NOT present that are, in fact, omissions. I.e., the number of times that omissions occurred in the absence of visual cues</text>
  </threadedComment>
  <threadedComment ref="F273" dT="2023-09-09T16:35:41.16" personId="{5D048A0C-9405-47F1-A020-6E53793B23CD}" id="{6BF7603F-DBC9-4AE6-934D-80EECB22C08D}">
    <text>The percentage of add-omits where visual cues are present that are, in fact, omissions. I.e., the percentage of omissions that could plausibly be due to visual cues</text>
  </threadedComment>
  <threadedComment ref="D274" dT="2023-09-09T16:36:05.81" personId="{5D048A0C-9405-47F1-A020-6E53793B23CD}" id="{AC9D3A3D-914D-4763-89A6-30FFE2FFA21D}">
    <text>The total number of add-omits that involve visual cues</text>
  </threadedComment>
  <threadedComment ref="E274" dT="2023-09-09T16:38:54.43" personId="{5D048A0C-9405-47F1-A020-6E53793B23CD}" id="{8529FA63-0B4C-4CF9-A135-8002F11C2ACD}">
    <text>The total number of add-omits that involve NO visual cues (given the definition of this project, i.e., 3-character minimum similarity in critical regions)</text>
  </threadedComment>
  <threadedComment ref="F274" dT="2023-09-09T16:39:12.76" personId="{5D048A0C-9405-47F1-A020-6E53793B23CD}" id="{6E70B7A2-43BA-46DE-B423-491AF7E7DEC9}">
    <text>The percentage of all add-omits that involve visual cues</text>
  </threadedComment>
  <threadedComment ref="D278" dT="2023-09-09T16:31:50.60" personId="{5D048A0C-9405-47F1-A020-6E53793B23CD}" id="{4F520C2B-9CAC-41CD-AD19-0D0BEAD0F385}">
    <text>The number of add-omits where visual cues are NOT present that are, in fact, additions. I.e., the number of additions that generate no visual cues</text>
  </threadedComment>
  <threadedComment ref="E278" dT="2023-09-09T16:34:51.06" personId="{5D048A0C-9405-47F1-A020-6E53793B23CD}" id="{63BC9B8E-AF8E-450A-B02E-B997D5553F55}">
    <text>The number of add-omits where visual cues are NOT present that are, in fact, omissions. I.e., the number of times that omissions occurred in the absence of visual cues</text>
  </threadedComment>
  <threadedComment ref="D279" dT="2023-09-09T16:31:02.72" personId="{5D048A0C-9405-47F1-A020-6E53793B23CD}" id="{31FFF960-3825-412C-A0DE-EE47ABA5B7AD}">
    <text>The number of add-omits where visual cues are present that are, in fact, additions. I.e., the number of additions that result in the presence of visual cues</text>
  </threadedComment>
  <threadedComment ref="E279" dT="2023-09-09T16:34:19.48" personId="{5D048A0C-9405-47F1-A020-6E53793B23CD}" id="{B0906B63-F2CB-4EE9-A704-6D9062B67867}">
    <text>The number of add-omits where visual cues are present that are, in fact, omissions. I.e., the number of times that omissions occurred in the presence of visual cues</text>
  </threadedComment>
  <threadedComment ref="D284" dT="2023-09-09T16:31:50.60" personId="{5D048A0C-9405-47F1-A020-6E53793B23CD}" id="{C5BFCCC8-66FA-4654-9E6C-1C7831450F0E}">
    <text>The number of non-dittographic add-omits that are, in fact, additions. I.e., the number of additions that do not result in dittography</text>
  </threadedComment>
  <threadedComment ref="E284" dT="2023-09-09T16:34:51.06" personId="{5D048A0C-9405-47F1-A020-6E53793B23CD}" id="{31171C70-41C6-4AA0-AD17-0BFE891EBB61}">
    <text>The number of non-dittographic add-omits that are, in fact, omissions. I.e., the number of omissions that did not undo a dittographic reading</text>
  </threadedComment>
  <threadedComment ref="D285" dT="2023-09-09T16:31:02.72" personId="{5D048A0C-9405-47F1-A020-6E53793B23CD}" id="{82CECB98-648E-476F-ADD2-1E77A3D76E96}">
    <text>The number of dittographic add-omits that are, in fact, additions. I.e., the number of additions that result in dittography</text>
  </threadedComment>
  <threadedComment ref="E285" dT="2023-09-09T16:34:19.48" personId="{5D048A0C-9405-47F1-A020-6E53793B23CD}" id="{49BCE14D-D6BE-4182-962C-B84E3CC04745}">
    <text>The number of dittographic add-omits that are, in fact, omissions. I.e., the number omissions where the omitted word(s) is/are dittographies</text>
  </threadedComment>
  <threadedComment ref="D290" dT="2024-01-06T19:48:13.17" personId="{5D048A0C-9405-47F1-A020-6E53793B23CD}" id="{175326B0-1193-423A-9612-98020A1DD49D}">
    <text>Additions of one word</text>
  </threadedComment>
  <threadedComment ref="E290" dT="2024-01-06T19:48:24.08" personId="{5D048A0C-9405-47F1-A020-6E53793B23CD}" id="{E7D56452-938F-4632-92F4-E7E1CE51BCC7}">
    <text>Omissions of one word</text>
  </threadedComment>
  <threadedComment ref="F290" dT="2024-01-06T19:49:49.67" personId="{5D048A0C-9405-47F1-A020-6E53793B23CD}" id="{255AD107-4D42-47D7-9395-B5F86602B142}">
    <text>Add ratio for single-word variants</text>
  </threadedComment>
  <threadedComment ref="D291" dT="2024-01-06T19:48:46.30" personId="{5D048A0C-9405-47F1-A020-6E53793B23CD}" id="{AC5F783A-A839-40B6-8143-3293754F75BD}">
    <text>Additions of 2-3 words</text>
  </threadedComment>
  <threadedComment ref="E291" dT="2024-01-06T19:49:11.26" personId="{5D048A0C-9405-47F1-A020-6E53793B23CD}" id="{6569596A-17D2-4EEA-A694-92FB2F660EE2}">
    <text>Omissions of 2-3 words</text>
  </threadedComment>
  <threadedComment ref="F291" dT="2024-01-06T19:50:08.15" personId="{5D048A0C-9405-47F1-A020-6E53793B23CD}" id="{2532E08F-483D-4DFC-B99D-E9DFC4D8EE08}">
    <text>Add ratio for variants of 2-3 words</text>
  </threadedComment>
  <threadedComment ref="D292" dT="2024-01-06T19:48:58.81" personId="{5D048A0C-9405-47F1-A020-6E53793B23CD}" id="{D2C035B2-0112-4CDA-BF1E-D15372F4CF96}">
    <text>Additions of 4 or more words</text>
  </threadedComment>
  <threadedComment ref="E292" dT="2024-01-06T19:49:22.83" personId="{5D048A0C-9405-47F1-A020-6E53793B23CD}" id="{BBF8417C-C923-44EA-81EB-5E8C376220F1}">
    <text>Omissions of 4 or more words</text>
  </threadedComment>
  <threadedComment ref="F292" dT="2024-01-06T19:50:20.70" personId="{5D048A0C-9405-47F1-A020-6E53793B23CD}" id="{F96B1C75-B660-4C3B-8E27-B5FBEF02299B}">
    <text>Add ratio for variants of 4 or more words</text>
  </threadedComment>
  <threadedComment ref="C295" dT="2023-09-09T16:27:49.68" personId="{5D048A0C-9405-47F1-A020-6E53793B23CD}" id="{9E0E26B9-D03F-463E-804F-9E46E9F3E90C}">
    <text>Number of words added or omitted</text>
  </threadedComment>
  <threadedComment ref="D295" dT="2023-09-09T16:28:21.63" personId="{5D048A0C-9405-47F1-A020-6E53793B23CD}" id="{99838849-BD78-4D8F-B229-539DEEA50A25}">
    <text>Number of additions involving the number of words specified in the "Length" column</text>
  </threadedComment>
  <threadedComment ref="E295" dT="2023-09-09T16:28:41.21" personId="{5D048A0C-9405-47F1-A020-6E53793B23CD}" id="{2AB67418-3983-471A-8003-5F828A891C2C}">
    <text>Number of omissions involving the number of words specified in the "Length" column</text>
  </threadedComment>
  <threadedComment ref="F295" dT="2023-09-09T16:29:25.88" personId="{5D048A0C-9405-47F1-A020-6E53793B23CD}" id="{9FCE1792-06CF-4310-8449-AFA27EA261B2}">
    <text>The addition rate for add-omits involving the number of words indicated in the "Length" column</text>
  </threadedComment>
  <threadedComment ref="E303" dT="2024-01-15T11:53:38.99" personId="{5D048A0C-9405-47F1-A020-6E53793B23CD}" id="{ED9605C8-002C-4A2D-B6F2-6AC07CC9632F}">
    <text>Total word count for corpus. Figure taken from Accordance "Word Count Totals" analysis. Search for word "*" specifying [RANGE &lt;CONTENT&gt;]. E.g., for 1 Samuel - 2 Kings in Alexandrinus, search for "* [RANGE 1 Sam - 2 Kings]" in LXX Rahlfs.</text>
  </threadedComment>
</ThreadedComments>
</file>

<file path=xl/threadedComments/threadedComment4.xml><?xml version="1.0" encoding="utf-8"?>
<ThreadedComments xmlns="http://schemas.microsoft.com/office/spreadsheetml/2018/threadedcomments" xmlns:x="http://schemas.openxmlformats.org/spreadsheetml/2006/main">
  <threadedComment ref="Q1" dT="2024-01-15T15:51:08.85" personId="{5D048A0C-9405-47F1-A020-6E53793B23CD}" id="{9D566A2B-0BD8-406E-AF0B-C943AF05A098}">
    <text>Derived variable indicating the number of times per 1000 words the added or omitted word occurs. Thus, Freq-per-10,000 = (AO Word Frequency / Words in Corpus) * 10,000</text>
  </threadedComment>
  <threadedComment ref="S1" dT="2024-01-16T10:00:06.98" personId="{5D048A0C-9405-47F1-A020-6E53793B23CD}" id="{F3D91EDD-A582-4F13-8708-2FBD3DAB6951}">
    <text>For substitutions, the word frequency of the apograph reading</text>
  </threadedComment>
  <threadedComment ref="T1" dT="2024-01-16T09:59:48.08" personId="{5D048A0C-9405-47F1-A020-6E53793B23CD}" id="{8C71E3F9-B944-465F-9E2A-A49055B06D05}">
    <text>For substitutions, the word frequency of the autograph reading</text>
  </threadedComment>
  <threadedComment ref="D204" dT="2024-01-15T11:53:38.99" personId="{5D048A0C-9405-47F1-A020-6E53793B23CD}" id="{C075574F-13D4-4920-8B4E-B2389647F64C}">
    <text>Total word count for corpus. Figure taken from Accordance "Word Count Totals" analysis. Search for word "*" specifying [RANGE &lt;CONTENT&gt;]. E.g., for 1 Samuel - 2 Kings in Alexandrinus, search for "* [RANGE 1 Sam - 2 Kings]" in LXX Rahlfs.</text>
  </threadedComment>
  <threadedComment ref="D205" dT="2024-01-15T16:09:47.97" personId="{5D048A0C-9405-47F1-A020-6E53793B23CD}" id="{AF9D75D1-DF0F-456F-A1CE-0EA1EF1AB36C}">
    <text>Median word frequency</text>
  </threadedComment>
  <threadedComment ref="D208" dT="2024-01-16T15:49:15.06" personId="{5D048A0C-9405-47F1-A020-6E53793B23CD}" id="{5B598550-3CDB-4832-BAB4-E0C334E98769}">
    <text>Higher-frequency additions: the number of additions among variants whose word frequency was equal to or above the median</text>
  </threadedComment>
  <threadedComment ref="D209" dT="2024-01-16T15:49:42.55" personId="{5D048A0C-9405-47F1-A020-6E53793B23CD}" id="{E50B0784-6678-40BA-B2F0-AF55A7EB2611}">
    <text xml:space="preserve">Higher-frequency omissions: the number of omissions among variants whose word frequency was equal to or above the median
</text>
  </threadedComment>
  <threadedComment ref="D210" dT="2024-01-16T15:50:17.80" personId="{5D048A0C-9405-47F1-A020-6E53793B23CD}" id="{E762874E-A76E-437B-9980-9864C27E9E39}">
    <text>Higher-frequency add ratio: the add ratio among variants whose word frequency was equal to or above the median</text>
  </threadedComment>
  <threadedComment ref="D211" dT="2024-01-16T15:50:43.11" personId="{5D048A0C-9405-47F1-A020-6E53793B23CD}" id="{2B82AFBF-3933-4915-964F-83286F62C491}">
    <text xml:space="preserve">Lower-frequency additions: the number of additions among variants whose word frequency was below the median
</text>
  </threadedComment>
  <threadedComment ref="D212" dT="2024-01-16T15:52:18.36" personId="{5D048A0C-9405-47F1-A020-6E53793B23CD}" id="{D1C76CCE-E78D-4E0F-B54E-EB239BC0ADCA}">
    <text>Higher-frequency omissions: the number of omissions among variants whose word frequency was below  the median</text>
  </threadedComment>
  <threadedComment ref="D213" dT="2024-01-16T15:51:50.24" personId="{5D048A0C-9405-47F1-A020-6E53793B23CD}" id="{9CFE53C0-5E38-4803-8118-71160AFB326E}">
    <text xml:space="preserve">Lower-frequency add ratio: the add ratio among variants whose word frequency was below the median
</text>
  </threadedComment>
  <threadedComment ref="D216" dT="2024-01-16T15:56:55.41" personId="{5D048A0C-9405-47F1-A020-6E53793B23CD}" id="{447C5C1C-5B1E-4FA4-9016-9F34AF0965BF}">
    <text>Articular additions: the number of additions of an article</text>
  </threadedComment>
  <threadedComment ref="D217" dT="2024-01-16T16:01:25.48" personId="{5D048A0C-9405-47F1-A020-6E53793B23CD}" id="{EE1ECF36-DDB3-4888-AB66-F167C554DE0A}">
    <text>Articular omissions: the number of omissions of an article</text>
  </threadedComment>
  <threadedComment ref="D218" dT="2024-01-16T16:01:49.04" personId="{5D048A0C-9405-47F1-A020-6E53793B23CD}" id="{FFC5B9B7-8082-4FF1-90DE-1AECBA1EC3F1}">
    <text>Articular add ratio: the add ratio for the definite article</text>
  </threadedComment>
</ThreadedComments>
</file>

<file path=xl/threadedComments/threadedComment5.xml><?xml version="1.0" encoding="utf-8"?>
<ThreadedComments xmlns="http://schemas.microsoft.com/office/spreadsheetml/2018/threadedcomments" xmlns:x="http://schemas.openxmlformats.org/spreadsheetml/2006/main">
  <threadedComment ref="Q1" dT="2024-01-15T15:51:08.85" personId="{5D048A0C-9405-47F1-A020-6E53793B23CD}" id="{1BCFE3B0-3463-4B33-8E83-50A53033CB0E}">
    <text>Derived variable indicating the number of times per 1000 words the added or omitted word occurs. Thus, Freq-per-10,000 = (AO Word Frequency / Words in Corpus) * 10,000</text>
  </threadedComment>
  <threadedComment ref="S1" dT="2024-01-16T10:00:06.98" personId="{5D048A0C-9405-47F1-A020-6E53793B23CD}" id="{C85B4759-FC61-46C6-A38A-1588A81B0FC3}">
    <text>For substitutions, the word frequency of the apograph reading</text>
  </threadedComment>
  <threadedComment ref="T1" dT="2024-01-16T09:59:48.08" personId="{5D048A0C-9405-47F1-A020-6E53793B23CD}" id="{0C45252A-6585-4B06-92C6-6B10D3A5A045}">
    <text>For substitutions, the word frequency of the autograph reading</text>
  </threadedComment>
  <threadedComment ref="D35" dT="2024-01-15T11:53:38.99" personId="{5D048A0C-9405-47F1-A020-6E53793B23CD}" id="{039AE186-5502-4AC2-9909-15AA586E628A}">
    <text>Total word count for corpus. Figure taken from Accordance "Word Count Totals" analysis. Search for word "*" specifying [RANGE &lt;CONTENT&gt;]. E.g., for 1 Samuel - 2 Kings in Alexandrinus, search for "* [RANGE 1 Sam - 2 Kings]" in LXX Rahlfs.</text>
  </threadedComment>
  <threadedComment ref="D36" dT="2024-01-15T16:09:47.97" personId="{5D048A0C-9405-47F1-A020-6E53793B23CD}" id="{FAECB12A-C32D-4C27-BE60-6DEE3FE12018}">
    <text>Median word frequency</text>
  </threadedComment>
  <threadedComment ref="D39" dT="2024-01-16T15:49:15.06" personId="{5D048A0C-9405-47F1-A020-6E53793B23CD}" id="{73546A2C-D974-4AA4-AECA-35E94585CB14}">
    <text>Higher-frequency additions: the number of additions among variants whose word frequency was equal to or above the median</text>
  </threadedComment>
  <threadedComment ref="D40" dT="2024-01-16T15:49:42.55" personId="{5D048A0C-9405-47F1-A020-6E53793B23CD}" id="{55B5A04A-AA50-45DC-A352-BFAAA5962297}">
    <text xml:space="preserve">Higher-frequency omissions: the number of omissions among variants whose word frequency was equal to or above the median
</text>
  </threadedComment>
  <threadedComment ref="D41" dT="2024-01-16T15:50:17.80" personId="{5D048A0C-9405-47F1-A020-6E53793B23CD}" id="{FD49D114-5E23-4416-AF63-43F7BE7FB00D}">
    <text>Higher-frequency add ratio: the add ratio among variants whose word frequency was equal to or above the median</text>
  </threadedComment>
  <threadedComment ref="D42" dT="2024-01-16T15:50:43.11" personId="{5D048A0C-9405-47F1-A020-6E53793B23CD}" id="{0A97FDA2-8ED7-4B9A-B031-9E202BF6579B}">
    <text xml:space="preserve">Lower-frequency additions: the number of additions among variants whose word frequency was below the median
</text>
  </threadedComment>
  <threadedComment ref="D43" dT="2024-01-16T15:52:18.36" personId="{5D048A0C-9405-47F1-A020-6E53793B23CD}" id="{AA90870B-0647-49FF-987A-3AA13A3F01ED}">
    <text>Higher-frequency omissions: the number of omissions among variants whose word frequency was below  the median</text>
  </threadedComment>
  <threadedComment ref="D44" dT="2024-01-16T15:51:50.24" personId="{5D048A0C-9405-47F1-A020-6E53793B23CD}" id="{80B5B2BF-2059-4C9C-AA54-156E7FE2AC0B}">
    <text xml:space="preserve">Lower-frequency add ratio: the add ratio among variants whose word frequency was below the median
</text>
  </threadedComment>
  <threadedComment ref="D45" dT="2024-01-22T14:15:25.14" personId="{5D048A0C-9405-47F1-A020-6E53793B23CD}" id="{D7CD2270-E852-4ECC-8C30-8296B3B85341}">
    <text>The difference in add ratio based on word frequency category. If scribes exhibit preference for the familiar, the HF add ratio should usually be higher than the LF add ratio (thus, the Add Ratio Difference should be positive)</text>
  </threadedComment>
</ThreadedComments>
</file>

<file path=xl/threadedComments/threadedComment6.xml><?xml version="1.0" encoding="utf-8"?>
<ThreadedComments xmlns="http://schemas.microsoft.com/office/spreadsheetml/2018/threadedcomments" xmlns:x="http://schemas.openxmlformats.org/spreadsheetml/2006/main">
  <threadedComment ref="R1" dT="2024-01-16T10:00:06.98" personId="{5D048A0C-9405-47F1-A020-6E53793B23CD}" id="{CF9CE310-E7B5-4B49-B00C-0EB3D6341A71}">
    <text>For substitutions, the word frequency of the apograph reading</text>
  </threadedComment>
  <threadedComment ref="S1" dT="2024-01-16T09:59:48.08" personId="{5D048A0C-9405-47F1-A020-6E53793B23CD}" id="{892FD055-AF24-4FF4-AF5A-13DB43824C59}">
    <text>For substitutions, the word frequency of the autograph reading</text>
  </threadedComment>
  <threadedComment ref="T1" dT="2024-01-16T12:04:07.25" personId="{5D048A0C-9405-47F1-A020-6E53793B23CD}" id="{F36008B4-DAC9-4519-A318-DF81C3FC0463}">
    <text>Frequency occurrence of autograph reading per 10,000 words of text</text>
  </threadedComment>
  <threadedComment ref="U1" dT="2024-01-16T12:04:21.22" personId="{5D048A0C-9405-47F1-A020-6E53793B23CD}" id="{A93DD08F-1574-46A5-A85C-B3C48E486597}">
    <text>Frequency occurrence of apograph reading per 10,000 words of text</text>
  </threadedComment>
  <threadedComment ref="V1" dT="2024-01-16T12:05:32.46" personId="{5D048A0C-9405-47F1-A020-6E53793B23CD}" id="{3B0F6085-76A4-4C95-90C4-BC98212086F0}">
    <text>Difference in the P10K frequency of the autograph and apograph readings. Difference = apograph - autograph. Thus, positive values indicate the apograph reading was a more common/frequent word; negative values indicate the apograph reading was a less common/frequent word</text>
  </threadedComment>
  <threadedComment ref="D116" dT="2024-01-15T11:53:38.99" personId="{5D048A0C-9405-47F1-A020-6E53793B23CD}" id="{36BA0441-3F19-4F85-A454-A723D7F82F61}">
    <text>Total word count for corpus. Figure taken from Accordance "Word Count Totals" analysis. Search for word "*" specifying [RANGE &lt;CONTENT&gt;]. E.g., for 1 Samuel - 2 Kings in Alexandrinus, search for "* [RANGE 1 Sam - 2 Kings]" in LXX Rahlfs.</text>
  </threadedComment>
  <threadedComment ref="D119" dT="2024-01-16T16:24:54.84" personId="{5D048A0C-9405-47F1-A020-6E53793B23CD}" id="{5671940A-F041-4B15-863E-1C4D9D39DF2F}">
    <text>Number of variants where the scribe used a more common/frequent word in place of a less common/frequent word</text>
  </threadedComment>
  <threadedComment ref="D120" dT="2024-01-16T16:25:18.29" personId="{5D048A0C-9405-47F1-A020-6E53793B23CD}" id="{C7E83EC6-528A-4DB0-965C-EC27DCC72366}">
    <text>Number of variants where the scribe used a less common/frequent word in place of a more  common/frequent word</text>
  </threadedComment>
  <threadedComment ref="D121" dT="2024-01-16T16:26:16.57" personId="{5D048A0C-9405-47F1-A020-6E53793B23CD}" id="{4CA4E1B8-D912-421B-8F1A-7C6515B4F3B2}">
    <text>Probability based on 2-tailed sign test: probability of obtaining a result as extreme as or more extreme than that shown above</text>
  </threadedComment>
  <threadedComment ref="D123" dT="2024-01-16T16:28:22.68" personId="{5D048A0C-9405-47F1-A020-6E53793B23CD}" id="{7C0FF8DD-51AF-410A-80B7-087B22A1739D}">
    <text>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ext>
  </threadedComment>
  <threadedComment ref="D124" dT="2024-01-16T16:28:51.78" personId="{5D048A0C-9405-47F1-A020-6E53793B23CD}" id="{AADD367B-811D-4874-83EE-1F9DF07F92D1}">
    <text>Standard deviation of the word frequency difference for substitutions</text>
  </threadedComment>
  <threadedComment ref="D127" dT="2024-01-16T16:30:57.18" personId="{5D048A0C-9405-47F1-A020-6E53793B23CD}" id="{71E54F96-E488-48EB-9521-836BB1D46902}">
    <text>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ext>
  </threadedComment>
  <threadedComment ref="D128" dT="2024-01-16T16:31:30.62" personId="{5D048A0C-9405-47F1-A020-6E53793B23CD}" id="{5DE9E38A-8C24-44D3-A44B-42D5FC327EFD}">
    <text>Standard deviation of the change in word frequency, using the frequency measure of "occurrences per 10,000 words"</text>
  </threadedComment>
  <threadedComment ref="D131" dT="2024-01-22T16:14:41.99" personId="{5D048A0C-9405-47F1-A020-6E53793B23CD}" id="{D783B3F4-32A3-40D2-B7B4-FE83FAF56F24}">
    <text>Total number of substitutions for which a word frequency difference could be calculated</text>
  </threadedComment>
  <threadedComment ref="D132" dT="2024-01-22T17:13:39.02" personId="{5D048A0C-9405-47F1-A020-6E53793B23CD}" id="{7CBF4AC0-4042-4829-8A52-6F472A00D962}">
    <text>The standard deviation of word frequency difference scores</text>
  </threadedComment>
</ThreadedComments>
</file>

<file path=xl/threadedComments/threadedComment7.xml><?xml version="1.0" encoding="utf-8"?>
<ThreadedComments xmlns="http://schemas.microsoft.com/office/spreadsheetml/2018/threadedcomments" xmlns:x="http://schemas.openxmlformats.org/spreadsheetml/2006/main">
  <threadedComment ref="S1" dT="2024-01-16T10:00:06.98" personId="{5D048A0C-9405-47F1-A020-6E53793B23CD}" id="{AF4A5150-98B4-4241-95F5-C5C8647660B6}">
    <text>For substitutions, the word frequency of the apograph reading</text>
  </threadedComment>
  <threadedComment ref="T1" dT="2024-01-16T09:59:48.08" personId="{5D048A0C-9405-47F1-A020-6E53793B23CD}" id="{CBADACD3-A6DF-421F-A0A4-8AE865CB1322}">
    <text>For substitutions, the word frequency of the autograph reading</text>
  </threadedComment>
  <threadedComment ref="D7" dT="2024-01-24T17:15:11.25" personId="{5D048A0C-9405-47F1-A020-6E53793B23CD}" id="{165C40B7-7765-4BC0-8D9F-1874343A21BB}">
    <text>The number of variants that harmonized to parallel phrases in the near context</text>
  </threadedComment>
  <threadedComment ref="D8" dT="2024-01-24T17:15:35.01" personId="{5D048A0C-9405-47F1-A020-6E53793B23CD}" id="{6F38C9A5-4C6D-4707-B048-137C7E97184D}">
    <text>The number of variants that disharmonized from  parallel phrases in the near context</text>
  </threadedComment>
  <threadedComment ref="D9" dT="2024-01-24T17:16:15.06" personId="{5D048A0C-9405-47F1-A020-6E53793B23CD}" id="{30765D00-D267-4415-918A-7064CB9C7C10}">
    <text>The ratio of harmonizations to disharmonizations; = harmonizations / (harmonizations + disharmonizations)</text>
  </threadedComment>
  <threadedComment ref="E13" dT="2026-03-26T18:54:36.97" personId="{5D048A0C-9405-47F1-A020-6E53793B23CD}" id="{54E4D458-DBED-452B-A2E6-FA53374C80B1}">
    <text>All cases where influence from preceding material was possible.</text>
  </threadedComment>
  <threadedComment ref="F13" dT="2026-03-26T18:55:05.59" personId="{5D048A0C-9405-47F1-A020-6E53793B23CD}" id="{EC1F844E-7930-4165-8E68-84AF73B620E8}">
    <text>All cases where influence from following material was possible.</text>
  </threadedComment>
  <threadedComment ref="G13" dT="2026-03-26T18:56:11.72" personId="{5D048A0C-9405-47F1-A020-6E53793B23CD}" id="{136A4E94-6FDE-45EB-AE42-B103912952F5}">
    <text>Only cases where verbal parallels existed both behind and after the variant in question and the direction of change in verbal similarity was the same.</text>
  </threadedComment>
  <threadedComment ref="H13" dT="2026-03-26T18:56:36.44" personId="{5D048A0C-9405-47F1-A020-6E53793B23CD}" id="{19D88EF5-697C-4ACC-8985-C3E7EC269A41}">
    <text>All potential cases of verbal harmonization/disharmonization, forward and backward.</text>
  </threadedComment>
  <threadedComment ref="D14" dT="2024-01-24T17:15:11.25" personId="{5D048A0C-9405-47F1-A020-6E53793B23CD}" id="{E0905479-53EB-4D70-9255-5AF20124A984}">
    <text>The number of variants that harmonized to parallel phrases in the near context</text>
  </threadedComment>
  <threadedComment ref="D15" dT="2024-01-24T17:15:35.01" personId="{5D048A0C-9405-47F1-A020-6E53793B23CD}" id="{6D5296EC-B4E2-439C-9A68-1C52E80DC664}">
    <text>The number of variants that disharmonized from  parallel phrases in the near context</text>
  </threadedComment>
  <threadedComment ref="D16" dT="2024-01-24T17:16:15.06" personId="{5D048A0C-9405-47F1-A020-6E53793B23CD}" id="{7EAE4407-FF8F-47B8-A0FF-657935564672}">
    <text>The ratio of harmonizations to disharmonizations; = harmonizations / (harmonizations + disharmonizations)</text>
  </threadedComment>
</ThreadedComments>
</file>

<file path=xl/threadedComments/threadedComment8.xml><?xml version="1.0" encoding="utf-8"?>
<ThreadedComments xmlns="http://schemas.microsoft.com/office/spreadsheetml/2018/threadedcomments" xmlns:x="http://schemas.openxmlformats.org/spreadsheetml/2006/main">
  <threadedComment ref="R1" dT="2024-01-16T10:00:06.98" personId="{5D048A0C-9405-47F1-A020-6E53793B23CD}" id="{3DE9EB51-1230-443D-B74E-CB8309C28E08}">
    <text>For substitutions, the word frequency of the apograph reading</text>
  </threadedComment>
  <threadedComment ref="S1" dT="2024-01-16T09:59:48.08" personId="{5D048A0C-9405-47F1-A020-6E53793B23CD}" id="{644788BF-CB13-4356-8935-80DA2BD78D84}">
    <text>For substitutions, the word frequency of the autograph reading</text>
  </threadedComment>
</ThreadedComments>
</file>

<file path=xl/threadedComments/threadedComment9.xml><?xml version="1.0" encoding="utf-8"?>
<ThreadedComments xmlns="http://schemas.microsoft.com/office/spreadsheetml/2018/threadedcomments" xmlns:x="http://schemas.openxmlformats.org/spreadsheetml/2006/main">
  <threadedComment ref="Q1" dT="2024-01-15T15:51:08.85" personId="{5D048A0C-9405-47F1-A020-6E53793B23CD}" id="{C8C5B231-B73E-4705-9454-BE8F91B880DF}">
    <text>Derived variable indicating the number of times per 1000 words the added or omitted word occurs. Thus, Freq-per-10,000 = (AO Word Frequency / Words in Corpus) * 10,000</text>
  </threadedComment>
  <threadedComment ref="S1" dT="2024-01-16T10:00:06.98" personId="{5D048A0C-9405-47F1-A020-6E53793B23CD}" id="{292C6C32-E0C7-44A8-8A6B-1D05DF61423D}">
    <text>For substitutions, the word frequency of the apograph reading</text>
  </threadedComment>
  <threadedComment ref="T1" dT="2024-01-16T09:59:48.08" personId="{5D048A0C-9405-47F1-A020-6E53793B23CD}" id="{D96000BB-3CCA-40BD-83B1-B797049E5B73}">
    <text>For substitutions, the word frequency of the autograph reading</text>
  </threadedComment>
  <threadedComment ref="F70" dT="2023-09-09T16:20:24.92" personId="{5D048A0C-9405-47F1-A020-6E53793B23CD}" id="{026072B9-96EC-4334-9C01-46559127E024}">
    <text>Raw number of additions</text>
  </threadedComment>
  <threadedComment ref="B71" dT="2023-09-09T13:15:24.43" personId="{5D048A0C-9405-47F1-A020-6E53793B23CD}" id="{F17FDC3B-818B-4387-BE40-D86E9F28AD24}">
    <text>"Low Meaning" words</text>
  </threadedComment>
  <threadedComment ref="C71" dT="2023-09-09T13:15:40.92" personId="{5D048A0C-9405-47F1-A020-6E53793B23CD}" id="{BA33D00E-AAD0-48D5-8760-29020531E026}">
    <text>"High Meaning" words</text>
  </threadedComment>
  <threadedComment ref="F71" dT="2023-09-09T16:20:41.93" personId="{5D048A0C-9405-47F1-A020-6E53793B23CD}" id="{C6A40847-685B-4AFA-92B0-2AB8AA9B29C0}">
    <text>Raw number of omissions</text>
  </threadedComment>
  <threadedComment ref="F72" dT="2023-09-09T16:21:30.82" personId="{5D048A0C-9405-47F1-A020-6E53793B23CD}" id="{41095735-059D-49A6-AAFC-1EC4CCF10262}">
    <text>% of add-omits that are additions</text>
  </threadedComment>
  <threadedComment ref="F75" dT="2023-09-09T16:22:43.13" personId="{5D048A0C-9405-47F1-A020-6E53793B23CD}" id="{CA3A39D4-B417-40F5-AE1B-10128888358D}">
    <text>Raw number of additions of "low meaning" words. See LM column for included word types (and adjust equation as necessary)</text>
  </threadedComment>
  <threadedComment ref="F76" dT="2023-09-09T16:23:00.73" personId="{5D048A0C-9405-47F1-A020-6E53793B23CD}" id="{DDE28504-D30B-4830-A868-A23E9478BBCE}">
    <text>Raw number of omissions of "low meaning" words. See LM column for included word types (and adjust equation as necessary)</text>
  </threadedComment>
  <threadedComment ref="F77" dT="2023-09-09T16:23:25.50" personId="{5D048A0C-9405-47F1-A020-6E53793B23CD}" id="{9316BF08-3187-497B-B5D1-3ED9DF139DB8}">
    <text>Addition rate for "low meaning" words. See LM column for included word types (and adjust equation as necessary)</text>
  </threadedComment>
  <threadedComment ref="F80" dT="2023-09-09T16:26:23.57" personId="{5D048A0C-9405-47F1-A020-6E53793B23CD}" id="{53ECCA91-50F4-4D4D-B071-712BB96DE2FF}">
    <text>Raw number of additions of "high meaning" words. See HM column for included word types (and adjust equation as necessary)</text>
  </threadedComment>
  <threadedComment ref="F81" dT="2023-09-09T16:26:53.68" personId="{5D048A0C-9405-47F1-A020-6E53793B23CD}" id="{14751CC7-C93B-4C91-B14C-F41A1A2E86C8}">
    <text>Raw number of omissions of "high meaning" words. See HM column for included word types (and adjust equation as necessary)</text>
  </threadedComment>
  <threadedComment ref="F82" dT="2023-09-09T16:27:24.75" personId="{5D048A0C-9405-47F1-A020-6E53793B23CD}" id="{EA30D057-EF73-4E37-838A-A5AA39C6412D}">
    <text>Addition rate for "high meaning" words. See HM column for included word types (and adjust equation as necessary)</text>
  </threadedComment>
  <threadedComment ref="D88" dT="2023-09-09T16:31:02.72" personId="{5D048A0C-9405-47F1-A020-6E53793B23CD}" id="{4D6F8E5E-CEBC-4BDA-A087-B67617AA8015}">
    <text>The number of add-omits where visual cues are present that are, in fact, additions. I.e., the number of additions that result in the presence of visual cues</text>
  </threadedComment>
  <threadedComment ref="E88" dT="2023-09-09T16:31:50.60" personId="{5D048A0C-9405-47F1-A020-6E53793B23CD}" id="{96D80A8F-75C6-490C-858C-9800559462CF}">
    <text>The number of add-omits where visual cues are NOT present that are, in fact, additions. I.e., the number of additions that generate no visual cues</text>
  </threadedComment>
  <threadedComment ref="F88" dT="2023-09-09T16:33:25.83" personId="{5D048A0C-9405-47F1-A020-6E53793B23CD}" id="{CB0B5794-BFB8-4391-8468-1C6939ECFAB1}">
    <text>The percentage of add-omits where visual cues are present that are, in fact, additions. I.e., a percent frequency indicating how often an addition generates visual cues</text>
  </threadedComment>
  <threadedComment ref="D89" dT="2023-09-09T16:34:19.48" personId="{5D048A0C-9405-47F1-A020-6E53793B23CD}" id="{5806A8D2-59D8-4FD7-B25A-259EC777CEAE}">
    <text>The number of add-omits where visual cues are present that are, in fact, omissions. I.e., the number of times that omissions occurred in the presence of visual cues</text>
  </threadedComment>
  <threadedComment ref="E89" dT="2023-09-09T16:34:51.06" personId="{5D048A0C-9405-47F1-A020-6E53793B23CD}" id="{1F399AF5-73EE-4773-99DC-6FF7F6157947}">
    <text>The number of add-omits where visual cues are NOT present that are, in fact, omissions. I.e., the number of times that omissions occurred in the absence of visual cues</text>
  </threadedComment>
  <threadedComment ref="F89" dT="2023-09-09T16:35:41.16" personId="{5D048A0C-9405-47F1-A020-6E53793B23CD}" id="{B4D05E77-1799-482D-A91A-23BB5E51425D}">
    <text>The percentage of add-omits where visual cues are present that are, in fact, omissions. I.e., the percentage of omissions that could plausibly be due to visual cues</text>
  </threadedComment>
  <threadedComment ref="D90" dT="2023-09-09T16:36:05.81" personId="{5D048A0C-9405-47F1-A020-6E53793B23CD}" id="{83CD9292-150E-4EBF-B68B-3FF5CDDEDF6B}">
    <text>The total number of add-omits that involve visual cues</text>
  </threadedComment>
  <threadedComment ref="E90" dT="2023-09-09T16:38:54.43" personId="{5D048A0C-9405-47F1-A020-6E53793B23CD}" id="{D7F67EEB-4F50-4273-8820-6345F5901AF4}">
    <text>The total number of add-omits that involve NO visual cues (given the definition of this project, i.e., 3-character minimum similarity in critical regions)</text>
  </threadedComment>
  <threadedComment ref="F90" dT="2023-09-09T16:39:12.76" personId="{5D048A0C-9405-47F1-A020-6E53793B23CD}" id="{B53DBDFB-7FE8-4562-834B-0B18E4140854}">
    <text>The percentage of all add-omits that involve visual cues</text>
  </threadedComment>
  <threadedComment ref="D94" dT="2023-09-09T16:31:50.60" personId="{5D048A0C-9405-47F1-A020-6E53793B23CD}" id="{AC084F06-D225-458E-99CB-00EEB7E5C60D}">
    <text>The number of add-omits where visual cues are NOT present that are, in fact, additions. I.e., the number of additions that generate no visual cues</text>
  </threadedComment>
  <threadedComment ref="E94" dT="2023-09-09T16:34:51.06" personId="{5D048A0C-9405-47F1-A020-6E53793B23CD}" id="{0111DF69-8158-4EA8-97B1-DACD7D72CA60}">
    <text>The number of add-omits where visual cues are NOT present that are, in fact, omissions. I.e., the number of times that omissions occurred in the absence of visual cues</text>
  </threadedComment>
  <threadedComment ref="D95" dT="2023-09-09T16:31:02.72" personId="{5D048A0C-9405-47F1-A020-6E53793B23CD}" id="{3610712F-24CD-4D5E-98E4-96BC48E187D2}">
    <text>The number of add-omits where visual cues are present that are, in fact, additions. I.e., the number of additions that result in the presence of visual cues</text>
  </threadedComment>
  <threadedComment ref="E95" dT="2023-09-09T16:34:19.48" personId="{5D048A0C-9405-47F1-A020-6E53793B23CD}" id="{CE57F239-3EA7-431C-ADC9-87AE9FA50439}">
    <text>The number of add-omits where visual cues are present that are, in fact, omissions. I.e., the number of times that omissions occurred in the presence of visual cues</text>
  </threadedComment>
  <threadedComment ref="D100" dT="2023-09-09T16:31:50.60" personId="{5D048A0C-9405-47F1-A020-6E53793B23CD}" id="{2021227D-E3B9-4052-9A5F-40D1203317D0}">
    <text>The number of non-dittographic add-omits that are, in fact, additions. I.e., the number of additions that do not result in dittography</text>
  </threadedComment>
  <threadedComment ref="E100" dT="2023-09-09T16:34:51.06" personId="{5D048A0C-9405-47F1-A020-6E53793B23CD}" id="{5A4D7118-DD22-48FE-AE1B-12971D8EB0F0}">
    <text>The number of non-dittographic add-omits that are, in fact, omissions. I.e., the number of omissions that did not undo a dittographic reading</text>
  </threadedComment>
  <threadedComment ref="D101" dT="2023-09-09T16:31:02.72" personId="{5D048A0C-9405-47F1-A020-6E53793B23CD}" id="{F3BE1188-4848-4FE0-BCBE-E687B4CA5FF1}">
    <text>The number of dittographic add-omits that are, in fact, additions. I.e., the number of additions that result in dittography</text>
  </threadedComment>
  <threadedComment ref="E101" dT="2023-09-09T16:34:19.48" personId="{5D048A0C-9405-47F1-A020-6E53793B23CD}" id="{0798C8B3-8DF7-4665-9297-69385D53D46A}">
    <text>The number of dittographic add-omits that are, in fact, omissions. I.e., the number omissions where the omitted word(s) is/are dittographies</text>
  </threadedComment>
  <threadedComment ref="D106" dT="2024-01-06T19:48:13.17" personId="{5D048A0C-9405-47F1-A020-6E53793B23CD}" id="{50436044-82BA-47C1-895C-70AA131C8461}">
    <text>Additions of one word</text>
  </threadedComment>
  <threadedComment ref="E106" dT="2024-01-06T19:48:24.08" personId="{5D048A0C-9405-47F1-A020-6E53793B23CD}" id="{5895077C-62BE-47D6-B432-EEF47F8CDE3A}">
    <text>Omissions of one word</text>
  </threadedComment>
  <threadedComment ref="F106" dT="2024-01-06T19:49:49.67" personId="{5D048A0C-9405-47F1-A020-6E53793B23CD}" id="{330ECD7A-0089-4BAE-9EB5-BEBF299A3B1B}">
    <text>Add ratio for single-word variants</text>
  </threadedComment>
  <threadedComment ref="D107" dT="2024-01-06T19:48:46.30" personId="{5D048A0C-9405-47F1-A020-6E53793B23CD}" id="{87813300-7516-406F-B8BC-7D75D80F8965}">
    <text>Additions of 2-3 words</text>
  </threadedComment>
  <threadedComment ref="E107" dT="2024-01-06T19:49:11.26" personId="{5D048A0C-9405-47F1-A020-6E53793B23CD}" id="{E57E69B3-767E-4A88-877D-FEC80041818F}">
    <text>Omissions of 2-3 words</text>
  </threadedComment>
  <threadedComment ref="F107" dT="2024-01-06T19:50:08.15" personId="{5D048A0C-9405-47F1-A020-6E53793B23CD}" id="{EE7C669B-E679-41F7-9975-944B7F9C8B3B}">
    <text>Add ratio for variants of 2-3 words</text>
  </threadedComment>
  <threadedComment ref="D108" dT="2024-01-06T19:48:58.81" personId="{5D048A0C-9405-47F1-A020-6E53793B23CD}" id="{8FE46083-A98D-4230-B05D-6DE532AC61EA}">
    <text>Additions of 4 or more words</text>
  </threadedComment>
  <threadedComment ref="E108" dT="2024-01-06T19:49:22.83" personId="{5D048A0C-9405-47F1-A020-6E53793B23CD}" id="{F88AD5E2-48A3-4C04-A0D7-A660D499F83C}">
    <text>Omissions of 4 or more words</text>
  </threadedComment>
  <threadedComment ref="F108" dT="2024-01-06T19:50:20.70" personId="{5D048A0C-9405-47F1-A020-6E53793B23CD}" id="{9233F45D-42DC-4F18-A324-8179E81169A6}">
    <text>Add ratio for variants of 4 or more words</text>
  </threadedComment>
  <threadedComment ref="C111" dT="2023-09-09T16:27:49.68" personId="{5D048A0C-9405-47F1-A020-6E53793B23CD}" id="{17315195-71A1-4462-97B5-9F7AACA4C0F3}">
    <text>Number of words added or omitted</text>
  </threadedComment>
  <threadedComment ref="D111" dT="2023-09-09T16:28:21.63" personId="{5D048A0C-9405-47F1-A020-6E53793B23CD}" id="{E164B74C-BD8C-4579-BCB3-D024D2D04B9E}">
    <text>Number of additions involving the number of words specified in the "Length" column</text>
  </threadedComment>
  <threadedComment ref="E111" dT="2023-09-09T16:28:41.21" personId="{5D048A0C-9405-47F1-A020-6E53793B23CD}" id="{7801A96B-0DA5-4F87-B5DC-3F35828ECCFA}">
    <text>Number of omissions involving the number of words specified in the "Length" column</text>
  </threadedComment>
  <threadedComment ref="F111" dT="2023-09-09T16:29:25.88" personId="{5D048A0C-9405-47F1-A020-6E53793B23CD}" id="{8691A7D9-1C43-4E9A-9B8A-B52A91153894}">
    <text>The addition rate for add-omits involving the number of words indicated in the "Length" column</text>
  </threadedComment>
  <threadedComment ref="E119" dT="2024-01-15T11:53:38.99" personId="{5D048A0C-9405-47F1-A020-6E53793B23CD}" id="{1333DC1D-FEB5-4965-A96B-2AD25AA3E4AD}">
    <text>Total word count for corpus. Figure taken from Accordance "Word Count Totals" analysis. Search for word "*" specifying [RANGE &lt;CONTENT&gt;]. E.g., for 1 Samuel - 2 Kings in Alexandrinus, search for "* [RANGE 1 Sam - 2 Kings]" in LXX Rahlfs.</text>
  </threadedComment>
</ThreadedComments>
</file>

<file path=xl/threadedComments/threadedComment10.xml><?xml version="1.0" encoding="utf-8"?>
<ThreadedComments xmlns="http://schemas.microsoft.com/office/spreadsheetml/2018/threadedcomments" xmlns:x="http://schemas.openxmlformats.org/spreadsheetml/2006/main">
  <threadedComment ref="Q1" dT="2024-01-15T15:51:08.85" personId="{5D048A0C-9405-47F1-A020-6E53793B23CD}" id="{26B94954-A694-40FB-B433-F352B56B69D3}">
    <text>Derived variable indicating the number of times per 1000 words the added or omitted word occurs. Thus, Freq-per-10,000 = (AO Word Frequency / Words in Corpus) * 10,000</text>
  </threadedComment>
  <threadedComment ref="S1" dT="2024-01-16T10:00:06.98" personId="{5D048A0C-9405-47F1-A020-6E53793B23CD}" id="{8AA870A3-C003-449F-92D6-22BBF5EA5C55}">
    <text>For substitutions, the word frequency of the apograph reading</text>
  </threadedComment>
  <threadedComment ref="T1" dT="2024-01-16T09:59:48.08" personId="{5D048A0C-9405-47F1-A020-6E53793B23CD}" id="{FC7F9325-8FDA-45ED-8E0D-F4554A506BBE}">
    <text>For substitutions, the word frequency of the autograph reading</text>
  </threadedComment>
  <threadedComment ref="D45" dT="2024-01-15T11:53:38.99" personId="{5D048A0C-9405-47F1-A020-6E53793B23CD}" id="{B99386E5-F97A-495B-92B8-0407329B498E}">
    <text>Total word count for corpus. Figure taken from Accordance "Word Count Totals" analysis. Search for word "*" specifying [RANGE &lt;CONTENT&gt;]. E.g., for 1 Samuel - 2 Kings in Alexandrinus, search for "* [RANGE 1 Sam - 2 Kings]" in LXX Rahlfs.</text>
  </threadedComment>
  <threadedComment ref="D46" dT="2024-01-15T16:09:47.97" personId="{5D048A0C-9405-47F1-A020-6E53793B23CD}" id="{C6EB8DF2-E368-4654-A14C-D4EE2D56633F}">
    <text>Median word frequency</text>
  </threadedComment>
  <threadedComment ref="D49" dT="2024-01-16T15:49:15.06" personId="{5D048A0C-9405-47F1-A020-6E53793B23CD}" id="{4DFDE7AE-9918-4335-84EA-A73C3589F46D}">
    <text>Higher-frequency additions: the number of additions among variants whose word frequency was equal to or above the median</text>
  </threadedComment>
  <threadedComment ref="D50" dT="2024-01-16T15:49:42.55" personId="{5D048A0C-9405-47F1-A020-6E53793B23CD}" id="{29687550-70BD-4E2C-B8A4-8FCD3E9718DE}">
    <text xml:space="preserve">Higher-frequency omissions: the number of omissions among variants whose word frequency was equal to or above the median
</text>
  </threadedComment>
  <threadedComment ref="D51" dT="2024-01-16T15:50:17.80" personId="{5D048A0C-9405-47F1-A020-6E53793B23CD}" id="{E28D06AB-1494-4453-943E-40BD76D3A204}">
    <text>Higher-frequency add ratio: the add ratio among variants whose word frequency was equal to or above the median</text>
  </threadedComment>
  <threadedComment ref="D52" dT="2024-01-16T15:50:43.11" personId="{5D048A0C-9405-47F1-A020-6E53793B23CD}" id="{B7FFE66C-C687-4E2E-91F5-C0C96786E131}">
    <text xml:space="preserve">Lower-frequency additions: the number of additions among variants whose word frequency was below the median
</text>
  </threadedComment>
  <threadedComment ref="D53" dT="2024-01-16T15:52:18.36" personId="{5D048A0C-9405-47F1-A020-6E53793B23CD}" id="{6F4B10DA-8E78-415D-8B20-4FD8223B6775}">
    <text>Higher-frequency omissions: the number of omissions among variants whose word frequency was below  the median</text>
  </threadedComment>
  <threadedComment ref="D54" dT="2024-01-16T15:51:50.24" personId="{5D048A0C-9405-47F1-A020-6E53793B23CD}" id="{78FCE5B4-5D1A-45EB-AC2E-29F692BB78F8}">
    <text xml:space="preserve">Lower-frequency add ratio: the add ratio among variants whose word frequency was below the median
</text>
  </threadedComment>
  <threadedComment ref="D57" dT="2024-01-16T15:56:55.41" personId="{5D048A0C-9405-47F1-A020-6E53793B23CD}" id="{0F810F9C-7517-489F-A84F-1557DB363BFA}">
    <text>Articular additions: the number of additions of an article</text>
  </threadedComment>
  <threadedComment ref="D58" dT="2024-01-16T16:01:25.48" personId="{5D048A0C-9405-47F1-A020-6E53793B23CD}" id="{0E4159B3-FDE9-44B1-A43B-9C635AAC792A}">
    <text>Articular omissions: the number of omissions of an article</text>
  </threadedComment>
  <threadedComment ref="D59" dT="2024-01-16T16:01:49.04" personId="{5D048A0C-9405-47F1-A020-6E53793B23CD}" id="{F8816446-349F-4E34-BDAE-F9606CE5FF75}">
    <text>Articular add ratio: the add ratio for the definite article</text>
  </threadedComment>
</ThreadedComments>
</file>

<file path=xl/threadedComments/threadedComment11.xml><?xml version="1.0" encoding="utf-8"?>
<ThreadedComments xmlns="http://schemas.microsoft.com/office/spreadsheetml/2018/threadedcomments" xmlns:x="http://schemas.openxmlformats.org/spreadsheetml/2006/main">
  <threadedComment ref="Q1" dT="2024-01-15T15:51:08.85" personId="{5D048A0C-9405-47F1-A020-6E53793B23CD}" id="{C410514B-0082-4A15-8A61-F374B4AFF167}">
    <text>Derived variable indicating the number of times per 1000 words the added or omitted word occurs. Thus, Freq-per-10,000 = (AO Word Frequency / Words in Corpus) * 10,000</text>
  </threadedComment>
  <threadedComment ref="S1" dT="2024-01-16T10:00:06.98" personId="{5D048A0C-9405-47F1-A020-6E53793B23CD}" id="{4C0F7C68-3064-4386-A536-D0FCD0A5C3B4}">
    <text>For substitutions, the word frequency of the apograph reading</text>
  </threadedComment>
  <threadedComment ref="T1" dT="2024-01-16T09:59:48.08" personId="{5D048A0C-9405-47F1-A020-6E53793B23CD}" id="{54B959A7-48FA-4937-9148-BBEE17DDFCCD}">
    <text>For substitutions, the word frequency of the autograph reading</text>
  </threadedComment>
  <threadedComment ref="D18" dT="2024-01-15T11:53:38.99" personId="{5D048A0C-9405-47F1-A020-6E53793B23CD}" id="{974612ED-B91D-4F45-AEFE-325429BE39FC}">
    <text>Total word count for corpus. Figure taken from Accordance "Word Count Totals" analysis. Search for word "*" specifying [RANGE &lt;CONTENT&gt;]. E.g., for 1 Samuel - 2 Kings in Alexandrinus, search for "* [RANGE 1 Sam - 2 Kings]" in LXX Rahlfs.</text>
  </threadedComment>
  <threadedComment ref="D19" dT="2024-01-15T16:09:47.97" personId="{5D048A0C-9405-47F1-A020-6E53793B23CD}" id="{03A6310F-D83A-443D-848C-1BA02F734D64}">
    <text>Median word frequency</text>
  </threadedComment>
  <threadedComment ref="D22" dT="2024-01-16T15:49:15.06" personId="{5D048A0C-9405-47F1-A020-6E53793B23CD}" id="{5CAAF8C7-CE05-42DA-AAF7-E258804B5A72}">
    <text>Higher-frequency additions: the number of additions among variants whose word frequency was equal to or above the median</text>
  </threadedComment>
  <threadedComment ref="D23" dT="2024-01-16T15:49:42.55" personId="{5D048A0C-9405-47F1-A020-6E53793B23CD}" id="{F2EDEB84-45DE-4D9E-A27F-E5E2366EAF5B}">
    <text xml:space="preserve">Higher-frequency omissions: the number of omissions among variants whose word frequency was equal to or above the median
</text>
  </threadedComment>
  <threadedComment ref="D24" dT="2024-01-16T15:50:17.80" personId="{5D048A0C-9405-47F1-A020-6E53793B23CD}" id="{77B079F1-DD1F-4514-AE5E-F231E16E0E7A}">
    <text>Higher-frequency add ratio: the add ratio among variants whose word frequency was equal to or above the median</text>
  </threadedComment>
  <threadedComment ref="D25" dT="2024-01-16T15:50:43.11" personId="{5D048A0C-9405-47F1-A020-6E53793B23CD}" id="{F4C2F458-ACD5-4FF1-A1D8-F77D4F87094A}">
    <text xml:space="preserve">Lower-frequency additions: the number of additions among variants whose word frequency was below the median
</text>
  </threadedComment>
  <threadedComment ref="D26" dT="2024-01-16T15:52:18.36" personId="{5D048A0C-9405-47F1-A020-6E53793B23CD}" id="{437F2DF3-5E3E-427F-963C-FB87318B9B25}">
    <text>Higher-frequency omissions: the number of omissions among variants whose word frequency was below  the median</text>
  </threadedComment>
  <threadedComment ref="D27" dT="2024-01-16T15:51:50.24" personId="{5D048A0C-9405-47F1-A020-6E53793B23CD}" id="{E368DBE9-3C9E-4EFB-9D91-1FEC5223FA18}">
    <text xml:space="preserve">Lower-frequency add ratio: the add ratio among variants whose word frequency was below the median
</text>
  </threadedComment>
  <threadedComment ref="D28" dT="2024-01-22T14:15:25.14" personId="{5D048A0C-9405-47F1-A020-6E53793B23CD}" id="{27AAC3FB-DFC9-4F60-9367-BE991C73C574}">
    <text>The difference in add ratio based on word frequency category. If scribes exhibit preference for the familiar, the HF add ratio should usually be higher than the LF add ratio (thus, the Add Ratio Difference should be positive)</text>
  </threadedComment>
</ThreadedComments>
</file>

<file path=xl/threadedComments/threadedComment12.xml><?xml version="1.0" encoding="utf-8"?>
<ThreadedComments xmlns="http://schemas.microsoft.com/office/spreadsheetml/2018/threadedcomments" xmlns:x="http://schemas.openxmlformats.org/spreadsheetml/2006/main">
  <threadedComment ref="R1" dT="2024-01-16T10:00:06.98" personId="{5D048A0C-9405-47F1-A020-6E53793B23CD}" id="{D3618487-0A17-40BF-AAE9-1F8041F23318}">
    <text>For substitutions, the word frequency of the apograph reading</text>
  </threadedComment>
  <threadedComment ref="S1" dT="2024-01-16T09:59:48.08" personId="{5D048A0C-9405-47F1-A020-6E53793B23CD}" id="{3936E02F-BAB7-4430-977D-919A0E2728A1}">
    <text>For substitutions, the word frequency of the autograph reading</text>
  </threadedComment>
  <threadedComment ref="T1" dT="2024-01-16T12:04:07.25" personId="{5D048A0C-9405-47F1-A020-6E53793B23CD}" id="{C35CCFDB-CDBC-4976-B5F4-61A4927EAE1B}">
    <text>Frequency occurrence of autograph reading per 10,000 words of text</text>
  </threadedComment>
  <threadedComment ref="U1" dT="2024-01-16T12:04:21.22" personId="{5D048A0C-9405-47F1-A020-6E53793B23CD}" id="{E80842AA-8EF6-4104-9B20-0D46FF78AD96}">
    <text>Frequency occurrence of apograph reading per 10,000 words of text</text>
  </threadedComment>
  <threadedComment ref="V1" dT="2024-01-16T12:05:32.46" personId="{5D048A0C-9405-47F1-A020-6E53793B23CD}" id="{AFD2CCC0-1104-4D91-A638-4EC7DFE2A308}">
    <text>Difference in the P10K frequency of the autograph and apograph readings. Difference = apograph - autograph. Thus, positive values indicate the apograph reading was a more common/frequent word; negative values indicate the apograph reading was a less common/frequent word</text>
  </threadedComment>
  <threadedComment ref="D33" dT="2024-01-15T11:53:38.99" personId="{5D048A0C-9405-47F1-A020-6E53793B23CD}" id="{12C8B34D-93B1-4BFB-9A11-39EDCA69A369}">
    <text>Total word count for corpus. Figure taken from Accordance "Word Count Totals" analysis. Search for word "*" specifying [RANGE &lt;CONTENT&gt;]. E.g., for 1 Samuel - 2 Kings in Alexandrinus, search for "* [RANGE 1 Sam - 2 Kings]" in LXX Rahlfs.</text>
  </threadedComment>
  <threadedComment ref="D36" dT="2024-01-16T16:24:54.84" personId="{5D048A0C-9405-47F1-A020-6E53793B23CD}" id="{947F9240-9398-499B-9387-B1A578B42A4A}">
    <text>Number of variants where the scribe used a more common/frequent word in place of a less common/frequent word</text>
  </threadedComment>
  <threadedComment ref="D37" dT="2024-01-16T16:25:18.29" personId="{5D048A0C-9405-47F1-A020-6E53793B23CD}" id="{2537983D-8F66-451E-9CB3-26DFC9F89F37}">
    <text>Number of variants where the scribe used a less common/frequent word in place of a more  common/frequent word</text>
  </threadedComment>
  <threadedComment ref="D38" dT="2024-01-16T16:26:16.57" personId="{5D048A0C-9405-47F1-A020-6E53793B23CD}" id="{E806A0B4-1AC1-48B5-90DC-E0DBA649B68A}">
    <text>Probability based on 2-tailed sign test: probability of obtaining a result as extreme as or more extreme than that shown above</text>
  </threadedComment>
  <threadedComment ref="D40" dT="2024-01-16T16:28:22.68" personId="{5D048A0C-9405-47F1-A020-6E53793B23CD}" id="{B7024591-880D-4980-AB35-1275F6A4DD5F}">
    <text>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ext>
  </threadedComment>
  <threadedComment ref="D41" dT="2024-01-16T16:28:51.78" personId="{5D048A0C-9405-47F1-A020-6E53793B23CD}" id="{F8F901AD-E59C-4527-8CDC-754C24476A3B}">
    <text>Standard deviation of the word frequency difference for substitutions</text>
  </threadedComment>
  <threadedComment ref="D44" dT="2024-01-16T16:30:57.18" personId="{5D048A0C-9405-47F1-A020-6E53793B23CD}" id="{22B103AB-2C1A-4559-AD5B-C8D78DDEBFD0}">
    <text>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ext>
  </threadedComment>
  <threadedComment ref="D45" dT="2024-01-16T16:31:30.62" personId="{5D048A0C-9405-47F1-A020-6E53793B23CD}" id="{84DE174D-1E73-4AB0-9490-B8FE4435A63F}">
    <text>Standard deviation of the change in word frequency, using the frequency measure of "occurrences per 10,000 words"</text>
  </threadedComment>
  <threadedComment ref="D48" dT="2024-01-22T16:14:41.99" personId="{5D048A0C-9405-47F1-A020-6E53793B23CD}" id="{4C31A7EA-552D-4D69-B4D0-01983FE7C0D0}">
    <text>Total number of substitutions for which a word frequency difference could be calculated</text>
  </threadedComment>
  <threadedComment ref="D49" dT="2024-01-22T17:13:39.02" personId="{5D048A0C-9405-47F1-A020-6E53793B23CD}" id="{CE4549F3-B88E-43D5-B387-E12E0A2C0263}">
    <text>The standard deviation of word frequency difference scores</text>
  </threadedComment>
</ThreadedComments>
</file>

<file path=xl/threadedComments/threadedComment13.xml><?xml version="1.0" encoding="utf-8"?>
<ThreadedComments xmlns="http://schemas.microsoft.com/office/spreadsheetml/2018/threadedcomments" xmlns:x="http://schemas.openxmlformats.org/spreadsheetml/2006/main">
  <threadedComment ref="S1" dT="2024-01-16T10:00:06.98" personId="{5D048A0C-9405-47F1-A020-6E53793B23CD}" id="{7B507FA7-AF5C-411A-95D0-0AFA31F01B19}">
    <text>For substitutions, the word frequency of the apograph reading</text>
  </threadedComment>
  <threadedComment ref="T1" dT="2024-01-16T09:59:48.08" personId="{5D048A0C-9405-47F1-A020-6E53793B23CD}" id="{489BCCBC-A4D0-4017-9F86-A1CEFD53E0C7}">
    <text>For substitutions, the word frequency of the autograph reading</text>
  </threadedComment>
  <threadedComment ref="D4" dT="2024-01-24T17:15:11.25" personId="{5D048A0C-9405-47F1-A020-6E53793B23CD}" id="{8E985BA9-6AF0-45FF-843B-0FEF95B91163}">
    <text>The number of variants that harmonized to parallel phrases in the near context</text>
  </threadedComment>
  <threadedComment ref="D5" dT="2024-01-24T17:15:35.01" personId="{5D048A0C-9405-47F1-A020-6E53793B23CD}" id="{3EACD204-3C28-4277-8497-B773AA305A65}">
    <text>The number of variants that disharmonized from  parallel phrases in the near context</text>
  </threadedComment>
  <threadedComment ref="D6" dT="2024-01-24T17:16:15.06" personId="{5D048A0C-9405-47F1-A020-6E53793B23CD}" id="{6B87A07C-0DFF-4D77-9B82-E8880D26162E}">
    <text>The ratio of harmonizations to disharmonizations; = harmonizations / (harmonizations + disharmonizations)</text>
  </threadedComment>
</ThreadedComments>
</file>

<file path=xl/threadedComments/threadedComment14.xml><?xml version="1.0" encoding="utf-8"?>
<ThreadedComments xmlns="http://schemas.microsoft.com/office/spreadsheetml/2018/threadedcomments" xmlns:x="http://schemas.openxmlformats.org/spreadsheetml/2006/main">
  <threadedComment ref="A1" dT="2024-01-30T16:42:58.97" personId="{5D048A0C-9405-47F1-A020-6E53793B23CD}" id="{367D32D1-C02A-46C1-95B4-894F6A113383}">
    <text>Word count of the apograph, for the extent of text copied from the exemplar. Not necessarily equal to the word count of a corpus, or the exemplar. Apograph word count was chosen over autograph since it would remain stable across comparisons to other potential autographa, when the exemplar is not known.</text>
  </threadedComment>
  <threadedComment ref="A2" dT="2024-01-30T16:43:29.06" personId="{5D048A0C-9405-47F1-A020-6E53793B23CD}" id="{4FEF1A5F-B973-48EA-B7D7-8DBE3A0F687B}">
    <text>The number of total deviations from the exemplar. Includes itacisms, orthographic changes, nonsense readings etc.</text>
  </threadedComment>
  <threadedComment ref="A3" dT="2024-01-30T16:44:34.54" personId="{5D048A0C-9405-47F1-A020-6E53793B23CD}" id="{ECF030FD-9963-423A-B5D5-648CC9314BAE}">
    <text>The number of "meaningful" variants produced by the scribe. Should be based on the "general filters" page, with those readings excluded that have not been deemed fit for analysis (e.g., nonsense readings and corrections thereof, itacisms etc.)</text>
  </threadedComment>
  <threadedComment ref="A5" dT="2024-01-31T15:17:30.66" personId="{5D048A0C-9405-47F1-A020-6E53793B23CD}" id="{D1F1DB30-91B1-44C2-8239-FFA7F91D64F4}">
    <text>The rate of error generation per 1000 words in the apograph. Figure includes itacisms, orthographic changes, nonsense readings etc.</text>
  </threadedComment>
  <threadedComment ref="A6" dT="2024-01-31T15:18:45.83" personId="{5D048A0C-9405-47F1-A020-6E53793B23CD}" id="{90F832D0-3D20-4737-9D6A-C0ED12E98858}">
    <text>Frequency of "meaningful" errors per 1000 words in the apograph. "Meaningful" errors are defined by the general filters applied to the raw data. (Here, this means the exclusion of such readings as itacisms, orthographic changes, variants involving nonsense readings etc.)</text>
  </threadedComment>
</ThreadedComments>
</file>

<file path=xl/threadedComments/threadedComment15.xml><?xml version="1.0" encoding="utf-8"?>
<ThreadedComments xmlns="http://schemas.microsoft.com/office/spreadsheetml/2018/threadedcomments" xmlns:x="http://schemas.openxmlformats.org/spreadsheetml/2006/main">
  <threadedComment ref="L3" dT="2023-08-03T13:34:30.53" personId="{5D048A0C-9405-47F1-A020-6E53793B23CD}" id="{ADE24BDD-0CE7-4984-89A2-6D5A7E1E6A0B}">
    <text>The apograph reading is singular and the autograph reading is not. The singular readings method would detect this variant</text>
  </threadedComment>
  <threadedComment ref="L4" dT="2023-08-03T13:33:28.57" personId="{5D048A0C-9405-47F1-A020-6E53793B23CD}" id="{23F03B20-D455-4555-A4DC-EEC2999F65F6}">
    <text>That is, the autograph contains a singular reading and the apograph followed it</text>
  </threadedComment>
  <threadedComment ref="L5" dT="2023-08-03T13:35:10.13" personId="{5D048A0C-9405-47F1-A020-6E53793B23CD}" id="{15FF17AB-0A20-44B6-B50C-F6265097AD0E}">
    <text>The apograph reading is not singular: other witnesses contain the same reading. These are real variants produced by the apograph scribe, but the singular readings method would not detect them</text>
  </threadedComment>
  <threadedComment ref="N13" dT="2023-08-14T14:21:11.11" personId="{5D048A0C-9405-47F1-A020-6E53793B23CD}" id="{CA332D3B-255C-4BFE-A327-192CC1243DCB}">
    <text>For words which have multiple common forms not impacting their inflection (e.g., ουκ-ουχ-ου, επι-επ-εφ)</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7.bin"/><Relationship Id="rId4" Type="http://schemas.microsoft.com/office/2017/10/relationships/threadedComment" Target="../threadedComments/threadedComment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8.bin"/><Relationship Id="rId4" Type="http://schemas.microsoft.com/office/2017/10/relationships/threadedComment" Target="../threadedComments/threadedComment1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9.bin"/><Relationship Id="rId4" Type="http://schemas.microsoft.com/office/2017/10/relationships/threadedComment" Target="../threadedComments/threadedComment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0.bin"/><Relationship Id="rId4" Type="http://schemas.microsoft.com/office/2017/10/relationships/threadedComment" Target="../threadedComments/threadedComment12.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1.bin"/><Relationship Id="rId4" Type="http://schemas.microsoft.com/office/2017/10/relationships/threadedComment" Target="../threadedComments/threadedComment14.x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9498E-60FE-47CE-98CB-DF81F2BD960C}">
  <dimension ref="A1:AL908"/>
  <sheetViews>
    <sheetView tabSelected="1" workbookViewId="0">
      <pane xSplit="5" ySplit="1" topLeftCell="F860" activePane="bottomRight" state="frozen"/>
      <selection pane="topRight" activeCell="F1" sqref="F1"/>
      <selection pane="bottomLeft" activeCell="A2" sqref="A2"/>
      <selection pane="bottomRight" activeCell="E908" sqref="E908"/>
    </sheetView>
  </sheetViews>
  <sheetFormatPr defaultRowHeight="14.5"/>
  <cols>
    <col min="1" max="1" width="10.81640625" customWidth="1"/>
    <col min="2" max="3" width="8.90625" hidden="1" customWidth="1"/>
    <col min="4" max="4" width="20.81640625" customWidth="1"/>
    <col min="5" max="5" width="16.36328125" style="4" customWidth="1"/>
    <col min="6" max="6" width="10.81640625" customWidth="1"/>
    <col min="7" max="8" width="16.36328125" customWidth="1"/>
    <col min="9" max="9" width="10.81640625" customWidth="1"/>
    <col min="10" max="10" width="16.90625" style="10" bestFit="1" customWidth="1"/>
    <col min="11" max="16" width="8.90625" style="10"/>
    <col min="17" max="17" width="8.90625" style="11"/>
    <col min="18" max="18" width="8.90625" style="10"/>
    <col min="19" max="19" width="8.81640625" style="10" customWidth="1"/>
    <col min="20" max="22" width="8.90625" style="10"/>
    <col min="23" max="27" width="5.81640625" style="10" customWidth="1"/>
    <col min="28" max="32" width="8.90625" style="10"/>
    <col min="36" max="36" width="11.08984375" bestFit="1" customWidth="1"/>
  </cols>
  <sheetData>
    <row r="1" spans="1:38" s="1" customFormat="1">
      <c r="A1" s="1" t="s">
        <v>0</v>
      </c>
      <c r="B1" s="1" t="s">
        <v>1</v>
      </c>
      <c r="C1" s="1" t="s">
        <v>2</v>
      </c>
      <c r="D1" s="1" t="s">
        <v>5</v>
      </c>
      <c r="E1" s="3" t="s">
        <v>6</v>
      </c>
      <c r="F1" s="1" t="s">
        <v>2181</v>
      </c>
      <c r="G1" s="1" t="s">
        <v>2182</v>
      </c>
      <c r="H1" s="1" t="s">
        <v>2183</v>
      </c>
      <c r="I1" s="1" t="s">
        <v>7</v>
      </c>
      <c r="J1" s="1" t="s">
        <v>3</v>
      </c>
      <c r="K1" s="1" t="s">
        <v>2184</v>
      </c>
      <c r="L1" s="1" t="s">
        <v>2185</v>
      </c>
      <c r="M1" s="1" t="s">
        <v>2186</v>
      </c>
      <c r="N1" s="1" t="s">
        <v>2187</v>
      </c>
      <c r="O1" s="1" t="s">
        <v>2146</v>
      </c>
      <c r="P1" s="1" t="s">
        <v>2188</v>
      </c>
      <c r="Q1" s="9" t="s">
        <v>2189</v>
      </c>
      <c r="R1" s="1" t="s">
        <v>2147</v>
      </c>
      <c r="S1" s="1" t="s">
        <v>2190</v>
      </c>
      <c r="T1" s="1" t="s">
        <v>2191</v>
      </c>
      <c r="U1" s="1" t="s">
        <v>2385</v>
      </c>
      <c r="V1" s="1" t="s">
        <v>2386</v>
      </c>
      <c r="W1" s="1" t="s">
        <v>2194</v>
      </c>
      <c r="X1" s="1" t="s">
        <v>2195</v>
      </c>
      <c r="Y1" s="1" t="s">
        <v>2196</v>
      </c>
      <c r="Z1" s="1" t="s">
        <v>2148</v>
      </c>
      <c r="AA1" s="1" t="s">
        <v>2149</v>
      </c>
      <c r="AB1" s="1" t="s">
        <v>2150</v>
      </c>
      <c r="AC1" s="1" t="s">
        <v>2192</v>
      </c>
      <c r="AD1" s="1" t="s">
        <v>2197</v>
      </c>
      <c r="AE1" s="1" t="s">
        <v>2151</v>
      </c>
      <c r="AF1" s="1" t="s">
        <v>2193</v>
      </c>
      <c r="AG1" s="1" t="s">
        <v>2215</v>
      </c>
      <c r="AH1" s="1" t="s">
        <v>2207</v>
      </c>
      <c r="AI1" s="1" t="s">
        <v>2214</v>
      </c>
    </row>
    <row r="2" spans="1:38">
      <c r="A2" t="s">
        <v>37</v>
      </c>
      <c r="D2" s="4" t="s">
        <v>814</v>
      </c>
      <c r="E2" s="4" t="s">
        <v>813</v>
      </c>
      <c r="J2" s="10" t="s">
        <v>2201</v>
      </c>
      <c r="U2" s="10" t="str">
        <f t="shared" ref="U2" ca="1" si="0">IF(ISNUMBER(T2),VALUE(MID(_xlfn.FORMULATEXT(T2),SEARCH("-",_xlfn.FORMULATEXT(T2))+1,LEN(_xlfn.FORMULATEXT(T2))-SEARCH("-",_xlfn.FORMULATEXT(T2)))), "")</f>
        <v/>
      </c>
      <c r="V2" s="10" t="str">
        <f t="shared" ref="V2" ca="1" si="1">IF(ISNUMBER(T2), VALUE(MID(_xlfn.FORMULATEXT(T2), 2, SEARCH("-", _xlfn.FORMULATEXT(T2)) - 2)), "")</f>
        <v/>
      </c>
      <c r="AG2" t="s">
        <v>19</v>
      </c>
      <c r="AH2" t="s">
        <v>20</v>
      </c>
      <c r="AI2" t="s">
        <v>20</v>
      </c>
      <c r="AJ2" cm="1">
        <f t="array" ref="AJ2">_xlfn.IFS(AG2="Yes",1,AG2="No",0,AG2="","")</f>
        <v>1</v>
      </c>
    </row>
    <row r="3" spans="1:38">
      <c r="A3" t="s">
        <v>38</v>
      </c>
      <c r="D3" s="4" t="s">
        <v>39</v>
      </c>
      <c r="E3" s="4" t="s">
        <v>40</v>
      </c>
      <c r="H3" t="s">
        <v>19</v>
      </c>
      <c r="J3" s="10" t="s">
        <v>2199</v>
      </c>
      <c r="T3" s="10" t="s">
        <v>2200</v>
      </c>
      <c r="U3" s="10" t="str">
        <f t="shared" ref="U3:U65" ca="1" si="2">IF(ISNUMBER(T3),VALUE(MID(_xlfn.FORMULATEXT(T3),SEARCH("-",_xlfn.FORMULATEXT(T3))+1,LEN(_xlfn.FORMULATEXT(T3))-SEARCH("-",_xlfn.FORMULATEXT(T3)))), "")</f>
        <v/>
      </c>
      <c r="V3" s="10" t="str">
        <f t="shared" ref="V3:V65" ca="1" si="3">IF(ISNUMBER(T3), VALUE(MID(_xlfn.FORMULATEXT(T3), 2, SEARCH("-", _xlfn.FORMULATEXT(T3)) - 2)), "")</f>
        <v/>
      </c>
      <c r="AE3" s="10" t="s">
        <v>2157</v>
      </c>
      <c r="AG3" t="s">
        <v>20</v>
      </c>
      <c r="AH3" t="s">
        <v>20</v>
      </c>
      <c r="AI3" t="s">
        <v>20</v>
      </c>
      <c r="AJ3" cm="1">
        <f t="array" ref="AJ3">_xlfn.IFS(AG3="Yes",1,AG3="No",0,AG3="","")</f>
        <v>0</v>
      </c>
      <c r="AK3" t="s">
        <v>2211</v>
      </c>
    </row>
    <row r="4" spans="1:38" ht="29">
      <c r="A4" t="s">
        <v>41</v>
      </c>
      <c r="D4" s="4" t="s">
        <v>2217</v>
      </c>
      <c r="E4" s="4" t="s">
        <v>2218</v>
      </c>
      <c r="J4" s="10" t="s">
        <v>2201</v>
      </c>
      <c r="U4" s="10" t="str">
        <f t="shared" ca="1" si="2"/>
        <v/>
      </c>
      <c r="V4" s="10" t="str">
        <f t="shared" ca="1" si="3"/>
        <v/>
      </c>
      <c r="AE4" s="10" t="s">
        <v>2157</v>
      </c>
      <c r="AG4" t="s">
        <v>19</v>
      </c>
      <c r="AH4" t="s">
        <v>20</v>
      </c>
      <c r="AI4" t="s">
        <v>20</v>
      </c>
      <c r="AJ4" cm="1">
        <f t="array" ref="AJ4">_xlfn.IFS(AG4="Yes",1,AG4="No",0,AG4="","")</f>
        <v>1</v>
      </c>
      <c r="AK4" t="s">
        <v>2212</v>
      </c>
      <c r="AL4">
        <v>0.6964285714285714</v>
      </c>
    </row>
    <row r="5" spans="1:38">
      <c r="A5" t="s">
        <v>42</v>
      </c>
      <c r="D5" s="4" t="s">
        <v>815</v>
      </c>
      <c r="E5" s="4" t="s">
        <v>816</v>
      </c>
      <c r="J5" s="10" t="s">
        <v>25</v>
      </c>
      <c r="L5" s="10">
        <v>1</v>
      </c>
      <c r="M5" s="10">
        <v>4</v>
      </c>
      <c r="N5" s="10" t="s">
        <v>2219</v>
      </c>
      <c r="O5" s="10" t="s">
        <v>2159</v>
      </c>
      <c r="S5" s="10">
        <v>295</v>
      </c>
      <c r="U5" s="10" t="str">
        <f t="shared" ca="1" si="2"/>
        <v/>
      </c>
      <c r="V5" s="10" t="str">
        <f t="shared" ca="1" si="3"/>
        <v/>
      </c>
      <c r="AG5" t="s">
        <v>19</v>
      </c>
      <c r="AH5" t="s">
        <v>20</v>
      </c>
      <c r="AI5" t="s">
        <v>20</v>
      </c>
      <c r="AJ5" cm="1">
        <f t="array" ref="AJ5">_xlfn.IFS(AG5="Yes",1,AG5="No",0,AG5="","")</f>
        <v>1</v>
      </c>
      <c r="AK5" t="s">
        <v>2213</v>
      </c>
      <c r="AL5">
        <v>0.3888888888888889</v>
      </c>
    </row>
    <row r="6" spans="1:38" ht="29">
      <c r="A6" t="s">
        <v>43</v>
      </c>
      <c r="D6" s="4" t="s">
        <v>818</v>
      </c>
      <c r="E6" s="4" t="s">
        <v>817</v>
      </c>
      <c r="J6" s="10" t="s">
        <v>24</v>
      </c>
      <c r="L6" s="10">
        <v>1</v>
      </c>
      <c r="M6" s="10">
        <v>3</v>
      </c>
      <c r="N6" s="10" t="s">
        <v>2168</v>
      </c>
      <c r="O6" s="10" t="s">
        <v>2153</v>
      </c>
      <c r="P6" s="10" t="s">
        <v>2229</v>
      </c>
      <c r="Q6" s="11" t="s">
        <v>2230</v>
      </c>
      <c r="R6" s="10" t="s">
        <v>2154</v>
      </c>
      <c r="S6" s="10">
        <v>1701</v>
      </c>
      <c r="U6" s="10" t="str">
        <f t="shared" ca="1" si="2"/>
        <v/>
      </c>
      <c r="V6" s="10" t="str">
        <f t="shared" ca="1" si="3"/>
        <v/>
      </c>
      <c r="AE6" s="10" t="s">
        <v>2163</v>
      </c>
      <c r="AG6" t="s">
        <v>20</v>
      </c>
      <c r="AH6" t="s">
        <v>20</v>
      </c>
      <c r="AI6" t="s">
        <v>20</v>
      </c>
      <c r="AJ6" cm="1">
        <f t="array" ref="AJ6">_xlfn.IFS(AG6="Yes",1,AG6="No",0,AG6="","")</f>
        <v>0</v>
      </c>
      <c r="AK6" t="s">
        <v>2216</v>
      </c>
      <c r="AL6">
        <f>COUNTIF(AI2:AI57,"Yes")/COUNTA(AI2:AI57)</f>
        <v>0.3888888888888889</v>
      </c>
    </row>
    <row r="7" spans="1:38">
      <c r="A7" t="s">
        <v>43</v>
      </c>
      <c r="D7" s="4" t="s">
        <v>44</v>
      </c>
      <c r="E7" s="4" t="s">
        <v>45</v>
      </c>
      <c r="J7" s="10" t="s">
        <v>2199</v>
      </c>
      <c r="T7" s="10" t="s">
        <v>2220</v>
      </c>
      <c r="U7" s="10" t="str">
        <f t="shared" ca="1" si="2"/>
        <v/>
      </c>
      <c r="V7" s="10" t="str">
        <f t="shared" ca="1" si="3"/>
        <v/>
      </c>
      <c r="AC7" s="10" t="s">
        <v>2221</v>
      </c>
      <c r="AD7" s="10" t="s">
        <v>19</v>
      </c>
      <c r="AE7" s="10" t="s">
        <v>2167</v>
      </c>
      <c r="AG7" t="s">
        <v>19</v>
      </c>
      <c r="AI7" t="s">
        <v>19</v>
      </c>
      <c r="AJ7" cm="1">
        <f t="array" ref="AJ7">_xlfn.IFS(AG7="Yes",1,AG7="No",0,AG7="","")</f>
        <v>1</v>
      </c>
    </row>
    <row r="8" spans="1:38">
      <c r="A8" t="s">
        <v>46</v>
      </c>
      <c r="D8" s="4" t="s">
        <v>47</v>
      </c>
      <c r="E8" s="4" t="s">
        <v>48</v>
      </c>
      <c r="J8" s="10" t="s">
        <v>2199</v>
      </c>
      <c r="T8" s="10" t="s">
        <v>2220</v>
      </c>
      <c r="U8" s="10" t="str">
        <f t="shared" ca="1" si="2"/>
        <v/>
      </c>
      <c r="V8" s="10" t="str">
        <f t="shared" ca="1" si="3"/>
        <v/>
      </c>
      <c r="AC8" s="10" t="s">
        <v>2222</v>
      </c>
      <c r="AD8" s="10" t="s">
        <v>19</v>
      </c>
      <c r="AE8" s="10" t="s">
        <v>2167</v>
      </c>
      <c r="AG8" t="s">
        <v>19</v>
      </c>
      <c r="AH8" t="s">
        <v>19</v>
      </c>
      <c r="AI8" t="s">
        <v>19</v>
      </c>
      <c r="AJ8" cm="1">
        <f t="array" ref="AJ8">_xlfn.IFS(AG8="Yes",1,AG8="No",0,AG8="","")</f>
        <v>1</v>
      </c>
    </row>
    <row r="9" spans="1:38">
      <c r="A9" t="s">
        <v>46</v>
      </c>
      <c r="D9" s="4" t="s">
        <v>49</v>
      </c>
      <c r="E9" s="4" t="s">
        <v>50</v>
      </c>
      <c r="J9" s="10" t="s">
        <v>2199</v>
      </c>
      <c r="T9" s="10" t="s">
        <v>2220</v>
      </c>
      <c r="U9" s="10" t="str">
        <f t="shared" ca="1" si="2"/>
        <v/>
      </c>
      <c r="V9" s="10" t="str">
        <f t="shared" ca="1" si="3"/>
        <v/>
      </c>
      <c r="AC9" s="10" t="s">
        <v>2222</v>
      </c>
      <c r="AD9" s="10" t="s">
        <v>19</v>
      </c>
      <c r="AG9" t="s">
        <v>19</v>
      </c>
      <c r="AH9" t="s">
        <v>19</v>
      </c>
      <c r="AI9" t="s">
        <v>20</v>
      </c>
      <c r="AJ9" cm="1">
        <f t="array" ref="AJ9">_xlfn.IFS(AG9="Yes",1,AG9="No",0,AG9="","")</f>
        <v>1</v>
      </c>
    </row>
    <row r="10" spans="1:38">
      <c r="A10" t="s">
        <v>46</v>
      </c>
      <c r="D10" s="4" t="s">
        <v>819</v>
      </c>
      <c r="E10" s="4" t="s">
        <v>820</v>
      </c>
      <c r="J10" s="10" t="s">
        <v>2201</v>
      </c>
      <c r="U10" s="10" t="str">
        <f t="shared" ca="1" si="2"/>
        <v/>
      </c>
      <c r="V10" s="10" t="str">
        <f t="shared" ca="1" si="3"/>
        <v/>
      </c>
      <c r="AC10" s="10" t="s">
        <v>2223</v>
      </c>
      <c r="AD10" s="10" t="s">
        <v>19</v>
      </c>
      <c r="AG10" t="s">
        <v>19</v>
      </c>
      <c r="AH10" t="s">
        <v>20</v>
      </c>
      <c r="AI10" t="s">
        <v>20</v>
      </c>
      <c r="AJ10" cm="1">
        <f t="array" ref="AJ10">_xlfn.IFS(AG10="Yes",1,AG10="No",0,AG10="","")</f>
        <v>1</v>
      </c>
    </row>
    <row r="11" spans="1:38">
      <c r="A11" t="s">
        <v>51</v>
      </c>
      <c r="D11" s="4" t="s">
        <v>52</v>
      </c>
      <c r="E11" s="4" t="s">
        <v>53</v>
      </c>
      <c r="J11" s="10" t="s">
        <v>2199</v>
      </c>
      <c r="T11" s="10" t="s">
        <v>2200</v>
      </c>
      <c r="U11" s="10" t="str">
        <f t="shared" ca="1" si="2"/>
        <v/>
      </c>
      <c r="V11" s="10" t="str">
        <f t="shared" ca="1" si="3"/>
        <v/>
      </c>
      <c r="AC11" s="10" t="s">
        <v>2221</v>
      </c>
      <c r="AD11" s="10" t="s">
        <v>19</v>
      </c>
      <c r="AG11" t="s">
        <v>19</v>
      </c>
      <c r="AH11" t="s">
        <v>19</v>
      </c>
      <c r="AI11" t="s">
        <v>19</v>
      </c>
      <c r="AJ11" cm="1">
        <f t="array" ref="AJ11">_xlfn.IFS(AG11="Yes",1,AG11="No",0,AG11="","")</f>
        <v>1</v>
      </c>
    </row>
    <row r="12" spans="1:38">
      <c r="A12" t="s">
        <v>51</v>
      </c>
      <c r="D12" s="4" t="s">
        <v>54</v>
      </c>
      <c r="E12" s="4" t="s">
        <v>55</v>
      </c>
      <c r="H12" t="s">
        <v>19</v>
      </c>
      <c r="J12" s="10" t="s">
        <v>2199</v>
      </c>
      <c r="T12" s="10" t="s">
        <v>2220</v>
      </c>
      <c r="U12" s="10" t="str">
        <f t="shared" ca="1" si="2"/>
        <v/>
      </c>
      <c r="V12" s="10" t="str">
        <f t="shared" ca="1" si="3"/>
        <v/>
      </c>
      <c r="AC12" s="10" t="s">
        <v>2223</v>
      </c>
      <c r="AD12" s="10" t="s">
        <v>19</v>
      </c>
      <c r="AE12" s="10" t="s">
        <v>2157</v>
      </c>
      <c r="AG12" t="s">
        <v>20</v>
      </c>
      <c r="AH12" t="s">
        <v>20</v>
      </c>
      <c r="AI12" t="s">
        <v>20</v>
      </c>
      <c r="AJ12" cm="1">
        <f t="array" ref="AJ12">_xlfn.IFS(AG12="Yes",1,AG12="No",0,AG12="","")</f>
        <v>0</v>
      </c>
    </row>
    <row r="13" spans="1:38" ht="29">
      <c r="A13" t="s">
        <v>56</v>
      </c>
      <c r="D13" s="4" t="s">
        <v>821</v>
      </c>
      <c r="E13" s="4" t="s">
        <v>822</v>
      </c>
      <c r="H13" t="s">
        <v>19</v>
      </c>
      <c r="J13" s="10" t="s">
        <v>24</v>
      </c>
      <c r="L13" s="10">
        <v>1</v>
      </c>
      <c r="M13" s="10">
        <v>8</v>
      </c>
      <c r="N13" s="10" t="s">
        <v>2173</v>
      </c>
      <c r="O13" s="10" t="s">
        <v>2153</v>
      </c>
      <c r="P13" s="10" t="s">
        <v>2231</v>
      </c>
      <c r="Q13" s="11" t="s">
        <v>2232</v>
      </c>
      <c r="S13" s="10">
        <v>0</v>
      </c>
      <c r="U13" s="10" t="str">
        <f t="shared" ca="1" si="2"/>
        <v/>
      </c>
      <c r="V13" s="10" t="str">
        <f t="shared" ca="1" si="3"/>
        <v/>
      </c>
      <c r="AG13" t="s">
        <v>20</v>
      </c>
      <c r="AH13" t="s">
        <v>20</v>
      </c>
      <c r="AI13" t="s">
        <v>20</v>
      </c>
      <c r="AJ13" cm="1">
        <f t="array" ref="AJ13">_xlfn.IFS(AG13="Yes",1,AG13="No",0,AG13="","")</f>
        <v>0</v>
      </c>
    </row>
    <row r="14" spans="1:38">
      <c r="A14" t="s">
        <v>57</v>
      </c>
      <c r="D14" s="4" t="s">
        <v>823</v>
      </c>
      <c r="E14" s="4" t="s">
        <v>2224</v>
      </c>
      <c r="J14" s="10" t="s">
        <v>2201</v>
      </c>
      <c r="U14" s="10" t="str">
        <f t="shared" ca="1" si="2"/>
        <v/>
      </c>
      <c r="V14" s="10" t="str">
        <f t="shared" ca="1" si="3"/>
        <v/>
      </c>
      <c r="AG14" t="s">
        <v>19</v>
      </c>
      <c r="AH14" t="s">
        <v>20</v>
      </c>
      <c r="AI14" t="s">
        <v>20</v>
      </c>
      <c r="AJ14" cm="1">
        <f t="array" ref="AJ14">_xlfn.IFS(AG14="Yes",1,AG14="No",0,AG14="","")</f>
        <v>1</v>
      </c>
    </row>
    <row r="15" spans="1:38">
      <c r="A15" t="s">
        <v>58</v>
      </c>
      <c r="D15" s="4" t="s">
        <v>59</v>
      </c>
      <c r="E15" s="4" t="s">
        <v>60</v>
      </c>
      <c r="I15" t="s">
        <v>2234</v>
      </c>
      <c r="J15" s="10" t="s">
        <v>2199</v>
      </c>
      <c r="T15" s="10" t="s">
        <v>2200</v>
      </c>
      <c r="U15" s="10" t="str">
        <f t="shared" ca="1" si="2"/>
        <v/>
      </c>
      <c r="V15" s="10" t="str">
        <f t="shared" ca="1" si="3"/>
        <v/>
      </c>
      <c r="AC15" s="10" t="s">
        <v>2233</v>
      </c>
      <c r="AD15" s="10" t="s">
        <v>19</v>
      </c>
      <c r="AG15" t="s">
        <v>20</v>
      </c>
      <c r="AH15" t="s">
        <v>20</v>
      </c>
      <c r="AI15" t="s">
        <v>20</v>
      </c>
      <c r="AJ15" cm="1">
        <f t="array" ref="AJ15">_xlfn.IFS(AG15="Yes",1,AG15="No",0,AG15="","")</f>
        <v>0</v>
      </c>
    </row>
    <row r="16" spans="1:38">
      <c r="A16" t="s">
        <v>61</v>
      </c>
      <c r="D16" s="4" t="s">
        <v>62</v>
      </c>
      <c r="E16" s="4" t="s">
        <v>63</v>
      </c>
      <c r="J16" s="10" t="s">
        <v>2199</v>
      </c>
      <c r="T16" s="10" t="s">
        <v>2200</v>
      </c>
      <c r="U16" s="10" t="str">
        <f t="shared" ca="1" si="2"/>
        <v/>
      </c>
      <c r="V16" s="10" t="str">
        <f t="shared" ca="1" si="3"/>
        <v/>
      </c>
      <c r="AB16" s="10" t="s">
        <v>2235</v>
      </c>
      <c r="AD16" s="10" t="s">
        <v>19</v>
      </c>
      <c r="AG16" t="s">
        <v>20</v>
      </c>
      <c r="AH16" t="s">
        <v>19</v>
      </c>
      <c r="AI16" t="s">
        <v>20</v>
      </c>
      <c r="AJ16" cm="1">
        <f t="array" ref="AJ16">_xlfn.IFS(AG16="Yes",1,AG16="No",0,AG16="","")</f>
        <v>0</v>
      </c>
    </row>
    <row r="17" spans="1:36" ht="29">
      <c r="A17" t="s">
        <v>61</v>
      </c>
      <c r="D17" s="4" t="s">
        <v>824</v>
      </c>
      <c r="E17" s="4" t="s">
        <v>825</v>
      </c>
      <c r="I17" t="s">
        <v>2225</v>
      </c>
      <c r="J17" s="10" t="s">
        <v>24</v>
      </c>
      <c r="L17" s="10">
        <v>1</v>
      </c>
      <c r="M17" s="10">
        <v>3</v>
      </c>
      <c r="N17" s="10" t="s">
        <v>2168</v>
      </c>
      <c r="O17" s="10" t="s">
        <v>2159</v>
      </c>
      <c r="S17" s="10">
        <v>1701</v>
      </c>
      <c r="U17" s="10" t="str">
        <f t="shared" ca="1" si="2"/>
        <v/>
      </c>
      <c r="V17" s="10" t="str">
        <f t="shared" ca="1" si="3"/>
        <v/>
      </c>
      <c r="AG17" t="s">
        <v>19</v>
      </c>
      <c r="AH17" t="s">
        <v>19</v>
      </c>
      <c r="AI17" t="s">
        <v>19</v>
      </c>
      <c r="AJ17" cm="1">
        <f t="array" ref="AJ17">_xlfn.IFS(AG17="Yes",1,AG17="No",0,AG17="","")</f>
        <v>1</v>
      </c>
    </row>
    <row r="18" spans="1:36" ht="29">
      <c r="A18" t="s">
        <v>61</v>
      </c>
      <c r="D18" s="4" t="s">
        <v>826</v>
      </c>
      <c r="E18" s="4" t="s">
        <v>827</v>
      </c>
      <c r="F18" t="s">
        <v>35</v>
      </c>
      <c r="I18" t="s">
        <v>828</v>
      </c>
      <c r="U18" s="10" t="str">
        <f t="shared" ca="1" si="2"/>
        <v/>
      </c>
      <c r="V18" s="10" t="str">
        <f t="shared" ca="1" si="3"/>
        <v/>
      </c>
      <c r="AJ18" t="str" cm="1">
        <f t="array" ref="AJ18">_xlfn.IFS(AG18="Yes",1,AG18="No",0,AG18="","")</f>
        <v/>
      </c>
    </row>
    <row r="19" spans="1:36">
      <c r="A19" t="s">
        <v>64</v>
      </c>
      <c r="D19" s="4" t="s">
        <v>65</v>
      </c>
      <c r="E19" s="4" t="s">
        <v>66</v>
      </c>
      <c r="J19" s="10" t="s">
        <v>2201</v>
      </c>
      <c r="U19" s="10" t="str">
        <f t="shared" ca="1" si="2"/>
        <v/>
      </c>
      <c r="V19" s="10" t="str">
        <f t="shared" ca="1" si="3"/>
        <v/>
      </c>
      <c r="AC19" s="10" t="s">
        <v>2221</v>
      </c>
      <c r="AD19" s="10" t="s">
        <v>19</v>
      </c>
      <c r="AG19" t="s">
        <v>19</v>
      </c>
      <c r="AH19" t="s">
        <v>19</v>
      </c>
      <c r="AI19" t="s">
        <v>19</v>
      </c>
      <c r="AJ19" cm="1">
        <f t="array" ref="AJ19">_xlfn.IFS(AG19="Yes",1,AG19="No",0,AG19="","")</f>
        <v>1</v>
      </c>
    </row>
    <row r="20" spans="1:36">
      <c r="A20" t="s">
        <v>67</v>
      </c>
      <c r="D20" s="4" t="s">
        <v>829</v>
      </c>
      <c r="E20" s="4" t="s">
        <v>830</v>
      </c>
      <c r="J20" s="10" t="s">
        <v>2201</v>
      </c>
      <c r="U20" s="10" t="str">
        <f t="shared" ca="1" si="2"/>
        <v/>
      </c>
      <c r="V20" s="10" t="str">
        <f t="shared" ca="1" si="3"/>
        <v/>
      </c>
      <c r="AG20" t="s">
        <v>19</v>
      </c>
      <c r="AH20" t="s">
        <v>19</v>
      </c>
      <c r="AI20" t="s">
        <v>20</v>
      </c>
      <c r="AJ20" cm="1">
        <f t="array" ref="AJ20">_xlfn.IFS(AG20="Yes",1,AG20="No",0,AG20="","")</f>
        <v>1</v>
      </c>
    </row>
    <row r="21" spans="1:36">
      <c r="A21" t="s">
        <v>68</v>
      </c>
      <c r="D21" s="4" t="s">
        <v>69</v>
      </c>
      <c r="E21" s="4" t="s">
        <v>70</v>
      </c>
      <c r="J21" s="10" t="s">
        <v>2201</v>
      </c>
      <c r="U21" s="10" t="str">
        <f t="shared" ca="1" si="2"/>
        <v/>
      </c>
      <c r="V21" s="10" t="str">
        <f t="shared" ca="1" si="3"/>
        <v/>
      </c>
      <c r="AE21" s="10" t="s">
        <v>2167</v>
      </c>
      <c r="AG21" t="s">
        <v>19</v>
      </c>
      <c r="AH21" t="s">
        <v>19</v>
      </c>
      <c r="AI21" t="s">
        <v>19</v>
      </c>
      <c r="AJ21" cm="1">
        <f t="array" ref="AJ21">_xlfn.IFS(AG21="Yes",1,AG21="No",0,AG21="","")</f>
        <v>1</v>
      </c>
    </row>
    <row r="22" spans="1:36">
      <c r="A22" t="s">
        <v>68</v>
      </c>
      <c r="D22" s="4" t="s">
        <v>71</v>
      </c>
      <c r="E22" s="4" t="s">
        <v>72</v>
      </c>
      <c r="H22" t="s">
        <v>19</v>
      </c>
      <c r="J22" s="10" t="s">
        <v>2199</v>
      </c>
      <c r="T22" s="10" t="s">
        <v>2200</v>
      </c>
      <c r="U22" s="10" t="str">
        <f t="shared" ca="1" si="2"/>
        <v/>
      </c>
      <c r="V22" s="10" t="str">
        <f t="shared" ca="1" si="3"/>
        <v/>
      </c>
      <c r="AE22" s="10" t="s">
        <v>2157</v>
      </c>
      <c r="AG22" t="s">
        <v>20</v>
      </c>
      <c r="AH22" t="s">
        <v>20</v>
      </c>
      <c r="AI22" t="s">
        <v>20</v>
      </c>
      <c r="AJ22" cm="1">
        <f t="array" ref="AJ22">_xlfn.IFS(AG22="Yes",1,AG22="No",0,AG22="","")</f>
        <v>0</v>
      </c>
    </row>
    <row r="23" spans="1:36">
      <c r="A23" t="s">
        <v>73</v>
      </c>
      <c r="D23" s="4" t="s">
        <v>831</v>
      </c>
      <c r="E23" s="4" t="s">
        <v>832</v>
      </c>
      <c r="H23" t="s">
        <v>19</v>
      </c>
      <c r="J23" s="10" t="s">
        <v>2201</v>
      </c>
      <c r="U23" s="10" t="str">
        <f t="shared" ca="1" si="2"/>
        <v/>
      </c>
      <c r="V23" s="10" t="str">
        <f t="shared" ca="1" si="3"/>
        <v/>
      </c>
      <c r="AC23" s="10" t="s">
        <v>2226</v>
      </c>
      <c r="AD23" s="10" t="s">
        <v>19</v>
      </c>
      <c r="AG23" t="s">
        <v>20</v>
      </c>
      <c r="AH23" t="s">
        <v>20</v>
      </c>
      <c r="AI23" t="s">
        <v>20</v>
      </c>
      <c r="AJ23" cm="1">
        <f t="array" ref="AJ23">_xlfn.IFS(AG23="Yes",1,AG23="No",0,AG23="","")</f>
        <v>0</v>
      </c>
    </row>
    <row r="24" spans="1:36">
      <c r="A24" t="s">
        <v>73</v>
      </c>
      <c r="D24" s="4" t="s">
        <v>834</v>
      </c>
      <c r="E24" s="4" t="s">
        <v>833</v>
      </c>
      <c r="J24" s="10" t="s">
        <v>24</v>
      </c>
      <c r="L24" s="10">
        <v>1</v>
      </c>
      <c r="M24" s="10">
        <v>3</v>
      </c>
      <c r="N24" s="10" t="s">
        <v>2158</v>
      </c>
      <c r="O24" s="10" t="s">
        <v>2159</v>
      </c>
      <c r="S24" s="10">
        <v>2475</v>
      </c>
      <c r="U24" s="10" t="str">
        <f t="shared" ca="1" si="2"/>
        <v/>
      </c>
      <c r="V24" s="10" t="str">
        <f t="shared" ca="1" si="3"/>
        <v/>
      </c>
      <c r="AG24" t="s">
        <v>19</v>
      </c>
      <c r="AH24" t="s">
        <v>20</v>
      </c>
      <c r="AI24" t="s">
        <v>20</v>
      </c>
      <c r="AJ24" cm="1">
        <f t="array" ref="AJ24">_xlfn.IFS(AG24="Yes",1,AG24="No",0,AG24="","")</f>
        <v>1</v>
      </c>
    </row>
    <row r="25" spans="1:36" ht="29">
      <c r="A25" t="s">
        <v>73</v>
      </c>
      <c r="D25" s="4" t="s">
        <v>836</v>
      </c>
      <c r="E25" s="4" t="s">
        <v>835</v>
      </c>
      <c r="J25" s="10" t="s">
        <v>2199</v>
      </c>
      <c r="T25" s="10">
        <f>129-11</f>
        <v>118</v>
      </c>
      <c r="U25" s="10">
        <f t="shared" ca="1" si="2"/>
        <v>11</v>
      </c>
      <c r="V25" s="10">
        <f t="shared" ca="1" si="3"/>
        <v>129</v>
      </c>
      <c r="AG25" t="s">
        <v>19</v>
      </c>
      <c r="AH25" t="s">
        <v>20</v>
      </c>
      <c r="AI25" t="s">
        <v>20</v>
      </c>
      <c r="AJ25" cm="1">
        <f t="array" ref="AJ25">_xlfn.IFS(AG25="Yes",1,AG25="No",0,AG25="","")</f>
        <v>1</v>
      </c>
    </row>
    <row r="26" spans="1:36">
      <c r="A26" t="s">
        <v>73</v>
      </c>
      <c r="D26" s="4" t="s">
        <v>838</v>
      </c>
      <c r="E26" s="4" t="s">
        <v>837</v>
      </c>
      <c r="J26" s="10" t="s">
        <v>2201</v>
      </c>
      <c r="U26" s="10" t="str">
        <f t="shared" ca="1" si="2"/>
        <v/>
      </c>
      <c r="V26" s="10" t="str">
        <f t="shared" ca="1" si="3"/>
        <v/>
      </c>
      <c r="AB26" s="10" t="s">
        <v>2353</v>
      </c>
      <c r="AD26" s="10" t="s">
        <v>19</v>
      </c>
      <c r="AG26" t="s">
        <v>19</v>
      </c>
      <c r="AH26" t="s">
        <v>20</v>
      </c>
      <c r="AI26" t="s">
        <v>19</v>
      </c>
      <c r="AJ26" cm="1">
        <f t="array" ref="AJ26">_xlfn.IFS(AG26="Yes",1,AG26="No",0,AG26="","")</f>
        <v>1</v>
      </c>
    </row>
    <row r="27" spans="1:36">
      <c r="A27" t="s">
        <v>75</v>
      </c>
      <c r="D27" s="4" t="s">
        <v>76</v>
      </c>
      <c r="E27" s="4" t="s">
        <v>77</v>
      </c>
      <c r="J27" s="10" t="s">
        <v>2201</v>
      </c>
      <c r="U27" s="10" t="str">
        <f t="shared" ca="1" si="2"/>
        <v/>
      </c>
      <c r="V27" s="10" t="str">
        <f t="shared" ca="1" si="3"/>
        <v/>
      </c>
      <c r="AG27" t="s">
        <v>20</v>
      </c>
      <c r="AH27" t="s">
        <v>20</v>
      </c>
      <c r="AI27" t="s">
        <v>20</v>
      </c>
      <c r="AJ27" cm="1">
        <f t="array" ref="AJ27">_xlfn.IFS(AG27="Yes",1,AG27="No",0,AG27="","")</f>
        <v>0</v>
      </c>
    </row>
    <row r="28" spans="1:36">
      <c r="A28" t="s">
        <v>75</v>
      </c>
      <c r="D28" s="4" t="s">
        <v>78</v>
      </c>
      <c r="E28" s="4" t="s">
        <v>79</v>
      </c>
      <c r="J28" s="10" t="s">
        <v>2201</v>
      </c>
      <c r="U28" s="10" t="str">
        <f t="shared" ca="1" si="2"/>
        <v/>
      </c>
      <c r="V28" s="10" t="str">
        <f t="shared" ca="1" si="3"/>
        <v/>
      </c>
      <c r="AG28" t="s">
        <v>20</v>
      </c>
      <c r="AH28" t="s">
        <v>20</v>
      </c>
      <c r="AI28" t="s">
        <v>20</v>
      </c>
      <c r="AJ28" cm="1">
        <f t="array" ref="AJ28">_xlfn.IFS(AG28="Yes",1,AG28="No",0,AG28="","")</f>
        <v>0</v>
      </c>
    </row>
    <row r="29" spans="1:36" ht="29">
      <c r="A29" t="s">
        <v>80</v>
      </c>
      <c r="D29" s="4" t="s">
        <v>840</v>
      </c>
      <c r="E29" s="4" t="s">
        <v>839</v>
      </c>
      <c r="J29" s="10" t="s">
        <v>25</v>
      </c>
      <c r="L29" s="10">
        <v>2</v>
      </c>
      <c r="M29" s="10">
        <v>9</v>
      </c>
      <c r="O29" s="10" t="s">
        <v>2159</v>
      </c>
      <c r="S29" s="10">
        <v>1</v>
      </c>
      <c r="U29" s="10" t="str">
        <f t="shared" ca="1" si="2"/>
        <v/>
      </c>
      <c r="V29" s="10" t="str">
        <f t="shared" ca="1" si="3"/>
        <v/>
      </c>
      <c r="AG29" t="s">
        <v>19</v>
      </c>
      <c r="AH29" t="s">
        <v>19</v>
      </c>
      <c r="AI29" t="s">
        <v>20</v>
      </c>
      <c r="AJ29" cm="1">
        <f t="array" ref="AJ29">_xlfn.IFS(AG29="Yes",1,AG29="No",0,AG29="","")</f>
        <v>1</v>
      </c>
    </row>
    <row r="30" spans="1:36">
      <c r="A30" t="s">
        <v>81</v>
      </c>
      <c r="D30" s="4" t="s">
        <v>82</v>
      </c>
      <c r="E30" s="4" t="s">
        <v>83</v>
      </c>
      <c r="J30" s="10" t="s">
        <v>2199</v>
      </c>
      <c r="T30" s="10" t="s">
        <v>2220</v>
      </c>
      <c r="U30" s="10" t="str">
        <f t="shared" ca="1" si="2"/>
        <v/>
      </c>
      <c r="V30" s="10" t="str">
        <f t="shared" ca="1" si="3"/>
        <v/>
      </c>
      <c r="AE30" s="10" t="s">
        <v>2157</v>
      </c>
      <c r="AG30" t="s">
        <v>19</v>
      </c>
      <c r="AH30" t="s">
        <v>19</v>
      </c>
      <c r="AI30" t="s">
        <v>19</v>
      </c>
      <c r="AJ30" cm="1">
        <f t="array" ref="AJ30">_xlfn.IFS(AG30="Yes",1,AG30="No",0,AG30="","")</f>
        <v>1</v>
      </c>
    </row>
    <row r="31" spans="1:36">
      <c r="A31" t="s">
        <v>84</v>
      </c>
      <c r="D31" s="4" t="s">
        <v>85</v>
      </c>
      <c r="E31" s="4" t="s">
        <v>86</v>
      </c>
      <c r="H31" t="s">
        <v>19</v>
      </c>
      <c r="J31" s="10" t="s">
        <v>2201</v>
      </c>
      <c r="U31" s="10" t="str">
        <f t="shared" ca="1" si="2"/>
        <v/>
      </c>
      <c r="V31" s="10" t="str">
        <f t="shared" ca="1" si="3"/>
        <v/>
      </c>
      <c r="AC31" s="10" t="s">
        <v>2226</v>
      </c>
      <c r="AD31" s="10" t="s">
        <v>19</v>
      </c>
      <c r="AE31" s="10" t="s">
        <v>2163</v>
      </c>
      <c r="AG31" t="s">
        <v>20</v>
      </c>
      <c r="AH31" t="s">
        <v>20</v>
      </c>
      <c r="AI31" t="s">
        <v>20</v>
      </c>
      <c r="AJ31" cm="1">
        <f t="array" ref="AJ31">_xlfn.IFS(AG31="Yes",1,AG31="No",0,AG31="","")</f>
        <v>0</v>
      </c>
    </row>
    <row r="32" spans="1:36">
      <c r="A32" t="s">
        <v>87</v>
      </c>
      <c r="D32" s="4" t="s">
        <v>842</v>
      </c>
      <c r="E32" s="4" t="s">
        <v>841</v>
      </c>
      <c r="J32" s="10" t="s">
        <v>24</v>
      </c>
      <c r="L32" s="10">
        <v>1</v>
      </c>
      <c r="M32" s="10">
        <v>1</v>
      </c>
      <c r="N32" s="10" t="s">
        <v>2158</v>
      </c>
      <c r="O32" s="10" t="s">
        <v>2200</v>
      </c>
      <c r="S32" s="10">
        <v>2475</v>
      </c>
      <c r="U32" s="10" t="str">
        <f t="shared" ca="1" si="2"/>
        <v/>
      </c>
      <c r="V32" s="10" t="str">
        <f t="shared" ca="1" si="3"/>
        <v/>
      </c>
      <c r="AG32" t="s">
        <v>19</v>
      </c>
      <c r="AH32" t="s">
        <v>19</v>
      </c>
      <c r="AI32" t="s">
        <v>19</v>
      </c>
      <c r="AJ32" cm="1">
        <f t="array" ref="AJ32">_xlfn.IFS(AG32="Yes",1,AG32="No",0,AG32="","")</f>
        <v>1</v>
      </c>
    </row>
    <row r="33" spans="1:36">
      <c r="A33" t="s">
        <v>88</v>
      </c>
      <c r="D33" s="4" t="s">
        <v>89</v>
      </c>
      <c r="E33" s="4" t="s">
        <v>90</v>
      </c>
      <c r="H33" t="s">
        <v>19</v>
      </c>
      <c r="J33" s="10" t="s">
        <v>2201</v>
      </c>
      <c r="U33" s="10" t="str">
        <f t="shared" ca="1" si="2"/>
        <v/>
      </c>
      <c r="V33" s="10" t="str">
        <f t="shared" ca="1" si="3"/>
        <v/>
      </c>
      <c r="AE33" s="10" t="s">
        <v>2157</v>
      </c>
      <c r="AG33" t="s">
        <v>20</v>
      </c>
      <c r="AH33" t="s">
        <v>20</v>
      </c>
      <c r="AI33" t="s">
        <v>20</v>
      </c>
      <c r="AJ33" cm="1">
        <f t="array" ref="AJ33">_xlfn.IFS(AG33="Yes",1,AG33="No",0,AG33="","")</f>
        <v>0</v>
      </c>
    </row>
    <row r="34" spans="1:36" ht="29">
      <c r="A34" t="s">
        <v>91</v>
      </c>
      <c r="D34" s="4" t="s">
        <v>844</v>
      </c>
      <c r="E34" s="4" t="s">
        <v>843</v>
      </c>
      <c r="J34" s="10" t="s">
        <v>2201</v>
      </c>
      <c r="U34" s="10" t="str">
        <f t="shared" ca="1" si="2"/>
        <v/>
      </c>
      <c r="V34" s="10" t="str">
        <f t="shared" ca="1" si="3"/>
        <v/>
      </c>
      <c r="AE34" s="10" t="s">
        <v>2163</v>
      </c>
      <c r="AG34" t="s">
        <v>19</v>
      </c>
      <c r="AH34" t="s">
        <v>19</v>
      </c>
      <c r="AI34" t="s">
        <v>19</v>
      </c>
      <c r="AJ34" cm="1">
        <f t="array" ref="AJ34">_xlfn.IFS(AG34="Yes",1,AG34="No",0,AG34="","")</f>
        <v>1</v>
      </c>
    </row>
    <row r="35" spans="1:36">
      <c r="A35" t="s">
        <v>92</v>
      </c>
      <c r="D35" s="4" t="s">
        <v>845</v>
      </c>
      <c r="E35" s="4" t="s">
        <v>846</v>
      </c>
      <c r="J35" s="10" t="s">
        <v>2201</v>
      </c>
      <c r="U35" s="10" t="str">
        <f t="shared" ca="1" si="2"/>
        <v/>
      </c>
      <c r="V35" s="10" t="str">
        <f t="shared" ca="1" si="3"/>
        <v/>
      </c>
      <c r="AG35" t="s">
        <v>19</v>
      </c>
      <c r="AH35" t="s">
        <v>20</v>
      </c>
      <c r="AI35" t="s">
        <v>20</v>
      </c>
      <c r="AJ35" cm="1">
        <f t="array" ref="AJ35">_xlfn.IFS(AG35="Yes",1,AG35="No",0,AG35="","")</f>
        <v>1</v>
      </c>
    </row>
    <row r="36" spans="1:36">
      <c r="A36" t="s">
        <v>92</v>
      </c>
      <c r="D36" s="4" t="s">
        <v>93</v>
      </c>
      <c r="E36" s="4" t="s">
        <v>94</v>
      </c>
      <c r="J36" s="10" t="s">
        <v>2199</v>
      </c>
      <c r="T36" s="10" t="s">
        <v>2220</v>
      </c>
      <c r="U36" s="10" t="str">
        <f t="shared" ca="1" si="2"/>
        <v/>
      </c>
      <c r="V36" s="10" t="str">
        <f t="shared" ca="1" si="3"/>
        <v/>
      </c>
      <c r="AC36" s="10" t="s">
        <v>2342</v>
      </c>
      <c r="AD36" s="10" t="s">
        <v>19</v>
      </c>
      <c r="AE36" s="10" t="s">
        <v>2167</v>
      </c>
      <c r="AG36" t="s">
        <v>19</v>
      </c>
      <c r="AH36" t="s">
        <v>19</v>
      </c>
      <c r="AI36" t="s">
        <v>19</v>
      </c>
      <c r="AJ36" cm="1">
        <f t="array" ref="AJ36">_xlfn.IFS(AG36="Yes",1,AG36="No",0,AG36="","")</f>
        <v>1</v>
      </c>
    </row>
    <row r="37" spans="1:36" ht="29">
      <c r="A37" t="s">
        <v>95</v>
      </c>
      <c r="D37" s="4" t="s">
        <v>848</v>
      </c>
      <c r="E37" s="4" t="s">
        <v>847</v>
      </c>
      <c r="J37" s="10" t="s">
        <v>2201</v>
      </c>
      <c r="U37" s="10" t="str">
        <f t="shared" ca="1" si="2"/>
        <v/>
      </c>
      <c r="V37" s="10" t="str">
        <f t="shared" ca="1" si="3"/>
        <v/>
      </c>
      <c r="AE37" s="10" t="s">
        <v>2170</v>
      </c>
      <c r="AG37" t="s">
        <v>19</v>
      </c>
      <c r="AH37" t="s">
        <v>19</v>
      </c>
      <c r="AI37" t="s">
        <v>19</v>
      </c>
      <c r="AJ37" cm="1">
        <f t="array" ref="AJ37">_xlfn.IFS(AG37="Yes",1,AG37="No",0,AG37="","")</f>
        <v>1</v>
      </c>
    </row>
    <row r="38" spans="1:36">
      <c r="A38" t="s">
        <v>95</v>
      </c>
      <c r="D38" s="4" t="s">
        <v>96</v>
      </c>
      <c r="E38" s="4" t="s">
        <v>97</v>
      </c>
      <c r="H38" t="s">
        <v>23</v>
      </c>
      <c r="I38" t="s">
        <v>849</v>
      </c>
      <c r="J38" s="10" t="s">
        <v>2199</v>
      </c>
      <c r="T38" s="10" t="s">
        <v>2220</v>
      </c>
      <c r="U38" s="10" t="str">
        <f t="shared" ca="1" si="2"/>
        <v/>
      </c>
      <c r="V38" s="10" t="str">
        <f t="shared" ca="1" si="3"/>
        <v/>
      </c>
      <c r="AC38" s="10" t="s">
        <v>2342</v>
      </c>
      <c r="AD38" s="10" t="s">
        <v>19</v>
      </c>
      <c r="AE38" s="10" t="s">
        <v>2167</v>
      </c>
      <c r="AG38" t="s">
        <v>19</v>
      </c>
      <c r="AH38" t="s">
        <v>20</v>
      </c>
      <c r="AI38" t="s">
        <v>20</v>
      </c>
      <c r="AJ38" cm="1">
        <f t="array" ref="AJ38">_xlfn.IFS(AG38="Yes",1,AG38="No",0,AG38="","")</f>
        <v>1</v>
      </c>
    </row>
    <row r="39" spans="1:36">
      <c r="A39" t="s">
        <v>98</v>
      </c>
      <c r="D39" s="4" t="s">
        <v>850</v>
      </c>
      <c r="E39" s="4" t="s">
        <v>851</v>
      </c>
      <c r="H39" t="s">
        <v>23</v>
      </c>
      <c r="I39" t="s">
        <v>2209</v>
      </c>
      <c r="J39" s="10" t="s">
        <v>2201</v>
      </c>
      <c r="U39" s="10" t="str">
        <f t="shared" ca="1" si="2"/>
        <v/>
      </c>
      <c r="V39" s="10" t="str">
        <f t="shared" ca="1" si="3"/>
        <v/>
      </c>
      <c r="AE39" s="10" t="s">
        <v>2157</v>
      </c>
      <c r="AF39" s="10" t="s">
        <v>19</v>
      </c>
      <c r="AG39" t="s">
        <v>19</v>
      </c>
      <c r="AH39" t="s">
        <v>20</v>
      </c>
      <c r="AI39" t="s">
        <v>20</v>
      </c>
      <c r="AJ39" cm="1">
        <f t="array" ref="AJ39">_xlfn.IFS(AG39="Yes",1,AG39="No",0,AG39="","")</f>
        <v>1</v>
      </c>
    </row>
    <row r="40" spans="1:36">
      <c r="A40" t="s">
        <v>98</v>
      </c>
      <c r="D40" s="4" t="s">
        <v>852</v>
      </c>
      <c r="E40" s="4" t="s">
        <v>853</v>
      </c>
      <c r="H40" t="s">
        <v>23</v>
      </c>
      <c r="I40" t="s">
        <v>2209</v>
      </c>
      <c r="J40" s="10" t="s">
        <v>2201</v>
      </c>
      <c r="U40" s="10" t="str">
        <f t="shared" ca="1" si="2"/>
        <v/>
      </c>
      <c r="V40" s="10" t="str">
        <f t="shared" ca="1" si="3"/>
        <v/>
      </c>
      <c r="AE40" s="10" t="s">
        <v>2157</v>
      </c>
      <c r="AF40" s="10" t="s">
        <v>19</v>
      </c>
      <c r="AG40" t="s">
        <v>19</v>
      </c>
      <c r="AH40" t="s">
        <v>20</v>
      </c>
      <c r="AI40" t="s">
        <v>20</v>
      </c>
      <c r="AJ40" cm="1">
        <f t="array" ref="AJ40">_xlfn.IFS(AG40="Yes",1,AG40="No",0,AG40="","")</f>
        <v>1</v>
      </c>
    </row>
    <row r="41" spans="1:36">
      <c r="A41" t="s">
        <v>98</v>
      </c>
      <c r="D41" s="4" t="s">
        <v>99</v>
      </c>
      <c r="E41" s="4" t="s">
        <v>100</v>
      </c>
      <c r="H41" t="s">
        <v>19</v>
      </c>
      <c r="J41" s="10" t="s">
        <v>2199</v>
      </c>
      <c r="T41" s="10" t="s">
        <v>2220</v>
      </c>
      <c r="U41" s="10" t="str">
        <f t="shared" ca="1" si="2"/>
        <v/>
      </c>
      <c r="V41" s="10" t="str">
        <f t="shared" ca="1" si="3"/>
        <v/>
      </c>
      <c r="AC41" s="10" t="s">
        <v>2226</v>
      </c>
      <c r="AD41" s="10" t="s">
        <v>19</v>
      </c>
      <c r="AE41" s="10" t="s">
        <v>2157</v>
      </c>
      <c r="AG41" t="s">
        <v>19</v>
      </c>
      <c r="AH41" t="s">
        <v>20</v>
      </c>
      <c r="AI41" t="s">
        <v>20</v>
      </c>
      <c r="AJ41" cm="1">
        <f t="array" ref="AJ41">_xlfn.IFS(AG41="Yes",1,AG41="No",0,AG41="","")</f>
        <v>1</v>
      </c>
    </row>
    <row r="42" spans="1:36" ht="29">
      <c r="A42" t="s">
        <v>101</v>
      </c>
      <c r="D42" s="4" t="s">
        <v>854</v>
      </c>
      <c r="E42" s="4" t="s">
        <v>855</v>
      </c>
      <c r="J42" s="10" t="s">
        <v>2201</v>
      </c>
      <c r="U42" s="10" t="str">
        <f t="shared" ca="1" si="2"/>
        <v/>
      </c>
      <c r="V42" s="10" t="str">
        <f t="shared" ca="1" si="3"/>
        <v/>
      </c>
      <c r="AB42" s="10" t="s">
        <v>2354</v>
      </c>
      <c r="AD42" s="10" t="s">
        <v>19</v>
      </c>
      <c r="AG42" t="s">
        <v>19</v>
      </c>
      <c r="AH42" t="s">
        <v>20</v>
      </c>
      <c r="AI42" t="s">
        <v>20</v>
      </c>
      <c r="AJ42" cm="1">
        <f t="array" ref="AJ42">_xlfn.IFS(AG42="Yes",1,AG42="No",0,AG42="","")</f>
        <v>1</v>
      </c>
    </row>
    <row r="43" spans="1:36">
      <c r="A43" t="s">
        <v>102</v>
      </c>
      <c r="D43" s="4" t="s">
        <v>103</v>
      </c>
      <c r="E43" s="4" t="s">
        <v>104</v>
      </c>
      <c r="I43" t="s">
        <v>2208</v>
      </c>
      <c r="J43" s="10" t="s">
        <v>2201</v>
      </c>
      <c r="U43" s="10" t="str">
        <f t="shared" ca="1" si="2"/>
        <v/>
      </c>
      <c r="V43" s="10" t="str">
        <f t="shared" ca="1" si="3"/>
        <v/>
      </c>
      <c r="AG43" t="s">
        <v>20</v>
      </c>
      <c r="AH43" t="s">
        <v>19</v>
      </c>
      <c r="AI43" t="s">
        <v>19</v>
      </c>
      <c r="AJ43" cm="1">
        <f t="array" ref="AJ43">_xlfn.IFS(AG43="Yes",1,AG43="No",0,AG43="","")</f>
        <v>0</v>
      </c>
    </row>
    <row r="44" spans="1:36">
      <c r="A44" t="s">
        <v>102</v>
      </c>
      <c r="D44" s="4" t="s">
        <v>105</v>
      </c>
      <c r="E44" s="4" t="s">
        <v>106</v>
      </c>
      <c r="J44" s="10" t="s">
        <v>2201</v>
      </c>
      <c r="U44" s="10" t="str">
        <f t="shared" ca="1" si="2"/>
        <v/>
      </c>
      <c r="V44" s="10" t="str">
        <f t="shared" ca="1" si="3"/>
        <v/>
      </c>
      <c r="AG44" t="s">
        <v>19</v>
      </c>
      <c r="AH44" t="s">
        <v>19</v>
      </c>
      <c r="AI44" t="s">
        <v>19</v>
      </c>
      <c r="AJ44" cm="1">
        <f t="array" ref="AJ44">_xlfn.IFS(AG44="Yes",1,AG44="No",0,AG44="","")</f>
        <v>1</v>
      </c>
    </row>
    <row r="45" spans="1:36">
      <c r="A45" t="s">
        <v>107</v>
      </c>
      <c r="D45" s="4" t="s">
        <v>2227</v>
      </c>
      <c r="E45" s="4" t="s">
        <v>2228</v>
      </c>
      <c r="J45" s="10" t="s">
        <v>2199</v>
      </c>
      <c r="T45" s="10" t="s">
        <v>2220</v>
      </c>
      <c r="U45" s="10" t="str">
        <f t="shared" ca="1" si="2"/>
        <v/>
      </c>
      <c r="V45" s="10" t="str">
        <f t="shared" ca="1" si="3"/>
        <v/>
      </c>
      <c r="AE45" s="10" t="s">
        <v>2167</v>
      </c>
      <c r="AG45" t="s">
        <v>19</v>
      </c>
      <c r="AH45" t="s">
        <v>19</v>
      </c>
      <c r="AI45" t="s">
        <v>19</v>
      </c>
      <c r="AJ45" cm="1">
        <f t="array" ref="AJ45">_xlfn.IFS(AG45="Yes",1,AG45="No",0,AG45="","")</f>
        <v>1</v>
      </c>
    </row>
    <row r="46" spans="1:36">
      <c r="A46" t="s">
        <v>108</v>
      </c>
      <c r="D46" s="4" t="s">
        <v>856</v>
      </c>
      <c r="E46" t="s">
        <v>857</v>
      </c>
      <c r="I46" t="s">
        <v>2210</v>
      </c>
      <c r="J46" s="10" t="s">
        <v>2201</v>
      </c>
      <c r="U46" s="10" t="str">
        <f t="shared" ca="1" si="2"/>
        <v/>
      </c>
      <c r="V46" s="10" t="str">
        <f t="shared" ca="1" si="3"/>
        <v/>
      </c>
      <c r="AB46" s="10" t="s">
        <v>2162</v>
      </c>
      <c r="AD46" s="10" t="s">
        <v>19</v>
      </c>
      <c r="AG46" t="s">
        <v>19</v>
      </c>
      <c r="AH46" t="s">
        <v>20</v>
      </c>
      <c r="AI46" t="s">
        <v>20</v>
      </c>
      <c r="AJ46" cm="1">
        <f t="array" ref="AJ46">_xlfn.IFS(AG46="Yes",1,AG46="No",0,AG46="","")</f>
        <v>1</v>
      </c>
    </row>
    <row r="47" spans="1:36">
      <c r="A47" t="s">
        <v>108</v>
      </c>
      <c r="D47" s="4" t="s">
        <v>858</v>
      </c>
      <c r="E47" s="4" t="s">
        <v>859</v>
      </c>
      <c r="J47" s="10" t="s">
        <v>2201</v>
      </c>
      <c r="U47" s="10" t="str">
        <f t="shared" ca="1" si="2"/>
        <v/>
      </c>
      <c r="V47" s="10" t="str">
        <f t="shared" ca="1" si="3"/>
        <v/>
      </c>
      <c r="AC47" s="10" t="s">
        <v>2223</v>
      </c>
      <c r="AD47" s="10" t="s">
        <v>19</v>
      </c>
      <c r="AG47" t="s">
        <v>19</v>
      </c>
      <c r="AH47" t="s">
        <v>19</v>
      </c>
      <c r="AI47" t="s">
        <v>19</v>
      </c>
      <c r="AJ47" cm="1">
        <f t="array" ref="AJ47">_xlfn.IFS(AG47="Yes",1,AG47="No",0,AG47="","")</f>
        <v>1</v>
      </c>
    </row>
    <row r="48" spans="1:36">
      <c r="A48" t="s">
        <v>109</v>
      </c>
      <c r="D48" s="4" t="s">
        <v>860</v>
      </c>
      <c r="E48" s="4" t="s">
        <v>861</v>
      </c>
      <c r="J48" s="10" t="s">
        <v>2201</v>
      </c>
      <c r="U48" s="10" t="str">
        <f t="shared" ca="1" si="2"/>
        <v/>
      </c>
      <c r="V48" s="10" t="str">
        <f t="shared" ca="1" si="3"/>
        <v/>
      </c>
      <c r="AG48" t="s">
        <v>19</v>
      </c>
      <c r="AH48" t="s">
        <v>19</v>
      </c>
      <c r="AI48" t="s">
        <v>19</v>
      </c>
      <c r="AJ48" cm="1">
        <f t="array" ref="AJ48">_xlfn.IFS(AG48="Yes",1,AG48="No",0,AG48="","")</f>
        <v>1</v>
      </c>
    </row>
    <row r="49" spans="1:36" ht="43.5">
      <c r="A49" t="s">
        <v>109</v>
      </c>
      <c r="D49" s="4" t="s">
        <v>863</v>
      </c>
      <c r="E49" s="4" t="s">
        <v>864</v>
      </c>
      <c r="J49" s="10" t="s">
        <v>2201</v>
      </c>
      <c r="U49" s="10" t="str">
        <f t="shared" ca="1" si="2"/>
        <v/>
      </c>
      <c r="V49" s="10" t="str">
        <f t="shared" ca="1" si="3"/>
        <v/>
      </c>
      <c r="AC49" s="10" t="s">
        <v>2342</v>
      </c>
      <c r="AD49" s="10" t="s">
        <v>19</v>
      </c>
      <c r="AG49" t="s">
        <v>19</v>
      </c>
      <c r="AH49" t="s">
        <v>20</v>
      </c>
      <c r="AI49" t="s">
        <v>19</v>
      </c>
      <c r="AJ49" cm="1">
        <f t="array" ref="AJ49">_xlfn.IFS(AG49="Yes",1,AG49="No",0,AG49="","")</f>
        <v>1</v>
      </c>
    </row>
    <row r="50" spans="1:36" ht="43.5">
      <c r="A50" t="s">
        <v>109</v>
      </c>
      <c r="D50" s="4" t="s">
        <v>862</v>
      </c>
      <c r="E50" s="4" t="s">
        <v>865</v>
      </c>
      <c r="H50" t="s">
        <v>19</v>
      </c>
      <c r="J50" s="10" t="s">
        <v>24</v>
      </c>
      <c r="L50" s="10">
        <v>2</v>
      </c>
      <c r="M50" s="10">
        <v>9</v>
      </c>
      <c r="O50" s="10" t="s">
        <v>2153</v>
      </c>
      <c r="P50" s="10" t="s">
        <v>2229</v>
      </c>
      <c r="Q50" s="11" t="s">
        <v>2337</v>
      </c>
      <c r="R50" s="10" t="s">
        <v>2154</v>
      </c>
      <c r="S50" s="10">
        <v>9</v>
      </c>
      <c r="U50" s="10" t="str">
        <f t="shared" ca="1" si="2"/>
        <v/>
      </c>
      <c r="V50" s="10" t="str">
        <f t="shared" ca="1" si="3"/>
        <v/>
      </c>
      <c r="AE50" s="10" t="s">
        <v>2163</v>
      </c>
      <c r="AG50" t="s">
        <v>20</v>
      </c>
      <c r="AH50" t="s">
        <v>20</v>
      </c>
      <c r="AI50" t="s">
        <v>20</v>
      </c>
      <c r="AJ50" cm="1">
        <f t="array" ref="AJ50">_xlfn.IFS(AG50="Yes",1,AG50="No",0,AG50="","")</f>
        <v>0</v>
      </c>
    </row>
    <row r="51" spans="1:36">
      <c r="A51" t="s">
        <v>109</v>
      </c>
      <c r="D51" s="4" t="s">
        <v>866</v>
      </c>
      <c r="E51" s="4" t="s">
        <v>867</v>
      </c>
      <c r="F51" t="s">
        <v>28</v>
      </c>
      <c r="H51" t="s">
        <v>19</v>
      </c>
      <c r="I51" t="s">
        <v>868</v>
      </c>
      <c r="J51" s="10" t="s">
        <v>2199</v>
      </c>
      <c r="R51" s="10" t="s">
        <v>2154</v>
      </c>
      <c r="T51" s="10" t="s">
        <v>2220</v>
      </c>
      <c r="U51" s="10" t="str">
        <f t="shared" ca="1" si="2"/>
        <v/>
      </c>
      <c r="V51" s="10" t="str">
        <f t="shared" ca="1" si="3"/>
        <v/>
      </c>
      <c r="AE51" s="10" t="s">
        <v>2157</v>
      </c>
      <c r="AH51" t="s">
        <v>20</v>
      </c>
      <c r="AI51" t="s">
        <v>20</v>
      </c>
      <c r="AJ51" t="str" cm="1">
        <f t="array" ref="AJ51">_xlfn.IFS(AG51="Yes",1,AG51="No",0,AG51="","")</f>
        <v/>
      </c>
    </row>
    <row r="52" spans="1:36">
      <c r="A52" t="s">
        <v>110</v>
      </c>
      <c r="D52" s="4" t="s">
        <v>869</v>
      </c>
      <c r="E52" s="4" t="s">
        <v>869</v>
      </c>
      <c r="F52" t="s">
        <v>35</v>
      </c>
      <c r="I52" t="s">
        <v>870</v>
      </c>
      <c r="U52" s="10" t="str">
        <f t="shared" ca="1" si="2"/>
        <v/>
      </c>
      <c r="V52" s="10" t="str">
        <f t="shared" ca="1" si="3"/>
        <v/>
      </c>
      <c r="AJ52" t="str" cm="1">
        <f t="array" ref="AJ52">_xlfn.IFS(AG52="Yes",1,AG52="No",0,AG52="","")</f>
        <v/>
      </c>
    </row>
    <row r="53" spans="1:36">
      <c r="A53" t="s">
        <v>111</v>
      </c>
      <c r="D53" s="4" t="s">
        <v>112</v>
      </c>
      <c r="E53" s="4" t="s">
        <v>113</v>
      </c>
      <c r="J53" s="10" t="s">
        <v>2201</v>
      </c>
      <c r="U53" s="10" t="str">
        <f t="shared" ca="1" si="2"/>
        <v/>
      </c>
      <c r="V53" s="10" t="str">
        <f t="shared" ca="1" si="3"/>
        <v/>
      </c>
      <c r="AG53" t="s">
        <v>19</v>
      </c>
      <c r="AH53" t="s">
        <v>19</v>
      </c>
      <c r="AI53" t="s">
        <v>19</v>
      </c>
      <c r="AJ53" cm="1">
        <f t="array" ref="AJ53">_xlfn.IFS(AG53="Yes",1,AG53="No",0,AG53="","")</f>
        <v>1</v>
      </c>
    </row>
    <row r="54" spans="1:36">
      <c r="A54" t="s">
        <v>111</v>
      </c>
      <c r="D54" s="4" t="s">
        <v>871</v>
      </c>
      <c r="E54" s="4" t="s">
        <v>872</v>
      </c>
      <c r="J54" s="10" t="s">
        <v>2199</v>
      </c>
      <c r="T54" s="10">
        <f>312-768</f>
        <v>-456</v>
      </c>
      <c r="U54" s="10">
        <f t="shared" ca="1" si="2"/>
        <v>768</v>
      </c>
      <c r="V54" s="10">
        <f t="shared" ca="1" si="3"/>
        <v>312</v>
      </c>
      <c r="AG54" t="s">
        <v>19</v>
      </c>
      <c r="AH54" t="s">
        <v>20</v>
      </c>
      <c r="AI54" t="s">
        <v>19</v>
      </c>
      <c r="AJ54" cm="1">
        <f t="array" ref="AJ54">_xlfn.IFS(AG54="Yes",1,AG54="No",0,AG54="","")</f>
        <v>1</v>
      </c>
    </row>
    <row r="55" spans="1:36" ht="29">
      <c r="A55" t="s">
        <v>111</v>
      </c>
      <c r="D55" s="4" t="s">
        <v>874</v>
      </c>
      <c r="E55" s="4" t="s">
        <v>873</v>
      </c>
      <c r="H55" t="s">
        <v>19</v>
      </c>
      <c r="J55" s="10" t="s">
        <v>25</v>
      </c>
      <c r="L55" s="10">
        <v>2</v>
      </c>
      <c r="M55" s="10">
        <v>11</v>
      </c>
      <c r="O55" s="10" t="s">
        <v>2153</v>
      </c>
      <c r="P55" s="10" t="s">
        <v>2277</v>
      </c>
      <c r="Q55" s="11" t="s">
        <v>2338</v>
      </c>
      <c r="S55" s="10">
        <v>2</v>
      </c>
      <c r="U55" s="10" t="str">
        <f t="shared" ca="1" si="2"/>
        <v/>
      </c>
      <c r="V55" s="10" t="str">
        <f t="shared" ca="1" si="3"/>
        <v/>
      </c>
      <c r="AG55" t="s">
        <v>20</v>
      </c>
      <c r="AH55" t="s">
        <v>20</v>
      </c>
      <c r="AI55" t="s">
        <v>20</v>
      </c>
      <c r="AJ55" cm="1">
        <f t="array" ref="AJ55">_xlfn.IFS(AG55="Yes",1,AG55="No",0,AG55="","")</f>
        <v>0</v>
      </c>
    </row>
    <row r="56" spans="1:36" ht="43.5">
      <c r="A56" t="s">
        <v>114</v>
      </c>
      <c r="D56" s="4" t="s">
        <v>875</v>
      </c>
      <c r="E56" s="4" t="s">
        <v>876</v>
      </c>
      <c r="J56" s="10" t="s">
        <v>24</v>
      </c>
      <c r="L56" s="10">
        <v>1</v>
      </c>
      <c r="M56" s="10">
        <v>2</v>
      </c>
      <c r="N56" s="10" t="s">
        <v>2177</v>
      </c>
      <c r="O56" s="10" t="s">
        <v>2200</v>
      </c>
      <c r="S56" s="10">
        <v>613</v>
      </c>
      <c r="U56" s="10" t="str">
        <f t="shared" ca="1" si="2"/>
        <v/>
      </c>
      <c r="V56" s="10" t="str">
        <f t="shared" ca="1" si="3"/>
        <v/>
      </c>
      <c r="AG56" t="s">
        <v>19</v>
      </c>
      <c r="AH56" t="s">
        <v>20</v>
      </c>
      <c r="AI56" t="s">
        <v>20</v>
      </c>
      <c r="AJ56" cm="1">
        <f t="array" ref="AJ56">_xlfn.IFS(AG56="Yes",1,AG56="No",0,AG56="","")</f>
        <v>1</v>
      </c>
    </row>
    <row r="57" spans="1:36" ht="43.5">
      <c r="A57" t="s">
        <v>114</v>
      </c>
      <c r="D57" s="4" t="s">
        <v>877</v>
      </c>
      <c r="E57" s="4" t="s">
        <v>878</v>
      </c>
      <c r="G57" t="s">
        <v>19</v>
      </c>
      <c r="J57" s="10" t="s">
        <v>2199</v>
      </c>
      <c r="T57" s="10">
        <f>52-166</f>
        <v>-114</v>
      </c>
      <c r="U57" s="10">
        <f t="shared" ca="1" si="2"/>
        <v>166</v>
      </c>
      <c r="V57" s="10">
        <f t="shared" ca="1" si="3"/>
        <v>52</v>
      </c>
      <c r="AG57" t="s">
        <v>19</v>
      </c>
      <c r="AH57" t="s">
        <v>19</v>
      </c>
      <c r="AI57" t="s">
        <v>19</v>
      </c>
      <c r="AJ57" cm="1">
        <f t="array" ref="AJ57">_xlfn.IFS(AG57="Yes",1,AG57="No",0,AG57="","")</f>
        <v>1</v>
      </c>
    </row>
    <row r="58" spans="1:36" ht="29">
      <c r="A58" t="s">
        <v>115</v>
      </c>
      <c r="D58" s="4" t="s">
        <v>880</v>
      </c>
      <c r="E58" s="4" t="s">
        <v>879</v>
      </c>
      <c r="H58" t="s">
        <v>19</v>
      </c>
      <c r="I58" t="s">
        <v>2236</v>
      </c>
      <c r="J58" s="10" t="s">
        <v>2199</v>
      </c>
      <c r="T58" s="10">
        <f>0-830</f>
        <v>-830</v>
      </c>
      <c r="U58" s="10">
        <f t="shared" ca="1" si="2"/>
        <v>830</v>
      </c>
      <c r="V58" s="10">
        <f t="shared" ca="1" si="3"/>
        <v>0</v>
      </c>
      <c r="AG58" t="s">
        <v>20</v>
      </c>
      <c r="AJ58" cm="1">
        <f t="array" ref="AJ58">_xlfn.IFS(AG58="Yes",1,AG58="No",0,AG58="","")</f>
        <v>0</v>
      </c>
    </row>
    <row r="59" spans="1:36">
      <c r="A59" t="s">
        <v>116</v>
      </c>
      <c r="D59" s="4" t="s">
        <v>117</v>
      </c>
      <c r="E59" s="4" t="s">
        <v>118</v>
      </c>
      <c r="J59" s="10" t="s">
        <v>2199</v>
      </c>
      <c r="T59" s="10">
        <f>49-9</f>
        <v>40</v>
      </c>
      <c r="U59" s="10">
        <f t="shared" ca="1" si="2"/>
        <v>9</v>
      </c>
      <c r="V59" s="10">
        <f t="shared" ca="1" si="3"/>
        <v>49</v>
      </c>
      <c r="AC59" s="10" t="s">
        <v>2342</v>
      </c>
      <c r="AD59" s="10" t="s">
        <v>19</v>
      </c>
      <c r="AG59" t="s">
        <v>19</v>
      </c>
      <c r="AJ59" cm="1">
        <f t="array" ref="AJ59">_xlfn.IFS(AG59="Yes",1,AG59="No",0,AG59="","")</f>
        <v>1</v>
      </c>
    </row>
    <row r="60" spans="1:36">
      <c r="A60" t="s">
        <v>119</v>
      </c>
      <c r="D60" s="4" t="s">
        <v>120</v>
      </c>
      <c r="E60" s="4" t="s">
        <v>121</v>
      </c>
      <c r="H60" t="s">
        <v>19</v>
      </c>
      <c r="I60" t="s">
        <v>2454</v>
      </c>
      <c r="J60" s="10" t="s">
        <v>2202</v>
      </c>
      <c r="T60" s="10" t="s">
        <v>2220</v>
      </c>
      <c r="U60" s="10" t="str">
        <f t="shared" ca="1" si="2"/>
        <v/>
      </c>
      <c r="V60" s="10" t="str">
        <f t="shared" ca="1" si="3"/>
        <v/>
      </c>
      <c r="AE60" s="10" t="s">
        <v>2163</v>
      </c>
      <c r="AF60" s="10" t="s">
        <v>19</v>
      </c>
      <c r="AG60" t="s">
        <v>19</v>
      </c>
      <c r="AJ60" cm="1">
        <f t="array" ref="AJ60">_xlfn.IFS(AG60="Yes",1,AG60="No",0,AG60="","")</f>
        <v>1</v>
      </c>
    </row>
    <row r="61" spans="1:36" ht="29">
      <c r="A61" t="s">
        <v>122</v>
      </c>
      <c r="D61" s="4" t="s">
        <v>882</v>
      </c>
      <c r="E61" s="4" t="s">
        <v>881</v>
      </c>
      <c r="J61" s="10" t="s">
        <v>2201</v>
      </c>
      <c r="U61" s="10" t="str">
        <f t="shared" ca="1" si="2"/>
        <v/>
      </c>
      <c r="V61" s="10" t="str">
        <f t="shared" ca="1" si="3"/>
        <v/>
      </c>
      <c r="AG61" t="s">
        <v>19</v>
      </c>
      <c r="AJ61" cm="1">
        <f t="array" ref="AJ61">_xlfn.IFS(AG61="Yes",1,AG61="No",0,AG61="","")</f>
        <v>1</v>
      </c>
    </row>
    <row r="62" spans="1:36" ht="72.5">
      <c r="A62" t="s">
        <v>123</v>
      </c>
      <c r="D62" s="4" t="s">
        <v>884</v>
      </c>
      <c r="E62" s="4" t="s">
        <v>883</v>
      </c>
      <c r="H62" t="s">
        <v>19</v>
      </c>
      <c r="I62" t="s">
        <v>2240</v>
      </c>
      <c r="J62" s="10" t="s">
        <v>25</v>
      </c>
      <c r="L62" s="10">
        <v>5</v>
      </c>
      <c r="M62" s="10">
        <v>33</v>
      </c>
      <c r="O62" s="10" t="s">
        <v>2153</v>
      </c>
      <c r="P62" s="10" t="s">
        <v>2237</v>
      </c>
      <c r="Q62" s="11" t="s">
        <v>2238</v>
      </c>
      <c r="S62" s="10">
        <v>7</v>
      </c>
      <c r="U62" s="10" t="str">
        <f t="shared" ca="1" si="2"/>
        <v/>
      </c>
      <c r="V62" s="10" t="str">
        <f t="shared" ca="1" si="3"/>
        <v/>
      </c>
      <c r="AE62" s="10" t="s">
        <v>2163</v>
      </c>
      <c r="AF62" s="10" t="s">
        <v>19</v>
      </c>
      <c r="AG62" t="s">
        <v>19</v>
      </c>
      <c r="AJ62" cm="1">
        <f t="array" ref="AJ62">_xlfn.IFS(AG62="Yes",1,AG62="No",0,AG62="","")</f>
        <v>1</v>
      </c>
    </row>
    <row r="63" spans="1:36" ht="87">
      <c r="A63" t="s">
        <v>123</v>
      </c>
      <c r="D63" s="4" t="s">
        <v>886</v>
      </c>
      <c r="E63" s="4" t="s">
        <v>885</v>
      </c>
      <c r="I63" t="s">
        <v>2239</v>
      </c>
      <c r="J63" s="10" t="s">
        <v>26</v>
      </c>
      <c r="U63" s="10" t="str">
        <f t="shared" ca="1" si="2"/>
        <v/>
      </c>
      <c r="V63" s="10" t="str">
        <f t="shared" ca="1" si="3"/>
        <v/>
      </c>
      <c r="AG63" t="s">
        <v>19</v>
      </c>
      <c r="AJ63" cm="1">
        <f t="array" ref="AJ63">_xlfn.IFS(AG63="Yes",1,AG63="No",0,AG63="","")</f>
        <v>1</v>
      </c>
    </row>
    <row r="64" spans="1:36">
      <c r="A64" t="s">
        <v>124</v>
      </c>
      <c r="D64" s="4" t="s">
        <v>125</v>
      </c>
      <c r="E64" s="4" t="s">
        <v>126</v>
      </c>
      <c r="J64" s="10" t="s">
        <v>2199</v>
      </c>
      <c r="T64" s="10" t="s">
        <v>2200</v>
      </c>
      <c r="U64" s="10" t="str">
        <f t="shared" ca="1" si="2"/>
        <v/>
      </c>
      <c r="V64" s="10" t="str">
        <f t="shared" ca="1" si="3"/>
        <v/>
      </c>
      <c r="AB64" s="10" t="s">
        <v>2235</v>
      </c>
      <c r="AC64" s="10" t="s">
        <v>2233</v>
      </c>
      <c r="AD64" s="10" t="s">
        <v>19</v>
      </c>
      <c r="AG64" t="s">
        <v>20</v>
      </c>
      <c r="AJ64" cm="1">
        <f t="array" ref="AJ64">_xlfn.IFS(AG64="Yes",1,AG64="No",0,AG64="","")</f>
        <v>0</v>
      </c>
    </row>
    <row r="65" spans="1:37">
      <c r="A65" t="s">
        <v>124</v>
      </c>
      <c r="D65" s="4" t="s">
        <v>127</v>
      </c>
      <c r="E65" s="4" t="s">
        <v>128</v>
      </c>
      <c r="J65" s="10" t="s">
        <v>2199</v>
      </c>
      <c r="T65" s="10" t="s">
        <v>2200</v>
      </c>
      <c r="U65" s="10" t="str">
        <f t="shared" ca="1" si="2"/>
        <v/>
      </c>
      <c r="V65" s="10" t="str">
        <f t="shared" ca="1" si="3"/>
        <v/>
      </c>
      <c r="AB65" s="10" t="s">
        <v>2235</v>
      </c>
      <c r="AC65" s="10" t="s">
        <v>2221</v>
      </c>
      <c r="AD65" s="10" t="s">
        <v>19</v>
      </c>
      <c r="AG65" t="s">
        <v>19</v>
      </c>
      <c r="AJ65" cm="1">
        <f t="array" ref="AJ65">_xlfn.IFS(AG65="Yes",1,AG65="No",0,AG65="","")</f>
        <v>1</v>
      </c>
    </row>
    <row r="66" spans="1:37">
      <c r="A66" t="s">
        <v>124</v>
      </c>
      <c r="D66" s="4" t="s">
        <v>129</v>
      </c>
      <c r="E66" s="4" t="s">
        <v>130</v>
      </c>
      <c r="J66" s="10" t="s">
        <v>2201</v>
      </c>
      <c r="U66" s="10" t="str">
        <f t="shared" ref="U66:U127" ca="1" si="4">IF(ISNUMBER(T66),VALUE(MID(_xlfn.FORMULATEXT(T66),SEARCH("-",_xlfn.FORMULATEXT(T66))+1,LEN(_xlfn.FORMULATEXT(T66))-SEARCH("-",_xlfn.FORMULATEXT(T66)))), "")</f>
        <v/>
      </c>
      <c r="V66" s="10" t="str">
        <f t="shared" ref="V66:V127" ca="1" si="5">IF(ISNUMBER(T66), VALUE(MID(_xlfn.FORMULATEXT(T66), 2, SEARCH("-", _xlfn.FORMULATEXT(T66)) - 2)), "")</f>
        <v/>
      </c>
      <c r="AG66" t="s">
        <v>19</v>
      </c>
      <c r="AJ66" cm="1">
        <f t="array" ref="AJ66">_xlfn.IFS(AG66="Yes",1,AG66="No",0,AG66="","")</f>
        <v>1</v>
      </c>
    </row>
    <row r="67" spans="1:37" ht="29">
      <c r="A67" t="s">
        <v>124</v>
      </c>
      <c r="D67" s="4" t="s">
        <v>2431</v>
      </c>
      <c r="E67" s="4" t="s">
        <v>2432</v>
      </c>
      <c r="J67" s="10" t="s">
        <v>2201</v>
      </c>
      <c r="U67" s="10" t="str">
        <f t="shared" ca="1" si="4"/>
        <v/>
      </c>
      <c r="V67" s="10" t="str">
        <f t="shared" ca="1" si="5"/>
        <v/>
      </c>
      <c r="AG67" t="s">
        <v>19</v>
      </c>
      <c r="AJ67" cm="1">
        <f t="array" ref="AJ67">_xlfn.IFS(AG67="Yes",1,AG67="No",0,AG67="","")</f>
        <v>1</v>
      </c>
    </row>
    <row r="68" spans="1:37" ht="29">
      <c r="A68" t="s">
        <v>124</v>
      </c>
      <c r="D68" s="4" t="s">
        <v>2433</v>
      </c>
      <c r="E68" s="4" t="s">
        <v>2434</v>
      </c>
      <c r="J68" s="10" t="s">
        <v>2201</v>
      </c>
      <c r="U68" s="10" t="str">
        <f t="shared" ca="1" si="4"/>
        <v/>
      </c>
      <c r="V68" s="10" t="str">
        <f t="shared" ca="1" si="5"/>
        <v/>
      </c>
      <c r="AC68" s="10" t="s">
        <v>2226</v>
      </c>
      <c r="AD68" s="10" t="s">
        <v>19</v>
      </c>
      <c r="AE68" s="10" t="s">
        <v>2157</v>
      </c>
      <c r="AG68" t="s">
        <v>19</v>
      </c>
      <c r="AJ68" cm="1">
        <f t="array" ref="AJ68">_xlfn.IFS(AG68="Yes",1,AG68="No",0,AG68="","")</f>
        <v>1</v>
      </c>
    </row>
    <row r="69" spans="1:37" ht="43.5">
      <c r="A69" t="s">
        <v>131</v>
      </c>
      <c r="D69" s="4" t="s">
        <v>888</v>
      </c>
      <c r="E69" s="4" t="s">
        <v>887</v>
      </c>
      <c r="J69" s="10" t="s">
        <v>25</v>
      </c>
      <c r="L69" s="10">
        <v>1</v>
      </c>
      <c r="M69" s="10">
        <v>1</v>
      </c>
      <c r="N69" s="10" t="s">
        <v>2158</v>
      </c>
      <c r="O69" s="10" t="s">
        <v>2200</v>
      </c>
      <c r="S69" s="10">
        <v>2475</v>
      </c>
      <c r="U69" s="10" t="str">
        <f t="shared" ca="1" si="4"/>
        <v/>
      </c>
      <c r="V69" s="10" t="str">
        <f t="shared" ca="1" si="5"/>
        <v/>
      </c>
      <c r="AG69" t="s">
        <v>19</v>
      </c>
      <c r="AJ69" cm="1">
        <f t="array" ref="AJ69">_xlfn.IFS(AG69="Yes",1,AG69="No",0,AG69="","")</f>
        <v>1</v>
      </c>
    </row>
    <row r="70" spans="1:37" ht="43.5">
      <c r="A70" t="s">
        <v>131</v>
      </c>
      <c r="D70" s="4" t="s">
        <v>889</v>
      </c>
      <c r="E70" s="4" t="s">
        <v>890</v>
      </c>
      <c r="J70" s="10" t="s">
        <v>2199</v>
      </c>
      <c r="T70" s="10">
        <f>250-132</f>
        <v>118</v>
      </c>
      <c r="U70" s="10">
        <f t="shared" ca="1" si="4"/>
        <v>132</v>
      </c>
      <c r="V70" s="10">
        <f t="shared" ca="1" si="5"/>
        <v>250</v>
      </c>
      <c r="AG70" t="s">
        <v>19</v>
      </c>
      <c r="AJ70" cm="1">
        <f t="array" ref="AJ70">_xlfn.IFS(AG70="Yes",1,AG70="No",0,AG70="","")</f>
        <v>1</v>
      </c>
    </row>
    <row r="71" spans="1:37" ht="29">
      <c r="A71" t="s">
        <v>131</v>
      </c>
      <c r="D71" s="4" t="s">
        <v>891</v>
      </c>
      <c r="E71" s="4" t="s">
        <v>892</v>
      </c>
      <c r="J71" s="10" t="s">
        <v>2199</v>
      </c>
      <c r="T71" s="10">
        <f>1-18</f>
        <v>-17</v>
      </c>
      <c r="U71" s="10">
        <f t="shared" ca="1" si="4"/>
        <v>18</v>
      </c>
      <c r="V71" s="10">
        <f t="shared" ca="1" si="5"/>
        <v>1</v>
      </c>
      <c r="AG71" t="s">
        <v>19</v>
      </c>
      <c r="AJ71" cm="1">
        <f t="array" ref="AJ71">_xlfn.IFS(AG71="Yes",1,AG71="No",0,AG71="","")</f>
        <v>1</v>
      </c>
    </row>
    <row r="72" spans="1:37">
      <c r="A72" t="s">
        <v>132</v>
      </c>
      <c r="D72" s="4" t="s">
        <v>893</v>
      </c>
      <c r="E72" s="4" t="s">
        <v>894</v>
      </c>
      <c r="J72" s="10" t="s">
        <v>2201</v>
      </c>
      <c r="U72" s="10" t="str">
        <f t="shared" ca="1" si="4"/>
        <v/>
      </c>
      <c r="V72" s="10" t="str">
        <f t="shared" ca="1" si="5"/>
        <v/>
      </c>
      <c r="AE72" s="10" t="s">
        <v>2157</v>
      </c>
      <c r="AG72" t="s">
        <v>19</v>
      </c>
      <c r="AJ72" cm="1">
        <f t="array" ref="AJ72">_xlfn.IFS(AG72="Yes",1,AG72="No",0,AG72="","")</f>
        <v>1</v>
      </c>
    </row>
    <row r="73" spans="1:37">
      <c r="A73" t="s">
        <v>133</v>
      </c>
      <c r="D73" s="4" t="s">
        <v>895</v>
      </c>
      <c r="E73" s="4" t="s">
        <v>896</v>
      </c>
      <c r="H73" t="s">
        <v>19</v>
      </c>
      <c r="J73" s="10" t="s">
        <v>2199</v>
      </c>
      <c r="T73" s="10" t="s">
        <v>2220</v>
      </c>
      <c r="U73" s="10" t="str">
        <f t="shared" ca="1" si="4"/>
        <v/>
      </c>
      <c r="V73" s="10" t="str">
        <f t="shared" ca="1" si="5"/>
        <v/>
      </c>
      <c r="AE73" s="10" t="s">
        <v>2157</v>
      </c>
      <c r="AG73" t="s">
        <v>20</v>
      </c>
      <c r="AJ73" cm="1">
        <f t="array" ref="AJ73">_xlfn.IFS(AG73="Yes",1,AG73="No",0,AG73="","")</f>
        <v>0</v>
      </c>
    </row>
    <row r="74" spans="1:37">
      <c r="A74" t="s">
        <v>134</v>
      </c>
      <c r="D74" s="4" t="s">
        <v>2435</v>
      </c>
      <c r="E74" s="4" t="s">
        <v>897</v>
      </c>
      <c r="G74" t="s">
        <v>19</v>
      </c>
      <c r="J74" s="10" t="s">
        <v>2201</v>
      </c>
      <c r="U74" s="10" t="str">
        <f t="shared" ca="1" si="4"/>
        <v/>
      </c>
      <c r="V74" s="10" t="str">
        <f t="shared" ca="1" si="5"/>
        <v/>
      </c>
      <c r="AE74" s="10" t="s">
        <v>2167</v>
      </c>
      <c r="AG74" t="s">
        <v>19</v>
      </c>
      <c r="AJ74" cm="1">
        <f t="array" ref="AJ74">_xlfn.IFS(AG74="Yes",1,AG74="No",0,AG74="","")</f>
        <v>1</v>
      </c>
    </row>
    <row r="75" spans="1:37" ht="43.5">
      <c r="A75" t="s">
        <v>134</v>
      </c>
      <c r="D75" s="4" t="s">
        <v>898</v>
      </c>
      <c r="E75" s="4" t="s">
        <v>2437</v>
      </c>
      <c r="I75" t="s">
        <v>2241</v>
      </c>
      <c r="J75" s="10" t="s">
        <v>26</v>
      </c>
      <c r="U75" s="10" t="str">
        <f t="shared" ca="1" si="4"/>
        <v/>
      </c>
      <c r="V75" s="10" t="str">
        <f t="shared" ca="1" si="5"/>
        <v/>
      </c>
      <c r="AG75" t="s">
        <v>19</v>
      </c>
      <c r="AJ75" cm="1">
        <f t="array" ref="AJ75">_xlfn.IFS(AG75="Yes",1,AG75="No",0,AG75="","")</f>
        <v>1</v>
      </c>
      <c r="AK75">
        <f>COUNTA(AJ75:AJ77)</f>
        <v>3</v>
      </c>
    </row>
    <row r="76" spans="1:37" ht="43.5">
      <c r="A76" t="s">
        <v>134</v>
      </c>
      <c r="D76" s="4" t="s">
        <v>899</v>
      </c>
      <c r="E76" s="4" t="s">
        <v>2436</v>
      </c>
      <c r="H76" t="s">
        <v>19</v>
      </c>
      <c r="J76" s="10" t="s">
        <v>2199</v>
      </c>
      <c r="U76" s="10" t="str">
        <f t="shared" ca="1" si="4"/>
        <v/>
      </c>
      <c r="V76" s="10" t="str">
        <f t="shared" ca="1" si="5"/>
        <v/>
      </c>
      <c r="AC76" s="10" t="s">
        <v>2226</v>
      </c>
      <c r="AD76" s="10" t="s">
        <v>19</v>
      </c>
      <c r="AJ76" t="str" cm="1">
        <f t="array" ref="AJ76">_xlfn.IFS(AG76="Yes",1,AG76="No",0,AG76="","")</f>
        <v/>
      </c>
    </row>
    <row r="77" spans="1:37" ht="29">
      <c r="A77" t="s">
        <v>134</v>
      </c>
      <c r="D77" s="4" t="s">
        <v>900</v>
      </c>
      <c r="E77" s="4" t="s">
        <v>901</v>
      </c>
      <c r="H77" t="s">
        <v>19</v>
      </c>
      <c r="J77" s="10" t="s">
        <v>24</v>
      </c>
      <c r="L77" s="10">
        <v>1</v>
      </c>
      <c r="M77" s="10">
        <v>3</v>
      </c>
      <c r="N77" s="10" t="s">
        <v>2177</v>
      </c>
      <c r="O77" s="10" t="s">
        <v>2153</v>
      </c>
      <c r="P77" s="10" t="s">
        <v>2229</v>
      </c>
      <c r="Q77" s="11" t="s">
        <v>2230</v>
      </c>
      <c r="R77" s="10" t="s">
        <v>2154</v>
      </c>
      <c r="S77" s="10">
        <v>112</v>
      </c>
      <c r="U77" s="10" t="str">
        <f t="shared" ca="1" si="4"/>
        <v/>
      </c>
      <c r="V77" s="10" t="str">
        <f t="shared" ca="1" si="5"/>
        <v/>
      </c>
      <c r="AE77" s="10" t="s">
        <v>2163</v>
      </c>
      <c r="AG77" t="s">
        <v>20</v>
      </c>
      <c r="AJ77" cm="1">
        <f t="array" ref="AJ77">_xlfn.IFS(AG77="Yes",1,AG77="No",0,AG77="","")</f>
        <v>0</v>
      </c>
    </row>
    <row r="78" spans="1:37">
      <c r="A78" t="s">
        <v>135</v>
      </c>
      <c r="D78" s="4" t="s">
        <v>136</v>
      </c>
      <c r="E78" s="4" t="s">
        <v>137</v>
      </c>
      <c r="J78" s="10" t="s">
        <v>2201</v>
      </c>
      <c r="U78" s="10" t="str">
        <f t="shared" ca="1" si="4"/>
        <v/>
      </c>
      <c r="V78" s="10" t="str">
        <f t="shared" ca="1" si="5"/>
        <v/>
      </c>
      <c r="AG78" t="s">
        <v>19</v>
      </c>
      <c r="AJ78" cm="1">
        <f t="array" ref="AJ78">_xlfn.IFS(AG78="Yes",1,AG78="No",0,AG78="","")</f>
        <v>1</v>
      </c>
    </row>
    <row r="79" spans="1:37">
      <c r="A79" t="s">
        <v>138</v>
      </c>
      <c r="D79" s="4" t="s">
        <v>903</v>
      </c>
      <c r="E79" s="4" t="s">
        <v>902</v>
      </c>
      <c r="J79" s="10" t="s">
        <v>2199</v>
      </c>
      <c r="T79" s="10">
        <f>830-17</f>
        <v>813</v>
      </c>
      <c r="U79" s="10">
        <f t="shared" ca="1" si="4"/>
        <v>17</v>
      </c>
      <c r="V79" s="10">
        <f t="shared" ca="1" si="5"/>
        <v>830</v>
      </c>
      <c r="AG79" t="s">
        <v>19</v>
      </c>
      <c r="AJ79" cm="1">
        <f t="array" ref="AJ79">_xlfn.IFS(AG79="Yes",1,AG79="No",0,AG79="","")</f>
        <v>1</v>
      </c>
    </row>
    <row r="80" spans="1:37" ht="29">
      <c r="A80" t="s">
        <v>139</v>
      </c>
      <c r="D80" s="4" t="s">
        <v>904</v>
      </c>
      <c r="E80" s="4" t="s">
        <v>905</v>
      </c>
      <c r="H80" t="s">
        <v>19</v>
      </c>
      <c r="J80" s="10" t="s">
        <v>24</v>
      </c>
      <c r="L80" s="10">
        <v>1</v>
      </c>
      <c r="M80" s="10">
        <v>3</v>
      </c>
      <c r="N80" s="10" t="s">
        <v>2168</v>
      </c>
      <c r="O80" s="10" t="s">
        <v>2153</v>
      </c>
      <c r="P80" s="10" t="s">
        <v>2229</v>
      </c>
      <c r="Q80" s="11" t="s">
        <v>2230</v>
      </c>
      <c r="R80" s="10" t="s">
        <v>2154</v>
      </c>
      <c r="S80" s="10">
        <v>1701</v>
      </c>
      <c r="U80" s="10" t="str">
        <f t="shared" ca="1" si="4"/>
        <v/>
      </c>
      <c r="V80" s="10" t="str">
        <f t="shared" ca="1" si="5"/>
        <v/>
      </c>
      <c r="AE80" s="10" t="s">
        <v>2163</v>
      </c>
      <c r="AG80" t="s">
        <v>20</v>
      </c>
      <c r="AJ80" cm="1">
        <f t="array" ref="AJ80">_xlfn.IFS(AG80="Yes",1,AG80="No",0,AG80="","")</f>
        <v>0</v>
      </c>
    </row>
    <row r="81" spans="1:36">
      <c r="A81" t="s">
        <v>139</v>
      </c>
      <c r="D81" s="4" t="s">
        <v>140</v>
      </c>
      <c r="E81" s="4" t="s">
        <v>141</v>
      </c>
      <c r="J81" s="10" t="s">
        <v>2201</v>
      </c>
      <c r="U81" s="10" t="str">
        <f t="shared" ca="1" si="4"/>
        <v/>
      </c>
      <c r="V81" s="10" t="str">
        <f t="shared" ca="1" si="5"/>
        <v/>
      </c>
      <c r="AE81" s="10" t="s">
        <v>2167</v>
      </c>
      <c r="AG81" t="s">
        <v>19</v>
      </c>
      <c r="AJ81" cm="1">
        <f t="array" ref="AJ81">_xlfn.IFS(AG81="Yes",1,AG81="No",0,AG81="","")</f>
        <v>1</v>
      </c>
    </row>
    <row r="82" spans="1:36">
      <c r="A82" t="s">
        <v>142</v>
      </c>
      <c r="D82" s="4" t="s">
        <v>906</v>
      </c>
      <c r="E82" s="4" t="s">
        <v>907</v>
      </c>
      <c r="H82" t="s">
        <v>19</v>
      </c>
      <c r="J82" s="10" t="s">
        <v>2201</v>
      </c>
      <c r="U82" s="10" t="str">
        <f t="shared" ca="1" si="4"/>
        <v/>
      </c>
      <c r="V82" s="10" t="str">
        <f t="shared" ca="1" si="5"/>
        <v/>
      </c>
      <c r="AC82" s="10" t="s">
        <v>2223</v>
      </c>
      <c r="AD82" s="10" t="s">
        <v>19</v>
      </c>
      <c r="AE82" s="10" t="s">
        <v>2157</v>
      </c>
      <c r="AG82" t="s">
        <v>19</v>
      </c>
      <c r="AJ82" cm="1">
        <f t="array" ref="AJ82">_xlfn.IFS(AG82="Yes",1,AG82="No",0,AG82="","")</f>
        <v>1</v>
      </c>
    </row>
    <row r="83" spans="1:36">
      <c r="A83" t="s">
        <v>142</v>
      </c>
      <c r="D83" s="4" t="s">
        <v>909</v>
      </c>
      <c r="E83" s="4" t="s">
        <v>908</v>
      </c>
      <c r="J83" s="10" t="s">
        <v>2201</v>
      </c>
      <c r="U83" s="10" t="str">
        <f t="shared" ca="1" si="4"/>
        <v/>
      </c>
      <c r="V83" s="10" t="str">
        <f t="shared" ca="1" si="5"/>
        <v/>
      </c>
      <c r="AB83" s="10" t="s">
        <v>2354</v>
      </c>
      <c r="AD83" s="10" t="s">
        <v>19</v>
      </c>
      <c r="AG83" t="s">
        <v>19</v>
      </c>
      <c r="AJ83" cm="1">
        <f t="array" ref="AJ83">_xlfn.IFS(AG83="Yes",1,AG83="No",0,AG83="","")</f>
        <v>1</v>
      </c>
    </row>
    <row r="84" spans="1:36" ht="43.5">
      <c r="A84" t="s">
        <v>142</v>
      </c>
      <c r="D84" s="4" t="s">
        <v>911</v>
      </c>
      <c r="E84" s="4" t="s">
        <v>910</v>
      </c>
      <c r="I84" t="s">
        <v>2242</v>
      </c>
      <c r="J84" s="10" t="s">
        <v>26</v>
      </c>
      <c r="U84" s="10" t="str">
        <f t="shared" ca="1" si="4"/>
        <v/>
      </c>
      <c r="V84" s="10" t="str">
        <f t="shared" ca="1" si="5"/>
        <v/>
      </c>
      <c r="AG84" t="s">
        <v>19</v>
      </c>
      <c r="AJ84" cm="1">
        <f t="array" ref="AJ84">_xlfn.IFS(AG84="Yes",1,AG84="No",0,AG84="","")</f>
        <v>1</v>
      </c>
    </row>
    <row r="85" spans="1:36" ht="29">
      <c r="A85" t="s">
        <v>143</v>
      </c>
      <c r="D85" s="4" t="s">
        <v>913</v>
      </c>
      <c r="E85" s="4" t="s">
        <v>912</v>
      </c>
      <c r="J85" s="10" t="s">
        <v>2201</v>
      </c>
      <c r="U85" s="10" t="str">
        <f t="shared" ca="1" si="4"/>
        <v/>
      </c>
      <c r="V85" s="10" t="str">
        <f t="shared" ca="1" si="5"/>
        <v/>
      </c>
      <c r="AG85" t="s">
        <v>19</v>
      </c>
      <c r="AJ85" cm="1">
        <f t="array" ref="AJ85">_xlfn.IFS(AG85="Yes",1,AG85="No",0,AG85="","")</f>
        <v>1</v>
      </c>
    </row>
    <row r="86" spans="1:36" ht="43.5">
      <c r="A86" t="s">
        <v>143</v>
      </c>
      <c r="D86" s="4" t="s">
        <v>914</v>
      </c>
      <c r="E86" s="4" t="s">
        <v>915</v>
      </c>
      <c r="J86" s="10" t="s">
        <v>24</v>
      </c>
      <c r="L86" s="10">
        <v>1</v>
      </c>
      <c r="M86" s="10">
        <v>2</v>
      </c>
      <c r="N86" s="10" t="s">
        <v>2177</v>
      </c>
      <c r="O86" s="10" t="s">
        <v>2200</v>
      </c>
      <c r="S86" s="10">
        <v>613</v>
      </c>
      <c r="U86" s="10" t="str">
        <f t="shared" ca="1" si="4"/>
        <v/>
      </c>
      <c r="V86" s="10" t="str">
        <f t="shared" ca="1" si="5"/>
        <v/>
      </c>
      <c r="AG86" t="s">
        <v>19</v>
      </c>
      <c r="AJ86" cm="1">
        <f t="array" ref="AJ86">_xlfn.IFS(AG86="Yes",1,AG86="No",0,AG86="","")</f>
        <v>1</v>
      </c>
    </row>
    <row r="87" spans="1:36" ht="43.5">
      <c r="A87" t="s">
        <v>143</v>
      </c>
      <c r="D87" s="4" t="s">
        <v>914</v>
      </c>
      <c r="E87" s="4" t="s">
        <v>916</v>
      </c>
      <c r="H87" t="s">
        <v>19</v>
      </c>
      <c r="J87" s="10" t="s">
        <v>24</v>
      </c>
      <c r="L87" s="10">
        <v>1</v>
      </c>
      <c r="M87" s="10">
        <v>2</v>
      </c>
      <c r="N87" s="10" t="s">
        <v>2177</v>
      </c>
      <c r="O87" s="10" t="s">
        <v>2200</v>
      </c>
      <c r="R87" s="10" t="s">
        <v>2154</v>
      </c>
      <c r="S87" s="10">
        <v>613</v>
      </c>
      <c r="U87" s="10" t="str">
        <f t="shared" ca="1" si="4"/>
        <v/>
      </c>
      <c r="V87" s="10" t="str">
        <f t="shared" ca="1" si="5"/>
        <v/>
      </c>
      <c r="AE87" s="10" t="s">
        <v>2163</v>
      </c>
      <c r="AG87" t="s">
        <v>20</v>
      </c>
      <c r="AJ87" cm="1">
        <f t="array" ref="AJ87">_xlfn.IFS(AG87="Yes",1,AG87="No",0,AG87="","")</f>
        <v>0</v>
      </c>
    </row>
    <row r="88" spans="1:36" ht="29">
      <c r="A88" t="s">
        <v>144</v>
      </c>
      <c r="D88" s="4" t="s">
        <v>2243</v>
      </c>
      <c r="E88" s="4" t="s">
        <v>917</v>
      </c>
      <c r="J88" s="10" t="s">
        <v>2201</v>
      </c>
      <c r="U88" s="10" t="str">
        <f t="shared" ca="1" si="4"/>
        <v/>
      </c>
      <c r="V88" s="10" t="str">
        <f t="shared" ca="1" si="5"/>
        <v/>
      </c>
      <c r="AC88" s="10" t="s">
        <v>2223</v>
      </c>
      <c r="AD88" s="10" t="s">
        <v>19</v>
      </c>
      <c r="AG88" t="s">
        <v>19</v>
      </c>
      <c r="AJ88" cm="1">
        <f t="array" ref="AJ88">_xlfn.IFS(AG88="Yes",1,AG88="No",0,AG88="","")</f>
        <v>1</v>
      </c>
    </row>
    <row r="89" spans="1:36">
      <c r="A89" t="s">
        <v>145</v>
      </c>
      <c r="D89" s="4" t="s">
        <v>918</v>
      </c>
      <c r="E89" s="4" t="s">
        <v>919</v>
      </c>
      <c r="H89" t="s">
        <v>19</v>
      </c>
      <c r="J89" s="10" t="s">
        <v>25</v>
      </c>
      <c r="L89" s="10">
        <v>1</v>
      </c>
      <c r="M89" s="10">
        <v>5</v>
      </c>
      <c r="N89" s="10" t="s">
        <v>2152</v>
      </c>
      <c r="O89" s="10" t="s">
        <v>2159</v>
      </c>
      <c r="S89" s="10">
        <v>8</v>
      </c>
      <c r="U89" s="10" t="str">
        <f t="shared" ca="1" si="4"/>
        <v/>
      </c>
      <c r="V89" s="10" t="str">
        <f t="shared" ca="1" si="5"/>
        <v/>
      </c>
      <c r="AG89" t="s">
        <v>20</v>
      </c>
      <c r="AJ89" cm="1">
        <f t="array" ref="AJ89">_xlfn.IFS(AG89="Yes",1,AG89="No",0,AG89="","")</f>
        <v>0</v>
      </c>
    </row>
    <row r="90" spans="1:36" ht="58">
      <c r="A90" t="s">
        <v>147</v>
      </c>
      <c r="D90" s="4" t="s">
        <v>920</v>
      </c>
      <c r="E90" s="4" t="s">
        <v>921</v>
      </c>
      <c r="H90" t="s">
        <v>19</v>
      </c>
      <c r="J90" s="10" t="s">
        <v>24</v>
      </c>
      <c r="L90" s="10">
        <v>2</v>
      </c>
      <c r="M90" s="10">
        <v>11</v>
      </c>
      <c r="O90" s="10" t="s">
        <v>2153</v>
      </c>
      <c r="P90" s="10" t="s">
        <v>2244</v>
      </c>
      <c r="Q90" s="11" t="s">
        <v>2245</v>
      </c>
      <c r="S90" s="10">
        <v>98</v>
      </c>
      <c r="U90" s="10" t="str">
        <f t="shared" ca="1" si="4"/>
        <v/>
      </c>
      <c r="V90" s="10" t="str">
        <f t="shared" ca="1" si="5"/>
        <v/>
      </c>
      <c r="AG90" t="s">
        <v>20</v>
      </c>
      <c r="AJ90" cm="1">
        <f t="array" ref="AJ90">_xlfn.IFS(AG90="Yes",1,AG90="No",0,AG90="","")</f>
        <v>0</v>
      </c>
    </row>
    <row r="91" spans="1:36">
      <c r="A91" t="s">
        <v>148</v>
      </c>
      <c r="D91" s="4" t="s">
        <v>923</v>
      </c>
      <c r="E91" s="4" t="s">
        <v>922</v>
      </c>
      <c r="J91" s="10" t="s">
        <v>24</v>
      </c>
      <c r="L91" s="10">
        <v>1</v>
      </c>
      <c r="M91" s="10">
        <v>2</v>
      </c>
      <c r="N91" s="10" t="s">
        <v>2158</v>
      </c>
      <c r="O91" s="10" t="s">
        <v>2200</v>
      </c>
      <c r="S91" s="10">
        <v>2475</v>
      </c>
      <c r="U91" s="10" t="str">
        <f t="shared" ca="1" si="4"/>
        <v/>
      </c>
      <c r="V91" s="10" t="str">
        <f t="shared" ca="1" si="5"/>
        <v/>
      </c>
      <c r="AG91" t="s">
        <v>19</v>
      </c>
      <c r="AJ91" cm="1">
        <f t="array" ref="AJ91">_xlfn.IFS(AG91="Yes",1,AG91="No",0,AG91="","")</f>
        <v>1</v>
      </c>
    </row>
    <row r="92" spans="1:36">
      <c r="A92" t="s">
        <v>149</v>
      </c>
      <c r="D92" s="4" t="s">
        <v>150</v>
      </c>
      <c r="E92" s="4" t="s">
        <v>151</v>
      </c>
      <c r="J92" s="10" t="s">
        <v>2201</v>
      </c>
      <c r="U92" s="10" t="str">
        <f t="shared" ca="1" si="4"/>
        <v/>
      </c>
      <c r="V92" s="10" t="str">
        <f t="shared" ca="1" si="5"/>
        <v/>
      </c>
      <c r="AG92" t="s">
        <v>19</v>
      </c>
      <c r="AJ92" cm="1">
        <f t="array" ref="AJ92">_xlfn.IFS(AG92="Yes",1,AG92="No",0,AG92="","")</f>
        <v>1</v>
      </c>
    </row>
    <row r="93" spans="1:36">
      <c r="A93" t="s">
        <v>149</v>
      </c>
      <c r="D93" s="4" t="s">
        <v>925</v>
      </c>
      <c r="E93" s="4" t="s">
        <v>924</v>
      </c>
      <c r="J93" s="10" t="s">
        <v>25</v>
      </c>
      <c r="L93" s="10">
        <v>1</v>
      </c>
      <c r="M93" s="10">
        <v>3</v>
      </c>
      <c r="N93" s="10" t="s">
        <v>2175</v>
      </c>
      <c r="O93" s="10" t="s">
        <v>2159</v>
      </c>
      <c r="S93" s="10">
        <v>743</v>
      </c>
      <c r="U93" s="10" t="str">
        <f t="shared" ca="1" si="4"/>
        <v/>
      </c>
      <c r="V93" s="10" t="str">
        <f t="shared" ca="1" si="5"/>
        <v/>
      </c>
      <c r="AG93" t="s">
        <v>19</v>
      </c>
      <c r="AJ93" cm="1">
        <f t="array" ref="AJ93">_xlfn.IFS(AG93="Yes",1,AG93="No",0,AG93="","")</f>
        <v>1</v>
      </c>
    </row>
    <row r="94" spans="1:36" ht="29">
      <c r="A94" t="s">
        <v>152</v>
      </c>
      <c r="D94" s="4" t="s">
        <v>926</v>
      </c>
      <c r="E94" s="4" t="s">
        <v>927</v>
      </c>
      <c r="J94" s="10" t="s">
        <v>2201</v>
      </c>
      <c r="U94" s="10" t="str">
        <f t="shared" ca="1" si="4"/>
        <v/>
      </c>
      <c r="V94" s="10" t="str">
        <f t="shared" ca="1" si="5"/>
        <v/>
      </c>
      <c r="AG94" t="s">
        <v>19</v>
      </c>
      <c r="AJ94" cm="1">
        <f t="array" ref="AJ94">_xlfn.IFS(AG94="Yes",1,AG94="No",0,AG94="","")</f>
        <v>1</v>
      </c>
    </row>
    <row r="95" spans="1:36">
      <c r="A95" t="s">
        <v>153</v>
      </c>
      <c r="D95" s="4" t="s">
        <v>154</v>
      </c>
      <c r="E95" s="4" t="s">
        <v>155</v>
      </c>
      <c r="H95" t="s">
        <v>19</v>
      </c>
      <c r="J95" s="10" t="s">
        <v>2201</v>
      </c>
      <c r="U95" s="10" t="str">
        <f t="shared" ca="1" si="4"/>
        <v/>
      </c>
      <c r="V95" s="10" t="str">
        <f t="shared" ca="1" si="5"/>
        <v/>
      </c>
      <c r="AE95" s="10" t="s">
        <v>2157</v>
      </c>
      <c r="AG95" t="s">
        <v>20</v>
      </c>
      <c r="AJ95" cm="1">
        <f t="array" ref="AJ95">_xlfn.IFS(AG95="Yes",1,AG95="No",0,AG95="","")</f>
        <v>0</v>
      </c>
    </row>
    <row r="96" spans="1:36" ht="29">
      <c r="A96" t="s">
        <v>156</v>
      </c>
      <c r="D96" s="4" t="s">
        <v>928</v>
      </c>
      <c r="E96" s="4" t="s">
        <v>929</v>
      </c>
      <c r="I96" t="s">
        <v>2242</v>
      </c>
      <c r="J96" s="10" t="s">
        <v>26</v>
      </c>
      <c r="U96" s="10" t="str">
        <f t="shared" ca="1" si="4"/>
        <v/>
      </c>
      <c r="V96" s="10" t="str">
        <f t="shared" ca="1" si="5"/>
        <v/>
      </c>
      <c r="AG96" t="s">
        <v>19</v>
      </c>
      <c r="AJ96" cm="1">
        <f t="array" ref="AJ96">_xlfn.IFS(AG96="Yes",1,AG96="No",0,AG96="","")</f>
        <v>1</v>
      </c>
    </row>
    <row r="97" spans="1:36">
      <c r="A97" t="s">
        <v>157</v>
      </c>
      <c r="D97" s="4" t="s">
        <v>930</v>
      </c>
      <c r="E97" s="4" t="s">
        <v>931</v>
      </c>
      <c r="J97" s="10" t="s">
        <v>24</v>
      </c>
      <c r="L97" s="10">
        <v>1</v>
      </c>
      <c r="M97" s="10">
        <v>2</v>
      </c>
      <c r="N97" s="10" t="s">
        <v>2158</v>
      </c>
      <c r="O97" s="10" t="s">
        <v>2200</v>
      </c>
      <c r="S97" s="10">
        <v>2475</v>
      </c>
      <c r="U97" s="10" t="str">
        <f t="shared" ca="1" si="4"/>
        <v/>
      </c>
      <c r="V97" s="10" t="str">
        <f t="shared" ca="1" si="5"/>
        <v/>
      </c>
      <c r="AG97" t="s">
        <v>19</v>
      </c>
      <c r="AJ97" cm="1">
        <f t="array" ref="AJ97">_xlfn.IFS(AG97="Yes",1,AG97="No",0,AG97="","")</f>
        <v>1</v>
      </c>
    </row>
    <row r="98" spans="1:36">
      <c r="A98" t="s">
        <v>158</v>
      </c>
      <c r="D98" s="4" t="s">
        <v>933</v>
      </c>
      <c r="E98" s="4" t="s">
        <v>932</v>
      </c>
      <c r="J98" s="10" t="s">
        <v>24</v>
      </c>
      <c r="L98" s="10">
        <v>1</v>
      </c>
      <c r="M98" s="10">
        <v>1</v>
      </c>
      <c r="N98" s="10" t="s">
        <v>2158</v>
      </c>
      <c r="O98" s="10" t="s">
        <v>2200</v>
      </c>
      <c r="S98" s="10">
        <v>2475</v>
      </c>
      <c r="U98" s="10" t="str">
        <f t="shared" ca="1" si="4"/>
        <v/>
      </c>
      <c r="V98" s="10" t="str">
        <f t="shared" ca="1" si="5"/>
        <v/>
      </c>
      <c r="AG98" t="s">
        <v>19</v>
      </c>
      <c r="AJ98" cm="1">
        <f t="array" ref="AJ98">_xlfn.IFS(AG98="Yes",1,AG98="No",0,AG98="","")</f>
        <v>1</v>
      </c>
    </row>
    <row r="99" spans="1:36" ht="29">
      <c r="A99" t="s">
        <v>158</v>
      </c>
      <c r="D99" s="4" t="s">
        <v>935</v>
      </c>
      <c r="E99" s="4" t="s">
        <v>934</v>
      </c>
      <c r="J99" s="10" t="s">
        <v>2199</v>
      </c>
      <c r="T99" s="10">
        <f>830-98</f>
        <v>732</v>
      </c>
      <c r="U99" s="10">
        <f t="shared" ca="1" si="4"/>
        <v>98</v>
      </c>
      <c r="V99" s="10">
        <f t="shared" ca="1" si="5"/>
        <v>830</v>
      </c>
      <c r="AG99" t="s">
        <v>19</v>
      </c>
      <c r="AJ99" cm="1">
        <f t="array" ref="AJ99">_xlfn.IFS(AG99="Yes",1,AG99="No",0,AG99="","")</f>
        <v>1</v>
      </c>
    </row>
    <row r="100" spans="1:36">
      <c r="A100" t="s">
        <v>159</v>
      </c>
      <c r="D100" s="4" t="s">
        <v>160</v>
      </c>
      <c r="E100" s="4" t="s">
        <v>161</v>
      </c>
      <c r="J100" s="10" t="s">
        <v>2201</v>
      </c>
      <c r="U100" s="10" t="str">
        <f t="shared" ca="1" si="4"/>
        <v/>
      </c>
      <c r="V100" s="10" t="str">
        <f t="shared" ca="1" si="5"/>
        <v/>
      </c>
      <c r="AG100" t="s">
        <v>20</v>
      </c>
      <c r="AJ100" cm="1">
        <f t="array" ref="AJ100">_xlfn.IFS(AG100="Yes",1,AG100="No",0,AG100="","")</f>
        <v>0</v>
      </c>
    </row>
    <row r="101" spans="1:36">
      <c r="A101" t="s">
        <v>162</v>
      </c>
      <c r="D101" s="4" t="s">
        <v>936</v>
      </c>
      <c r="E101" s="4" t="s">
        <v>937</v>
      </c>
      <c r="H101" t="s">
        <v>19</v>
      </c>
      <c r="J101" s="10" t="s">
        <v>25</v>
      </c>
      <c r="L101" s="10">
        <v>1</v>
      </c>
      <c r="M101" s="10">
        <v>3</v>
      </c>
      <c r="N101" s="10" t="s">
        <v>2158</v>
      </c>
      <c r="O101" s="10" t="s">
        <v>2159</v>
      </c>
      <c r="S101" s="10">
        <v>2475</v>
      </c>
      <c r="U101" s="10" t="str">
        <f t="shared" ca="1" si="4"/>
        <v/>
      </c>
      <c r="V101" s="10" t="str">
        <f t="shared" ca="1" si="5"/>
        <v/>
      </c>
      <c r="AG101" t="s">
        <v>20</v>
      </c>
      <c r="AJ101" cm="1">
        <f t="array" ref="AJ101">_xlfn.IFS(AG101="Yes",1,AG101="No",0,AG101="","")</f>
        <v>0</v>
      </c>
    </row>
    <row r="102" spans="1:36">
      <c r="A102" t="s">
        <v>162</v>
      </c>
      <c r="D102" s="4" t="s">
        <v>938</v>
      </c>
      <c r="E102" s="4" t="s">
        <v>939</v>
      </c>
      <c r="H102" t="s">
        <v>19</v>
      </c>
      <c r="J102" s="10" t="s">
        <v>2199</v>
      </c>
      <c r="T102" s="10" t="s">
        <v>2200</v>
      </c>
      <c r="U102" s="10" t="str">
        <f t="shared" ca="1" si="4"/>
        <v/>
      </c>
      <c r="V102" s="10" t="str">
        <f t="shared" ca="1" si="5"/>
        <v/>
      </c>
      <c r="AE102" s="10" t="s">
        <v>2157</v>
      </c>
      <c r="AG102" t="s">
        <v>20</v>
      </c>
      <c r="AJ102" cm="1">
        <f t="array" ref="AJ102">_xlfn.IFS(AG102="Yes",1,AG102="No",0,AG102="","")</f>
        <v>0</v>
      </c>
    </row>
    <row r="103" spans="1:36" ht="29">
      <c r="A103" t="s">
        <v>163</v>
      </c>
      <c r="D103" s="4" t="s">
        <v>940</v>
      </c>
      <c r="E103" s="4" t="s">
        <v>941</v>
      </c>
      <c r="H103" t="s">
        <v>19</v>
      </c>
      <c r="J103" s="10" t="s">
        <v>25</v>
      </c>
      <c r="L103" s="10">
        <v>1</v>
      </c>
      <c r="M103" s="10">
        <v>5</v>
      </c>
      <c r="N103" s="10" t="s">
        <v>2152</v>
      </c>
      <c r="O103" s="10" t="s">
        <v>2153</v>
      </c>
      <c r="P103" s="10" t="s">
        <v>2231</v>
      </c>
      <c r="Q103" s="11" t="s">
        <v>2230</v>
      </c>
      <c r="S103" s="10">
        <v>266</v>
      </c>
      <c r="U103" s="10" t="str">
        <f t="shared" ca="1" si="4"/>
        <v/>
      </c>
      <c r="V103" s="10" t="str">
        <f t="shared" ca="1" si="5"/>
        <v/>
      </c>
      <c r="AG103" t="s">
        <v>20</v>
      </c>
      <c r="AJ103" cm="1">
        <f t="array" ref="AJ103">_xlfn.IFS(AG103="Yes",1,AG103="No",0,AG103="","")</f>
        <v>0</v>
      </c>
    </row>
    <row r="104" spans="1:36" ht="43.5">
      <c r="A104" t="s">
        <v>164</v>
      </c>
      <c r="D104" s="4" t="s">
        <v>942</v>
      </c>
      <c r="E104" s="4" t="s">
        <v>943</v>
      </c>
      <c r="I104" t="s">
        <v>2242</v>
      </c>
      <c r="J104" s="10" t="s">
        <v>26</v>
      </c>
      <c r="U104" s="10" t="str">
        <f t="shared" ca="1" si="4"/>
        <v/>
      </c>
      <c r="V104" s="10" t="str">
        <f t="shared" ca="1" si="5"/>
        <v/>
      </c>
      <c r="AG104" t="s">
        <v>19</v>
      </c>
      <c r="AJ104" cm="1">
        <f t="array" ref="AJ104">_xlfn.IFS(AG104="Yes",1,AG104="No",0,AG104="","")</f>
        <v>1</v>
      </c>
    </row>
    <row r="105" spans="1:36">
      <c r="A105" t="s">
        <v>165</v>
      </c>
      <c r="D105" s="4" t="s">
        <v>2246</v>
      </c>
      <c r="E105" s="4" t="s">
        <v>2247</v>
      </c>
      <c r="J105" s="10" t="s">
        <v>2201</v>
      </c>
      <c r="U105" s="10" t="str">
        <f t="shared" ca="1" si="4"/>
        <v/>
      </c>
      <c r="V105" s="10" t="str">
        <f t="shared" ca="1" si="5"/>
        <v/>
      </c>
      <c r="AE105" s="10" t="s">
        <v>2163</v>
      </c>
      <c r="AG105" t="s">
        <v>19</v>
      </c>
      <c r="AJ105" cm="1">
        <f t="array" ref="AJ105">_xlfn.IFS(AG105="Yes",1,AG105="No",0,AG105="","")</f>
        <v>1</v>
      </c>
    </row>
    <row r="106" spans="1:36">
      <c r="A106" t="s">
        <v>166</v>
      </c>
      <c r="D106" s="4" t="s">
        <v>167</v>
      </c>
      <c r="E106" s="4" t="s">
        <v>168</v>
      </c>
      <c r="J106" s="10" t="s">
        <v>2201</v>
      </c>
      <c r="U106" s="10" t="str">
        <f t="shared" ca="1" si="4"/>
        <v/>
      </c>
      <c r="V106" s="10" t="str">
        <f t="shared" ca="1" si="5"/>
        <v/>
      </c>
      <c r="AG106" t="s">
        <v>19</v>
      </c>
      <c r="AJ106" cm="1">
        <f t="array" ref="AJ106">_xlfn.IFS(AG106="Yes",1,AG106="No",0,AG106="","")</f>
        <v>1</v>
      </c>
    </row>
    <row r="107" spans="1:36" ht="29">
      <c r="A107" t="s">
        <v>166</v>
      </c>
      <c r="D107" s="4" t="s">
        <v>2248</v>
      </c>
      <c r="E107" s="4" t="s">
        <v>2249</v>
      </c>
      <c r="J107" s="10" t="s">
        <v>2201</v>
      </c>
      <c r="U107" s="10" t="str">
        <f t="shared" ca="1" si="4"/>
        <v/>
      </c>
      <c r="V107" s="10" t="str">
        <f t="shared" ca="1" si="5"/>
        <v/>
      </c>
      <c r="AE107" s="10" t="s">
        <v>2163</v>
      </c>
      <c r="AG107" t="s">
        <v>19</v>
      </c>
      <c r="AJ107" cm="1">
        <f t="array" ref="AJ107">_xlfn.IFS(AG107="Yes",1,AG107="No",0,AG107="","")</f>
        <v>1</v>
      </c>
    </row>
    <row r="108" spans="1:36">
      <c r="A108" t="s">
        <v>166</v>
      </c>
      <c r="D108" s="4" t="s">
        <v>944</v>
      </c>
      <c r="E108" s="4" t="s">
        <v>945</v>
      </c>
      <c r="H108" t="s">
        <v>19</v>
      </c>
      <c r="J108" s="10" t="s">
        <v>2199</v>
      </c>
      <c r="T108" s="10" t="s">
        <v>2200</v>
      </c>
      <c r="U108" s="10" t="str">
        <f t="shared" ca="1" si="4"/>
        <v/>
      </c>
      <c r="V108" s="10" t="str">
        <f t="shared" ca="1" si="5"/>
        <v/>
      </c>
      <c r="AE108" s="10" t="s">
        <v>2157</v>
      </c>
      <c r="AG108" t="s">
        <v>20</v>
      </c>
      <c r="AJ108" cm="1">
        <f t="array" ref="AJ108">_xlfn.IFS(AG108="Yes",1,AG108="No",0,AG108="","")</f>
        <v>0</v>
      </c>
    </row>
    <row r="109" spans="1:36">
      <c r="A109" t="s">
        <v>169</v>
      </c>
      <c r="D109" s="4" t="s">
        <v>947</v>
      </c>
      <c r="E109" s="4" t="s">
        <v>948</v>
      </c>
      <c r="J109" s="10" t="s">
        <v>2199</v>
      </c>
      <c r="T109" s="10" t="s">
        <v>2200</v>
      </c>
      <c r="U109" s="10" t="str">
        <f t="shared" ca="1" si="4"/>
        <v/>
      </c>
      <c r="V109" s="10" t="str">
        <f t="shared" ca="1" si="5"/>
        <v/>
      </c>
      <c r="AE109" s="10" t="s">
        <v>2157</v>
      </c>
      <c r="AG109" t="s">
        <v>20</v>
      </c>
      <c r="AJ109" cm="1">
        <f t="array" ref="AJ109">_xlfn.IFS(AG109="Yes",1,AG109="No",0,AG109="","")</f>
        <v>0</v>
      </c>
    </row>
    <row r="110" spans="1:36">
      <c r="A110" t="s">
        <v>169</v>
      </c>
      <c r="D110" s="4" t="s">
        <v>949</v>
      </c>
      <c r="E110" s="4" t="s">
        <v>946</v>
      </c>
      <c r="J110" s="10" t="s">
        <v>25</v>
      </c>
      <c r="L110" s="10">
        <v>1</v>
      </c>
      <c r="M110" s="10">
        <v>3</v>
      </c>
      <c r="N110" s="10" t="s">
        <v>2168</v>
      </c>
      <c r="O110" s="10" t="s">
        <v>2159</v>
      </c>
      <c r="S110" s="10">
        <v>1701</v>
      </c>
      <c r="U110" s="10" t="str">
        <f t="shared" ca="1" si="4"/>
        <v/>
      </c>
      <c r="V110" s="10" t="str">
        <f t="shared" ca="1" si="5"/>
        <v/>
      </c>
      <c r="AG110" t="s">
        <v>19</v>
      </c>
      <c r="AJ110" cm="1">
        <f t="array" ref="AJ110">_xlfn.IFS(AG110="Yes",1,AG110="No",0,AG110="","")</f>
        <v>1</v>
      </c>
    </row>
    <row r="111" spans="1:36">
      <c r="A111" t="s">
        <v>170</v>
      </c>
      <c r="D111" s="4" t="s">
        <v>171</v>
      </c>
      <c r="E111" s="4" t="s">
        <v>172</v>
      </c>
      <c r="J111" s="10" t="s">
        <v>2199</v>
      </c>
      <c r="T111" s="10" t="s">
        <v>2200</v>
      </c>
      <c r="U111" s="10" t="str">
        <f t="shared" ca="1" si="4"/>
        <v/>
      </c>
      <c r="V111" s="10" t="str">
        <f t="shared" ca="1" si="5"/>
        <v/>
      </c>
      <c r="AB111" s="10" t="s">
        <v>2235</v>
      </c>
      <c r="AC111" s="10" t="s">
        <v>2233</v>
      </c>
      <c r="AD111" s="10" t="s">
        <v>19</v>
      </c>
      <c r="AG111" t="s">
        <v>19</v>
      </c>
      <c r="AJ111" cm="1">
        <f t="array" ref="AJ111">_xlfn.IFS(AG111="Yes",1,AG111="No",0,AG111="","")</f>
        <v>1</v>
      </c>
    </row>
    <row r="112" spans="1:36">
      <c r="A112" t="s">
        <v>173</v>
      </c>
      <c r="D112" s="4" t="s">
        <v>174</v>
      </c>
      <c r="E112" s="4" t="s">
        <v>175</v>
      </c>
      <c r="J112" s="10" t="s">
        <v>2199</v>
      </c>
      <c r="T112" s="10" t="s">
        <v>2220</v>
      </c>
      <c r="U112" s="10" t="str">
        <f t="shared" ca="1" si="4"/>
        <v/>
      </c>
      <c r="V112" s="10" t="str">
        <f t="shared" ca="1" si="5"/>
        <v/>
      </c>
      <c r="AB112" s="10" t="s">
        <v>2235</v>
      </c>
      <c r="AC112" s="10" t="s">
        <v>2342</v>
      </c>
      <c r="AD112" s="10" t="s">
        <v>19</v>
      </c>
      <c r="AG112" t="s">
        <v>19</v>
      </c>
      <c r="AJ112" cm="1">
        <f t="array" ref="AJ112">_xlfn.IFS(AG112="Yes",1,AG112="No",0,AG112="","")</f>
        <v>1</v>
      </c>
    </row>
    <row r="113" spans="1:36" ht="58">
      <c r="A113" t="s">
        <v>176</v>
      </c>
      <c r="D113" s="4" t="s">
        <v>951</v>
      </c>
      <c r="E113" s="4" t="s">
        <v>950</v>
      </c>
      <c r="I113" t="s">
        <v>2250</v>
      </c>
      <c r="J113" s="10" t="s">
        <v>26</v>
      </c>
      <c r="U113" s="10" t="str">
        <f t="shared" ca="1" si="4"/>
        <v/>
      </c>
      <c r="V113" s="10" t="str">
        <f t="shared" ca="1" si="5"/>
        <v/>
      </c>
      <c r="AG113" t="s">
        <v>19</v>
      </c>
      <c r="AJ113" cm="1">
        <f t="array" ref="AJ113">_xlfn.IFS(AG113="Yes",1,AG113="No",0,AG113="","")</f>
        <v>1</v>
      </c>
    </row>
    <row r="114" spans="1:36">
      <c r="A114" t="s">
        <v>177</v>
      </c>
      <c r="D114" s="4" t="s">
        <v>893</v>
      </c>
      <c r="E114" s="4" t="s">
        <v>894</v>
      </c>
      <c r="J114" s="10" t="s">
        <v>2201</v>
      </c>
      <c r="U114" s="10" t="str">
        <f t="shared" ca="1" si="4"/>
        <v/>
      </c>
      <c r="V114" s="10" t="str">
        <f t="shared" ca="1" si="5"/>
        <v/>
      </c>
      <c r="AC114" s="10" t="s">
        <v>2226</v>
      </c>
      <c r="AD114" s="10" t="s">
        <v>20</v>
      </c>
      <c r="AE114" s="10" t="s">
        <v>2157</v>
      </c>
      <c r="AG114" t="s">
        <v>19</v>
      </c>
      <c r="AJ114" cm="1">
        <f t="array" ref="AJ114">_xlfn.IFS(AG114="Yes",1,AG114="No",0,AG114="","")</f>
        <v>1</v>
      </c>
    </row>
    <row r="115" spans="1:36">
      <c r="A115" t="s">
        <v>178</v>
      </c>
      <c r="D115" s="4" t="s">
        <v>952</v>
      </c>
      <c r="E115" s="4" t="s">
        <v>953</v>
      </c>
      <c r="J115" s="10" t="s">
        <v>2201</v>
      </c>
      <c r="U115" s="10" t="str">
        <f t="shared" ca="1" si="4"/>
        <v/>
      </c>
      <c r="V115" s="10" t="str">
        <f t="shared" ca="1" si="5"/>
        <v/>
      </c>
      <c r="AG115" t="s">
        <v>19</v>
      </c>
      <c r="AJ115" cm="1">
        <f t="array" ref="AJ115">_xlfn.IFS(AG115="Yes",1,AG115="No",0,AG115="","")</f>
        <v>1</v>
      </c>
    </row>
    <row r="116" spans="1:36" ht="29">
      <c r="A116" t="s">
        <v>178</v>
      </c>
      <c r="D116" s="4" t="s">
        <v>954</v>
      </c>
      <c r="E116" s="4" t="s">
        <v>955</v>
      </c>
      <c r="J116" s="10" t="s">
        <v>2199</v>
      </c>
      <c r="T116" s="10">
        <f>250-132</f>
        <v>118</v>
      </c>
      <c r="U116" s="10">
        <f t="shared" ca="1" si="4"/>
        <v>132</v>
      </c>
      <c r="V116" s="10">
        <f t="shared" ca="1" si="5"/>
        <v>250</v>
      </c>
      <c r="AG116" t="s">
        <v>19</v>
      </c>
      <c r="AJ116" cm="1">
        <f t="array" ref="AJ116">_xlfn.IFS(AG116="Yes",1,AG116="No",0,AG116="","")</f>
        <v>1</v>
      </c>
    </row>
    <row r="117" spans="1:36">
      <c r="A117" t="s">
        <v>179</v>
      </c>
      <c r="D117" s="4" t="s">
        <v>957</v>
      </c>
      <c r="E117" s="4" t="s">
        <v>956</v>
      </c>
      <c r="J117" s="10" t="s">
        <v>24</v>
      </c>
      <c r="L117" s="10">
        <v>1</v>
      </c>
      <c r="M117" s="10">
        <v>2</v>
      </c>
      <c r="N117" s="10" t="s">
        <v>2177</v>
      </c>
      <c r="O117" s="10" t="s">
        <v>2200</v>
      </c>
      <c r="R117" s="10" t="s">
        <v>2154</v>
      </c>
      <c r="S117" s="10">
        <v>613</v>
      </c>
      <c r="U117" s="10" t="str">
        <f t="shared" ca="1" si="4"/>
        <v/>
      </c>
      <c r="V117" s="10" t="str">
        <f t="shared" ca="1" si="5"/>
        <v/>
      </c>
      <c r="AE117" s="10" t="s">
        <v>2163</v>
      </c>
      <c r="AG117" t="s">
        <v>20</v>
      </c>
      <c r="AJ117" cm="1">
        <f t="array" ref="AJ117">_xlfn.IFS(AG117="Yes",1,AG117="No",0,AG117="","")</f>
        <v>0</v>
      </c>
    </row>
    <row r="118" spans="1:36" ht="29">
      <c r="A118" t="s">
        <v>180</v>
      </c>
      <c r="D118" s="4" t="s">
        <v>959</v>
      </c>
      <c r="E118" s="4" t="s">
        <v>958</v>
      </c>
      <c r="J118" s="10" t="s">
        <v>2201</v>
      </c>
      <c r="U118" s="10" t="str">
        <f t="shared" ca="1" si="4"/>
        <v/>
      </c>
      <c r="V118" s="10" t="str">
        <f t="shared" ca="1" si="5"/>
        <v/>
      </c>
      <c r="AC118" s="10" t="s">
        <v>2251</v>
      </c>
      <c r="AD118" s="10" t="s">
        <v>19</v>
      </c>
      <c r="AG118" t="s">
        <v>19</v>
      </c>
      <c r="AJ118" cm="1">
        <f t="array" ref="AJ118">_xlfn.IFS(AG118="Yes",1,AG118="No",0,AG118="","")</f>
        <v>1</v>
      </c>
    </row>
    <row r="119" spans="1:36">
      <c r="A119" t="s">
        <v>180</v>
      </c>
      <c r="D119" s="4" t="s">
        <v>181</v>
      </c>
      <c r="E119" s="4" t="s">
        <v>182</v>
      </c>
      <c r="J119" s="10" t="s">
        <v>2201</v>
      </c>
      <c r="U119" s="10" t="str">
        <f t="shared" ca="1" si="4"/>
        <v/>
      </c>
      <c r="V119" s="10" t="str">
        <f t="shared" ca="1" si="5"/>
        <v/>
      </c>
      <c r="AC119" s="10" t="s">
        <v>2251</v>
      </c>
      <c r="AD119" s="10" t="s">
        <v>19</v>
      </c>
      <c r="AG119" t="s">
        <v>19</v>
      </c>
      <c r="AJ119" cm="1">
        <f t="array" ref="AJ119">_xlfn.IFS(AG119="Yes",1,AG119="No",0,AG119="","")</f>
        <v>1</v>
      </c>
    </row>
    <row r="120" spans="1:36">
      <c r="A120" t="s">
        <v>180</v>
      </c>
      <c r="D120" s="4" t="s">
        <v>960</v>
      </c>
      <c r="E120" s="4" t="s">
        <v>961</v>
      </c>
      <c r="J120" s="10" t="s">
        <v>2199</v>
      </c>
      <c r="T120" s="10">
        <f>5-31</f>
        <v>-26</v>
      </c>
      <c r="U120" s="10">
        <f t="shared" ca="1" si="4"/>
        <v>31</v>
      </c>
      <c r="V120" s="10">
        <f t="shared" ca="1" si="5"/>
        <v>5</v>
      </c>
      <c r="AG120" t="s">
        <v>19</v>
      </c>
      <c r="AJ120" cm="1">
        <f t="array" ref="AJ120">_xlfn.IFS(AG120="Yes",1,AG120="No",0,AG120="","")</f>
        <v>1</v>
      </c>
    </row>
    <row r="121" spans="1:36">
      <c r="A121" t="s">
        <v>183</v>
      </c>
      <c r="D121" s="4" t="s">
        <v>962</v>
      </c>
      <c r="E121" s="4" t="s">
        <v>963</v>
      </c>
      <c r="J121" s="10" t="s">
        <v>2199</v>
      </c>
      <c r="T121" s="10">
        <f>6-2</f>
        <v>4</v>
      </c>
      <c r="U121" s="10">
        <f t="shared" ca="1" si="4"/>
        <v>2</v>
      </c>
      <c r="V121" s="10">
        <f t="shared" ca="1" si="5"/>
        <v>6</v>
      </c>
      <c r="AG121" t="s">
        <v>19</v>
      </c>
      <c r="AJ121" cm="1">
        <f t="array" ref="AJ121">_xlfn.IFS(AG121="Yes",1,AG121="No",0,AG121="","")</f>
        <v>1</v>
      </c>
    </row>
    <row r="122" spans="1:36" ht="29">
      <c r="A122" t="s">
        <v>184</v>
      </c>
      <c r="D122" s="4" t="s">
        <v>965</v>
      </c>
      <c r="E122" s="4" t="s">
        <v>964</v>
      </c>
      <c r="J122" s="10" t="s">
        <v>24</v>
      </c>
      <c r="L122" s="10">
        <v>1</v>
      </c>
      <c r="M122" s="10">
        <v>3</v>
      </c>
      <c r="N122" s="10" t="s">
        <v>2168</v>
      </c>
      <c r="O122" s="10" t="s">
        <v>2159</v>
      </c>
      <c r="S122" s="10">
        <v>1701</v>
      </c>
      <c r="U122" s="10" t="str">
        <f t="shared" ca="1" si="4"/>
        <v/>
      </c>
      <c r="V122" s="10" t="str">
        <f t="shared" ca="1" si="5"/>
        <v/>
      </c>
      <c r="AG122" t="s">
        <v>19</v>
      </c>
      <c r="AJ122" cm="1">
        <f t="array" ref="AJ122">_xlfn.IFS(AG122="Yes",1,AG122="No",0,AG122="","")</f>
        <v>1</v>
      </c>
    </row>
    <row r="123" spans="1:36" ht="29">
      <c r="A123" t="s">
        <v>185</v>
      </c>
      <c r="D123" s="4" t="s">
        <v>967</v>
      </c>
      <c r="E123" s="4" t="s">
        <v>966</v>
      </c>
      <c r="J123" s="10" t="s">
        <v>24</v>
      </c>
      <c r="L123" s="10">
        <v>1</v>
      </c>
      <c r="M123" s="10">
        <v>3</v>
      </c>
      <c r="N123" s="10" t="s">
        <v>2168</v>
      </c>
      <c r="O123" s="10" t="s">
        <v>2159</v>
      </c>
      <c r="S123" s="10">
        <v>1701</v>
      </c>
      <c r="U123" s="10" t="str">
        <f t="shared" ca="1" si="4"/>
        <v/>
      </c>
      <c r="V123" s="10" t="str">
        <f t="shared" ca="1" si="5"/>
        <v/>
      </c>
      <c r="AG123" t="s">
        <v>19</v>
      </c>
      <c r="AJ123" cm="1">
        <f t="array" ref="AJ123">_xlfn.IFS(AG123="Yes",1,AG123="No",0,AG123="","")</f>
        <v>1</v>
      </c>
    </row>
    <row r="124" spans="1:36" ht="29">
      <c r="A124" t="s">
        <v>185</v>
      </c>
      <c r="D124" s="4" t="s">
        <v>969</v>
      </c>
      <c r="E124" s="4" t="s">
        <v>970</v>
      </c>
      <c r="J124" s="10" t="s">
        <v>2201</v>
      </c>
      <c r="U124" s="10" t="str">
        <f t="shared" ca="1" si="4"/>
        <v/>
      </c>
      <c r="V124" s="10" t="str">
        <f t="shared" ca="1" si="5"/>
        <v/>
      </c>
      <c r="AB124" s="10" t="s">
        <v>2162</v>
      </c>
      <c r="AD124" s="10" t="s">
        <v>19</v>
      </c>
      <c r="AG124" t="s">
        <v>19</v>
      </c>
      <c r="AJ124" cm="1">
        <f t="array" ref="AJ124">_xlfn.IFS(AG124="Yes",1,AG124="No",0,AG124="","")</f>
        <v>1</v>
      </c>
    </row>
    <row r="125" spans="1:36" ht="29">
      <c r="A125" t="s">
        <v>185</v>
      </c>
      <c r="D125" s="4" t="s">
        <v>971</v>
      </c>
      <c r="E125" s="4" t="s">
        <v>968</v>
      </c>
      <c r="J125" s="10" t="s">
        <v>25</v>
      </c>
      <c r="L125" s="10">
        <v>1</v>
      </c>
      <c r="M125" s="10">
        <v>2</v>
      </c>
      <c r="N125" s="10" t="s">
        <v>2177</v>
      </c>
      <c r="O125" s="10" t="s">
        <v>2200</v>
      </c>
      <c r="S125" s="10">
        <v>613</v>
      </c>
      <c r="U125" s="10" t="str">
        <f t="shared" ca="1" si="4"/>
        <v/>
      </c>
      <c r="V125" s="10" t="str">
        <f t="shared" ca="1" si="5"/>
        <v/>
      </c>
      <c r="AG125" t="s">
        <v>19</v>
      </c>
      <c r="AJ125" cm="1">
        <f t="array" ref="AJ125">_xlfn.IFS(AG125="Yes",1,AG125="No",0,AG125="","")</f>
        <v>1</v>
      </c>
    </row>
    <row r="126" spans="1:36" ht="29">
      <c r="A126" t="s">
        <v>186</v>
      </c>
      <c r="D126" s="4" t="s">
        <v>973</v>
      </c>
      <c r="E126" s="4" t="s">
        <v>972</v>
      </c>
      <c r="J126" s="10" t="s">
        <v>24</v>
      </c>
      <c r="L126" s="10">
        <v>1</v>
      </c>
      <c r="M126" s="10">
        <v>2</v>
      </c>
      <c r="N126" s="10" t="s">
        <v>2164</v>
      </c>
      <c r="O126" s="10" t="s">
        <v>2200</v>
      </c>
      <c r="S126" s="10">
        <v>129</v>
      </c>
      <c r="U126" s="10" t="str">
        <f t="shared" ca="1" si="4"/>
        <v/>
      </c>
      <c r="V126" s="10" t="str">
        <f t="shared" ca="1" si="5"/>
        <v/>
      </c>
      <c r="AG126" t="s">
        <v>19</v>
      </c>
      <c r="AJ126" cm="1">
        <f t="array" ref="AJ126">_xlfn.IFS(AG126="Yes",1,AG126="No",0,AG126="","")</f>
        <v>1</v>
      </c>
    </row>
    <row r="127" spans="1:36">
      <c r="A127" t="s">
        <v>187</v>
      </c>
      <c r="D127" s="4" t="s">
        <v>188</v>
      </c>
      <c r="E127" s="4" t="s">
        <v>189</v>
      </c>
      <c r="H127" t="s">
        <v>19</v>
      </c>
      <c r="J127" s="10" t="s">
        <v>2201</v>
      </c>
      <c r="U127" s="10" t="str">
        <f t="shared" ca="1" si="4"/>
        <v/>
      </c>
      <c r="V127" s="10" t="str">
        <f t="shared" ca="1" si="5"/>
        <v/>
      </c>
      <c r="AC127" s="10" t="s">
        <v>2226</v>
      </c>
      <c r="AD127" s="10" t="s">
        <v>19</v>
      </c>
      <c r="AG127" t="s">
        <v>19</v>
      </c>
      <c r="AJ127" cm="1">
        <f t="array" ref="AJ127">_xlfn.IFS(AG127="Yes",1,AG127="No",0,AG127="","")</f>
        <v>1</v>
      </c>
    </row>
    <row r="128" spans="1:36" ht="29">
      <c r="A128" t="s">
        <v>187</v>
      </c>
      <c r="D128" s="4" t="s">
        <v>975</v>
      </c>
      <c r="E128" s="4" t="s">
        <v>974</v>
      </c>
      <c r="J128" s="10" t="s">
        <v>2201</v>
      </c>
      <c r="U128" s="10" t="str">
        <f t="shared" ref="U128:U191" ca="1" si="6">IF(ISNUMBER(T128),VALUE(MID(_xlfn.FORMULATEXT(T128),SEARCH("-",_xlfn.FORMULATEXT(T128))+1,LEN(_xlfn.FORMULATEXT(T128))-SEARCH("-",_xlfn.FORMULATEXT(T128)))), "")</f>
        <v/>
      </c>
      <c r="V128" s="10" t="str">
        <f t="shared" ref="V128:V191" ca="1" si="7">IF(ISNUMBER(T128), VALUE(MID(_xlfn.FORMULATEXT(T128), 2, SEARCH("-", _xlfn.FORMULATEXT(T128)) - 2)), "")</f>
        <v/>
      </c>
      <c r="AE128" s="10" t="s">
        <v>2170</v>
      </c>
      <c r="AG128" t="s">
        <v>19</v>
      </c>
      <c r="AJ128" cm="1">
        <f t="array" ref="AJ128">_xlfn.IFS(AG128="Yes",1,AG128="No",0,AG128="","")</f>
        <v>1</v>
      </c>
    </row>
    <row r="129" spans="1:36">
      <c r="A129" t="s">
        <v>190</v>
      </c>
      <c r="D129" s="4" t="s">
        <v>191</v>
      </c>
      <c r="E129" s="4" t="s">
        <v>192</v>
      </c>
      <c r="J129" s="10" t="s">
        <v>2201</v>
      </c>
      <c r="U129" s="10" t="str">
        <f t="shared" ca="1" si="6"/>
        <v/>
      </c>
      <c r="V129" s="10" t="str">
        <f t="shared" ca="1" si="7"/>
        <v/>
      </c>
      <c r="AC129" s="10" t="s">
        <v>2223</v>
      </c>
      <c r="AD129" s="10" t="s">
        <v>19</v>
      </c>
      <c r="AE129" s="10" t="s">
        <v>2167</v>
      </c>
      <c r="AG129" t="s">
        <v>19</v>
      </c>
      <c r="AJ129" cm="1">
        <f t="array" ref="AJ129">_xlfn.IFS(AG129="Yes",1,AG129="No",0,AG129="","")</f>
        <v>1</v>
      </c>
    </row>
    <row r="130" spans="1:36">
      <c r="A130" t="s">
        <v>190</v>
      </c>
      <c r="D130" s="4" t="s">
        <v>976</v>
      </c>
      <c r="E130" s="4" t="s">
        <v>977</v>
      </c>
      <c r="J130" s="10" t="s">
        <v>2199</v>
      </c>
      <c r="T130" s="10">
        <f>150-830</f>
        <v>-680</v>
      </c>
      <c r="U130" s="10">
        <f t="shared" ca="1" si="6"/>
        <v>830</v>
      </c>
      <c r="V130" s="10">
        <f t="shared" ca="1" si="7"/>
        <v>150</v>
      </c>
      <c r="AG130" t="s">
        <v>19</v>
      </c>
      <c r="AJ130" cm="1">
        <f t="array" ref="AJ130">_xlfn.IFS(AG130="Yes",1,AG130="No",0,AG130="","")</f>
        <v>1</v>
      </c>
    </row>
    <row r="131" spans="1:36">
      <c r="A131" t="s">
        <v>193</v>
      </c>
      <c r="D131" s="4" t="s">
        <v>194</v>
      </c>
      <c r="E131" s="4" t="s">
        <v>978</v>
      </c>
      <c r="J131" s="10" t="s">
        <v>2199</v>
      </c>
      <c r="T131" s="10">
        <f>10-0</f>
        <v>10</v>
      </c>
      <c r="U131" s="10">
        <f t="shared" ca="1" si="6"/>
        <v>0</v>
      </c>
      <c r="V131" s="10">
        <f t="shared" ca="1" si="7"/>
        <v>10</v>
      </c>
      <c r="AB131" s="10" t="s">
        <v>2353</v>
      </c>
      <c r="AD131" s="10" t="s">
        <v>19</v>
      </c>
      <c r="AG131" t="s">
        <v>19</v>
      </c>
      <c r="AJ131" cm="1">
        <f t="array" ref="AJ131">_xlfn.IFS(AG131="Yes",1,AG131="No",0,AG131="","")</f>
        <v>1</v>
      </c>
    </row>
    <row r="132" spans="1:36" ht="29">
      <c r="A132" t="s">
        <v>195</v>
      </c>
      <c r="D132" s="4" t="s">
        <v>980</v>
      </c>
      <c r="E132" s="4" t="s">
        <v>979</v>
      </c>
      <c r="J132" s="10" t="s">
        <v>24</v>
      </c>
      <c r="L132" s="10">
        <v>1</v>
      </c>
      <c r="M132" s="10">
        <v>2</v>
      </c>
      <c r="N132" s="10" t="s">
        <v>2177</v>
      </c>
      <c r="O132" s="10" t="s">
        <v>2200</v>
      </c>
      <c r="S132" s="10">
        <v>613</v>
      </c>
      <c r="U132" s="10" t="str">
        <f t="shared" ca="1" si="6"/>
        <v/>
      </c>
      <c r="V132" s="10" t="str">
        <f t="shared" ca="1" si="7"/>
        <v/>
      </c>
      <c r="AG132" t="s">
        <v>19</v>
      </c>
      <c r="AJ132" cm="1">
        <f t="array" ref="AJ132">_xlfn.IFS(AG132="Yes",1,AG132="No",0,AG132="","")</f>
        <v>1</v>
      </c>
    </row>
    <row r="133" spans="1:36">
      <c r="A133" t="s">
        <v>195</v>
      </c>
      <c r="D133" s="4" t="s">
        <v>174</v>
      </c>
      <c r="E133" s="4" t="s">
        <v>175</v>
      </c>
      <c r="I133" t="s">
        <v>2455</v>
      </c>
      <c r="J133" s="10" t="s">
        <v>2199</v>
      </c>
      <c r="T133" s="10" t="s">
        <v>2220</v>
      </c>
      <c r="U133" s="10" t="str">
        <f t="shared" ca="1" si="6"/>
        <v/>
      </c>
      <c r="V133" s="10" t="str">
        <f t="shared" ca="1" si="7"/>
        <v/>
      </c>
      <c r="AB133" s="10" t="s">
        <v>2235</v>
      </c>
      <c r="AC133" s="10" t="s">
        <v>2342</v>
      </c>
      <c r="AD133" s="10" t="s">
        <v>19</v>
      </c>
      <c r="AG133" t="s">
        <v>19</v>
      </c>
      <c r="AJ133" cm="1">
        <f t="array" ref="AJ133">_xlfn.IFS(AG133="Yes",1,AG133="No",0,AG133="","")</f>
        <v>1</v>
      </c>
    </row>
    <row r="134" spans="1:36">
      <c r="A134" t="s">
        <v>196</v>
      </c>
      <c r="D134" s="4" t="s">
        <v>197</v>
      </c>
      <c r="E134" s="4" t="s">
        <v>198</v>
      </c>
      <c r="J134" s="10" t="s">
        <v>2201</v>
      </c>
      <c r="U134" s="10" t="str">
        <f t="shared" ca="1" si="6"/>
        <v/>
      </c>
      <c r="V134" s="10" t="str">
        <f t="shared" ca="1" si="7"/>
        <v/>
      </c>
      <c r="AG134" t="s">
        <v>19</v>
      </c>
      <c r="AJ134" cm="1">
        <f t="array" ref="AJ134">_xlfn.IFS(AG134="Yes",1,AG134="No",0,AG134="","")</f>
        <v>1</v>
      </c>
    </row>
    <row r="135" spans="1:36" ht="29">
      <c r="A135" t="s">
        <v>199</v>
      </c>
      <c r="D135" s="4" t="s">
        <v>982</v>
      </c>
      <c r="E135" s="4" t="s">
        <v>981</v>
      </c>
      <c r="J135" s="10" t="s">
        <v>2201</v>
      </c>
      <c r="U135" s="10" t="str">
        <f t="shared" ca="1" si="6"/>
        <v/>
      </c>
      <c r="V135" s="10" t="str">
        <f t="shared" ca="1" si="7"/>
        <v/>
      </c>
      <c r="AG135" t="s">
        <v>19</v>
      </c>
      <c r="AJ135" cm="1">
        <f t="array" ref="AJ135">_xlfn.IFS(AG135="Yes",1,AG135="No",0,AG135="","")</f>
        <v>1</v>
      </c>
    </row>
    <row r="136" spans="1:36">
      <c r="A136" t="s">
        <v>200</v>
      </c>
      <c r="D136" s="4" t="s">
        <v>983</v>
      </c>
      <c r="E136" s="4" t="s">
        <v>984</v>
      </c>
      <c r="H136" t="s">
        <v>19</v>
      </c>
      <c r="J136" s="10" t="s">
        <v>25</v>
      </c>
      <c r="L136" s="10">
        <v>1</v>
      </c>
      <c r="M136" s="10">
        <v>3</v>
      </c>
      <c r="N136" s="10" t="s">
        <v>2175</v>
      </c>
      <c r="O136" s="10" t="s">
        <v>2159</v>
      </c>
      <c r="S136" s="10">
        <v>743</v>
      </c>
      <c r="U136" s="10" t="str">
        <f t="shared" ca="1" si="6"/>
        <v/>
      </c>
      <c r="V136" s="10" t="str">
        <f t="shared" ca="1" si="7"/>
        <v/>
      </c>
      <c r="AG136" t="s">
        <v>20</v>
      </c>
      <c r="AJ136" cm="1">
        <f t="array" ref="AJ136">_xlfn.IFS(AG136="Yes",1,AG136="No",0,AG136="","")</f>
        <v>0</v>
      </c>
    </row>
    <row r="137" spans="1:36" ht="29">
      <c r="A137" t="s">
        <v>200</v>
      </c>
      <c r="D137" s="4" t="s">
        <v>985</v>
      </c>
      <c r="E137" s="4" t="s">
        <v>986</v>
      </c>
      <c r="H137" t="s">
        <v>19</v>
      </c>
      <c r="J137" s="10" t="s">
        <v>2199</v>
      </c>
      <c r="T137" s="10" t="s">
        <v>2220</v>
      </c>
      <c r="U137" s="10" t="str">
        <f t="shared" ca="1" si="6"/>
        <v/>
      </c>
      <c r="V137" s="10" t="str">
        <f t="shared" ca="1" si="7"/>
        <v/>
      </c>
      <c r="AB137" s="10" t="s">
        <v>2235</v>
      </c>
      <c r="AD137" s="10" t="s">
        <v>19</v>
      </c>
      <c r="AG137" t="s">
        <v>20</v>
      </c>
      <c r="AJ137" cm="1">
        <f t="array" ref="AJ137">_xlfn.IFS(AG137="Yes",1,AG137="No",0,AG137="","")</f>
        <v>0</v>
      </c>
    </row>
    <row r="138" spans="1:36" ht="29">
      <c r="A138" t="s">
        <v>201</v>
      </c>
      <c r="D138" s="4" t="s">
        <v>988</v>
      </c>
      <c r="E138" s="4" t="s">
        <v>987</v>
      </c>
      <c r="H138" t="s">
        <v>19</v>
      </c>
      <c r="J138" s="10" t="s">
        <v>2199</v>
      </c>
      <c r="T138" s="10" t="s">
        <v>2220</v>
      </c>
      <c r="U138" s="10" t="str">
        <f t="shared" ca="1" si="6"/>
        <v/>
      </c>
      <c r="V138" s="10" t="str">
        <f t="shared" ca="1" si="7"/>
        <v/>
      </c>
      <c r="AC138" s="10" t="s">
        <v>2226</v>
      </c>
      <c r="AD138" s="10" t="s">
        <v>19</v>
      </c>
      <c r="AE138" s="10" t="s">
        <v>2157</v>
      </c>
      <c r="AG138" t="s">
        <v>20</v>
      </c>
      <c r="AJ138" cm="1">
        <f t="array" ref="AJ138">_xlfn.IFS(AG138="Yes",1,AG138="No",0,AG138="","")</f>
        <v>0</v>
      </c>
    </row>
    <row r="139" spans="1:36">
      <c r="A139" t="s">
        <v>202</v>
      </c>
      <c r="D139" s="4" t="s">
        <v>174</v>
      </c>
      <c r="E139" s="4" t="s">
        <v>175</v>
      </c>
      <c r="J139" s="10" t="s">
        <v>2199</v>
      </c>
      <c r="T139" s="10" t="s">
        <v>2220</v>
      </c>
      <c r="U139" s="10" t="str">
        <f t="shared" ca="1" si="6"/>
        <v/>
      </c>
      <c r="V139" s="10" t="str">
        <f t="shared" ca="1" si="7"/>
        <v/>
      </c>
      <c r="AB139" s="10" t="s">
        <v>2235</v>
      </c>
      <c r="AC139" s="10" t="s">
        <v>2342</v>
      </c>
      <c r="AD139" s="10" t="s">
        <v>19</v>
      </c>
      <c r="AG139" t="s">
        <v>19</v>
      </c>
      <c r="AJ139" cm="1">
        <f t="array" ref="AJ139">_xlfn.IFS(AG139="Yes",1,AG139="No",0,AG139="","")</f>
        <v>1</v>
      </c>
    </row>
    <row r="140" spans="1:36">
      <c r="A140" t="s">
        <v>203</v>
      </c>
      <c r="D140" s="4" t="s">
        <v>174</v>
      </c>
      <c r="E140" s="4" t="s">
        <v>175</v>
      </c>
      <c r="J140" s="10" t="s">
        <v>2199</v>
      </c>
      <c r="T140" s="10" t="s">
        <v>2220</v>
      </c>
      <c r="U140" s="10" t="str">
        <f t="shared" ca="1" si="6"/>
        <v/>
      </c>
      <c r="V140" s="10" t="str">
        <f t="shared" ca="1" si="7"/>
        <v/>
      </c>
      <c r="AB140" s="10" t="s">
        <v>2235</v>
      </c>
      <c r="AC140" s="10" t="s">
        <v>2342</v>
      </c>
      <c r="AD140" s="10" t="s">
        <v>19</v>
      </c>
      <c r="AG140" t="s">
        <v>19</v>
      </c>
      <c r="AJ140" cm="1">
        <f t="array" ref="AJ140">_xlfn.IFS(AG140="Yes",1,AG140="No",0,AG140="","")</f>
        <v>1</v>
      </c>
    </row>
    <row r="141" spans="1:36" ht="43.5">
      <c r="A141" t="s">
        <v>204</v>
      </c>
      <c r="D141" s="4" t="s">
        <v>990</v>
      </c>
      <c r="E141" s="4" t="s">
        <v>989</v>
      </c>
      <c r="I141" t="s">
        <v>2250</v>
      </c>
      <c r="J141" s="10" t="s">
        <v>26</v>
      </c>
      <c r="U141" s="10" t="str">
        <f t="shared" ca="1" si="6"/>
        <v/>
      </c>
      <c r="V141" s="10" t="str">
        <f t="shared" ca="1" si="7"/>
        <v/>
      </c>
      <c r="AG141" t="s">
        <v>19</v>
      </c>
      <c r="AJ141" cm="1">
        <f t="array" ref="AJ141">_xlfn.IFS(AG141="Yes",1,AG141="No",0,AG141="","")</f>
        <v>1</v>
      </c>
    </row>
    <row r="142" spans="1:36">
      <c r="A142" t="s">
        <v>205</v>
      </c>
      <c r="D142" s="4" t="s">
        <v>171</v>
      </c>
      <c r="E142" s="4" t="s">
        <v>172</v>
      </c>
      <c r="J142" s="10" t="s">
        <v>2199</v>
      </c>
      <c r="T142" s="10" t="s">
        <v>2220</v>
      </c>
      <c r="U142" s="10" t="str">
        <f t="shared" ca="1" si="6"/>
        <v/>
      </c>
      <c r="V142" s="10" t="str">
        <f t="shared" ca="1" si="7"/>
        <v/>
      </c>
      <c r="AB142" s="10" t="s">
        <v>2235</v>
      </c>
      <c r="AC142" s="10" t="s">
        <v>2233</v>
      </c>
      <c r="AD142" s="10" t="s">
        <v>19</v>
      </c>
      <c r="AG142" t="s">
        <v>19</v>
      </c>
      <c r="AJ142" cm="1">
        <f t="array" ref="AJ142">_xlfn.IFS(AG142="Yes",1,AG142="No",0,AG142="","")</f>
        <v>1</v>
      </c>
    </row>
    <row r="143" spans="1:36">
      <c r="A143" t="s">
        <v>206</v>
      </c>
      <c r="D143" s="4" t="s">
        <v>207</v>
      </c>
      <c r="E143" s="4" t="s">
        <v>208</v>
      </c>
      <c r="J143" s="10" t="s">
        <v>2199</v>
      </c>
      <c r="T143" s="10" t="s">
        <v>2200</v>
      </c>
      <c r="U143" s="10" t="str">
        <f t="shared" ca="1" si="6"/>
        <v/>
      </c>
      <c r="V143" s="10" t="str">
        <f t="shared" ca="1" si="7"/>
        <v/>
      </c>
      <c r="AB143" s="10" t="s">
        <v>2235</v>
      </c>
      <c r="AD143" s="10" t="s">
        <v>19</v>
      </c>
      <c r="AG143" t="s">
        <v>19</v>
      </c>
      <c r="AJ143" cm="1">
        <f t="array" ref="AJ143">_xlfn.IFS(AG143="Yes",1,AG143="No",0,AG143="","")</f>
        <v>1</v>
      </c>
    </row>
    <row r="144" spans="1:36">
      <c r="A144" t="s">
        <v>209</v>
      </c>
      <c r="D144" s="4" t="s">
        <v>991</v>
      </c>
      <c r="E144" s="4" t="s">
        <v>992</v>
      </c>
      <c r="J144" s="10" t="s">
        <v>25</v>
      </c>
      <c r="L144" s="10">
        <v>1</v>
      </c>
      <c r="M144" s="10">
        <v>2</v>
      </c>
      <c r="N144" s="10" t="s">
        <v>2158</v>
      </c>
      <c r="O144" s="10" t="s">
        <v>2200</v>
      </c>
      <c r="S144" s="10">
        <v>2475</v>
      </c>
      <c r="U144" s="10" t="str">
        <f t="shared" ca="1" si="6"/>
        <v/>
      </c>
      <c r="V144" s="10" t="str">
        <f t="shared" ca="1" si="7"/>
        <v/>
      </c>
      <c r="AG144" t="s">
        <v>20</v>
      </c>
      <c r="AJ144" cm="1">
        <f t="array" ref="AJ144">_xlfn.IFS(AG144="Yes",1,AG144="No",0,AG144="","")</f>
        <v>0</v>
      </c>
    </row>
    <row r="145" spans="1:36">
      <c r="A145" t="s">
        <v>210</v>
      </c>
      <c r="D145" s="4" t="s">
        <v>211</v>
      </c>
      <c r="E145" s="4" t="s">
        <v>212</v>
      </c>
      <c r="J145" s="10" t="s">
        <v>2199</v>
      </c>
      <c r="T145" s="10" t="s">
        <v>2220</v>
      </c>
      <c r="U145" s="10" t="str">
        <f t="shared" ca="1" si="6"/>
        <v/>
      </c>
      <c r="V145" s="10" t="str">
        <f t="shared" ca="1" si="7"/>
        <v/>
      </c>
      <c r="AB145" s="10" t="s">
        <v>2235</v>
      </c>
      <c r="AC145" s="10" t="s">
        <v>2233</v>
      </c>
      <c r="AD145" s="10" t="s">
        <v>19</v>
      </c>
      <c r="AG145" t="s">
        <v>20</v>
      </c>
      <c r="AJ145" cm="1">
        <f t="array" ref="AJ145">_xlfn.IFS(AG145="Yes",1,AG145="No",0,AG145="","")</f>
        <v>0</v>
      </c>
    </row>
    <row r="146" spans="1:36">
      <c r="A146" t="s">
        <v>210</v>
      </c>
      <c r="D146" s="4" t="s">
        <v>213</v>
      </c>
      <c r="E146" s="4" t="s">
        <v>214</v>
      </c>
      <c r="J146" s="10" t="s">
        <v>2201</v>
      </c>
      <c r="U146" s="10" t="str">
        <f t="shared" ca="1" si="6"/>
        <v/>
      </c>
      <c r="V146" s="10" t="str">
        <f t="shared" ca="1" si="7"/>
        <v/>
      </c>
      <c r="AG146" t="s">
        <v>20</v>
      </c>
      <c r="AJ146" cm="1">
        <f t="array" ref="AJ146">_xlfn.IFS(AG146="Yes",1,AG146="No",0,AG146="","")</f>
        <v>0</v>
      </c>
    </row>
    <row r="147" spans="1:36">
      <c r="A147" t="s">
        <v>215</v>
      </c>
      <c r="D147" s="4" t="s">
        <v>216</v>
      </c>
      <c r="E147" s="4" t="s">
        <v>217</v>
      </c>
      <c r="J147" s="10" t="s">
        <v>2201</v>
      </c>
      <c r="U147" s="10" t="str">
        <f t="shared" ca="1" si="6"/>
        <v/>
      </c>
      <c r="V147" s="10" t="str">
        <f t="shared" ca="1" si="7"/>
        <v/>
      </c>
      <c r="AE147" s="10" t="s">
        <v>2157</v>
      </c>
      <c r="AG147" t="s">
        <v>19</v>
      </c>
      <c r="AJ147" cm="1">
        <f t="array" ref="AJ147">_xlfn.IFS(AG147="Yes",1,AG147="No",0,AG147="","")</f>
        <v>1</v>
      </c>
    </row>
    <row r="148" spans="1:36">
      <c r="A148" t="s">
        <v>215</v>
      </c>
      <c r="D148" s="4" t="s">
        <v>218</v>
      </c>
      <c r="E148" s="4" t="s">
        <v>219</v>
      </c>
      <c r="J148" s="10" t="s">
        <v>2199</v>
      </c>
      <c r="T148" s="10" t="s">
        <v>2220</v>
      </c>
      <c r="U148" s="10" t="str">
        <f t="shared" ca="1" si="6"/>
        <v/>
      </c>
      <c r="V148" s="10" t="str">
        <f t="shared" ca="1" si="7"/>
        <v/>
      </c>
      <c r="AB148" s="10" t="s">
        <v>2235</v>
      </c>
      <c r="AD148" s="10" t="s">
        <v>19</v>
      </c>
      <c r="AG148" t="s">
        <v>19</v>
      </c>
      <c r="AJ148" cm="1">
        <f t="array" ref="AJ148">_xlfn.IFS(AG148="Yes",1,AG148="No",0,AG148="","")</f>
        <v>1</v>
      </c>
    </row>
    <row r="149" spans="1:36">
      <c r="A149" t="s">
        <v>220</v>
      </c>
      <c r="D149" s="4" t="s">
        <v>221</v>
      </c>
      <c r="E149" s="4" t="s">
        <v>222</v>
      </c>
      <c r="J149" s="10" t="s">
        <v>2201</v>
      </c>
      <c r="U149" s="10" t="str">
        <f t="shared" ca="1" si="6"/>
        <v/>
      </c>
      <c r="V149" s="10" t="str">
        <f t="shared" ca="1" si="7"/>
        <v/>
      </c>
      <c r="AG149" t="s">
        <v>19</v>
      </c>
      <c r="AJ149" cm="1">
        <f t="array" ref="AJ149">_xlfn.IFS(AG149="Yes",1,AG149="No",0,AG149="","")</f>
        <v>1</v>
      </c>
    </row>
    <row r="150" spans="1:36">
      <c r="A150" t="s">
        <v>223</v>
      </c>
      <c r="D150" s="4" t="s">
        <v>994</v>
      </c>
      <c r="E150" s="4" t="s">
        <v>993</v>
      </c>
      <c r="J150" s="10" t="s">
        <v>2201</v>
      </c>
      <c r="U150" s="10" t="str">
        <f t="shared" ca="1" si="6"/>
        <v/>
      </c>
      <c r="V150" s="10" t="str">
        <f t="shared" ca="1" si="7"/>
        <v/>
      </c>
      <c r="AB150" s="10" t="s">
        <v>2162</v>
      </c>
      <c r="AD150" s="10" t="s">
        <v>19</v>
      </c>
      <c r="AG150" t="s">
        <v>19</v>
      </c>
      <c r="AJ150" cm="1">
        <f t="array" ref="AJ150">_xlfn.IFS(AG150="Yes",1,AG150="No",0,AG150="","")</f>
        <v>1</v>
      </c>
    </row>
    <row r="151" spans="1:36">
      <c r="A151" t="s">
        <v>224</v>
      </c>
      <c r="D151" s="4" t="s">
        <v>225</v>
      </c>
      <c r="E151" s="4" t="s">
        <v>226</v>
      </c>
      <c r="J151" s="10" t="s">
        <v>2199</v>
      </c>
      <c r="T151" s="10">
        <f>2-0</f>
        <v>2</v>
      </c>
      <c r="U151" s="10">
        <f t="shared" ca="1" si="6"/>
        <v>0</v>
      </c>
      <c r="V151" s="10">
        <f t="shared" ca="1" si="7"/>
        <v>2</v>
      </c>
      <c r="AG151" t="s">
        <v>20</v>
      </c>
      <c r="AJ151" cm="1">
        <f t="array" ref="AJ151">_xlfn.IFS(AG151="Yes",1,AG151="No",0,AG151="","")</f>
        <v>0</v>
      </c>
    </row>
    <row r="152" spans="1:36">
      <c r="A152" t="s">
        <v>227</v>
      </c>
      <c r="D152" s="4" t="s">
        <v>228</v>
      </c>
      <c r="E152" s="4" t="s">
        <v>229</v>
      </c>
      <c r="J152" s="10" t="s">
        <v>2199</v>
      </c>
      <c r="T152" s="10" t="s">
        <v>2220</v>
      </c>
      <c r="U152" s="10" t="str">
        <f t="shared" ca="1" si="6"/>
        <v/>
      </c>
      <c r="V152" s="10" t="str">
        <f t="shared" ca="1" si="7"/>
        <v/>
      </c>
      <c r="AE152" s="10" t="s">
        <v>2167</v>
      </c>
      <c r="AG152" t="s">
        <v>19</v>
      </c>
      <c r="AJ152" cm="1">
        <f t="array" ref="AJ152">_xlfn.IFS(AG152="Yes",1,AG152="No",0,AG152="","")</f>
        <v>1</v>
      </c>
    </row>
    <row r="153" spans="1:36" ht="87">
      <c r="A153" t="s">
        <v>230</v>
      </c>
      <c r="D153" s="4" t="s">
        <v>995</v>
      </c>
      <c r="E153" s="4" t="s">
        <v>996</v>
      </c>
      <c r="I153" t="s">
        <v>2253</v>
      </c>
      <c r="J153" s="10" t="s">
        <v>26</v>
      </c>
      <c r="U153" s="10" t="str">
        <f t="shared" ca="1" si="6"/>
        <v/>
      </c>
      <c r="V153" s="10" t="str">
        <f t="shared" ca="1" si="7"/>
        <v/>
      </c>
      <c r="AG153" t="s">
        <v>19</v>
      </c>
      <c r="AJ153" cm="1">
        <f t="array" ref="AJ153">_xlfn.IFS(AG153="Yes",1,AG153="No",0,AG153="","")</f>
        <v>1</v>
      </c>
    </row>
    <row r="154" spans="1:36" ht="87">
      <c r="A154" t="s">
        <v>230</v>
      </c>
      <c r="D154" s="4" t="s">
        <v>997</v>
      </c>
      <c r="E154" s="4" t="s">
        <v>998</v>
      </c>
      <c r="I154" t="s">
        <v>2250</v>
      </c>
      <c r="J154" s="10" t="s">
        <v>26</v>
      </c>
      <c r="U154" s="10" t="str">
        <f t="shared" ca="1" si="6"/>
        <v/>
      </c>
      <c r="V154" s="10" t="str">
        <f t="shared" ca="1" si="7"/>
        <v/>
      </c>
      <c r="AG154" t="s">
        <v>19</v>
      </c>
      <c r="AJ154" cm="1">
        <f t="array" ref="AJ154">_xlfn.IFS(AG154="Yes",1,AG154="No",0,AG154="","")</f>
        <v>1</v>
      </c>
    </row>
    <row r="155" spans="1:36" ht="87">
      <c r="A155" t="s">
        <v>230</v>
      </c>
      <c r="D155" s="4" t="s">
        <v>999</v>
      </c>
      <c r="E155" s="4" t="s">
        <v>1000</v>
      </c>
      <c r="J155" s="10" t="s">
        <v>2201</v>
      </c>
      <c r="U155" s="10" t="str">
        <f t="shared" ca="1" si="6"/>
        <v/>
      </c>
      <c r="V155" s="10" t="str">
        <f t="shared" ca="1" si="7"/>
        <v/>
      </c>
      <c r="AB155" s="10" t="s">
        <v>2162</v>
      </c>
      <c r="AD155" s="10" t="s">
        <v>19</v>
      </c>
      <c r="AG155" t="s">
        <v>19</v>
      </c>
      <c r="AJ155" cm="1">
        <f t="array" ref="AJ155">_xlfn.IFS(AG155="Yes",1,AG155="No",0,AG155="","")</f>
        <v>1</v>
      </c>
    </row>
    <row r="156" spans="1:36" ht="87">
      <c r="A156" t="s">
        <v>230</v>
      </c>
      <c r="D156" s="4" t="s">
        <v>1001</v>
      </c>
      <c r="E156" s="4" t="s">
        <v>1002</v>
      </c>
      <c r="J156" s="10" t="s">
        <v>2201</v>
      </c>
      <c r="U156" s="10" t="str">
        <f t="shared" ca="1" si="6"/>
        <v/>
      </c>
      <c r="V156" s="10" t="str">
        <f t="shared" ca="1" si="7"/>
        <v/>
      </c>
      <c r="AE156" s="10" t="s">
        <v>2163</v>
      </c>
      <c r="AG156" t="s">
        <v>19</v>
      </c>
      <c r="AJ156" cm="1">
        <f t="array" ref="AJ156">_xlfn.IFS(AG156="Yes",1,AG156="No",0,AG156="","")</f>
        <v>1</v>
      </c>
    </row>
    <row r="157" spans="1:36" ht="29">
      <c r="A157" t="s">
        <v>231</v>
      </c>
      <c r="D157" s="4" t="s">
        <v>1004</v>
      </c>
      <c r="E157" s="4" t="s">
        <v>1005</v>
      </c>
      <c r="I157" t="s">
        <v>2250</v>
      </c>
      <c r="J157" s="10" t="s">
        <v>26</v>
      </c>
      <c r="U157" s="10" t="str">
        <f t="shared" ca="1" si="6"/>
        <v/>
      </c>
      <c r="V157" s="10" t="str">
        <f t="shared" ca="1" si="7"/>
        <v/>
      </c>
      <c r="AG157" t="s">
        <v>19</v>
      </c>
      <c r="AJ157" cm="1">
        <f t="array" ref="AJ157">_xlfn.IFS(AG157="Yes",1,AG157="No",0,AG157="","")</f>
        <v>1</v>
      </c>
    </row>
    <row r="158" spans="1:36" ht="29">
      <c r="A158" t="s">
        <v>231</v>
      </c>
      <c r="D158" s="4" t="s">
        <v>1003</v>
      </c>
      <c r="E158" s="4" t="s">
        <v>1006</v>
      </c>
      <c r="J158" s="10" t="s">
        <v>24</v>
      </c>
      <c r="L158" s="10">
        <v>1</v>
      </c>
      <c r="M158" s="10">
        <v>3</v>
      </c>
      <c r="N158" s="10" t="s">
        <v>2168</v>
      </c>
      <c r="O158" s="10" t="s">
        <v>2159</v>
      </c>
      <c r="S158" s="10">
        <v>1701</v>
      </c>
      <c r="U158" s="10" t="str">
        <f t="shared" ca="1" si="6"/>
        <v/>
      </c>
      <c r="V158" s="10" t="str">
        <f t="shared" ca="1" si="7"/>
        <v/>
      </c>
      <c r="AG158" t="s">
        <v>19</v>
      </c>
      <c r="AJ158" cm="1">
        <f t="array" ref="AJ158">_xlfn.IFS(AG158="Yes",1,AG158="No",0,AG158="","")</f>
        <v>1</v>
      </c>
    </row>
    <row r="159" spans="1:36" ht="29">
      <c r="A159" t="s">
        <v>232</v>
      </c>
      <c r="D159" s="4" t="s">
        <v>1008</v>
      </c>
      <c r="E159" s="4" t="s">
        <v>1009</v>
      </c>
      <c r="J159" s="10" t="s">
        <v>2199</v>
      </c>
      <c r="T159" s="10">
        <f>7-4</f>
        <v>3</v>
      </c>
      <c r="U159" s="10">
        <f t="shared" ca="1" si="6"/>
        <v>4</v>
      </c>
      <c r="V159" s="10">
        <f t="shared" ca="1" si="7"/>
        <v>7</v>
      </c>
      <c r="AG159" t="s">
        <v>19</v>
      </c>
      <c r="AJ159" cm="1">
        <f t="array" ref="AJ159">_xlfn.IFS(AG159="Yes",1,AG159="No",0,AG159="","")</f>
        <v>1</v>
      </c>
    </row>
    <row r="160" spans="1:36" ht="29">
      <c r="A160" t="s">
        <v>232</v>
      </c>
      <c r="D160" s="4" t="s">
        <v>1010</v>
      </c>
      <c r="E160" s="4" t="s">
        <v>1007</v>
      </c>
      <c r="J160" s="10" t="s">
        <v>25</v>
      </c>
      <c r="L160" s="10">
        <v>1</v>
      </c>
      <c r="M160" s="10">
        <v>3</v>
      </c>
      <c r="N160" s="10" t="s">
        <v>2168</v>
      </c>
      <c r="O160" s="10" t="s">
        <v>2153</v>
      </c>
      <c r="P160" s="10" t="s">
        <v>2231</v>
      </c>
      <c r="Q160" s="11" t="s">
        <v>2230</v>
      </c>
      <c r="S160" s="10">
        <v>1701</v>
      </c>
      <c r="U160" s="10" t="str">
        <f t="shared" ca="1" si="6"/>
        <v/>
      </c>
      <c r="V160" s="10" t="str">
        <f t="shared" ca="1" si="7"/>
        <v/>
      </c>
      <c r="AG160" t="s">
        <v>19</v>
      </c>
      <c r="AJ160" cm="1">
        <f t="array" ref="AJ160">_xlfn.IFS(AG160="Yes",1,AG160="No",0,AG160="","")</f>
        <v>1</v>
      </c>
    </row>
    <row r="161" spans="1:36" ht="29">
      <c r="A161" t="s">
        <v>232</v>
      </c>
      <c r="D161" s="4" t="s">
        <v>1011</v>
      </c>
      <c r="E161" s="4" t="s">
        <v>1007</v>
      </c>
      <c r="J161" s="10" t="s">
        <v>25</v>
      </c>
      <c r="L161" s="10">
        <v>1</v>
      </c>
      <c r="M161" s="10">
        <v>3</v>
      </c>
      <c r="N161" s="10" t="s">
        <v>2168</v>
      </c>
      <c r="O161" s="10" t="s">
        <v>2153</v>
      </c>
      <c r="P161" s="10" t="s">
        <v>2229</v>
      </c>
      <c r="Q161" s="11" t="s">
        <v>2230</v>
      </c>
      <c r="S161" s="10">
        <v>1701</v>
      </c>
      <c r="U161" s="10" t="str">
        <f t="shared" ca="1" si="6"/>
        <v/>
      </c>
      <c r="V161" s="10" t="str">
        <f t="shared" ca="1" si="7"/>
        <v/>
      </c>
      <c r="AG161" t="s">
        <v>19</v>
      </c>
      <c r="AJ161" cm="1">
        <f t="array" ref="AJ161">_xlfn.IFS(AG161="Yes",1,AG161="No",0,AG161="","")</f>
        <v>1</v>
      </c>
    </row>
    <row r="162" spans="1:36">
      <c r="A162" t="s">
        <v>232</v>
      </c>
      <c r="D162" s="4" t="s">
        <v>233</v>
      </c>
      <c r="E162" s="4" t="s">
        <v>234</v>
      </c>
      <c r="H162" t="s">
        <v>19</v>
      </c>
      <c r="J162" s="10" t="s">
        <v>2199</v>
      </c>
      <c r="T162" s="10" t="s">
        <v>2220</v>
      </c>
      <c r="U162" s="10" t="str">
        <f t="shared" ca="1" si="6"/>
        <v/>
      </c>
      <c r="V162" s="10" t="str">
        <f t="shared" ca="1" si="7"/>
        <v/>
      </c>
      <c r="AC162" s="10" t="s">
        <v>2343</v>
      </c>
      <c r="AD162" s="10" t="s">
        <v>19</v>
      </c>
      <c r="AE162" s="10" t="s">
        <v>2157</v>
      </c>
      <c r="AG162" t="s">
        <v>19</v>
      </c>
      <c r="AJ162" cm="1">
        <f t="array" ref="AJ162">_xlfn.IFS(AG162="Yes",1,AG162="No",0,AG162="","")</f>
        <v>1</v>
      </c>
    </row>
    <row r="163" spans="1:36" ht="58">
      <c r="A163" t="s">
        <v>235</v>
      </c>
      <c r="D163" s="4" t="s">
        <v>1013</v>
      </c>
      <c r="E163" s="4" t="s">
        <v>1014</v>
      </c>
      <c r="J163" s="10" t="s">
        <v>2201</v>
      </c>
      <c r="U163" s="10" t="str">
        <f t="shared" ca="1" si="6"/>
        <v/>
      </c>
      <c r="V163" s="10" t="str">
        <f t="shared" ca="1" si="7"/>
        <v/>
      </c>
      <c r="AG163" t="s">
        <v>19</v>
      </c>
      <c r="AJ163" cm="1">
        <f t="array" ref="AJ163">_xlfn.IFS(AG163="Yes",1,AG163="No",0,AG163="","")</f>
        <v>1</v>
      </c>
    </row>
    <row r="164" spans="1:36" ht="58">
      <c r="A164" t="s">
        <v>236</v>
      </c>
      <c r="D164" s="4" t="s">
        <v>1015</v>
      </c>
      <c r="E164" s="4" t="s">
        <v>1012</v>
      </c>
      <c r="J164" s="10" t="s">
        <v>25</v>
      </c>
      <c r="L164" s="10">
        <v>1</v>
      </c>
      <c r="M164" s="10">
        <v>3</v>
      </c>
      <c r="N164" s="10" t="s">
        <v>2168</v>
      </c>
      <c r="O164" s="10" t="s">
        <v>2159</v>
      </c>
      <c r="S164" s="10">
        <v>1701</v>
      </c>
      <c r="U164" s="10" t="str">
        <f t="shared" ca="1" si="6"/>
        <v/>
      </c>
      <c r="V164" s="10" t="str">
        <f t="shared" ca="1" si="7"/>
        <v/>
      </c>
      <c r="AG164" t="s">
        <v>19</v>
      </c>
      <c r="AJ164" cm="1">
        <f t="array" ref="AJ164">_xlfn.IFS(AG164="Yes",1,AG164="No",0,AG164="","")</f>
        <v>1</v>
      </c>
    </row>
    <row r="165" spans="1:36" ht="58">
      <c r="A165" t="s">
        <v>236</v>
      </c>
      <c r="D165" s="4" t="s">
        <v>1016</v>
      </c>
      <c r="E165" s="4" t="s">
        <v>1017</v>
      </c>
      <c r="I165" t="s">
        <v>2250</v>
      </c>
      <c r="J165" s="10" t="s">
        <v>26</v>
      </c>
      <c r="U165" s="10" t="str">
        <f t="shared" ca="1" si="6"/>
        <v/>
      </c>
      <c r="V165" s="10" t="str">
        <f t="shared" ca="1" si="7"/>
        <v/>
      </c>
      <c r="AG165" t="s">
        <v>19</v>
      </c>
      <c r="AJ165" cm="1">
        <f t="array" ref="AJ165">_xlfn.IFS(AG165="Yes",1,AG165="No",0,AG165="","")</f>
        <v>1</v>
      </c>
    </row>
    <row r="166" spans="1:36">
      <c r="A166" t="s">
        <v>237</v>
      </c>
      <c r="D166" s="4" t="s">
        <v>1018</v>
      </c>
      <c r="E166" s="4" t="s">
        <v>1019</v>
      </c>
      <c r="J166" s="10" t="s">
        <v>2201</v>
      </c>
      <c r="U166" s="10" t="str">
        <f t="shared" ca="1" si="6"/>
        <v/>
      </c>
      <c r="V166" s="10" t="str">
        <f t="shared" ca="1" si="7"/>
        <v/>
      </c>
      <c r="AG166" t="s">
        <v>19</v>
      </c>
      <c r="AJ166" cm="1">
        <f t="array" ref="AJ166">_xlfn.IFS(AG166="Yes",1,AG166="No",0,AG166="","")</f>
        <v>1</v>
      </c>
    </row>
    <row r="167" spans="1:36" ht="29">
      <c r="A167" t="s">
        <v>237</v>
      </c>
      <c r="D167" s="4" t="s">
        <v>1021</v>
      </c>
      <c r="E167" s="4" t="s">
        <v>1020</v>
      </c>
      <c r="J167" s="10" t="s">
        <v>2201</v>
      </c>
      <c r="U167" s="10" t="str">
        <f t="shared" ca="1" si="6"/>
        <v/>
      </c>
      <c r="V167" s="10" t="str">
        <f t="shared" ca="1" si="7"/>
        <v/>
      </c>
      <c r="AG167" t="s">
        <v>19</v>
      </c>
      <c r="AJ167" cm="1">
        <f t="array" ref="AJ167">_xlfn.IFS(AG167="Yes",1,AG167="No",0,AG167="","")</f>
        <v>1</v>
      </c>
    </row>
    <row r="168" spans="1:36">
      <c r="A168" t="s">
        <v>238</v>
      </c>
      <c r="D168" s="4" t="s">
        <v>1022</v>
      </c>
      <c r="E168" s="4" t="s">
        <v>1023</v>
      </c>
      <c r="J168" s="10" t="s">
        <v>2201</v>
      </c>
      <c r="U168" s="10" t="str">
        <f t="shared" ca="1" si="6"/>
        <v/>
      </c>
      <c r="V168" s="10" t="str">
        <f t="shared" ca="1" si="7"/>
        <v/>
      </c>
      <c r="AG168" t="s">
        <v>19</v>
      </c>
      <c r="AJ168" cm="1">
        <f t="array" ref="AJ168">_xlfn.IFS(AG168="Yes",1,AG168="No",0,AG168="","")</f>
        <v>1</v>
      </c>
    </row>
    <row r="169" spans="1:36">
      <c r="A169" t="s">
        <v>239</v>
      </c>
      <c r="D169" s="4" t="s">
        <v>1025</v>
      </c>
      <c r="E169" s="4" t="s">
        <v>1024</v>
      </c>
      <c r="J169" s="10" t="s">
        <v>2199</v>
      </c>
      <c r="T169" s="10">
        <f>743-124</f>
        <v>619</v>
      </c>
      <c r="U169" s="10">
        <f t="shared" ca="1" si="6"/>
        <v>124</v>
      </c>
      <c r="V169" s="10">
        <f t="shared" ca="1" si="7"/>
        <v>743</v>
      </c>
      <c r="AG169" t="s">
        <v>19</v>
      </c>
      <c r="AJ169" cm="1">
        <f t="array" ref="AJ169">_xlfn.IFS(AG169="Yes",1,AG169="No",0,AG169="","")</f>
        <v>1</v>
      </c>
    </row>
    <row r="170" spans="1:36">
      <c r="A170" t="s">
        <v>239</v>
      </c>
      <c r="D170" s="4" t="s">
        <v>240</v>
      </c>
      <c r="E170" s="4" t="s">
        <v>241</v>
      </c>
      <c r="J170" s="10" t="s">
        <v>2199</v>
      </c>
      <c r="T170" s="10" t="s">
        <v>2220</v>
      </c>
      <c r="U170" s="10" t="str">
        <f t="shared" ca="1" si="6"/>
        <v/>
      </c>
      <c r="V170" s="10" t="str">
        <f t="shared" ca="1" si="7"/>
        <v/>
      </c>
      <c r="AE170" s="10" t="s">
        <v>2157</v>
      </c>
      <c r="AG170" t="s">
        <v>20</v>
      </c>
      <c r="AJ170" cm="1">
        <f t="array" ref="AJ170">_xlfn.IFS(AG170="Yes",1,AG170="No",0,AG170="","")</f>
        <v>0</v>
      </c>
    </row>
    <row r="171" spans="1:36" ht="58">
      <c r="A171" t="s">
        <v>239</v>
      </c>
      <c r="D171" s="4" t="s">
        <v>1027</v>
      </c>
      <c r="E171" s="4" t="s">
        <v>1026</v>
      </c>
      <c r="I171" t="s">
        <v>2254</v>
      </c>
      <c r="J171" s="10" t="s">
        <v>26</v>
      </c>
      <c r="U171" s="10" t="str">
        <f t="shared" ca="1" si="6"/>
        <v/>
      </c>
      <c r="V171" s="10" t="str">
        <f t="shared" ca="1" si="7"/>
        <v/>
      </c>
      <c r="AG171" t="s">
        <v>19</v>
      </c>
      <c r="AJ171" cm="1">
        <f t="array" ref="AJ171">_xlfn.IFS(AG171="Yes",1,AG171="No",0,AG171="","")</f>
        <v>1</v>
      </c>
    </row>
    <row r="172" spans="1:36" ht="29">
      <c r="A172" t="s">
        <v>242</v>
      </c>
      <c r="D172" s="4" t="s">
        <v>2255</v>
      </c>
      <c r="E172" s="4" t="s">
        <v>2256</v>
      </c>
      <c r="J172" s="10" t="s">
        <v>2199</v>
      </c>
      <c r="T172" s="10">
        <f>7-10</f>
        <v>-3</v>
      </c>
      <c r="U172" s="10">
        <f t="shared" ca="1" si="6"/>
        <v>10</v>
      </c>
      <c r="V172" s="10">
        <f t="shared" ca="1" si="7"/>
        <v>7</v>
      </c>
      <c r="AG172" t="s">
        <v>19</v>
      </c>
      <c r="AJ172" cm="1">
        <f t="array" ref="AJ172">_xlfn.IFS(AG172="Yes",1,AG172="No",0,AG172="","")</f>
        <v>1</v>
      </c>
    </row>
    <row r="173" spans="1:36">
      <c r="A173" t="s">
        <v>243</v>
      </c>
      <c r="D173" s="4" t="s">
        <v>1028</v>
      </c>
      <c r="E173" s="4" t="s">
        <v>1029</v>
      </c>
      <c r="J173" s="10" t="s">
        <v>25</v>
      </c>
      <c r="L173" s="10">
        <v>1</v>
      </c>
      <c r="M173" s="10">
        <v>2</v>
      </c>
      <c r="N173" s="10" t="s">
        <v>2177</v>
      </c>
      <c r="O173" s="10" t="s">
        <v>2200</v>
      </c>
      <c r="S173" s="10">
        <v>613</v>
      </c>
      <c r="U173" s="10" t="str">
        <f t="shared" ca="1" si="6"/>
        <v/>
      </c>
      <c r="V173" s="10" t="str">
        <f t="shared" ca="1" si="7"/>
        <v/>
      </c>
      <c r="AG173" t="s">
        <v>20</v>
      </c>
      <c r="AJ173" cm="1">
        <f t="array" ref="AJ173">_xlfn.IFS(AG173="Yes",1,AG173="No",0,AG173="","")</f>
        <v>0</v>
      </c>
    </row>
    <row r="174" spans="1:36" ht="29">
      <c r="A174" t="s">
        <v>244</v>
      </c>
      <c r="D174" s="4" t="s">
        <v>1031</v>
      </c>
      <c r="E174" s="4" t="s">
        <v>1032</v>
      </c>
      <c r="J174" s="10" t="s">
        <v>2201</v>
      </c>
      <c r="U174" s="10" t="str">
        <f t="shared" ca="1" si="6"/>
        <v/>
      </c>
      <c r="V174" s="10" t="str">
        <f t="shared" ca="1" si="7"/>
        <v/>
      </c>
      <c r="AG174" t="s">
        <v>19</v>
      </c>
      <c r="AJ174" cm="1">
        <f t="array" ref="AJ174">_xlfn.IFS(AG174="Yes",1,AG174="No",0,AG174="","")</f>
        <v>1</v>
      </c>
    </row>
    <row r="175" spans="1:36" ht="29">
      <c r="A175" t="s">
        <v>244</v>
      </c>
      <c r="D175" s="4" t="s">
        <v>1030</v>
      </c>
      <c r="E175" s="4" t="s">
        <v>1033</v>
      </c>
      <c r="J175" s="10" t="s">
        <v>24</v>
      </c>
      <c r="L175" s="10">
        <v>1</v>
      </c>
      <c r="M175" s="10">
        <v>2</v>
      </c>
      <c r="N175" s="10" t="s">
        <v>2158</v>
      </c>
      <c r="O175" s="10" t="s">
        <v>2200</v>
      </c>
      <c r="S175" s="10">
        <v>2475</v>
      </c>
      <c r="U175" s="10" t="str">
        <f t="shared" ca="1" si="6"/>
        <v/>
      </c>
      <c r="V175" s="10" t="str">
        <f t="shared" ca="1" si="7"/>
        <v/>
      </c>
      <c r="AG175" t="s">
        <v>19</v>
      </c>
      <c r="AJ175" cm="1">
        <f t="array" ref="AJ175">_xlfn.IFS(AG175="Yes",1,AG175="No",0,AG175="","")</f>
        <v>1</v>
      </c>
    </row>
    <row r="176" spans="1:36">
      <c r="A176" t="s">
        <v>245</v>
      </c>
      <c r="D176" s="4" t="s">
        <v>1035</v>
      </c>
      <c r="E176" s="4" t="s">
        <v>1034</v>
      </c>
      <c r="J176" s="10" t="s">
        <v>24</v>
      </c>
      <c r="L176" s="10">
        <v>1</v>
      </c>
      <c r="M176" s="10">
        <v>2</v>
      </c>
      <c r="N176" s="10" t="s">
        <v>2158</v>
      </c>
      <c r="O176" s="10" t="s">
        <v>2200</v>
      </c>
      <c r="S176" s="10">
        <v>2475</v>
      </c>
      <c r="U176" s="10" t="str">
        <f t="shared" ca="1" si="6"/>
        <v/>
      </c>
      <c r="V176" s="10" t="str">
        <f t="shared" ca="1" si="7"/>
        <v/>
      </c>
      <c r="AG176" t="s">
        <v>20</v>
      </c>
      <c r="AJ176" cm="1">
        <f t="array" ref="AJ176">_xlfn.IFS(AG176="Yes",1,AG176="No",0,AG176="","")</f>
        <v>0</v>
      </c>
    </row>
    <row r="177" spans="1:36" ht="43.5">
      <c r="A177" t="s">
        <v>246</v>
      </c>
      <c r="D177" s="4" t="s">
        <v>1039</v>
      </c>
      <c r="E177" s="4" t="s">
        <v>1038</v>
      </c>
      <c r="F177" t="s">
        <v>35</v>
      </c>
      <c r="I177" t="s">
        <v>1036</v>
      </c>
      <c r="U177" s="10" t="str">
        <f t="shared" ca="1" si="6"/>
        <v/>
      </c>
      <c r="V177" s="10" t="str">
        <f t="shared" ca="1" si="7"/>
        <v/>
      </c>
      <c r="AJ177" t="str" cm="1">
        <f t="array" ref="AJ177">_xlfn.IFS(AG177="Yes",1,AG177="No",0,AG177="","")</f>
        <v/>
      </c>
    </row>
    <row r="178" spans="1:36" ht="43.5">
      <c r="A178" t="s">
        <v>246</v>
      </c>
      <c r="D178" s="4" t="s">
        <v>1037</v>
      </c>
      <c r="E178" s="4" t="s">
        <v>1040</v>
      </c>
      <c r="J178" s="10" t="s">
        <v>24</v>
      </c>
      <c r="L178" s="10">
        <v>1</v>
      </c>
      <c r="M178" s="10">
        <v>3</v>
      </c>
      <c r="N178" s="10" t="s">
        <v>2175</v>
      </c>
      <c r="O178" s="10" t="s">
        <v>2159</v>
      </c>
      <c r="S178" s="10">
        <v>312</v>
      </c>
      <c r="U178" s="10" t="str">
        <f t="shared" ca="1" si="6"/>
        <v/>
      </c>
      <c r="V178" s="10" t="str">
        <f t="shared" ca="1" si="7"/>
        <v/>
      </c>
      <c r="AG178" t="s">
        <v>19</v>
      </c>
      <c r="AJ178" cm="1">
        <f t="array" ref="AJ178">_xlfn.IFS(AG178="Yes",1,AG178="No",0,AG178="","")</f>
        <v>1</v>
      </c>
    </row>
    <row r="179" spans="1:36" ht="43.5">
      <c r="A179" t="s">
        <v>246</v>
      </c>
      <c r="D179" s="4" t="s">
        <v>1041</v>
      </c>
      <c r="E179" s="4" t="s">
        <v>1042</v>
      </c>
      <c r="J179" s="10" t="s">
        <v>2201</v>
      </c>
      <c r="U179" s="10" t="str">
        <f t="shared" ca="1" si="6"/>
        <v/>
      </c>
      <c r="V179" s="10" t="str">
        <f t="shared" ca="1" si="7"/>
        <v/>
      </c>
      <c r="AG179" t="s">
        <v>19</v>
      </c>
      <c r="AJ179" cm="1">
        <f t="array" ref="AJ179">_xlfn.IFS(AG179="Yes",1,AG179="No",0,AG179="","")</f>
        <v>1</v>
      </c>
    </row>
    <row r="180" spans="1:36" ht="43.5">
      <c r="A180" t="s">
        <v>246</v>
      </c>
      <c r="D180" s="4" t="s">
        <v>1043</v>
      </c>
      <c r="E180" s="4" t="s">
        <v>1044</v>
      </c>
      <c r="J180" s="10" t="s">
        <v>24</v>
      </c>
      <c r="L180" s="10">
        <v>3</v>
      </c>
      <c r="M180" s="10">
        <v>13</v>
      </c>
      <c r="O180" s="10" t="s">
        <v>2159</v>
      </c>
      <c r="S180" s="10">
        <v>7</v>
      </c>
      <c r="U180" s="10" t="str">
        <f t="shared" ca="1" si="6"/>
        <v/>
      </c>
      <c r="V180" s="10" t="str">
        <f t="shared" ca="1" si="7"/>
        <v/>
      </c>
      <c r="AG180" t="s">
        <v>19</v>
      </c>
      <c r="AJ180" cm="1">
        <f t="array" ref="AJ180">_xlfn.IFS(AG180="Yes",1,AG180="No",0,AG180="","")</f>
        <v>1</v>
      </c>
    </row>
    <row r="181" spans="1:36">
      <c r="A181" t="s">
        <v>247</v>
      </c>
      <c r="D181" s="4" t="s">
        <v>76</v>
      </c>
      <c r="E181" s="4" t="s">
        <v>248</v>
      </c>
      <c r="J181" s="10" t="s">
        <v>2201</v>
      </c>
      <c r="U181" s="10" t="str">
        <f t="shared" ca="1" si="6"/>
        <v/>
      </c>
      <c r="V181" s="10" t="str">
        <f t="shared" ca="1" si="7"/>
        <v/>
      </c>
      <c r="AG181" t="s">
        <v>19</v>
      </c>
      <c r="AJ181" cm="1">
        <f t="array" ref="AJ181">_xlfn.IFS(AG181="Yes",1,AG181="No",0,AG181="","")</f>
        <v>1</v>
      </c>
    </row>
    <row r="182" spans="1:36" ht="29">
      <c r="A182" t="s">
        <v>247</v>
      </c>
      <c r="D182" s="4" t="s">
        <v>814</v>
      </c>
      <c r="E182" s="4" t="s">
        <v>1045</v>
      </c>
      <c r="J182" s="10" t="s">
        <v>24</v>
      </c>
      <c r="L182" s="10">
        <v>1</v>
      </c>
      <c r="M182" s="10">
        <v>3</v>
      </c>
      <c r="N182" s="10" t="s">
        <v>2175</v>
      </c>
      <c r="O182" s="10" t="s">
        <v>2159</v>
      </c>
      <c r="S182" s="10">
        <v>743</v>
      </c>
      <c r="U182" s="10" t="str">
        <f t="shared" ca="1" si="6"/>
        <v/>
      </c>
      <c r="V182" s="10" t="str">
        <f t="shared" ca="1" si="7"/>
        <v/>
      </c>
      <c r="AG182" t="s">
        <v>19</v>
      </c>
      <c r="AJ182" cm="1">
        <f t="array" ref="AJ182">_xlfn.IFS(AG182="Yes",1,AG182="No",0,AG182="","")</f>
        <v>1</v>
      </c>
    </row>
    <row r="183" spans="1:36" ht="29">
      <c r="A183" t="s">
        <v>249</v>
      </c>
      <c r="D183" s="4" t="s">
        <v>1047</v>
      </c>
      <c r="E183" s="4" t="s">
        <v>1046</v>
      </c>
      <c r="J183" s="10" t="s">
        <v>2201</v>
      </c>
      <c r="U183" s="10" t="str">
        <f t="shared" ca="1" si="6"/>
        <v/>
      </c>
      <c r="V183" s="10" t="str">
        <f t="shared" ca="1" si="7"/>
        <v/>
      </c>
      <c r="AG183" t="s">
        <v>19</v>
      </c>
      <c r="AJ183" cm="1">
        <f t="array" ref="AJ183">_xlfn.IFS(AG183="Yes",1,AG183="No",0,AG183="","")</f>
        <v>1</v>
      </c>
    </row>
    <row r="184" spans="1:36" ht="29">
      <c r="A184" t="s">
        <v>250</v>
      </c>
      <c r="D184" s="4" t="s">
        <v>1049</v>
      </c>
      <c r="E184" s="4" t="s">
        <v>1050</v>
      </c>
      <c r="J184" s="10" t="s">
        <v>2201</v>
      </c>
      <c r="U184" s="10" t="str">
        <f t="shared" ca="1" si="6"/>
        <v/>
      </c>
      <c r="V184" s="10" t="str">
        <f t="shared" ca="1" si="7"/>
        <v/>
      </c>
      <c r="AG184" t="s">
        <v>19</v>
      </c>
      <c r="AJ184" cm="1">
        <f t="array" ref="AJ184">_xlfn.IFS(AG184="Yes",1,AG184="No",0,AG184="","")</f>
        <v>1</v>
      </c>
    </row>
    <row r="185" spans="1:36" ht="29">
      <c r="A185" t="s">
        <v>250</v>
      </c>
      <c r="D185" s="4" t="s">
        <v>1051</v>
      </c>
      <c r="E185" s="4" t="s">
        <v>1048</v>
      </c>
      <c r="J185" s="10" t="s">
        <v>25</v>
      </c>
      <c r="L185" s="10">
        <v>1</v>
      </c>
      <c r="M185" s="10">
        <v>3</v>
      </c>
      <c r="N185" s="10" t="s">
        <v>2158</v>
      </c>
      <c r="O185" s="10" t="s">
        <v>2159</v>
      </c>
      <c r="S185" s="10">
        <v>2475</v>
      </c>
      <c r="U185" s="10" t="str">
        <f t="shared" ca="1" si="6"/>
        <v/>
      </c>
      <c r="V185" s="10" t="str">
        <f t="shared" ca="1" si="7"/>
        <v/>
      </c>
      <c r="AG185" t="s">
        <v>19</v>
      </c>
      <c r="AJ185" cm="1">
        <f t="array" ref="AJ185">_xlfn.IFS(AG185="Yes",1,AG185="No",0,AG185="","")</f>
        <v>1</v>
      </c>
    </row>
    <row r="186" spans="1:36">
      <c r="A186" t="s">
        <v>251</v>
      </c>
      <c r="D186" s="4" t="s">
        <v>1052</v>
      </c>
      <c r="E186" s="4" t="s">
        <v>1053</v>
      </c>
      <c r="J186" s="10" t="s">
        <v>25</v>
      </c>
      <c r="L186" s="10">
        <v>1</v>
      </c>
      <c r="M186" s="10">
        <v>3</v>
      </c>
      <c r="N186" s="10" t="s">
        <v>2177</v>
      </c>
      <c r="O186" s="10" t="s">
        <v>2159</v>
      </c>
      <c r="S186" s="10">
        <v>210</v>
      </c>
      <c r="U186" s="10" t="str">
        <f t="shared" ca="1" si="6"/>
        <v/>
      </c>
      <c r="V186" s="10" t="str">
        <f t="shared" ca="1" si="7"/>
        <v/>
      </c>
      <c r="AG186" t="s">
        <v>19</v>
      </c>
      <c r="AJ186" cm="1">
        <f t="array" ref="AJ186">_xlfn.IFS(AG186="Yes",1,AG186="No",0,AG186="","")</f>
        <v>1</v>
      </c>
    </row>
    <row r="187" spans="1:36" ht="29">
      <c r="A187" t="s">
        <v>252</v>
      </c>
      <c r="D187" s="4" t="s">
        <v>1054</v>
      </c>
      <c r="E187" s="4" t="s">
        <v>1055</v>
      </c>
      <c r="I187" t="s">
        <v>2257</v>
      </c>
      <c r="J187" s="10" t="s">
        <v>26</v>
      </c>
      <c r="U187" s="10" t="str">
        <f t="shared" ca="1" si="6"/>
        <v/>
      </c>
      <c r="V187" s="10" t="str">
        <f t="shared" ca="1" si="7"/>
        <v/>
      </c>
      <c r="AG187" t="s">
        <v>19</v>
      </c>
      <c r="AJ187" cm="1">
        <f t="array" ref="AJ187">_xlfn.IFS(AG187="Yes",1,AG187="No",0,AG187="","")</f>
        <v>1</v>
      </c>
    </row>
    <row r="188" spans="1:36" ht="29">
      <c r="A188" t="s">
        <v>253</v>
      </c>
      <c r="D188" s="4" t="s">
        <v>1057</v>
      </c>
      <c r="E188" s="4" t="s">
        <v>1056</v>
      </c>
      <c r="I188" t="s">
        <v>2258</v>
      </c>
      <c r="J188" s="10" t="s">
        <v>2199</v>
      </c>
      <c r="T188" s="10">
        <f>79-2</f>
        <v>77</v>
      </c>
      <c r="U188" s="10">
        <f t="shared" ca="1" si="6"/>
        <v>2</v>
      </c>
      <c r="V188" s="10">
        <f t="shared" ca="1" si="7"/>
        <v>79</v>
      </c>
      <c r="AC188" s="10" t="s">
        <v>2221</v>
      </c>
      <c r="AD188" s="10" t="s">
        <v>19</v>
      </c>
      <c r="AG188" t="s">
        <v>19</v>
      </c>
      <c r="AJ188" cm="1">
        <f t="array" ref="AJ188">_xlfn.IFS(AG188="Yes",1,AG188="No",0,AG188="","")</f>
        <v>1</v>
      </c>
    </row>
    <row r="189" spans="1:36" ht="29">
      <c r="A189" t="s">
        <v>253</v>
      </c>
      <c r="D189" s="4" t="s">
        <v>1059</v>
      </c>
      <c r="E189" s="4" t="s">
        <v>1058</v>
      </c>
      <c r="J189" s="10" t="s">
        <v>2201</v>
      </c>
      <c r="U189" s="10" t="str">
        <f t="shared" ca="1" si="6"/>
        <v/>
      </c>
      <c r="V189" s="10" t="str">
        <f t="shared" ca="1" si="7"/>
        <v/>
      </c>
      <c r="AG189" t="s">
        <v>19</v>
      </c>
      <c r="AJ189" cm="1">
        <f t="array" ref="AJ189">_xlfn.IFS(AG189="Yes",1,AG189="No",0,AG189="","")</f>
        <v>1</v>
      </c>
    </row>
    <row r="190" spans="1:36">
      <c r="A190" t="s">
        <v>254</v>
      </c>
      <c r="D190" s="4" t="s">
        <v>255</v>
      </c>
      <c r="E190" s="4" t="s">
        <v>256</v>
      </c>
      <c r="J190" s="10" t="s">
        <v>2199</v>
      </c>
      <c r="T190" s="10">
        <f>49-9</f>
        <v>40</v>
      </c>
      <c r="U190" s="10">
        <f t="shared" ca="1" si="6"/>
        <v>9</v>
      </c>
      <c r="V190" s="10">
        <f t="shared" ca="1" si="7"/>
        <v>49</v>
      </c>
      <c r="AC190" s="10" t="s">
        <v>2342</v>
      </c>
      <c r="AD190" s="10" t="s">
        <v>19</v>
      </c>
      <c r="AG190" t="s">
        <v>20</v>
      </c>
      <c r="AJ190" cm="1">
        <f t="array" ref="AJ190">_xlfn.IFS(AG190="Yes",1,AG190="No",0,AG190="","")</f>
        <v>0</v>
      </c>
    </row>
    <row r="191" spans="1:36">
      <c r="A191" t="s">
        <v>257</v>
      </c>
      <c r="D191" s="4" t="s">
        <v>1060</v>
      </c>
      <c r="E191" s="4" t="s">
        <v>1061</v>
      </c>
      <c r="J191" s="10" t="s">
        <v>2201</v>
      </c>
      <c r="U191" s="10" t="str">
        <f t="shared" ca="1" si="6"/>
        <v/>
      </c>
      <c r="V191" s="10" t="str">
        <f t="shared" ca="1" si="7"/>
        <v/>
      </c>
      <c r="AG191" t="s">
        <v>20</v>
      </c>
      <c r="AJ191" cm="1">
        <f t="array" ref="AJ191">_xlfn.IFS(AG191="Yes",1,AG191="No",0,AG191="","")</f>
        <v>0</v>
      </c>
    </row>
    <row r="192" spans="1:36">
      <c r="A192" t="s">
        <v>258</v>
      </c>
      <c r="D192" s="4" t="s">
        <v>259</v>
      </c>
      <c r="E192" s="4" t="s">
        <v>260</v>
      </c>
      <c r="J192" s="10" t="s">
        <v>2199</v>
      </c>
      <c r="T192" s="10" t="s">
        <v>2220</v>
      </c>
      <c r="U192" s="10" t="str">
        <f t="shared" ref="U192:U255" ca="1" si="8">IF(ISNUMBER(T192),VALUE(MID(_xlfn.FORMULATEXT(T192),SEARCH("-",_xlfn.FORMULATEXT(T192))+1,LEN(_xlfn.FORMULATEXT(T192))-SEARCH("-",_xlfn.FORMULATEXT(T192)))), "")</f>
        <v/>
      </c>
      <c r="V192" s="10" t="str">
        <f t="shared" ref="V192:V255" ca="1" si="9">IF(ISNUMBER(T192), VALUE(MID(_xlfn.FORMULATEXT(T192), 2, SEARCH("-", _xlfn.FORMULATEXT(T192)) - 2)), "")</f>
        <v/>
      </c>
      <c r="AB192" s="10" t="s">
        <v>2235</v>
      </c>
      <c r="AC192" s="10" t="s">
        <v>2223</v>
      </c>
      <c r="AD192" s="10" t="s">
        <v>19</v>
      </c>
      <c r="AG192" t="s">
        <v>19</v>
      </c>
      <c r="AJ192" cm="1">
        <f t="array" ref="AJ192">_xlfn.IFS(AG192="Yes",1,AG192="No",0,AG192="","")</f>
        <v>1</v>
      </c>
    </row>
    <row r="193" spans="1:36">
      <c r="A193" t="s">
        <v>258</v>
      </c>
      <c r="D193" s="4" t="s">
        <v>194</v>
      </c>
      <c r="E193" s="4" t="s">
        <v>978</v>
      </c>
      <c r="J193" s="10" t="s">
        <v>2199</v>
      </c>
      <c r="T193" s="10">
        <f>10-0</f>
        <v>10</v>
      </c>
      <c r="U193" s="10">
        <f t="shared" ca="1" si="8"/>
        <v>0</v>
      </c>
      <c r="V193" s="10">
        <f t="shared" ca="1" si="9"/>
        <v>10</v>
      </c>
      <c r="AB193" s="10" t="s">
        <v>2353</v>
      </c>
      <c r="AD193" s="10" t="s">
        <v>19</v>
      </c>
      <c r="AG193" t="s">
        <v>19</v>
      </c>
      <c r="AJ193" cm="1">
        <f t="array" ref="AJ193">_xlfn.IFS(AG193="Yes",1,AG193="No",0,AG193="","")</f>
        <v>1</v>
      </c>
    </row>
    <row r="194" spans="1:36">
      <c r="A194" t="s">
        <v>261</v>
      </c>
      <c r="D194" s="4" t="s">
        <v>1063</v>
      </c>
      <c r="E194" s="4" t="s">
        <v>1064</v>
      </c>
      <c r="J194" s="10" t="s">
        <v>2201</v>
      </c>
      <c r="U194" s="10" t="str">
        <f t="shared" ca="1" si="8"/>
        <v/>
      </c>
      <c r="V194" s="10" t="str">
        <f t="shared" ca="1" si="9"/>
        <v/>
      </c>
      <c r="AB194" s="10" t="s">
        <v>2162</v>
      </c>
      <c r="AD194" s="10" t="s">
        <v>19</v>
      </c>
      <c r="AG194" t="s">
        <v>19</v>
      </c>
      <c r="AJ194" cm="1">
        <f t="array" ref="AJ194">_xlfn.IFS(AG194="Yes",1,AG194="No",0,AG194="","")</f>
        <v>1</v>
      </c>
    </row>
    <row r="195" spans="1:36">
      <c r="A195" t="s">
        <v>261</v>
      </c>
      <c r="D195" s="4" t="s">
        <v>1062</v>
      </c>
      <c r="E195" s="4" t="s">
        <v>1065</v>
      </c>
      <c r="J195" s="10" t="s">
        <v>24</v>
      </c>
      <c r="L195" s="10">
        <v>1</v>
      </c>
      <c r="M195" s="10">
        <v>1</v>
      </c>
      <c r="N195" s="10" t="s">
        <v>2158</v>
      </c>
      <c r="O195" s="10" t="s">
        <v>2200</v>
      </c>
      <c r="S195" s="10">
        <v>2475</v>
      </c>
      <c r="U195" s="10" t="str">
        <f t="shared" ca="1" si="8"/>
        <v/>
      </c>
      <c r="V195" s="10" t="str">
        <f t="shared" ca="1" si="9"/>
        <v/>
      </c>
      <c r="AG195" t="s">
        <v>19</v>
      </c>
      <c r="AJ195" cm="1">
        <f t="array" ref="AJ195">_xlfn.IFS(AG195="Yes",1,AG195="No",0,AG195="","")</f>
        <v>1</v>
      </c>
    </row>
    <row r="196" spans="1:36">
      <c r="A196" t="s">
        <v>261</v>
      </c>
      <c r="D196" s="4" t="s">
        <v>1067</v>
      </c>
      <c r="E196" s="4" t="s">
        <v>1066</v>
      </c>
      <c r="J196" s="10" t="s">
        <v>25</v>
      </c>
      <c r="L196" s="10">
        <v>1</v>
      </c>
      <c r="M196" s="10">
        <v>3</v>
      </c>
      <c r="N196" s="10" t="s">
        <v>2158</v>
      </c>
      <c r="O196" s="10" t="s">
        <v>2159</v>
      </c>
      <c r="S196" s="10">
        <v>2475</v>
      </c>
      <c r="U196" s="10" t="str">
        <f t="shared" ca="1" si="8"/>
        <v/>
      </c>
      <c r="V196" s="10" t="str">
        <f t="shared" ca="1" si="9"/>
        <v/>
      </c>
      <c r="AG196" t="s">
        <v>19</v>
      </c>
      <c r="AJ196" cm="1">
        <f t="array" ref="AJ196">_xlfn.IFS(AG196="Yes",1,AG196="No",0,AG196="","")</f>
        <v>1</v>
      </c>
    </row>
    <row r="197" spans="1:36" ht="29">
      <c r="A197" t="s">
        <v>262</v>
      </c>
      <c r="D197" s="4" t="s">
        <v>1068</v>
      </c>
      <c r="E197" s="4" t="s">
        <v>1069</v>
      </c>
      <c r="J197" s="10" t="s">
        <v>2199</v>
      </c>
      <c r="T197" s="10" t="s">
        <v>2220</v>
      </c>
      <c r="U197" s="10" t="str">
        <f t="shared" ca="1" si="8"/>
        <v/>
      </c>
      <c r="V197" s="10" t="str">
        <f t="shared" ca="1" si="9"/>
        <v/>
      </c>
      <c r="AB197" s="10" t="s">
        <v>2235</v>
      </c>
      <c r="AD197" s="10" t="s">
        <v>19</v>
      </c>
      <c r="AG197" t="s">
        <v>19</v>
      </c>
      <c r="AJ197" cm="1">
        <f t="array" ref="AJ197">_xlfn.IFS(AG197="Yes",1,AG197="No",0,AG197="","")</f>
        <v>1</v>
      </c>
    </row>
    <row r="198" spans="1:36" ht="29">
      <c r="A198" t="s">
        <v>262</v>
      </c>
      <c r="D198" s="4" t="s">
        <v>1071</v>
      </c>
      <c r="E198" s="4" t="s">
        <v>1070</v>
      </c>
      <c r="J198" s="10" t="s">
        <v>2199</v>
      </c>
      <c r="T198" s="10">
        <f>0-2</f>
        <v>-2</v>
      </c>
      <c r="U198" s="10">
        <f t="shared" ca="1" si="8"/>
        <v>2</v>
      </c>
      <c r="V198" s="10">
        <f t="shared" ca="1" si="9"/>
        <v>0</v>
      </c>
      <c r="AB198" s="10" t="s">
        <v>2235</v>
      </c>
      <c r="AD198" s="10" t="s">
        <v>19</v>
      </c>
      <c r="AG198" t="s">
        <v>19</v>
      </c>
      <c r="AJ198" cm="1">
        <f t="array" ref="AJ198">_xlfn.IFS(AG198="Yes",1,AG198="No",0,AG198="","")</f>
        <v>1</v>
      </c>
    </row>
    <row r="199" spans="1:36" ht="29">
      <c r="A199" t="s">
        <v>262</v>
      </c>
      <c r="D199" s="4" t="s">
        <v>1072</v>
      </c>
      <c r="E199" s="4" t="s">
        <v>1073</v>
      </c>
      <c r="J199" s="10" t="s">
        <v>2199</v>
      </c>
      <c r="T199" s="10" t="s">
        <v>2200</v>
      </c>
      <c r="U199" s="10" t="str">
        <f t="shared" ca="1" si="8"/>
        <v/>
      </c>
      <c r="V199" s="10" t="str">
        <f t="shared" ca="1" si="9"/>
        <v/>
      </c>
      <c r="AB199" s="10" t="s">
        <v>2235</v>
      </c>
      <c r="AD199" s="10" t="s">
        <v>19</v>
      </c>
      <c r="AG199" t="s">
        <v>19</v>
      </c>
      <c r="AJ199" cm="1">
        <f t="array" ref="AJ199">_xlfn.IFS(AG199="Yes",1,AG199="No",0,AG199="","")</f>
        <v>1</v>
      </c>
    </row>
    <row r="200" spans="1:36">
      <c r="A200" t="s">
        <v>263</v>
      </c>
      <c r="D200" s="4" t="s">
        <v>1074</v>
      </c>
      <c r="E200" s="4" t="s">
        <v>1075</v>
      </c>
      <c r="J200" s="10" t="s">
        <v>2199</v>
      </c>
      <c r="T200" s="10" t="s">
        <v>2220</v>
      </c>
      <c r="U200" s="10" t="str">
        <f t="shared" ca="1" si="8"/>
        <v/>
      </c>
      <c r="V200" s="10" t="str">
        <f t="shared" ca="1" si="9"/>
        <v/>
      </c>
      <c r="AB200" s="10" t="s">
        <v>2235</v>
      </c>
      <c r="AD200" s="10" t="s">
        <v>19</v>
      </c>
      <c r="AG200" t="s">
        <v>19</v>
      </c>
      <c r="AJ200" cm="1">
        <f t="array" ref="AJ200">_xlfn.IFS(AG200="Yes",1,AG200="No",0,AG200="","")</f>
        <v>1</v>
      </c>
    </row>
    <row r="201" spans="1:36">
      <c r="A201" t="s">
        <v>263</v>
      </c>
      <c r="D201" s="4" t="s">
        <v>1077</v>
      </c>
      <c r="E201" s="4" t="s">
        <v>1076</v>
      </c>
      <c r="J201" s="10" t="s">
        <v>2199</v>
      </c>
      <c r="T201" s="10" t="s">
        <v>2220</v>
      </c>
      <c r="U201" s="10" t="str">
        <f t="shared" ca="1" si="8"/>
        <v/>
      </c>
      <c r="V201" s="10" t="str">
        <f t="shared" ca="1" si="9"/>
        <v/>
      </c>
      <c r="AB201" s="10" t="s">
        <v>2235</v>
      </c>
      <c r="AD201" s="10" t="s">
        <v>19</v>
      </c>
      <c r="AG201" t="s">
        <v>19</v>
      </c>
      <c r="AJ201" cm="1">
        <f t="array" ref="AJ201">_xlfn.IFS(AG201="Yes",1,AG201="No",0,AG201="","")</f>
        <v>1</v>
      </c>
    </row>
    <row r="202" spans="1:36" ht="58">
      <c r="A202" t="s">
        <v>264</v>
      </c>
      <c r="D202" s="4" t="s">
        <v>1078</v>
      </c>
      <c r="E202" s="4" t="s">
        <v>1079</v>
      </c>
      <c r="J202" s="10" t="s">
        <v>24</v>
      </c>
      <c r="L202" s="10">
        <v>1</v>
      </c>
      <c r="M202" s="10">
        <v>2</v>
      </c>
      <c r="N202" s="10" t="s">
        <v>2158</v>
      </c>
      <c r="O202" s="10" t="s">
        <v>2200</v>
      </c>
      <c r="S202" s="10">
        <v>2475</v>
      </c>
      <c r="U202" s="10" t="str">
        <f t="shared" ca="1" si="8"/>
        <v/>
      </c>
      <c r="V202" s="10" t="str">
        <f t="shared" ca="1" si="9"/>
        <v/>
      </c>
      <c r="AG202" t="s">
        <v>19</v>
      </c>
      <c r="AJ202" cm="1">
        <f t="array" ref="AJ202">_xlfn.IFS(AG202="Yes",1,AG202="No",0,AG202="","")</f>
        <v>1</v>
      </c>
    </row>
    <row r="203" spans="1:36" ht="58">
      <c r="A203" t="s">
        <v>264</v>
      </c>
      <c r="D203" s="4" t="s">
        <v>1080</v>
      </c>
      <c r="E203" s="4" t="s">
        <v>1081</v>
      </c>
      <c r="J203" s="10" t="s">
        <v>2201</v>
      </c>
      <c r="U203" s="10" t="str">
        <f t="shared" ca="1" si="8"/>
        <v/>
      </c>
      <c r="V203" s="10" t="str">
        <f t="shared" ca="1" si="9"/>
        <v/>
      </c>
      <c r="AC203" s="10" t="s">
        <v>2342</v>
      </c>
      <c r="AD203" s="10" t="s">
        <v>19</v>
      </c>
      <c r="AG203" t="s">
        <v>19</v>
      </c>
      <c r="AJ203" cm="1">
        <f t="array" ref="AJ203">_xlfn.IFS(AG203="Yes",1,AG203="No",0,AG203="","")</f>
        <v>1</v>
      </c>
    </row>
    <row r="204" spans="1:36" ht="58">
      <c r="A204" t="s">
        <v>264</v>
      </c>
      <c r="D204" s="4" t="s">
        <v>1082</v>
      </c>
      <c r="E204" s="4" t="s">
        <v>1083</v>
      </c>
      <c r="I204" t="s">
        <v>2253</v>
      </c>
      <c r="J204" s="10" t="s">
        <v>26</v>
      </c>
      <c r="U204" s="10" t="str">
        <f t="shared" ca="1" si="8"/>
        <v/>
      </c>
      <c r="V204" s="10" t="str">
        <f t="shared" ca="1" si="9"/>
        <v/>
      </c>
      <c r="AG204" t="s">
        <v>19</v>
      </c>
      <c r="AJ204" cm="1">
        <f t="array" ref="AJ204">_xlfn.IFS(AG204="Yes",1,AG204="No",0,AG204="","")</f>
        <v>1</v>
      </c>
    </row>
    <row r="205" spans="1:36" ht="58">
      <c r="A205" t="s">
        <v>264</v>
      </c>
      <c r="D205" s="4" t="s">
        <v>1078</v>
      </c>
      <c r="E205" s="4" t="s">
        <v>1084</v>
      </c>
      <c r="J205" s="10" t="s">
        <v>24</v>
      </c>
      <c r="L205" s="10">
        <v>1</v>
      </c>
      <c r="M205" s="10">
        <v>3</v>
      </c>
      <c r="N205" s="10" t="s">
        <v>2177</v>
      </c>
      <c r="O205" s="10" t="s">
        <v>2159</v>
      </c>
      <c r="S205" s="10">
        <v>10</v>
      </c>
      <c r="U205" s="10" t="str">
        <f t="shared" ca="1" si="8"/>
        <v/>
      </c>
      <c r="V205" s="10" t="str">
        <f t="shared" ca="1" si="9"/>
        <v/>
      </c>
      <c r="AG205" t="s">
        <v>19</v>
      </c>
      <c r="AJ205" cm="1">
        <f t="array" ref="AJ205">_xlfn.IFS(AG205="Yes",1,AG205="No",0,AG205="","")</f>
        <v>1</v>
      </c>
    </row>
    <row r="206" spans="1:36">
      <c r="A206" t="s">
        <v>264</v>
      </c>
      <c r="D206" s="4" t="s">
        <v>1086</v>
      </c>
      <c r="E206" s="4" t="s">
        <v>1085</v>
      </c>
      <c r="J206" s="10" t="s">
        <v>25</v>
      </c>
      <c r="L206" s="10">
        <v>1</v>
      </c>
      <c r="M206" s="10">
        <v>1</v>
      </c>
      <c r="N206" s="10" t="s">
        <v>2158</v>
      </c>
      <c r="O206" s="10" t="s">
        <v>2200</v>
      </c>
      <c r="S206" s="10">
        <v>2475</v>
      </c>
      <c r="U206" s="10" t="str">
        <f t="shared" ca="1" si="8"/>
        <v/>
      </c>
      <c r="V206" s="10" t="str">
        <f t="shared" ca="1" si="9"/>
        <v/>
      </c>
      <c r="AG206" t="s">
        <v>19</v>
      </c>
      <c r="AJ206" cm="1">
        <f t="array" ref="AJ206">_xlfn.IFS(AG206="Yes",1,AG206="No",0,AG206="","")</f>
        <v>1</v>
      </c>
    </row>
    <row r="207" spans="1:36">
      <c r="A207" t="s">
        <v>264</v>
      </c>
      <c r="D207" s="4" t="s">
        <v>1087</v>
      </c>
      <c r="E207" s="4" t="s">
        <v>1088</v>
      </c>
      <c r="J207" s="10" t="s">
        <v>2199</v>
      </c>
      <c r="T207" s="10">
        <f>0-2</f>
        <v>-2</v>
      </c>
      <c r="U207" s="10">
        <f t="shared" ca="1" si="8"/>
        <v>2</v>
      </c>
      <c r="V207" s="10">
        <f t="shared" ca="1" si="9"/>
        <v>0</v>
      </c>
      <c r="AB207" s="10" t="s">
        <v>2235</v>
      </c>
      <c r="AD207" s="10" t="s">
        <v>19</v>
      </c>
      <c r="AG207" t="s">
        <v>19</v>
      </c>
      <c r="AJ207" cm="1">
        <f t="array" ref="AJ207">_xlfn.IFS(AG207="Yes",1,AG207="No",0,AG207="","")</f>
        <v>1</v>
      </c>
    </row>
    <row r="208" spans="1:36">
      <c r="A208" t="s">
        <v>264</v>
      </c>
      <c r="D208" s="4" t="s">
        <v>259</v>
      </c>
      <c r="E208" s="4" t="s">
        <v>260</v>
      </c>
      <c r="J208" s="10" t="s">
        <v>2199</v>
      </c>
      <c r="T208" s="10" t="s">
        <v>2220</v>
      </c>
      <c r="U208" s="10" t="str">
        <f t="shared" ca="1" si="8"/>
        <v/>
      </c>
      <c r="V208" s="10" t="str">
        <f t="shared" ca="1" si="9"/>
        <v/>
      </c>
      <c r="AB208" s="10" t="s">
        <v>2235</v>
      </c>
      <c r="AC208" s="10" t="s">
        <v>2223</v>
      </c>
      <c r="AD208" s="10" t="s">
        <v>19</v>
      </c>
      <c r="AG208" t="s">
        <v>19</v>
      </c>
      <c r="AJ208" cm="1">
        <f t="array" ref="AJ208">_xlfn.IFS(AG208="Yes",1,AG208="No",0,AG208="","")</f>
        <v>1</v>
      </c>
    </row>
    <row r="209" spans="1:36" ht="29">
      <c r="A209" t="s">
        <v>264</v>
      </c>
      <c r="D209" s="4" t="s">
        <v>1089</v>
      </c>
      <c r="E209" s="4" t="s">
        <v>1090</v>
      </c>
      <c r="J209" s="10" t="s">
        <v>2199</v>
      </c>
      <c r="T209" s="10">
        <f>17-830</f>
        <v>-813</v>
      </c>
      <c r="U209" s="10">
        <f t="shared" ca="1" si="8"/>
        <v>830</v>
      </c>
      <c r="V209" s="10">
        <f t="shared" ca="1" si="9"/>
        <v>17</v>
      </c>
      <c r="AG209" t="s">
        <v>19</v>
      </c>
      <c r="AJ209" cm="1">
        <f t="array" ref="AJ209">_xlfn.IFS(AG209="Yes",1,AG209="No",0,AG209="","")</f>
        <v>1</v>
      </c>
    </row>
    <row r="210" spans="1:36">
      <c r="A210" t="s">
        <v>264</v>
      </c>
      <c r="D210" s="4" t="s">
        <v>265</v>
      </c>
      <c r="E210" s="4" t="s">
        <v>266</v>
      </c>
      <c r="H210" t="s">
        <v>19</v>
      </c>
      <c r="J210" s="10" t="s">
        <v>2199</v>
      </c>
      <c r="T210" s="10">
        <f>49-9</f>
        <v>40</v>
      </c>
      <c r="U210" s="10">
        <f t="shared" ca="1" si="8"/>
        <v>9</v>
      </c>
      <c r="V210" s="10">
        <f t="shared" ca="1" si="9"/>
        <v>49</v>
      </c>
      <c r="AC210" s="10" t="s">
        <v>2342</v>
      </c>
      <c r="AD210" s="10" t="s">
        <v>19</v>
      </c>
      <c r="AG210" t="s">
        <v>20</v>
      </c>
      <c r="AJ210" cm="1">
        <f t="array" ref="AJ210">_xlfn.IFS(AG210="Yes",1,AG210="No",0,AG210="","")</f>
        <v>0</v>
      </c>
    </row>
    <row r="211" spans="1:36">
      <c r="A211" t="s">
        <v>267</v>
      </c>
      <c r="D211" s="4" t="s">
        <v>1091</v>
      </c>
      <c r="E211" s="4" t="s">
        <v>1092</v>
      </c>
      <c r="J211" s="10" t="s">
        <v>25</v>
      </c>
      <c r="L211" s="10">
        <v>1</v>
      </c>
      <c r="M211" s="10">
        <v>3</v>
      </c>
      <c r="N211" s="10" t="s">
        <v>2173</v>
      </c>
      <c r="O211" s="10" t="s">
        <v>2159</v>
      </c>
      <c r="S211" s="10">
        <v>75</v>
      </c>
      <c r="U211" s="10" t="str">
        <f t="shared" ca="1" si="8"/>
        <v/>
      </c>
      <c r="V211" s="10" t="str">
        <f t="shared" ca="1" si="9"/>
        <v/>
      </c>
      <c r="AG211" t="s">
        <v>19</v>
      </c>
      <c r="AJ211" cm="1">
        <f t="array" ref="AJ211">_xlfn.IFS(AG211="Yes",1,AG211="No",0,AG211="","")</f>
        <v>1</v>
      </c>
    </row>
    <row r="212" spans="1:36">
      <c r="A212" t="s">
        <v>267</v>
      </c>
      <c r="D212" s="4" t="s">
        <v>268</v>
      </c>
      <c r="E212" s="4" t="s">
        <v>1093</v>
      </c>
      <c r="I212" t="s">
        <v>2257</v>
      </c>
      <c r="J212" s="10" t="s">
        <v>26</v>
      </c>
      <c r="U212" s="10" t="str">
        <f t="shared" ca="1" si="8"/>
        <v/>
      </c>
      <c r="V212" s="10" t="str">
        <f t="shared" ca="1" si="9"/>
        <v/>
      </c>
      <c r="AG212" t="s">
        <v>19</v>
      </c>
      <c r="AJ212" cm="1">
        <f t="array" ref="AJ212">_xlfn.IFS(AG212="Yes",1,AG212="No",0,AG212="","")</f>
        <v>1</v>
      </c>
    </row>
    <row r="213" spans="1:36" ht="29">
      <c r="A213" t="s">
        <v>267</v>
      </c>
      <c r="D213" s="4" t="s">
        <v>1094</v>
      </c>
      <c r="E213" s="4" t="s">
        <v>1095</v>
      </c>
      <c r="I213" t="s">
        <v>2257</v>
      </c>
      <c r="J213" s="10" t="s">
        <v>26</v>
      </c>
      <c r="U213" s="10" t="str">
        <f t="shared" ca="1" si="8"/>
        <v/>
      </c>
      <c r="V213" s="10" t="str">
        <f t="shared" ca="1" si="9"/>
        <v/>
      </c>
      <c r="AG213" t="s">
        <v>19</v>
      </c>
      <c r="AJ213" cm="1">
        <f t="array" ref="AJ213">_xlfn.IFS(AG213="Yes",1,AG213="No",0,AG213="","")</f>
        <v>1</v>
      </c>
    </row>
    <row r="214" spans="1:36" ht="29">
      <c r="A214" t="s">
        <v>267</v>
      </c>
      <c r="D214" s="4" t="s">
        <v>1096</v>
      </c>
      <c r="E214" s="4" t="s">
        <v>1097</v>
      </c>
      <c r="J214" s="10" t="s">
        <v>2201</v>
      </c>
      <c r="U214" s="10" t="str">
        <f t="shared" ca="1" si="8"/>
        <v/>
      </c>
      <c r="V214" s="10" t="str">
        <f t="shared" ca="1" si="9"/>
        <v/>
      </c>
      <c r="AG214" t="s">
        <v>19</v>
      </c>
      <c r="AJ214" cm="1">
        <f t="array" ref="AJ214">_xlfn.IFS(AG214="Yes",1,AG214="No",0,AG214="","")</f>
        <v>1</v>
      </c>
    </row>
    <row r="215" spans="1:36">
      <c r="A215" t="s">
        <v>267</v>
      </c>
      <c r="D215" s="4" t="s">
        <v>1098</v>
      </c>
      <c r="E215" s="4" t="s">
        <v>1099</v>
      </c>
      <c r="J215" s="10" t="s">
        <v>24</v>
      </c>
      <c r="L215" s="10">
        <v>1</v>
      </c>
      <c r="M215" s="10">
        <v>3</v>
      </c>
      <c r="N215" s="10" t="s">
        <v>2168</v>
      </c>
      <c r="O215" s="10" t="s">
        <v>2159</v>
      </c>
      <c r="S215" s="10">
        <v>1701</v>
      </c>
      <c r="U215" s="10" t="str">
        <f t="shared" ca="1" si="8"/>
        <v/>
      </c>
      <c r="V215" s="10" t="str">
        <f t="shared" ca="1" si="9"/>
        <v/>
      </c>
      <c r="AG215" t="s">
        <v>19</v>
      </c>
      <c r="AJ215" cm="1">
        <f t="array" ref="AJ215">_xlfn.IFS(AG215="Yes",1,AG215="No",0,AG215="","")</f>
        <v>1</v>
      </c>
    </row>
    <row r="216" spans="1:36" ht="29">
      <c r="A216" t="s">
        <v>269</v>
      </c>
      <c r="D216" s="4" t="s">
        <v>1100</v>
      </c>
      <c r="E216" s="4" t="s">
        <v>1101</v>
      </c>
      <c r="J216" s="10" t="s">
        <v>25</v>
      </c>
      <c r="L216" s="10">
        <v>3</v>
      </c>
      <c r="M216" s="10">
        <v>12</v>
      </c>
      <c r="O216" s="10" t="s">
        <v>2153</v>
      </c>
      <c r="P216" s="10" t="s">
        <v>2244</v>
      </c>
      <c r="Q216" s="11" t="s">
        <v>2259</v>
      </c>
      <c r="S216" s="10">
        <v>115</v>
      </c>
      <c r="U216" s="10" t="str">
        <f t="shared" ca="1" si="8"/>
        <v/>
      </c>
      <c r="V216" s="10" t="str">
        <f t="shared" ca="1" si="9"/>
        <v/>
      </c>
      <c r="AG216" t="s">
        <v>19</v>
      </c>
      <c r="AJ216" cm="1">
        <f t="array" ref="AJ216">_xlfn.IFS(AG216="Yes",1,AG216="No",0,AG216="","")</f>
        <v>1</v>
      </c>
    </row>
    <row r="217" spans="1:36" ht="43.5">
      <c r="A217" t="s">
        <v>270</v>
      </c>
      <c r="D217" s="4" t="s">
        <v>1104</v>
      </c>
      <c r="E217" s="4" t="s">
        <v>1105</v>
      </c>
      <c r="J217" s="10" t="s">
        <v>2201</v>
      </c>
      <c r="U217" s="10" t="str">
        <f t="shared" ca="1" si="8"/>
        <v/>
      </c>
      <c r="V217" s="10" t="str">
        <f t="shared" ca="1" si="9"/>
        <v/>
      </c>
      <c r="AG217" t="s">
        <v>19</v>
      </c>
      <c r="AJ217" cm="1">
        <f t="array" ref="AJ217">_xlfn.IFS(AG217="Yes",1,AG217="No",0,AG217="","")</f>
        <v>1</v>
      </c>
    </row>
    <row r="218" spans="1:36" ht="43.5">
      <c r="A218" t="s">
        <v>270</v>
      </c>
      <c r="D218" s="4" t="s">
        <v>1102</v>
      </c>
      <c r="E218" s="4" t="s">
        <v>1103</v>
      </c>
      <c r="J218" s="10" t="s">
        <v>24</v>
      </c>
      <c r="L218" s="10">
        <v>1</v>
      </c>
      <c r="M218" s="10">
        <v>3</v>
      </c>
      <c r="N218" s="10" t="s">
        <v>2175</v>
      </c>
      <c r="O218" s="10" t="s">
        <v>2159</v>
      </c>
      <c r="S218" s="10">
        <v>743</v>
      </c>
      <c r="U218" s="10" t="str">
        <f t="shared" ca="1" si="8"/>
        <v/>
      </c>
      <c r="V218" s="10" t="str">
        <f t="shared" ca="1" si="9"/>
        <v/>
      </c>
      <c r="AG218" t="s">
        <v>19</v>
      </c>
      <c r="AJ218" cm="1">
        <f t="array" ref="AJ218">_xlfn.IFS(AG218="Yes",1,AG218="No",0,AG218="","")</f>
        <v>1</v>
      </c>
    </row>
    <row r="219" spans="1:36" ht="43.5">
      <c r="A219" t="s">
        <v>271</v>
      </c>
      <c r="D219" s="4" t="s">
        <v>2260</v>
      </c>
      <c r="E219" s="4" t="s">
        <v>1106</v>
      </c>
      <c r="J219" s="10" t="s">
        <v>25</v>
      </c>
      <c r="L219" s="10">
        <v>1</v>
      </c>
      <c r="M219" s="10">
        <v>3</v>
      </c>
      <c r="N219" s="10" t="s">
        <v>2168</v>
      </c>
      <c r="O219" s="10" t="s">
        <v>2159</v>
      </c>
      <c r="S219" s="10">
        <v>60</v>
      </c>
      <c r="U219" s="10" t="str">
        <f t="shared" ca="1" si="8"/>
        <v/>
      </c>
      <c r="V219" s="10" t="str">
        <f t="shared" ca="1" si="9"/>
        <v/>
      </c>
      <c r="AG219" t="s">
        <v>19</v>
      </c>
      <c r="AJ219" cm="1">
        <f t="array" ref="AJ219">_xlfn.IFS(AG219="Yes",1,AG219="No",0,AG219="","")</f>
        <v>1</v>
      </c>
    </row>
    <row r="220" spans="1:36" ht="43.5">
      <c r="A220" t="s">
        <v>271</v>
      </c>
      <c r="D220" s="4" t="s">
        <v>2261</v>
      </c>
      <c r="E220" s="4" t="s">
        <v>1108</v>
      </c>
      <c r="J220" s="10" t="s">
        <v>2201</v>
      </c>
      <c r="U220" s="10" t="str">
        <f t="shared" ca="1" si="8"/>
        <v/>
      </c>
      <c r="V220" s="10" t="str">
        <f t="shared" ca="1" si="9"/>
        <v/>
      </c>
      <c r="AG220" t="s">
        <v>19</v>
      </c>
      <c r="AJ220" cm="1">
        <f t="array" ref="AJ220">_xlfn.IFS(AG220="Yes",1,AG220="No",0,AG220="","")</f>
        <v>1</v>
      </c>
    </row>
    <row r="221" spans="1:36" ht="43.5">
      <c r="A221" t="s">
        <v>271</v>
      </c>
      <c r="D221" s="4" t="s">
        <v>1109</v>
      </c>
      <c r="E221" s="4" t="s">
        <v>1106</v>
      </c>
      <c r="J221" s="10" t="s">
        <v>25</v>
      </c>
      <c r="L221" s="10">
        <v>1</v>
      </c>
      <c r="M221" s="10">
        <v>3</v>
      </c>
      <c r="N221" s="10" t="s">
        <v>2158</v>
      </c>
      <c r="O221" s="10" t="s">
        <v>2159</v>
      </c>
      <c r="S221" s="10">
        <v>2475</v>
      </c>
      <c r="U221" s="10" t="str">
        <f t="shared" ca="1" si="8"/>
        <v/>
      </c>
      <c r="V221" s="10" t="str">
        <f t="shared" ca="1" si="9"/>
        <v/>
      </c>
      <c r="AG221" t="s">
        <v>19</v>
      </c>
      <c r="AJ221" cm="1">
        <f t="array" ref="AJ221">_xlfn.IFS(AG221="Yes",1,AG221="No",0,AG221="","")</f>
        <v>1</v>
      </c>
    </row>
    <row r="222" spans="1:36" ht="43.5">
      <c r="A222" t="s">
        <v>271</v>
      </c>
      <c r="D222" s="4" t="s">
        <v>1107</v>
      </c>
      <c r="E222" s="4" t="s">
        <v>1110</v>
      </c>
      <c r="J222" s="10" t="s">
        <v>24</v>
      </c>
      <c r="L222" s="10">
        <v>2</v>
      </c>
      <c r="M222" s="10">
        <v>7</v>
      </c>
      <c r="O222" s="10" t="s">
        <v>2159</v>
      </c>
      <c r="S222" s="10">
        <v>132</v>
      </c>
      <c r="U222" s="10" t="str">
        <f t="shared" ca="1" si="8"/>
        <v/>
      </c>
      <c r="V222" s="10" t="str">
        <f t="shared" ca="1" si="9"/>
        <v/>
      </c>
      <c r="AG222" t="s">
        <v>19</v>
      </c>
      <c r="AJ222" cm="1">
        <f t="array" ref="AJ222">_xlfn.IFS(AG222="Yes",1,AG222="No",0,AG222="","")</f>
        <v>1</v>
      </c>
    </row>
    <row r="223" spans="1:36">
      <c r="A223" t="s">
        <v>271</v>
      </c>
      <c r="D223" s="4" t="s">
        <v>1112</v>
      </c>
      <c r="E223" s="4" t="s">
        <v>1111</v>
      </c>
      <c r="J223" s="10" t="s">
        <v>24</v>
      </c>
      <c r="L223" s="10">
        <v>1</v>
      </c>
      <c r="M223" s="10">
        <v>3</v>
      </c>
      <c r="N223" s="10" t="s">
        <v>2158</v>
      </c>
      <c r="O223" s="10" t="s">
        <v>2159</v>
      </c>
      <c r="S223" s="10">
        <v>2475</v>
      </c>
      <c r="U223" s="10" t="str">
        <f t="shared" ca="1" si="8"/>
        <v/>
      </c>
      <c r="V223" s="10" t="str">
        <f t="shared" ca="1" si="9"/>
        <v/>
      </c>
      <c r="AG223" t="s">
        <v>19</v>
      </c>
      <c r="AJ223" cm="1">
        <f t="array" ref="AJ223">_xlfn.IFS(AG223="Yes",1,AG223="No",0,AG223="","")</f>
        <v>1</v>
      </c>
    </row>
    <row r="224" spans="1:36" ht="29">
      <c r="A224" t="s">
        <v>271</v>
      </c>
      <c r="D224" s="4" t="s">
        <v>1114</v>
      </c>
      <c r="E224" s="4" t="s">
        <v>1113</v>
      </c>
      <c r="J224" s="10" t="s">
        <v>24</v>
      </c>
      <c r="L224" s="10">
        <v>1</v>
      </c>
      <c r="M224" s="10">
        <v>7</v>
      </c>
      <c r="N224" s="10" t="s">
        <v>2173</v>
      </c>
      <c r="O224" s="10" t="s">
        <v>2153</v>
      </c>
      <c r="P224" s="10" t="s">
        <v>2262</v>
      </c>
      <c r="Q224" s="11" t="s">
        <v>2230</v>
      </c>
      <c r="S224" s="10">
        <v>47</v>
      </c>
      <c r="U224" s="10" t="str">
        <f t="shared" ca="1" si="8"/>
        <v/>
      </c>
      <c r="V224" s="10" t="str">
        <f t="shared" ca="1" si="9"/>
        <v/>
      </c>
      <c r="AF224" s="10" t="s">
        <v>19</v>
      </c>
      <c r="AG224" t="s">
        <v>19</v>
      </c>
      <c r="AJ224" cm="1">
        <f t="array" ref="AJ224">_xlfn.IFS(AG224="Yes",1,AG224="No",0,AG224="","")</f>
        <v>1</v>
      </c>
    </row>
    <row r="225" spans="1:36" ht="29">
      <c r="A225" t="s">
        <v>271</v>
      </c>
      <c r="D225" s="4" t="s">
        <v>1115</v>
      </c>
      <c r="E225" s="4" t="s">
        <v>1116</v>
      </c>
      <c r="J225" s="10" t="s">
        <v>2201</v>
      </c>
      <c r="U225" s="10" t="str">
        <f t="shared" ca="1" si="8"/>
        <v/>
      </c>
      <c r="V225" s="10" t="str">
        <f t="shared" ca="1" si="9"/>
        <v/>
      </c>
      <c r="AE225" s="10" t="s">
        <v>2170</v>
      </c>
      <c r="AG225" t="s">
        <v>19</v>
      </c>
      <c r="AJ225" cm="1">
        <f t="array" ref="AJ225">_xlfn.IFS(AG225="Yes",1,AG225="No",0,AG225="","")</f>
        <v>1</v>
      </c>
    </row>
    <row r="226" spans="1:36">
      <c r="A226" t="s">
        <v>272</v>
      </c>
      <c r="D226" s="4" t="s">
        <v>1118</v>
      </c>
      <c r="E226" s="4" t="s">
        <v>1117</v>
      </c>
      <c r="J226" s="10" t="s">
        <v>2201</v>
      </c>
      <c r="U226" s="10" t="str">
        <f t="shared" ca="1" si="8"/>
        <v/>
      </c>
      <c r="V226" s="10" t="str">
        <f t="shared" ca="1" si="9"/>
        <v/>
      </c>
      <c r="AE226" s="10" t="s">
        <v>2163</v>
      </c>
      <c r="AG226" t="s">
        <v>19</v>
      </c>
      <c r="AJ226" cm="1">
        <f t="array" ref="AJ226">_xlfn.IFS(AG226="Yes",1,AG226="No",0,AG226="","")</f>
        <v>1</v>
      </c>
    </row>
    <row r="227" spans="1:36">
      <c r="A227" t="s">
        <v>273</v>
      </c>
      <c r="D227" s="4" t="s">
        <v>274</v>
      </c>
      <c r="E227" s="4" t="s">
        <v>275</v>
      </c>
      <c r="J227" s="10" t="s">
        <v>2201</v>
      </c>
      <c r="U227" s="10" t="str">
        <f t="shared" ca="1" si="8"/>
        <v/>
      </c>
      <c r="V227" s="10" t="str">
        <f t="shared" ca="1" si="9"/>
        <v/>
      </c>
      <c r="AC227" s="10" t="s">
        <v>2226</v>
      </c>
      <c r="AD227" s="10" t="s">
        <v>19</v>
      </c>
      <c r="AG227" t="s">
        <v>19</v>
      </c>
      <c r="AJ227" cm="1">
        <f t="array" ref="AJ227">_xlfn.IFS(AG227="Yes",1,AG227="No",0,AG227="","")</f>
        <v>1</v>
      </c>
    </row>
    <row r="228" spans="1:36">
      <c r="A228" t="s">
        <v>276</v>
      </c>
      <c r="D228" s="4" t="s">
        <v>277</v>
      </c>
      <c r="E228" s="4" t="s">
        <v>278</v>
      </c>
      <c r="H228" t="s">
        <v>19</v>
      </c>
      <c r="J228" s="10" t="s">
        <v>2201</v>
      </c>
      <c r="U228" s="10" t="str">
        <f t="shared" ca="1" si="8"/>
        <v/>
      </c>
      <c r="V228" s="10" t="str">
        <f t="shared" ca="1" si="9"/>
        <v/>
      </c>
      <c r="AC228" s="10" t="s">
        <v>2226</v>
      </c>
      <c r="AD228" s="10" t="s">
        <v>19</v>
      </c>
      <c r="AG228" t="s">
        <v>20</v>
      </c>
      <c r="AJ228" cm="1">
        <f t="array" ref="AJ228">_xlfn.IFS(AG228="Yes",1,AG228="No",0,AG228="","")</f>
        <v>0</v>
      </c>
    </row>
    <row r="229" spans="1:36" ht="29">
      <c r="A229" t="s">
        <v>279</v>
      </c>
      <c r="D229" s="4" t="s">
        <v>1119</v>
      </c>
      <c r="E229" s="4" t="s">
        <v>1120</v>
      </c>
      <c r="J229" s="10" t="s">
        <v>2201</v>
      </c>
      <c r="U229" s="10" t="str">
        <f t="shared" ca="1" si="8"/>
        <v/>
      </c>
      <c r="V229" s="10" t="str">
        <f t="shared" ca="1" si="9"/>
        <v/>
      </c>
      <c r="AG229" t="s">
        <v>19</v>
      </c>
      <c r="AJ229" cm="1">
        <f t="array" ref="AJ229">_xlfn.IFS(AG229="Yes",1,AG229="No",0,AG229="","")</f>
        <v>1</v>
      </c>
    </row>
    <row r="230" spans="1:36">
      <c r="A230" t="s">
        <v>279</v>
      </c>
      <c r="D230" s="4" t="s">
        <v>1121</v>
      </c>
      <c r="E230" s="4" t="s">
        <v>1122</v>
      </c>
      <c r="H230" t="s">
        <v>19</v>
      </c>
      <c r="J230" s="10" t="s">
        <v>2201</v>
      </c>
      <c r="U230" s="10" t="str">
        <f t="shared" ca="1" si="8"/>
        <v/>
      </c>
      <c r="V230" s="10" t="str">
        <f t="shared" ca="1" si="9"/>
        <v/>
      </c>
      <c r="AE230" s="10" t="s">
        <v>2163</v>
      </c>
      <c r="AG230" t="s">
        <v>20</v>
      </c>
      <c r="AJ230" cm="1">
        <f t="array" ref="AJ230">_xlfn.IFS(AG230="Yes",1,AG230="No",0,AG230="","")</f>
        <v>0</v>
      </c>
    </row>
    <row r="231" spans="1:36">
      <c r="A231" t="s">
        <v>279</v>
      </c>
      <c r="D231" s="4" t="s">
        <v>280</v>
      </c>
      <c r="E231" s="4" t="s">
        <v>281</v>
      </c>
      <c r="J231" s="10" t="s">
        <v>2201</v>
      </c>
      <c r="U231" s="10" t="str">
        <f t="shared" ca="1" si="8"/>
        <v/>
      </c>
      <c r="V231" s="10" t="str">
        <f t="shared" ca="1" si="9"/>
        <v/>
      </c>
      <c r="AC231" s="10" t="s">
        <v>2226</v>
      </c>
      <c r="AD231" s="10" t="s">
        <v>19</v>
      </c>
      <c r="AG231" t="s">
        <v>19</v>
      </c>
      <c r="AJ231" cm="1">
        <f t="array" ref="AJ231">_xlfn.IFS(AG231="Yes",1,AG231="No",0,AG231="","")</f>
        <v>1</v>
      </c>
    </row>
    <row r="232" spans="1:36" ht="29">
      <c r="A232" t="s">
        <v>282</v>
      </c>
      <c r="D232" s="4" t="s">
        <v>1124</v>
      </c>
      <c r="E232" s="4" t="s">
        <v>1123</v>
      </c>
      <c r="J232" s="10" t="s">
        <v>2199</v>
      </c>
      <c r="T232" s="10">
        <f>27-280</f>
        <v>-253</v>
      </c>
      <c r="U232" s="10">
        <f t="shared" ca="1" si="8"/>
        <v>280</v>
      </c>
      <c r="V232" s="10">
        <f t="shared" ca="1" si="9"/>
        <v>27</v>
      </c>
      <c r="AG232" t="s">
        <v>19</v>
      </c>
      <c r="AJ232" cm="1">
        <f t="array" ref="AJ232">_xlfn.IFS(AG232="Yes",1,AG232="No",0,AG232="","")</f>
        <v>1</v>
      </c>
    </row>
    <row r="233" spans="1:36">
      <c r="A233" t="s">
        <v>282</v>
      </c>
      <c r="D233" s="4" t="s">
        <v>194</v>
      </c>
      <c r="E233" s="4" t="s">
        <v>978</v>
      </c>
      <c r="J233" s="10" t="s">
        <v>2199</v>
      </c>
      <c r="T233" s="10">
        <f>10-0</f>
        <v>10</v>
      </c>
      <c r="U233" s="10">
        <f t="shared" ca="1" si="8"/>
        <v>0</v>
      </c>
      <c r="V233" s="10">
        <f t="shared" ca="1" si="9"/>
        <v>10</v>
      </c>
      <c r="AB233" s="10" t="s">
        <v>2353</v>
      </c>
      <c r="AD233" s="10" t="s">
        <v>19</v>
      </c>
      <c r="AG233" t="s">
        <v>19</v>
      </c>
      <c r="AJ233" cm="1">
        <f t="array" ref="AJ233">_xlfn.IFS(AG233="Yes",1,AG233="No",0,AG233="","")</f>
        <v>1</v>
      </c>
    </row>
    <row r="234" spans="1:36">
      <c r="A234" t="s">
        <v>282</v>
      </c>
      <c r="D234" s="4" t="s">
        <v>283</v>
      </c>
      <c r="E234" s="4" t="s">
        <v>284</v>
      </c>
      <c r="J234" s="10" t="s">
        <v>2201</v>
      </c>
      <c r="U234" s="10" t="str">
        <f t="shared" ca="1" si="8"/>
        <v/>
      </c>
      <c r="V234" s="10" t="str">
        <f t="shared" ca="1" si="9"/>
        <v/>
      </c>
      <c r="AC234" s="10" t="s">
        <v>2252</v>
      </c>
      <c r="AD234" s="10" t="s">
        <v>19</v>
      </c>
      <c r="AG234" t="s">
        <v>19</v>
      </c>
      <c r="AJ234" cm="1">
        <f t="array" ref="AJ234">_xlfn.IFS(AG234="Yes",1,AG234="No",0,AG234="","")</f>
        <v>1</v>
      </c>
    </row>
    <row r="235" spans="1:36" ht="29">
      <c r="A235" t="s">
        <v>285</v>
      </c>
      <c r="D235" s="4" t="s">
        <v>1126</v>
      </c>
      <c r="E235" s="4" t="s">
        <v>1125</v>
      </c>
      <c r="J235" s="10" t="s">
        <v>24</v>
      </c>
      <c r="L235" s="10">
        <v>1</v>
      </c>
      <c r="M235" s="10">
        <v>2</v>
      </c>
      <c r="N235" s="10" t="s">
        <v>2175</v>
      </c>
      <c r="O235" s="10" t="s">
        <v>2200</v>
      </c>
      <c r="R235" s="10" t="s">
        <v>2154</v>
      </c>
      <c r="S235" s="10">
        <v>99</v>
      </c>
      <c r="U235" s="10" t="str">
        <f t="shared" ca="1" si="8"/>
        <v/>
      </c>
      <c r="V235" s="10" t="str">
        <f t="shared" ca="1" si="9"/>
        <v/>
      </c>
      <c r="AG235" t="s">
        <v>19</v>
      </c>
      <c r="AJ235" cm="1">
        <f t="array" ref="AJ235">_xlfn.IFS(AG235="Yes",1,AG235="No",0,AG235="","")</f>
        <v>1</v>
      </c>
    </row>
    <row r="236" spans="1:36">
      <c r="A236" t="s">
        <v>285</v>
      </c>
      <c r="D236" s="4" t="s">
        <v>286</v>
      </c>
      <c r="E236" s="4" t="s">
        <v>287</v>
      </c>
      <c r="J236" s="10" t="s">
        <v>2201</v>
      </c>
      <c r="U236" s="10" t="str">
        <f t="shared" ca="1" si="8"/>
        <v/>
      </c>
      <c r="V236" s="10" t="str">
        <f t="shared" ca="1" si="9"/>
        <v/>
      </c>
      <c r="AG236" t="s">
        <v>19</v>
      </c>
      <c r="AJ236" cm="1">
        <f t="array" ref="AJ236">_xlfn.IFS(AG236="Yes",1,AG236="No",0,AG236="","")</f>
        <v>1</v>
      </c>
    </row>
    <row r="237" spans="1:36" ht="29">
      <c r="A237" t="s">
        <v>285</v>
      </c>
      <c r="D237" s="4" t="s">
        <v>1127</v>
      </c>
      <c r="E237" s="4" t="s">
        <v>1128</v>
      </c>
      <c r="H237" t="s">
        <v>19</v>
      </c>
      <c r="J237" s="10" t="s">
        <v>25</v>
      </c>
      <c r="L237" s="10">
        <v>1</v>
      </c>
      <c r="M237" s="10">
        <v>2</v>
      </c>
      <c r="N237" s="10" t="s">
        <v>2168</v>
      </c>
      <c r="O237" s="10" t="s">
        <v>2200</v>
      </c>
      <c r="R237" s="10" t="s">
        <v>2154</v>
      </c>
      <c r="S237" s="10">
        <v>129</v>
      </c>
      <c r="U237" s="10" t="str">
        <f t="shared" ca="1" si="8"/>
        <v/>
      </c>
      <c r="V237" s="10" t="str">
        <f t="shared" ca="1" si="9"/>
        <v/>
      </c>
      <c r="AG237" t="s">
        <v>19</v>
      </c>
      <c r="AJ237" cm="1">
        <f t="array" ref="AJ237">_xlfn.IFS(AG237="Yes",1,AG237="No",0,AG237="","")</f>
        <v>1</v>
      </c>
    </row>
    <row r="238" spans="1:36">
      <c r="A238" t="s">
        <v>288</v>
      </c>
      <c r="D238" s="4" t="s">
        <v>289</v>
      </c>
      <c r="E238" s="4" t="s">
        <v>290</v>
      </c>
      <c r="J238" s="10" t="s">
        <v>2201</v>
      </c>
      <c r="U238" s="10" t="str">
        <f t="shared" ca="1" si="8"/>
        <v/>
      </c>
      <c r="V238" s="10" t="str">
        <f t="shared" ca="1" si="9"/>
        <v/>
      </c>
      <c r="AC238" s="10" t="s">
        <v>2226</v>
      </c>
      <c r="AD238" s="10" t="s">
        <v>19</v>
      </c>
      <c r="AG238" t="s">
        <v>19</v>
      </c>
      <c r="AJ238" cm="1">
        <f t="array" ref="AJ238">_xlfn.IFS(AG238="Yes",1,AG238="No",0,AG238="","")</f>
        <v>1</v>
      </c>
    </row>
    <row r="239" spans="1:36" ht="29">
      <c r="A239" t="s">
        <v>288</v>
      </c>
      <c r="D239" s="4" t="s">
        <v>1129</v>
      </c>
      <c r="E239" s="4" t="s">
        <v>1130</v>
      </c>
      <c r="J239" s="10" t="s">
        <v>2201</v>
      </c>
      <c r="U239" s="10" t="str">
        <f t="shared" ca="1" si="8"/>
        <v/>
      </c>
      <c r="V239" s="10" t="str">
        <f t="shared" ca="1" si="9"/>
        <v/>
      </c>
      <c r="AG239" t="s">
        <v>19</v>
      </c>
      <c r="AJ239" cm="1">
        <f t="array" ref="AJ239">_xlfn.IFS(AG239="Yes",1,AG239="No",0,AG239="","")</f>
        <v>1</v>
      </c>
    </row>
    <row r="240" spans="1:36" ht="29">
      <c r="A240" t="s">
        <v>291</v>
      </c>
      <c r="D240" s="4" t="s">
        <v>1131</v>
      </c>
      <c r="E240" s="4" t="s">
        <v>1132</v>
      </c>
      <c r="J240" s="10" t="s">
        <v>2201</v>
      </c>
      <c r="U240" s="10" t="str">
        <f t="shared" ca="1" si="8"/>
        <v/>
      </c>
      <c r="V240" s="10" t="str">
        <f t="shared" ca="1" si="9"/>
        <v/>
      </c>
      <c r="AG240" t="s">
        <v>19</v>
      </c>
      <c r="AJ240" cm="1">
        <f t="array" ref="AJ240">_xlfn.IFS(AG240="Yes",1,AG240="No",0,AG240="","")</f>
        <v>1</v>
      </c>
    </row>
    <row r="241" spans="1:36" ht="29">
      <c r="A241" t="s">
        <v>292</v>
      </c>
      <c r="D241" s="4" t="s">
        <v>1133</v>
      </c>
      <c r="E241" s="4" t="s">
        <v>1134</v>
      </c>
      <c r="J241" s="10" t="s">
        <v>2201</v>
      </c>
      <c r="U241" s="10" t="str">
        <f t="shared" ca="1" si="8"/>
        <v/>
      </c>
      <c r="V241" s="10" t="str">
        <f t="shared" ca="1" si="9"/>
        <v/>
      </c>
      <c r="AG241" t="s">
        <v>19</v>
      </c>
      <c r="AJ241" cm="1">
        <f t="array" ref="AJ241">_xlfn.IFS(AG241="Yes",1,AG241="No",0,AG241="","")</f>
        <v>1</v>
      </c>
    </row>
    <row r="242" spans="1:36">
      <c r="A242" t="s">
        <v>292</v>
      </c>
      <c r="D242" s="4" t="s">
        <v>293</v>
      </c>
      <c r="E242" s="4" t="s">
        <v>294</v>
      </c>
      <c r="J242" s="10" t="s">
        <v>2201</v>
      </c>
      <c r="U242" s="10" t="str">
        <f t="shared" ca="1" si="8"/>
        <v/>
      </c>
      <c r="V242" s="10" t="str">
        <f t="shared" ca="1" si="9"/>
        <v/>
      </c>
      <c r="AC242" s="10" t="s">
        <v>2252</v>
      </c>
      <c r="AD242" s="10" t="s">
        <v>19</v>
      </c>
      <c r="AG242" t="s">
        <v>19</v>
      </c>
      <c r="AJ242" cm="1">
        <f t="array" ref="AJ242">_xlfn.IFS(AG242="Yes",1,AG242="No",0,AG242="","")</f>
        <v>1</v>
      </c>
    </row>
    <row r="243" spans="1:36">
      <c r="A243" t="s">
        <v>292</v>
      </c>
      <c r="D243" s="4" t="s">
        <v>1135</v>
      </c>
      <c r="E243" s="4" t="s">
        <v>1136</v>
      </c>
      <c r="J243" s="10" t="s">
        <v>2199</v>
      </c>
      <c r="T243" s="10">
        <f>312-743</f>
        <v>-431</v>
      </c>
      <c r="U243" s="10">
        <f t="shared" ca="1" si="8"/>
        <v>743</v>
      </c>
      <c r="V243" s="10">
        <f t="shared" ca="1" si="9"/>
        <v>312</v>
      </c>
      <c r="AG243" t="s">
        <v>19</v>
      </c>
      <c r="AJ243" cm="1">
        <f t="array" ref="AJ243">_xlfn.IFS(AG243="Yes",1,AG243="No",0,AG243="","")</f>
        <v>1</v>
      </c>
    </row>
    <row r="244" spans="1:36">
      <c r="A244" t="s">
        <v>292</v>
      </c>
      <c r="D244" s="4" t="s">
        <v>1137</v>
      </c>
      <c r="E244" s="4" t="s">
        <v>1138</v>
      </c>
      <c r="J244" s="10" t="s">
        <v>2201</v>
      </c>
      <c r="U244" s="10" t="str">
        <f t="shared" ca="1" si="8"/>
        <v/>
      </c>
      <c r="V244" s="10" t="str">
        <f t="shared" ca="1" si="9"/>
        <v/>
      </c>
      <c r="AG244" t="s">
        <v>19</v>
      </c>
      <c r="AJ244" cm="1">
        <f t="array" ref="AJ244">_xlfn.IFS(AG244="Yes",1,AG244="No",0,AG244="","")</f>
        <v>1</v>
      </c>
    </row>
    <row r="245" spans="1:36">
      <c r="A245" t="s">
        <v>295</v>
      </c>
      <c r="D245" s="4" t="s">
        <v>296</v>
      </c>
      <c r="E245" s="4" t="s">
        <v>297</v>
      </c>
      <c r="H245" t="s">
        <v>22</v>
      </c>
      <c r="I245" t="s">
        <v>1139</v>
      </c>
      <c r="J245" s="10" t="s">
        <v>2201</v>
      </c>
      <c r="U245" s="10" t="str">
        <f t="shared" ca="1" si="8"/>
        <v/>
      </c>
      <c r="V245" s="10" t="str">
        <f t="shared" ca="1" si="9"/>
        <v/>
      </c>
      <c r="AG245" t="s">
        <v>20</v>
      </c>
      <c r="AJ245" cm="1">
        <f t="array" ref="AJ245">_xlfn.IFS(AG245="Yes",1,AG245="No",0,AG245="","")</f>
        <v>0</v>
      </c>
    </row>
    <row r="246" spans="1:36">
      <c r="A246" t="s">
        <v>295</v>
      </c>
      <c r="D246" s="4" t="s">
        <v>298</v>
      </c>
      <c r="E246" s="4" t="s">
        <v>299</v>
      </c>
      <c r="J246" s="10" t="s">
        <v>2201</v>
      </c>
      <c r="U246" s="10" t="str">
        <f t="shared" ca="1" si="8"/>
        <v/>
      </c>
      <c r="V246" s="10" t="str">
        <f t="shared" ca="1" si="9"/>
        <v/>
      </c>
      <c r="AC246" s="10" t="s">
        <v>2226</v>
      </c>
      <c r="AD246" s="10" t="s">
        <v>19</v>
      </c>
      <c r="AG246" t="s">
        <v>19</v>
      </c>
      <c r="AJ246" cm="1">
        <f t="array" ref="AJ246">_xlfn.IFS(AG246="Yes",1,AG246="No",0,AG246="","")</f>
        <v>1</v>
      </c>
    </row>
    <row r="247" spans="1:36" ht="29">
      <c r="A247" t="s">
        <v>300</v>
      </c>
      <c r="D247" s="4" t="s">
        <v>1141</v>
      </c>
      <c r="E247" s="4" t="s">
        <v>1140</v>
      </c>
      <c r="J247" s="10" t="s">
        <v>24</v>
      </c>
      <c r="L247" s="10">
        <v>1</v>
      </c>
      <c r="M247" s="10">
        <v>3</v>
      </c>
      <c r="N247" s="10" t="s">
        <v>2168</v>
      </c>
      <c r="O247" s="10" t="s">
        <v>2159</v>
      </c>
      <c r="S247" s="10">
        <v>1701</v>
      </c>
      <c r="U247" s="10" t="str">
        <f t="shared" ca="1" si="8"/>
        <v/>
      </c>
      <c r="V247" s="10" t="str">
        <f t="shared" ca="1" si="9"/>
        <v/>
      </c>
      <c r="AG247" t="s">
        <v>19</v>
      </c>
      <c r="AJ247" cm="1">
        <f t="array" ref="AJ247">_xlfn.IFS(AG247="Yes",1,AG247="No",0,AG247="","")</f>
        <v>1</v>
      </c>
    </row>
    <row r="248" spans="1:36">
      <c r="A248" t="s">
        <v>300</v>
      </c>
      <c r="D248" s="4" t="s">
        <v>1143</v>
      </c>
      <c r="E248" s="4" t="s">
        <v>1142</v>
      </c>
      <c r="J248" s="10" t="s">
        <v>25</v>
      </c>
      <c r="L248" s="10">
        <v>1</v>
      </c>
      <c r="M248" s="10">
        <v>3</v>
      </c>
      <c r="N248" s="10" t="s">
        <v>2158</v>
      </c>
      <c r="O248" s="10" t="s">
        <v>2159</v>
      </c>
      <c r="S248" s="10">
        <v>2475</v>
      </c>
      <c r="U248" s="10" t="str">
        <f t="shared" ca="1" si="8"/>
        <v/>
      </c>
      <c r="V248" s="10" t="str">
        <f t="shared" ca="1" si="9"/>
        <v/>
      </c>
      <c r="AG248" t="s">
        <v>19</v>
      </c>
      <c r="AJ248" cm="1">
        <f t="array" ref="AJ248">_xlfn.IFS(AG248="Yes",1,AG248="No",0,AG248="","")</f>
        <v>1</v>
      </c>
    </row>
    <row r="249" spans="1:36">
      <c r="A249" t="s">
        <v>300</v>
      </c>
      <c r="D249" s="4" t="s">
        <v>301</v>
      </c>
      <c r="E249" s="4" t="s">
        <v>302</v>
      </c>
      <c r="J249" s="10" t="s">
        <v>2201</v>
      </c>
      <c r="U249" s="10" t="str">
        <f t="shared" ca="1" si="8"/>
        <v/>
      </c>
      <c r="V249" s="10" t="str">
        <f t="shared" ca="1" si="9"/>
        <v/>
      </c>
      <c r="AC249" s="10" t="s">
        <v>2226</v>
      </c>
      <c r="AD249" s="10" t="s">
        <v>19</v>
      </c>
      <c r="AG249" t="s">
        <v>20</v>
      </c>
      <c r="AJ249" cm="1">
        <f t="array" ref="AJ249">_xlfn.IFS(AG249="Yes",1,AG249="No",0,AG249="","")</f>
        <v>0</v>
      </c>
    </row>
    <row r="250" spans="1:36">
      <c r="A250" t="s">
        <v>300</v>
      </c>
      <c r="D250" s="4" t="s">
        <v>303</v>
      </c>
      <c r="E250" s="4" t="s">
        <v>304</v>
      </c>
      <c r="J250" s="10" t="s">
        <v>2201</v>
      </c>
      <c r="U250" s="10" t="str">
        <f t="shared" ca="1" si="8"/>
        <v/>
      </c>
      <c r="V250" s="10" t="str">
        <f t="shared" ca="1" si="9"/>
        <v/>
      </c>
      <c r="AC250" s="10" t="s">
        <v>2226</v>
      </c>
      <c r="AD250" s="10" t="s">
        <v>19</v>
      </c>
      <c r="AG250" t="s">
        <v>19</v>
      </c>
      <c r="AJ250" cm="1">
        <f t="array" ref="AJ250">_xlfn.IFS(AG250="Yes",1,AG250="No",0,AG250="","")</f>
        <v>1</v>
      </c>
    </row>
    <row r="251" spans="1:36" ht="29">
      <c r="A251" t="s">
        <v>300</v>
      </c>
      <c r="D251" s="4" t="s">
        <v>1145</v>
      </c>
      <c r="E251" s="4" t="s">
        <v>1144</v>
      </c>
      <c r="J251" s="10" t="s">
        <v>2199</v>
      </c>
      <c r="T251" s="10">
        <f>59-7</f>
        <v>52</v>
      </c>
      <c r="U251" s="10">
        <f t="shared" ca="1" si="8"/>
        <v>7</v>
      </c>
      <c r="V251" s="10">
        <f t="shared" ca="1" si="9"/>
        <v>59</v>
      </c>
      <c r="AG251" t="s">
        <v>19</v>
      </c>
      <c r="AJ251" cm="1">
        <f t="array" ref="AJ251">_xlfn.IFS(AG251="Yes",1,AG251="No",0,AG251="","")</f>
        <v>1</v>
      </c>
    </row>
    <row r="252" spans="1:36">
      <c r="A252" t="s">
        <v>300</v>
      </c>
      <c r="D252" s="4" t="s">
        <v>305</v>
      </c>
      <c r="E252" s="6" t="s">
        <v>306</v>
      </c>
      <c r="F252" t="s">
        <v>32</v>
      </c>
      <c r="I252" t="s">
        <v>1146</v>
      </c>
      <c r="J252" s="10" t="s">
        <v>2199</v>
      </c>
      <c r="T252" s="10">
        <f>39-2</f>
        <v>37</v>
      </c>
      <c r="U252" s="10">
        <f t="shared" ca="1" si="8"/>
        <v>2</v>
      </c>
      <c r="V252" s="10">
        <f t="shared" ca="1" si="9"/>
        <v>39</v>
      </c>
      <c r="AG252" t="s">
        <v>19</v>
      </c>
      <c r="AJ252" cm="1">
        <f t="array" ref="AJ252">_xlfn.IFS(AG252="Yes",1,AG252="No",0,AG252="","")</f>
        <v>1</v>
      </c>
    </row>
    <row r="253" spans="1:36">
      <c r="A253" t="s">
        <v>300</v>
      </c>
      <c r="D253" s="4" t="s">
        <v>307</v>
      </c>
      <c r="E253" s="4" t="s">
        <v>308</v>
      </c>
      <c r="H253" t="s">
        <v>19</v>
      </c>
      <c r="J253" s="10" t="s">
        <v>2199</v>
      </c>
      <c r="T253" s="10" t="s">
        <v>2220</v>
      </c>
      <c r="U253" s="10" t="str">
        <f t="shared" ca="1" si="8"/>
        <v/>
      </c>
      <c r="V253" s="10" t="str">
        <f t="shared" ca="1" si="9"/>
        <v/>
      </c>
      <c r="AC253" s="10" t="s">
        <v>2343</v>
      </c>
      <c r="AD253" s="10" t="s">
        <v>19</v>
      </c>
      <c r="AE253" s="10" t="s">
        <v>2157</v>
      </c>
      <c r="AG253" t="s">
        <v>20</v>
      </c>
      <c r="AJ253" cm="1">
        <f t="array" ref="AJ253">_xlfn.IFS(AG253="Yes",1,AG253="No",0,AG253="","")</f>
        <v>0</v>
      </c>
    </row>
    <row r="254" spans="1:36">
      <c r="A254" t="s">
        <v>300</v>
      </c>
      <c r="D254" s="4" t="s">
        <v>309</v>
      </c>
      <c r="E254" s="4" t="s">
        <v>310</v>
      </c>
      <c r="J254" s="10" t="s">
        <v>2201</v>
      </c>
      <c r="U254" s="10" t="str">
        <f t="shared" ca="1" si="8"/>
        <v/>
      </c>
      <c r="V254" s="10" t="str">
        <f t="shared" ca="1" si="9"/>
        <v/>
      </c>
      <c r="AG254" t="s">
        <v>19</v>
      </c>
      <c r="AJ254" cm="1">
        <f t="array" ref="AJ254">_xlfn.IFS(AG254="Yes",1,AG254="No",0,AG254="","")</f>
        <v>1</v>
      </c>
    </row>
    <row r="255" spans="1:36" ht="29">
      <c r="A255" t="s">
        <v>300</v>
      </c>
      <c r="D255" s="4" t="s">
        <v>1148</v>
      </c>
      <c r="E255" s="4" t="s">
        <v>1147</v>
      </c>
      <c r="J255" s="10" t="s">
        <v>24</v>
      </c>
      <c r="L255" s="10">
        <v>1</v>
      </c>
      <c r="M255" s="10">
        <v>2</v>
      </c>
      <c r="N255" s="10" t="s">
        <v>2164</v>
      </c>
      <c r="O255" s="10" t="s">
        <v>2200</v>
      </c>
      <c r="S255" s="10">
        <v>129</v>
      </c>
      <c r="U255" s="10" t="str">
        <f t="shared" ca="1" si="8"/>
        <v/>
      </c>
      <c r="V255" s="10" t="str">
        <f t="shared" ca="1" si="9"/>
        <v/>
      </c>
      <c r="AG255" t="s">
        <v>19</v>
      </c>
      <c r="AJ255" cm="1">
        <f t="array" ref="AJ255">_xlfn.IFS(AG255="Yes",1,AG255="No",0,AG255="","")</f>
        <v>1</v>
      </c>
    </row>
    <row r="256" spans="1:36">
      <c r="A256" t="s">
        <v>311</v>
      </c>
      <c r="D256" s="4" t="s">
        <v>1150</v>
      </c>
      <c r="E256" s="4" t="s">
        <v>1149</v>
      </c>
      <c r="J256" s="10" t="s">
        <v>25</v>
      </c>
      <c r="L256" s="10">
        <v>1</v>
      </c>
      <c r="M256" s="10">
        <v>3</v>
      </c>
      <c r="N256" s="10" t="s">
        <v>2158</v>
      </c>
      <c r="O256" s="10" t="s">
        <v>2159</v>
      </c>
      <c r="S256" s="10">
        <v>2475</v>
      </c>
      <c r="U256" s="10" t="str">
        <f t="shared" ref="U256:U319" ca="1" si="10">IF(ISNUMBER(T256),VALUE(MID(_xlfn.FORMULATEXT(T256),SEARCH("-",_xlfn.FORMULATEXT(T256))+1,LEN(_xlfn.FORMULATEXT(T256))-SEARCH("-",_xlfn.FORMULATEXT(T256)))), "")</f>
        <v/>
      </c>
      <c r="V256" s="10" t="str">
        <f t="shared" ref="V256:V319" ca="1" si="11">IF(ISNUMBER(T256), VALUE(MID(_xlfn.FORMULATEXT(T256), 2, SEARCH("-", _xlfn.FORMULATEXT(T256)) - 2)), "")</f>
        <v/>
      </c>
      <c r="AG256" t="s">
        <v>19</v>
      </c>
      <c r="AJ256" cm="1">
        <f t="array" ref="AJ256">_xlfn.IFS(AG256="Yes",1,AG256="No",0,AG256="","")</f>
        <v>1</v>
      </c>
    </row>
    <row r="257" spans="1:36">
      <c r="A257" t="s">
        <v>312</v>
      </c>
      <c r="D257" s="4" t="s">
        <v>313</v>
      </c>
      <c r="E257" s="4" t="s">
        <v>314</v>
      </c>
      <c r="H257" t="s">
        <v>19</v>
      </c>
      <c r="J257" s="10" t="s">
        <v>2201</v>
      </c>
      <c r="U257" s="10" t="str">
        <f t="shared" ca="1" si="10"/>
        <v/>
      </c>
      <c r="V257" s="10" t="str">
        <f t="shared" ca="1" si="11"/>
        <v/>
      </c>
      <c r="AG257" t="s">
        <v>19</v>
      </c>
      <c r="AJ257" cm="1">
        <f t="array" ref="AJ257">_xlfn.IFS(AG257="Yes",1,AG257="No",0,AG257="","")</f>
        <v>1</v>
      </c>
    </row>
    <row r="258" spans="1:36">
      <c r="A258" t="s">
        <v>315</v>
      </c>
      <c r="D258" s="4" t="s">
        <v>1151</v>
      </c>
      <c r="E258" s="4" t="s">
        <v>1152</v>
      </c>
      <c r="H258" t="s">
        <v>23</v>
      </c>
      <c r="I258" t="s">
        <v>1153</v>
      </c>
      <c r="J258" s="10" t="s">
        <v>2201</v>
      </c>
      <c r="U258" s="10" t="str">
        <f t="shared" ca="1" si="10"/>
        <v/>
      </c>
      <c r="V258" s="10" t="str">
        <f t="shared" ca="1" si="11"/>
        <v/>
      </c>
      <c r="AC258" s="10" t="s">
        <v>2226</v>
      </c>
      <c r="AD258" s="10" t="s">
        <v>20</v>
      </c>
      <c r="AE258" s="10" t="s">
        <v>2157</v>
      </c>
      <c r="AG258" t="s">
        <v>20</v>
      </c>
      <c r="AJ258" cm="1">
        <f t="array" ref="AJ258">_xlfn.IFS(AG258="Yes",1,AG258="No",0,AG258="","")</f>
        <v>0</v>
      </c>
    </row>
    <row r="259" spans="1:36">
      <c r="A259" t="s">
        <v>316</v>
      </c>
      <c r="D259" s="4" t="s">
        <v>1154</v>
      </c>
      <c r="E259" s="4" t="s">
        <v>1155</v>
      </c>
      <c r="J259" s="10" t="s">
        <v>2199</v>
      </c>
      <c r="T259" s="10">
        <f>312-743</f>
        <v>-431</v>
      </c>
      <c r="U259" s="10">
        <f t="shared" ca="1" si="10"/>
        <v>743</v>
      </c>
      <c r="V259" s="10">
        <f t="shared" ca="1" si="11"/>
        <v>312</v>
      </c>
      <c r="AG259" t="s">
        <v>19</v>
      </c>
      <c r="AJ259" cm="1">
        <f t="array" ref="AJ259">_xlfn.IFS(AG259="Yes",1,AG259="No",0,AG259="","")</f>
        <v>1</v>
      </c>
    </row>
    <row r="260" spans="1:36" ht="29">
      <c r="A260" t="s">
        <v>316</v>
      </c>
      <c r="D260" s="4" t="s">
        <v>1157</v>
      </c>
      <c r="E260" s="4" t="s">
        <v>1156</v>
      </c>
      <c r="I260" t="s">
        <v>2263</v>
      </c>
      <c r="J260" s="10" t="s">
        <v>25</v>
      </c>
      <c r="L260" s="10">
        <v>2</v>
      </c>
      <c r="M260" s="10">
        <v>4</v>
      </c>
      <c r="O260" s="10" t="s">
        <v>2159</v>
      </c>
      <c r="S260" s="10">
        <v>124</v>
      </c>
      <c r="U260" s="10" t="str">
        <f t="shared" ca="1" si="10"/>
        <v/>
      </c>
      <c r="V260" s="10" t="str">
        <f t="shared" ca="1" si="11"/>
        <v/>
      </c>
      <c r="AG260" t="s">
        <v>19</v>
      </c>
      <c r="AJ260" cm="1">
        <f t="array" ref="AJ260">_xlfn.IFS(AG260="Yes",1,AG260="No",0,AG260="","")</f>
        <v>1</v>
      </c>
    </row>
    <row r="261" spans="1:36" ht="29">
      <c r="A261" t="s">
        <v>316</v>
      </c>
      <c r="D261" s="4" t="s">
        <v>1158</v>
      </c>
      <c r="E261" s="4" t="s">
        <v>1159</v>
      </c>
      <c r="J261" s="10" t="s">
        <v>2201</v>
      </c>
      <c r="U261" s="10" t="str">
        <f t="shared" ca="1" si="10"/>
        <v/>
      </c>
      <c r="V261" s="10" t="str">
        <f t="shared" ca="1" si="11"/>
        <v/>
      </c>
      <c r="AG261" t="s">
        <v>19</v>
      </c>
      <c r="AJ261" cm="1">
        <f t="array" ref="AJ261">_xlfn.IFS(AG261="Yes",1,AG261="No",0,AG261="","")</f>
        <v>1</v>
      </c>
    </row>
    <row r="262" spans="1:36">
      <c r="A262" t="s">
        <v>317</v>
      </c>
      <c r="D262" s="4" t="s">
        <v>303</v>
      </c>
      <c r="E262" s="4" t="s">
        <v>304</v>
      </c>
      <c r="J262" s="10" t="s">
        <v>2201</v>
      </c>
      <c r="U262" s="10" t="str">
        <f t="shared" ca="1" si="10"/>
        <v/>
      </c>
      <c r="V262" s="10" t="str">
        <f t="shared" ca="1" si="11"/>
        <v/>
      </c>
      <c r="AC262" s="10" t="s">
        <v>2226</v>
      </c>
      <c r="AD262" s="10" t="s">
        <v>19</v>
      </c>
      <c r="AG262" t="s">
        <v>19</v>
      </c>
      <c r="AJ262" cm="1">
        <f t="array" ref="AJ262">_xlfn.IFS(AG262="Yes",1,AG262="No",0,AG262="","")</f>
        <v>1</v>
      </c>
    </row>
    <row r="263" spans="1:36">
      <c r="A263" t="s">
        <v>318</v>
      </c>
      <c r="D263" s="4" t="s">
        <v>319</v>
      </c>
      <c r="E263" s="4" t="s">
        <v>320</v>
      </c>
      <c r="J263" s="10" t="s">
        <v>2201</v>
      </c>
      <c r="U263" s="10" t="str">
        <f t="shared" ca="1" si="10"/>
        <v/>
      </c>
      <c r="V263" s="10" t="str">
        <f t="shared" ca="1" si="11"/>
        <v/>
      </c>
      <c r="AC263" s="10" t="s">
        <v>2226</v>
      </c>
      <c r="AD263" s="10" t="s">
        <v>19</v>
      </c>
      <c r="AG263" t="s">
        <v>19</v>
      </c>
      <c r="AJ263" cm="1">
        <f t="array" ref="AJ263">_xlfn.IFS(AG263="Yes",1,AG263="No",0,AG263="","")</f>
        <v>1</v>
      </c>
    </row>
    <row r="264" spans="1:36">
      <c r="A264" t="s">
        <v>318</v>
      </c>
      <c r="D264" s="4" t="s">
        <v>321</v>
      </c>
      <c r="E264" s="4" t="s">
        <v>322</v>
      </c>
      <c r="J264" s="10" t="s">
        <v>2201</v>
      </c>
      <c r="U264" s="10" t="str">
        <f t="shared" ca="1" si="10"/>
        <v/>
      </c>
      <c r="V264" s="10" t="str">
        <f t="shared" ca="1" si="11"/>
        <v/>
      </c>
      <c r="AB264" s="10" t="s">
        <v>2353</v>
      </c>
      <c r="AD264" s="10" t="s">
        <v>19</v>
      </c>
      <c r="AG264" t="s">
        <v>19</v>
      </c>
      <c r="AJ264" cm="1">
        <f t="array" ref="AJ264">_xlfn.IFS(AG264="Yes",1,AG264="No",0,AG264="","")</f>
        <v>1</v>
      </c>
    </row>
    <row r="265" spans="1:36">
      <c r="A265" t="s">
        <v>318</v>
      </c>
      <c r="D265" s="4" t="s">
        <v>1160</v>
      </c>
      <c r="E265" s="4" t="s">
        <v>1161</v>
      </c>
      <c r="H265" t="s">
        <v>19</v>
      </c>
      <c r="J265" s="10" t="s">
        <v>2199</v>
      </c>
      <c r="T265" s="10">
        <f>3-1</f>
        <v>2</v>
      </c>
      <c r="U265" s="10">
        <f t="shared" ca="1" si="10"/>
        <v>1</v>
      </c>
      <c r="V265" s="10">
        <f t="shared" ca="1" si="11"/>
        <v>3</v>
      </c>
      <c r="AG265" t="s">
        <v>19</v>
      </c>
      <c r="AJ265" cm="1">
        <f t="array" ref="AJ265">_xlfn.IFS(AG265="Yes",1,AG265="No",0,AG265="","")</f>
        <v>1</v>
      </c>
    </row>
    <row r="266" spans="1:36">
      <c r="A266" t="s">
        <v>318</v>
      </c>
      <c r="D266" s="4" t="s">
        <v>323</v>
      </c>
      <c r="E266" s="4" t="s">
        <v>324</v>
      </c>
      <c r="J266" s="10" t="s">
        <v>2201</v>
      </c>
      <c r="U266" s="10" t="str">
        <f t="shared" ca="1" si="10"/>
        <v/>
      </c>
      <c r="V266" s="10" t="str">
        <f t="shared" ca="1" si="11"/>
        <v/>
      </c>
      <c r="AC266" s="10" t="s">
        <v>2226</v>
      </c>
      <c r="AD266" s="10" t="s">
        <v>19</v>
      </c>
      <c r="AG266" t="s">
        <v>19</v>
      </c>
      <c r="AJ266" cm="1">
        <f t="array" ref="AJ266">_xlfn.IFS(AG266="Yes",1,AG266="No",0,AG266="","")</f>
        <v>1</v>
      </c>
    </row>
    <row r="267" spans="1:36">
      <c r="A267" t="s">
        <v>318</v>
      </c>
      <c r="D267" s="4" t="s">
        <v>325</v>
      </c>
      <c r="E267" s="4" t="s">
        <v>326</v>
      </c>
      <c r="J267" s="10" t="s">
        <v>2201</v>
      </c>
      <c r="U267" s="10" t="str">
        <f t="shared" ca="1" si="10"/>
        <v/>
      </c>
      <c r="V267" s="10" t="str">
        <f t="shared" ca="1" si="11"/>
        <v/>
      </c>
      <c r="AC267" s="10" t="s">
        <v>2226</v>
      </c>
      <c r="AD267" s="10" t="s">
        <v>19</v>
      </c>
      <c r="AG267" t="s">
        <v>19</v>
      </c>
      <c r="AJ267" cm="1">
        <f t="array" ref="AJ267">_xlfn.IFS(AG267="Yes",1,AG267="No",0,AG267="","")</f>
        <v>1</v>
      </c>
    </row>
    <row r="268" spans="1:36" ht="29">
      <c r="A268" t="s">
        <v>327</v>
      </c>
      <c r="D268" s="4" t="s">
        <v>1163</v>
      </c>
      <c r="E268" s="4" t="s">
        <v>1162</v>
      </c>
      <c r="J268" s="10" t="s">
        <v>24</v>
      </c>
      <c r="L268" s="10">
        <v>1</v>
      </c>
      <c r="M268" s="10">
        <v>3</v>
      </c>
      <c r="N268" s="10" t="s">
        <v>2158</v>
      </c>
      <c r="O268" s="10" t="s">
        <v>2159</v>
      </c>
      <c r="S268" s="10">
        <v>2475</v>
      </c>
      <c r="U268" s="10" t="str">
        <f t="shared" ca="1" si="10"/>
        <v/>
      </c>
      <c r="V268" s="10" t="str">
        <f t="shared" ca="1" si="11"/>
        <v/>
      </c>
      <c r="AG268" t="s">
        <v>19</v>
      </c>
      <c r="AJ268" cm="1">
        <f t="array" ref="AJ268">_xlfn.IFS(AG268="Yes",1,AG268="No",0,AG268="","")</f>
        <v>1</v>
      </c>
    </row>
    <row r="269" spans="1:36">
      <c r="A269" t="s">
        <v>327</v>
      </c>
      <c r="D269" s="4" t="s">
        <v>1164</v>
      </c>
      <c r="E269" s="4" t="s">
        <v>1165</v>
      </c>
      <c r="J269" s="10" t="s">
        <v>2201</v>
      </c>
      <c r="U269" s="10" t="str">
        <f t="shared" ca="1" si="10"/>
        <v/>
      </c>
      <c r="V269" s="10" t="str">
        <f t="shared" ca="1" si="11"/>
        <v/>
      </c>
      <c r="AG269" t="s">
        <v>19</v>
      </c>
      <c r="AJ269" cm="1">
        <f t="array" ref="AJ269">_xlfn.IFS(AG269="Yes",1,AG269="No",0,AG269="","")</f>
        <v>1</v>
      </c>
    </row>
    <row r="270" spans="1:36" ht="43.5">
      <c r="A270" t="s">
        <v>328</v>
      </c>
      <c r="D270" s="4" t="s">
        <v>1166</v>
      </c>
      <c r="E270" s="4" t="s">
        <v>1167</v>
      </c>
      <c r="F270" t="s">
        <v>17</v>
      </c>
      <c r="J270" s="10" t="s">
        <v>24</v>
      </c>
      <c r="L270" s="10">
        <v>1</v>
      </c>
      <c r="M270" s="10">
        <v>3</v>
      </c>
      <c r="N270" s="10" t="s">
        <v>2168</v>
      </c>
      <c r="O270" s="10" t="s">
        <v>2159</v>
      </c>
      <c r="S270" s="10">
        <v>1701</v>
      </c>
      <c r="U270" s="10" t="str">
        <f t="shared" ca="1" si="10"/>
        <v/>
      </c>
      <c r="V270" s="10" t="str">
        <f t="shared" ca="1" si="11"/>
        <v/>
      </c>
      <c r="AG270" t="s">
        <v>19</v>
      </c>
      <c r="AJ270" cm="1">
        <f t="array" ref="AJ270">_xlfn.IFS(AG270="Yes",1,AG270="No",0,AG270="","")</f>
        <v>1</v>
      </c>
    </row>
    <row r="271" spans="1:36" ht="43.5">
      <c r="A271" t="s">
        <v>328</v>
      </c>
      <c r="D271" s="4" t="s">
        <v>1169</v>
      </c>
      <c r="E271" s="4" t="s">
        <v>1168</v>
      </c>
      <c r="J271" s="10" t="s">
        <v>2201</v>
      </c>
      <c r="U271" s="10" t="str">
        <f t="shared" ca="1" si="10"/>
        <v/>
      </c>
      <c r="V271" s="10" t="str">
        <f t="shared" ca="1" si="11"/>
        <v/>
      </c>
      <c r="AG271" t="s">
        <v>19</v>
      </c>
      <c r="AJ271" cm="1">
        <f t="array" ref="AJ271">_xlfn.IFS(AG271="Yes",1,AG271="No",0,AG271="","")</f>
        <v>1</v>
      </c>
    </row>
    <row r="272" spans="1:36">
      <c r="A272" t="s">
        <v>328</v>
      </c>
      <c r="D272" s="4" t="s">
        <v>329</v>
      </c>
      <c r="E272" s="4" t="s">
        <v>330</v>
      </c>
      <c r="J272" s="10" t="s">
        <v>2199</v>
      </c>
      <c r="T272" s="10" t="s">
        <v>2220</v>
      </c>
      <c r="U272" s="10" t="str">
        <f t="shared" ca="1" si="10"/>
        <v/>
      </c>
      <c r="V272" s="10" t="str">
        <f t="shared" ca="1" si="11"/>
        <v/>
      </c>
      <c r="AC272" s="10" t="s">
        <v>2342</v>
      </c>
      <c r="AD272" s="10" t="s">
        <v>19</v>
      </c>
      <c r="AE272" s="10" t="s">
        <v>2157</v>
      </c>
      <c r="AG272" t="s">
        <v>19</v>
      </c>
      <c r="AJ272" cm="1">
        <f t="array" ref="AJ272">_xlfn.IFS(AG272="Yes",1,AG272="No",0,AG272="","")</f>
        <v>1</v>
      </c>
    </row>
    <row r="273" spans="1:36">
      <c r="A273" t="s">
        <v>331</v>
      </c>
      <c r="D273" s="4" t="s">
        <v>188</v>
      </c>
      <c r="E273" s="4" t="s">
        <v>189</v>
      </c>
      <c r="J273" s="10" t="s">
        <v>2201</v>
      </c>
      <c r="U273" s="10" t="str">
        <f t="shared" ca="1" si="10"/>
        <v/>
      </c>
      <c r="V273" s="10" t="str">
        <f t="shared" ca="1" si="11"/>
        <v/>
      </c>
      <c r="AC273" s="10" t="s">
        <v>2226</v>
      </c>
      <c r="AD273" s="10" t="s">
        <v>19</v>
      </c>
      <c r="AG273" t="s">
        <v>19</v>
      </c>
      <c r="AJ273" cm="1">
        <f t="array" ref="AJ273">_xlfn.IFS(AG273="Yes",1,AG273="No",0,AG273="","")</f>
        <v>1</v>
      </c>
    </row>
    <row r="274" spans="1:36">
      <c r="A274" t="s">
        <v>331</v>
      </c>
      <c r="D274" s="4" t="s">
        <v>1170</v>
      </c>
      <c r="E274" s="4" t="s">
        <v>1171</v>
      </c>
      <c r="H274" t="s">
        <v>19</v>
      </c>
      <c r="J274" s="10" t="s">
        <v>2201</v>
      </c>
      <c r="U274" s="10" t="str">
        <f t="shared" ca="1" si="10"/>
        <v/>
      </c>
      <c r="V274" s="10" t="str">
        <f t="shared" ca="1" si="11"/>
        <v/>
      </c>
      <c r="AC274" s="10" t="s">
        <v>2226</v>
      </c>
      <c r="AD274" s="10" t="s">
        <v>19</v>
      </c>
      <c r="AG274" t="s">
        <v>19</v>
      </c>
      <c r="AJ274" cm="1">
        <f t="array" ref="AJ274">_xlfn.IFS(AG274="Yes",1,AG274="No",0,AG274="","")</f>
        <v>1</v>
      </c>
    </row>
    <row r="275" spans="1:36">
      <c r="A275" t="s">
        <v>332</v>
      </c>
      <c r="D275" s="4" t="s">
        <v>1173</v>
      </c>
      <c r="E275" s="4" t="s">
        <v>1172</v>
      </c>
      <c r="J275" s="10" t="s">
        <v>25</v>
      </c>
      <c r="L275" s="10">
        <v>1</v>
      </c>
      <c r="M275" s="10">
        <v>3</v>
      </c>
      <c r="N275" s="10" t="s">
        <v>2168</v>
      </c>
      <c r="O275" s="10" t="s">
        <v>2159</v>
      </c>
      <c r="S275" s="10">
        <v>1701</v>
      </c>
      <c r="U275" s="10" t="str">
        <f t="shared" ca="1" si="10"/>
        <v/>
      </c>
      <c r="V275" s="10" t="str">
        <f t="shared" ca="1" si="11"/>
        <v/>
      </c>
      <c r="AG275" t="s">
        <v>19</v>
      </c>
      <c r="AJ275" cm="1">
        <f t="array" ref="AJ275">_xlfn.IFS(AG275="Yes",1,AG275="No",0,AG275="","")</f>
        <v>1</v>
      </c>
    </row>
    <row r="276" spans="1:36" ht="29">
      <c r="A276" t="s">
        <v>333</v>
      </c>
      <c r="D276" s="4" t="s">
        <v>1175</v>
      </c>
      <c r="E276" s="4" t="s">
        <v>1174</v>
      </c>
      <c r="J276" s="10" t="s">
        <v>24</v>
      </c>
      <c r="L276" s="10">
        <v>1</v>
      </c>
      <c r="M276" s="10">
        <v>3</v>
      </c>
      <c r="N276" s="10" t="s">
        <v>2168</v>
      </c>
      <c r="O276" s="10" t="s">
        <v>2159</v>
      </c>
      <c r="S276" s="10">
        <v>1701</v>
      </c>
      <c r="U276" s="10" t="str">
        <f t="shared" ca="1" si="10"/>
        <v/>
      </c>
      <c r="V276" s="10" t="str">
        <f t="shared" ca="1" si="11"/>
        <v/>
      </c>
      <c r="AG276" t="s">
        <v>19</v>
      </c>
      <c r="AJ276" cm="1">
        <f t="array" ref="AJ276">_xlfn.IFS(AG276="Yes",1,AG276="No",0,AG276="","")</f>
        <v>1</v>
      </c>
    </row>
    <row r="277" spans="1:36">
      <c r="A277" t="s">
        <v>334</v>
      </c>
      <c r="D277" s="4" t="s">
        <v>1177</v>
      </c>
      <c r="E277" s="4" t="s">
        <v>1176</v>
      </c>
      <c r="J277" s="10" t="s">
        <v>24</v>
      </c>
      <c r="L277" s="10">
        <v>1</v>
      </c>
      <c r="M277" s="10">
        <v>2</v>
      </c>
      <c r="N277" s="10" t="s">
        <v>2168</v>
      </c>
      <c r="O277" s="10" t="s">
        <v>2200</v>
      </c>
      <c r="S277" s="10">
        <v>171</v>
      </c>
      <c r="U277" s="10" t="str">
        <f t="shared" ca="1" si="10"/>
        <v/>
      </c>
      <c r="V277" s="10" t="str">
        <f t="shared" ca="1" si="11"/>
        <v/>
      </c>
      <c r="AG277" t="s">
        <v>19</v>
      </c>
      <c r="AJ277" cm="1">
        <f t="array" ref="AJ277">_xlfn.IFS(AG277="Yes",1,AG277="No",0,AG277="","")</f>
        <v>1</v>
      </c>
    </row>
    <row r="278" spans="1:36" ht="29">
      <c r="A278" t="s">
        <v>334</v>
      </c>
      <c r="D278" s="4" t="s">
        <v>1179</v>
      </c>
      <c r="E278" s="4" t="s">
        <v>1178</v>
      </c>
      <c r="J278" s="10" t="s">
        <v>25</v>
      </c>
      <c r="L278" s="10">
        <v>1</v>
      </c>
      <c r="M278" s="10">
        <v>1</v>
      </c>
      <c r="N278" s="10" t="s">
        <v>2158</v>
      </c>
      <c r="O278" s="10" t="s">
        <v>2200</v>
      </c>
      <c r="S278" s="10">
        <v>2475</v>
      </c>
      <c r="U278" s="10" t="str">
        <f t="shared" ca="1" si="10"/>
        <v/>
      </c>
      <c r="V278" s="10" t="str">
        <f t="shared" ca="1" si="11"/>
        <v/>
      </c>
      <c r="AG278" t="s">
        <v>19</v>
      </c>
      <c r="AJ278" cm="1">
        <f t="array" ref="AJ278">_xlfn.IFS(AG278="Yes",1,AG278="No",0,AG278="","")</f>
        <v>1</v>
      </c>
    </row>
    <row r="279" spans="1:36">
      <c r="A279" t="s">
        <v>335</v>
      </c>
      <c r="D279" s="4" t="s">
        <v>1181</v>
      </c>
      <c r="E279" s="4" t="s">
        <v>1180</v>
      </c>
      <c r="J279" s="10" t="s">
        <v>25</v>
      </c>
      <c r="L279" s="10">
        <v>1</v>
      </c>
      <c r="M279" s="10">
        <v>2</v>
      </c>
      <c r="N279" s="10" t="s">
        <v>2177</v>
      </c>
      <c r="O279" s="10" t="s">
        <v>2200</v>
      </c>
      <c r="S279" s="10">
        <v>613</v>
      </c>
      <c r="U279" s="10" t="str">
        <f t="shared" ca="1" si="10"/>
        <v/>
      </c>
      <c r="V279" s="10" t="str">
        <f t="shared" ca="1" si="11"/>
        <v/>
      </c>
      <c r="AG279" t="s">
        <v>19</v>
      </c>
      <c r="AJ279" cm="1">
        <f t="array" ref="AJ279">_xlfn.IFS(AG279="Yes",1,AG279="No",0,AG279="","")</f>
        <v>1</v>
      </c>
    </row>
    <row r="280" spans="1:36" ht="43.5">
      <c r="A280" t="s">
        <v>336</v>
      </c>
      <c r="D280" s="4" t="s">
        <v>1183</v>
      </c>
      <c r="E280" s="4" t="s">
        <v>1182</v>
      </c>
      <c r="I280" s="5"/>
      <c r="J280" s="10" t="s">
        <v>2199</v>
      </c>
      <c r="T280" s="10">
        <f>171-1701</f>
        <v>-1530</v>
      </c>
      <c r="U280" s="10">
        <f t="shared" ca="1" si="10"/>
        <v>1701</v>
      </c>
      <c r="V280" s="10">
        <f t="shared" ca="1" si="11"/>
        <v>171</v>
      </c>
      <c r="AG280" t="s">
        <v>19</v>
      </c>
      <c r="AJ280" cm="1">
        <f t="array" ref="AJ280">_xlfn.IFS(AG280="Yes",1,AG280="No",0,AG280="","")</f>
        <v>1</v>
      </c>
    </row>
    <row r="281" spans="1:36">
      <c r="A281" t="s">
        <v>336</v>
      </c>
      <c r="D281" s="4" t="s">
        <v>1185</v>
      </c>
      <c r="E281" s="4" t="s">
        <v>1184</v>
      </c>
      <c r="J281" s="10" t="s">
        <v>2201</v>
      </c>
      <c r="U281" s="10" t="str">
        <f t="shared" ca="1" si="10"/>
        <v/>
      </c>
      <c r="V281" s="10" t="str">
        <f t="shared" ca="1" si="11"/>
        <v/>
      </c>
      <c r="AG281" t="s">
        <v>19</v>
      </c>
      <c r="AJ281" cm="1">
        <f t="array" ref="AJ281">_xlfn.IFS(AG281="Yes",1,AG281="No",0,AG281="","")</f>
        <v>1</v>
      </c>
    </row>
    <row r="282" spans="1:36">
      <c r="A282" t="s">
        <v>336</v>
      </c>
      <c r="D282" s="4" t="s">
        <v>1187</v>
      </c>
      <c r="E282" s="4" t="s">
        <v>1186</v>
      </c>
      <c r="J282" s="10" t="s">
        <v>2201</v>
      </c>
      <c r="U282" s="10" t="str">
        <f t="shared" ca="1" si="10"/>
        <v/>
      </c>
      <c r="V282" s="10" t="str">
        <f t="shared" ca="1" si="11"/>
        <v/>
      </c>
      <c r="AG282" t="s">
        <v>19</v>
      </c>
      <c r="AJ282" cm="1">
        <f t="array" ref="AJ282">_xlfn.IFS(AG282="Yes",1,AG282="No",0,AG282="","")</f>
        <v>1</v>
      </c>
    </row>
    <row r="283" spans="1:36">
      <c r="A283" t="s">
        <v>337</v>
      </c>
      <c r="D283" s="4" t="s">
        <v>2438</v>
      </c>
      <c r="E283" s="4" t="s">
        <v>338</v>
      </c>
      <c r="F283" t="s">
        <v>17</v>
      </c>
      <c r="H283" t="s">
        <v>19</v>
      </c>
      <c r="J283" s="10" t="s">
        <v>2199</v>
      </c>
      <c r="T283" s="10" t="s">
        <v>2220</v>
      </c>
      <c r="U283" s="10" t="str">
        <f t="shared" ca="1" si="10"/>
        <v/>
      </c>
      <c r="V283" s="10" t="str">
        <f t="shared" ca="1" si="11"/>
        <v/>
      </c>
      <c r="AC283" s="10" t="s">
        <v>2342</v>
      </c>
      <c r="AD283" s="10" t="s">
        <v>19</v>
      </c>
      <c r="AE283" s="10" t="s">
        <v>2157</v>
      </c>
      <c r="AG283" t="s">
        <v>20</v>
      </c>
      <c r="AJ283" cm="1">
        <f t="array" ref="AJ283">_xlfn.IFS(AG283="Yes",1,AG283="No",0,AG283="","")</f>
        <v>0</v>
      </c>
    </row>
    <row r="284" spans="1:36">
      <c r="A284" t="s">
        <v>339</v>
      </c>
      <c r="D284" s="4" t="s">
        <v>340</v>
      </c>
      <c r="E284" s="4" t="s">
        <v>341</v>
      </c>
      <c r="J284" s="10" t="s">
        <v>2199</v>
      </c>
      <c r="T284" s="10" t="s">
        <v>2220</v>
      </c>
      <c r="U284" s="10" t="str">
        <f t="shared" ca="1" si="10"/>
        <v/>
      </c>
      <c r="V284" s="10" t="str">
        <f t="shared" ca="1" si="11"/>
        <v/>
      </c>
      <c r="AE284" s="10" t="s">
        <v>2157</v>
      </c>
      <c r="AG284" t="s">
        <v>20</v>
      </c>
      <c r="AJ284" cm="1">
        <f t="array" ref="AJ284">_xlfn.IFS(AG284="Yes",1,AG284="No",0,AG284="","")</f>
        <v>0</v>
      </c>
    </row>
    <row r="285" spans="1:36" ht="29">
      <c r="A285" t="s">
        <v>339</v>
      </c>
      <c r="D285" s="4" t="s">
        <v>1189</v>
      </c>
      <c r="E285" s="4" t="s">
        <v>1188</v>
      </c>
      <c r="J285" s="10" t="s">
        <v>2201</v>
      </c>
      <c r="U285" s="10" t="str">
        <f t="shared" ca="1" si="10"/>
        <v/>
      </c>
      <c r="V285" s="10" t="str">
        <f t="shared" ca="1" si="11"/>
        <v/>
      </c>
      <c r="AG285" t="s">
        <v>19</v>
      </c>
      <c r="AJ285" cm="1">
        <f t="array" ref="AJ285">_xlfn.IFS(AG285="Yes",1,AG285="No",0,AG285="","")</f>
        <v>1</v>
      </c>
    </row>
    <row r="286" spans="1:36">
      <c r="A286" t="s">
        <v>342</v>
      </c>
      <c r="D286" s="4" t="s">
        <v>1191</v>
      </c>
      <c r="E286" s="4" t="s">
        <v>1190</v>
      </c>
      <c r="J286" s="10" t="s">
        <v>25</v>
      </c>
      <c r="L286" s="10">
        <v>1</v>
      </c>
      <c r="M286" s="10">
        <v>2</v>
      </c>
      <c r="N286" s="10" t="s">
        <v>2158</v>
      </c>
      <c r="O286" s="10" t="s">
        <v>2200</v>
      </c>
      <c r="S286" s="10">
        <v>2475</v>
      </c>
      <c r="U286" s="10" t="str">
        <f t="shared" ca="1" si="10"/>
        <v/>
      </c>
      <c r="V286" s="10" t="str">
        <f t="shared" ca="1" si="11"/>
        <v/>
      </c>
      <c r="AG286" t="s">
        <v>19</v>
      </c>
      <c r="AJ286" cm="1">
        <f t="array" ref="AJ286">_xlfn.IFS(AG286="Yes",1,AG286="No",0,AG286="","")</f>
        <v>1</v>
      </c>
    </row>
    <row r="287" spans="1:36" ht="29">
      <c r="A287" t="s">
        <v>342</v>
      </c>
      <c r="D287" s="4" t="s">
        <v>1193</v>
      </c>
      <c r="E287" s="4" t="s">
        <v>1192</v>
      </c>
      <c r="J287" s="10" t="s">
        <v>25</v>
      </c>
      <c r="L287" s="10">
        <v>1</v>
      </c>
      <c r="M287" s="10">
        <v>3</v>
      </c>
      <c r="N287" s="10" t="s">
        <v>2168</v>
      </c>
      <c r="O287" s="10" t="s">
        <v>2159</v>
      </c>
      <c r="S287" s="10">
        <v>1701</v>
      </c>
      <c r="U287" s="10" t="str">
        <f t="shared" ca="1" si="10"/>
        <v/>
      </c>
      <c r="V287" s="10" t="str">
        <f t="shared" ca="1" si="11"/>
        <v/>
      </c>
      <c r="AG287" t="s">
        <v>19</v>
      </c>
      <c r="AJ287" cm="1">
        <f t="array" ref="AJ287">_xlfn.IFS(AG287="Yes",1,AG287="No",0,AG287="","")</f>
        <v>1</v>
      </c>
    </row>
    <row r="288" spans="1:36" ht="29">
      <c r="A288" t="s">
        <v>343</v>
      </c>
      <c r="D288" s="4" t="s">
        <v>1194</v>
      </c>
      <c r="E288" s="4" t="s">
        <v>1195</v>
      </c>
      <c r="J288" s="10" t="s">
        <v>2201</v>
      </c>
      <c r="U288" s="10" t="str">
        <f t="shared" ca="1" si="10"/>
        <v/>
      </c>
      <c r="V288" s="10" t="str">
        <f t="shared" ca="1" si="11"/>
        <v/>
      </c>
      <c r="AE288" s="10" t="s">
        <v>2163</v>
      </c>
      <c r="AG288" t="s">
        <v>19</v>
      </c>
      <c r="AJ288" cm="1">
        <f t="array" ref="AJ288">_xlfn.IFS(AG288="Yes",1,AG288="No",0,AG288="","")</f>
        <v>1</v>
      </c>
    </row>
    <row r="289" spans="1:36" ht="29">
      <c r="A289" t="s">
        <v>343</v>
      </c>
      <c r="D289" s="4" t="s">
        <v>1196</v>
      </c>
      <c r="E289" s="4" t="s">
        <v>1197</v>
      </c>
      <c r="J289" s="10" t="s">
        <v>2201</v>
      </c>
      <c r="U289" s="10" t="str">
        <f t="shared" ca="1" si="10"/>
        <v/>
      </c>
      <c r="V289" s="10" t="str">
        <f t="shared" ca="1" si="11"/>
        <v/>
      </c>
      <c r="AC289" s="10" t="s">
        <v>2223</v>
      </c>
      <c r="AD289" s="10" t="s">
        <v>19</v>
      </c>
      <c r="AG289" t="s">
        <v>19</v>
      </c>
      <c r="AJ289" cm="1">
        <f t="array" ref="AJ289">_xlfn.IFS(AG289="Yes",1,AG289="No",0,AG289="","")</f>
        <v>1</v>
      </c>
    </row>
    <row r="290" spans="1:36">
      <c r="A290" t="s">
        <v>343</v>
      </c>
      <c r="D290" s="4" t="s">
        <v>1199</v>
      </c>
      <c r="E290" s="4" t="s">
        <v>1198</v>
      </c>
      <c r="J290" s="10" t="s">
        <v>2201</v>
      </c>
      <c r="U290" s="10" t="str">
        <f t="shared" ca="1" si="10"/>
        <v/>
      </c>
      <c r="V290" s="10" t="str">
        <f t="shared" ca="1" si="11"/>
        <v/>
      </c>
      <c r="AG290" t="s">
        <v>19</v>
      </c>
      <c r="AJ290" cm="1">
        <f t="array" ref="AJ290">_xlfn.IFS(AG290="Yes",1,AG290="No",0,AG290="","")</f>
        <v>1</v>
      </c>
    </row>
    <row r="291" spans="1:36">
      <c r="A291" t="s">
        <v>344</v>
      </c>
      <c r="D291" s="4" t="s">
        <v>345</v>
      </c>
      <c r="E291" s="4" t="s">
        <v>346</v>
      </c>
      <c r="J291" s="10" t="s">
        <v>2201</v>
      </c>
      <c r="U291" s="10" t="str">
        <f t="shared" ca="1" si="10"/>
        <v/>
      </c>
      <c r="V291" s="10" t="str">
        <f t="shared" ca="1" si="11"/>
        <v/>
      </c>
      <c r="AC291" s="10" t="s">
        <v>2233</v>
      </c>
      <c r="AD291" s="10" t="s">
        <v>19</v>
      </c>
      <c r="AG291" t="s">
        <v>19</v>
      </c>
      <c r="AJ291" cm="1">
        <f t="array" ref="AJ291">_xlfn.IFS(AG291="Yes",1,AG291="No",0,AG291="","")</f>
        <v>1</v>
      </c>
    </row>
    <row r="292" spans="1:36" ht="29">
      <c r="A292" t="s">
        <v>344</v>
      </c>
      <c r="D292" s="4" t="s">
        <v>1201</v>
      </c>
      <c r="E292" s="4" t="s">
        <v>1200</v>
      </c>
      <c r="J292" s="10" t="s">
        <v>2199</v>
      </c>
      <c r="T292" s="10">
        <f>5-1</f>
        <v>4</v>
      </c>
      <c r="U292" s="10">
        <f t="shared" ca="1" si="10"/>
        <v>1</v>
      </c>
      <c r="V292" s="10">
        <f t="shared" ca="1" si="11"/>
        <v>5</v>
      </c>
      <c r="AG292" t="s">
        <v>19</v>
      </c>
      <c r="AJ292" cm="1">
        <f t="array" ref="AJ292">_xlfn.IFS(AG292="Yes",1,AG292="No",0,AG292="","")</f>
        <v>1</v>
      </c>
    </row>
    <row r="293" spans="1:36" ht="29">
      <c r="A293" t="s">
        <v>344</v>
      </c>
      <c r="D293" s="4" t="s">
        <v>1203</v>
      </c>
      <c r="E293" s="4" t="s">
        <v>1202</v>
      </c>
      <c r="J293" s="10" t="s">
        <v>24</v>
      </c>
      <c r="L293" s="10">
        <v>1</v>
      </c>
      <c r="M293" s="10">
        <v>3</v>
      </c>
      <c r="N293" s="10" t="s">
        <v>2168</v>
      </c>
      <c r="O293" s="10" t="s">
        <v>2159</v>
      </c>
      <c r="S293" s="10">
        <v>1701</v>
      </c>
      <c r="U293" s="10" t="str">
        <f t="shared" ca="1" si="10"/>
        <v/>
      </c>
      <c r="V293" s="10" t="str">
        <f t="shared" ca="1" si="11"/>
        <v/>
      </c>
      <c r="AG293" t="s">
        <v>19</v>
      </c>
      <c r="AJ293" cm="1">
        <f t="array" ref="AJ293">_xlfn.IFS(AG293="Yes",1,AG293="No",0,AG293="","")</f>
        <v>1</v>
      </c>
    </row>
    <row r="294" spans="1:36">
      <c r="A294" t="s">
        <v>344</v>
      </c>
      <c r="D294" s="4" t="s">
        <v>347</v>
      </c>
      <c r="E294" s="4" t="s">
        <v>348</v>
      </c>
      <c r="J294" s="10" t="s">
        <v>2201</v>
      </c>
      <c r="U294" s="10" t="str">
        <f t="shared" ca="1" si="10"/>
        <v/>
      </c>
      <c r="V294" s="10" t="str">
        <f t="shared" ca="1" si="11"/>
        <v/>
      </c>
      <c r="AC294" s="10" t="s">
        <v>2233</v>
      </c>
      <c r="AD294" s="10" t="s">
        <v>19</v>
      </c>
      <c r="AG294" t="s">
        <v>19</v>
      </c>
      <c r="AJ294" cm="1">
        <f t="array" ref="AJ294">_xlfn.IFS(AG294="Yes",1,AG294="No",0,AG294="","")</f>
        <v>1</v>
      </c>
    </row>
    <row r="295" spans="1:36">
      <c r="A295" t="s">
        <v>349</v>
      </c>
      <c r="D295" s="4" t="s">
        <v>1204</v>
      </c>
      <c r="E295" s="4" t="s">
        <v>1205</v>
      </c>
      <c r="F295" t="s">
        <v>35</v>
      </c>
      <c r="I295" t="s">
        <v>1206</v>
      </c>
      <c r="U295" s="10" t="str">
        <f t="shared" ca="1" si="10"/>
        <v/>
      </c>
      <c r="V295" s="10" t="str">
        <f t="shared" ca="1" si="11"/>
        <v/>
      </c>
      <c r="AJ295" t="str" cm="1">
        <f t="array" ref="AJ295">_xlfn.IFS(AG295="Yes",1,AG295="No",0,AG295="","")</f>
        <v/>
      </c>
    </row>
    <row r="296" spans="1:36">
      <c r="A296" t="s">
        <v>350</v>
      </c>
      <c r="D296" s="4" t="s">
        <v>1208</v>
      </c>
      <c r="E296" s="4" t="s">
        <v>1207</v>
      </c>
      <c r="J296" s="10" t="s">
        <v>25</v>
      </c>
      <c r="L296" s="10">
        <v>1</v>
      </c>
      <c r="M296" s="10">
        <v>3</v>
      </c>
      <c r="N296" s="10" t="s">
        <v>2158</v>
      </c>
      <c r="O296" s="10" t="s">
        <v>2159</v>
      </c>
      <c r="S296" s="10">
        <v>2475</v>
      </c>
      <c r="U296" s="10" t="str">
        <f t="shared" ca="1" si="10"/>
        <v/>
      </c>
      <c r="V296" s="10" t="str">
        <f t="shared" ca="1" si="11"/>
        <v/>
      </c>
      <c r="AG296" t="s">
        <v>19</v>
      </c>
      <c r="AJ296" cm="1">
        <f t="array" ref="AJ296">_xlfn.IFS(AG296="Yes",1,AG296="No",0,AG296="","")</f>
        <v>1</v>
      </c>
    </row>
    <row r="297" spans="1:36" ht="43.5">
      <c r="A297" t="s">
        <v>352</v>
      </c>
      <c r="D297" s="4" t="s">
        <v>1209</v>
      </c>
      <c r="E297" s="4" t="s">
        <v>1210</v>
      </c>
      <c r="J297" s="10" t="s">
        <v>25</v>
      </c>
      <c r="L297" s="10">
        <v>1</v>
      </c>
      <c r="M297" s="10">
        <v>3</v>
      </c>
      <c r="N297" s="10" t="s">
        <v>2173</v>
      </c>
      <c r="O297" s="10" t="s">
        <v>2159</v>
      </c>
      <c r="S297" s="10">
        <v>52</v>
      </c>
      <c r="U297" s="10" t="str">
        <f t="shared" ca="1" si="10"/>
        <v/>
      </c>
      <c r="V297" s="10" t="str">
        <f t="shared" ca="1" si="11"/>
        <v/>
      </c>
      <c r="AG297" t="s">
        <v>19</v>
      </c>
      <c r="AJ297" cm="1">
        <f t="array" ref="AJ297">_xlfn.IFS(AG297="Yes",1,AG297="No",0,AG297="","")</f>
        <v>1</v>
      </c>
    </row>
    <row r="298" spans="1:36">
      <c r="A298" t="s">
        <v>353</v>
      </c>
      <c r="D298" s="4" t="s">
        <v>354</v>
      </c>
      <c r="E298" s="4" t="s">
        <v>355</v>
      </c>
      <c r="J298" s="10" t="s">
        <v>2199</v>
      </c>
      <c r="T298" s="10" t="s">
        <v>2220</v>
      </c>
      <c r="U298" s="10" t="str">
        <f t="shared" ca="1" si="10"/>
        <v/>
      </c>
      <c r="V298" s="10" t="str">
        <f t="shared" ca="1" si="11"/>
        <v/>
      </c>
      <c r="AB298" s="10" t="s">
        <v>2235</v>
      </c>
      <c r="AC298" s="10" t="s">
        <v>2223</v>
      </c>
      <c r="AD298" s="10" t="s">
        <v>19</v>
      </c>
      <c r="AG298" t="s">
        <v>19</v>
      </c>
      <c r="AJ298" cm="1">
        <f t="array" ref="AJ298">_xlfn.IFS(AG298="Yes",1,AG298="No",0,AG298="","")</f>
        <v>1</v>
      </c>
    </row>
    <row r="299" spans="1:36" ht="29">
      <c r="A299" t="s">
        <v>356</v>
      </c>
      <c r="D299" s="4" t="s">
        <v>1212</v>
      </c>
      <c r="E299" s="4" t="s">
        <v>1211</v>
      </c>
      <c r="J299" s="10" t="s">
        <v>24</v>
      </c>
      <c r="L299" s="10">
        <v>1</v>
      </c>
      <c r="M299" s="10">
        <v>3</v>
      </c>
      <c r="N299" s="10" t="s">
        <v>2175</v>
      </c>
      <c r="O299" s="10" t="s">
        <v>2159</v>
      </c>
      <c r="S299" s="10">
        <v>743</v>
      </c>
      <c r="U299" s="10" t="str">
        <f t="shared" ca="1" si="10"/>
        <v/>
      </c>
      <c r="V299" s="10" t="str">
        <f t="shared" ca="1" si="11"/>
        <v/>
      </c>
      <c r="AG299" t="s">
        <v>19</v>
      </c>
      <c r="AJ299" cm="1">
        <f t="array" ref="AJ299">_xlfn.IFS(AG299="Yes",1,AG299="No",0,AG299="","")</f>
        <v>1</v>
      </c>
    </row>
    <row r="300" spans="1:36">
      <c r="A300" t="s">
        <v>356</v>
      </c>
      <c r="D300" s="4" t="s">
        <v>1213</v>
      </c>
      <c r="E300" s="4" t="s">
        <v>1214</v>
      </c>
      <c r="J300" s="10" t="s">
        <v>25</v>
      </c>
      <c r="L300" s="10">
        <v>1</v>
      </c>
      <c r="M300" s="10">
        <v>1</v>
      </c>
      <c r="N300" s="10" t="s">
        <v>2158</v>
      </c>
      <c r="O300" s="10" t="s">
        <v>2200</v>
      </c>
      <c r="S300" s="10">
        <v>2475</v>
      </c>
      <c r="U300" s="10" t="str">
        <f t="shared" ca="1" si="10"/>
        <v/>
      </c>
      <c r="V300" s="10" t="str">
        <f t="shared" ca="1" si="11"/>
        <v/>
      </c>
      <c r="AG300" t="s">
        <v>19</v>
      </c>
      <c r="AJ300" cm="1">
        <f t="array" ref="AJ300">_xlfn.IFS(AG300="Yes",1,AG300="No",0,AG300="","")</f>
        <v>1</v>
      </c>
    </row>
    <row r="301" spans="1:36">
      <c r="A301" t="s">
        <v>356</v>
      </c>
      <c r="D301" s="4" t="s">
        <v>1216</v>
      </c>
      <c r="E301" s="4" t="s">
        <v>1215</v>
      </c>
      <c r="J301" s="10" t="s">
        <v>2201</v>
      </c>
      <c r="U301" s="10" t="str">
        <f t="shared" ca="1" si="10"/>
        <v/>
      </c>
      <c r="V301" s="10" t="str">
        <f t="shared" ca="1" si="11"/>
        <v/>
      </c>
      <c r="AG301" t="s">
        <v>19</v>
      </c>
      <c r="AJ301" cm="1">
        <f t="array" ref="AJ301">_xlfn.IFS(AG301="Yes",1,AG301="No",0,AG301="","")</f>
        <v>1</v>
      </c>
    </row>
    <row r="302" spans="1:36" ht="29">
      <c r="A302" t="s">
        <v>356</v>
      </c>
      <c r="D302" s="4" t="s">
        <v>1217</v>
      </c>
      <c r="E302" s="4" t="s">
        <v>1218</v>
      </c>
      <c r="J302" s="10" t="s">
        <v>25</v>
      </c>
      <c r="L302" s="10">
        <v>1</v>
      </c>
      <c r="M302" s="10">
        <v>2</v>
      </c>
      <c r="N302" s="10" t="s">
        <v>2158</v>
      </c>
      <c r="O302" s="10" t="s">
        <v>2200</v>
      </c>
      <c r="S302" s="10">
        <v>2475</v>
      </c>
      <c r="U302" s="10" t="str">
        <f t="shared" ca="1" si="10"/>
        <v/>
      </c>
      <c r="V302" s="10" t="str">
        <f t="shared" ca="1" si="11"/>
        <v/>
      </c>
      <c r="AG302" t="s">
        <v>19</v>
      </c>
      <c r="AJ302" cm="1">
        <f t="array" ref="AJ302">_xlfn.IFS(AG302="Yes",1,AG302="No",0,AG302="","")</f>
        <v>1</v>
      </c>
    </row>
    <row r="303" spans="1:36">
      <c r="A303" t="s">
        <v>356</v>
      </c>
      <c r="D303" s="4" t="s">
        <v>1220</v>
      </c>
      <c r="E303" s="4" t="s">
        <v>1219</v>
      </c>
      <c r="J303" s="10" t="s">
        <v>2201</v>
      </c>
      <c r="U303" s="10" t="str">
        <f t="shared" ca="1" si="10"/>
        <v/>
      </c>
      <c r="V303" s="10" t="str">
        <f t="shared" ca="1" si="11"/>
        <v/>
      </c>
      <c r="AG303" t="s">
        <v>19</v>
      </c>
      <c r="AJ303" cm="1">
        <f t="array" ref="AJ303">_xlfn.IFS(AG303="Yes",1,AG303="No",0,AG303="","")</f>
        <v>1</v>
      </c>
    </row>
    <row r="304" spans="1:36">
      <c r="A304" t="s">
        <v>356</v>
      </c>
      <c r="D304" s="4" t="s">
        <v>1222</v>
      </c>
      <c r="E304" s="4" t="s">
        <v>1221</v>
      </c>
      <c r="J304" s="10" t="s">
        <v>2199</v>
      </c>
      <c r="T304" s="10">
        <f>37-1701</f>
        <v>-1664</v>
      </c>
      <c r="U304" s="10">
        <f t="shared" ca="1" si="10"/>
        <v>1701</v>
      </c>
      <c r="V304" s="10">
        <f t="shared" ca="1" si="11"/>
        <v>37</v>
      </c>
      <c r="AG304" t="s">
        <v>19</v>
      </c>
      <c r="AJ304" cm="1">
        <f t="array" ref="AJ304">_xlfn.IFS(AG304="Yes",1,AG304="No",0,AG304="","")</f>
        <v>1</v>
      </c>
    </row>
    <row r="305" spans="1:36">
      <c r="A305" t="s">
        <v>357</v>
      </c>
      <c r="D305" s="4" t="s">
        <v>1224</v>
      </c>
      <c r="E305" s="4" t="s">
        <v>1223</v>
      </c>
      <c r="J305" s="10" t="s">
        <v>25</v>
      </c>
      <c r="L305" s="10">
        <v>1</v>
      </c>
      <c r="M305" s="10">
        <v>3</v>
      </c>
      <c r="N305" s="10" t="s">
        <v>2175</v>
      </c>
      <c r="O305" s="10" t="s">
        <v>2159</v>
      </c>
      <c r="S305" s="10">
        <v>743</v>
      </c>
      <c r="U305" s="10" t="str">
        <f t="shared" ca="1" si="10"/>
        <v/>
      </c>
      <c r="V305" s="10" t="str">
        <f t="shared" ca="1" si="11"/>
        <v/>
      </c>
      <c r="AG305" t="s">
        <v>19</v>
      </c>
      <c r="AJ305" cm="1">
        <f t="array" ref="AJ305">_xlfn.IFS(AG305="Yes",1,AG305="No",0,AG305="","")</f>
        <v>1</v>
      </c>
    </row>
    <row r="306" spans="1:36">
      <c r="A306" t="s">
        <v>358</v>
      </c>
      <c r="D306" s="4" t="s">
        <v>1226</v>
      </c>
      <c r="E306" s="4" t="s">
        <v>1225</v>
      </c>
      <c r="J306" s="10" t="s">
        <v>25</v>
      </c>
      <c r="L306" s="10">
        <v>1</v>
      </c>
      <c r="M306" s="10">
        <v>3</v>
      </c>
      <c r="N306" s="10" t="s">
        <v>2175</v>
      </c>
      <c r="O306" s="10" t="s">
        <v>2159</v>
      </c>
      <c r="S306" s="10">
        <v>743</v>
      </c>
      <c r="U306" s="10" t="str">
        <f t="shared" ca="1" si="10"/>
        <v/>
      </c>
      <c r="V306" s="10" t="str">
        <f t="shared" ca="1" si="11"/>
        <v/>
      </c>
      <c r="AG306" t="s">
        <v>19</v>
      </c>
      <c r="AJ306" cm="1">
        <f t="array" ref="AJ306">_xlfn.IFS(AG306="Yes",1,AG306="No",0,AG306="","")</f>
        <v>1</v>
      </c>
    </row>
    <row r="307" spans="1:36">
      <c r="A307" t="s">
        <v>359</v>
      </c>
      <c r="D307" s="4" t="s">
        <v>74</v>
      </c>
      <c r="E307" s="4" t="s">
        <v>360</v>
      </c>
      <c r="H307" t="s">
        <v>19</v>
      </c>
      <c r="J307" s="10" t="s">
        <v>2199</v>
      </c>
      <c r="T307" s="10" t="s">
        <v>2220</v>
      </c>
      <c r="U307" s="10" t="str">
        <f t="shared" ca="1" si="10"/>
        <v/>
      </c>
      <c r="V307" s="10" t="str">
        <f t="shared" ca="1" si="11"/>
        <v/>
      </c>
      <c r="AE307" s="10" t="s">
        <v>2157</v>
      </c>
      <c r="AG307" t="s">
        <v>20</v>
      </c>
      <c r="AJ307" cm="1">
        <f t="array" ref="AJ307">_xlfn.IFS(AG307="Yes",1,AG307="No",0,AG307="","")</f>
        <v>0</v>
      </c>
    </row>
    <row r="308" spans="1:36">
      <c r="A308" t="s">
        <v>359</v>
      </c>
      <c r="D308" s="4" t="s">
        <v>1227</v>
      </c>
      <c r="E308" s="4" t="s">
        <v>361</v>
      </c>
      <c r="J308" s="10" t="s">
        <v>2199</v>
      </c>
      <c r="T308" s="10">
        <f>1-2</f>
        <v>-1</v>
      </c>
      <c r="U308" s="10">
        <f t="shared" ca="1" si="10"/>
        <v>2</v>
      </c>
      <c r="V308" s="10">
        <f t="shared" ca="1" si="11"/>
        <v>1</v>
      </c>
      <c r="AG308" t="s">
        <v>19</v>
      </c>
      <c r="AJ308" cm="1">
        <f t="array" ref="AJ308">_xlfn.IFS(AG308="Yes",1,AG308="No",0,AG308="","")</f>
        <v>1</v>
      </c>
    </row>
    <row r="309" spans="1:36" ht="29">
      <c r="A309" t="s">
        <v>362</v>
      </c>
      <c r="D309" s="4" t="s">
        <v>2264</v>
      </c>
      <c r="E309" s="4" t="s">
        <v>2265</v>
      </c>
      <c r="H309" t="s">
        <v>19</v>
      </c>
      <c r="I309" s="5" t="s">
        <v>2267</v>
      </c>
      <c r="J309" s="10" t="s">
        <v>2199</v>
      </c>
      <c r="T309" s="10">
        <f>0-4</f>
        <v>-4</v>
      </c>
      <c r="U309" s="10">
        <f t="shared" ca="1" si="10"/>
        <v>4</v>
      </c>
      <c r="V309" s="10">
        <f t="shared" ca="1" si="11"/>
        <v>0</v>
      </c>
      <c r="AE309" s="10" t="s">
        <v>2163</v>
      </c>
      <c r="AG309" t="s">
        <v>20</v>
      </c>
      <c r="AJ309" cm="1">
        <f t="array" ref="AJ309">_xlfn.IFS(AG309="Yes",1,AG309="No",0,AG309="","")</f>
        <v>0</v>
      </c>
    </row>
    <row r="310" spans="1:36" ht="29">
      <c r="A310" t="s">
        <v>362</v>
      </c>
      <c r="D310" s="4" t="s">
        <v>1228</v>
      </c>
      <c r="E310" s="4" t="s">
        <v>2266</v>
      </c>
      <c r="I310" s="5"/>
      <c r="J310" s="10" t="s">
        <v>24</v>
      </c>
      <c r="L310" s="10">
        <v>1</v>
      </c>
      <c r="M310" s="10">
        <v>2</v>
      </c>
      <c r="N310" s="10" t="s">
        <v>2158</v>
      </c>
      <c r="O310" s="10" t="s">
        <v>2200</v>
      </c>
      <c r="S310" s="10">
        <v>2475</v>
      </c>
      <c r="U310" s="10" t="str">
        <f t="shared" ca="1" si="10"/>
        <v/>
      </c>
      <c r="V310" s="10" t="str">
        <f t="shared" ca="1" si="11"/>
        <v/>
      </c>
      <c r="AG310" t="s">
        <v>19</v>
      </c>
      <c r="AJ310" cm="1">
        <f t="array" ref="AJ310">_xlfn.IFS(AG310="Yes",1,AG310="No",0,AG310="","")</f>
        <v>1</v>
      </c>
    </row>
    <row r="311" spans="1:36" ht="43.5">
      <c r="A311" t="s">
        <v>363</v>
      </c>
      <c r="D311" s="4" t="s">
        <v>1230</v>
      </c>
      <c r="E311" s="4" t="s">
        <v>1229</v>
      </c>
      <c r="I311" t="s">
        <v>2268</v>
      </c>
      <c r="J311" s="10" t="s">
        <v>26</v>
      </c>
      <c r="U311" s="10" t="str">
        <f t="shared" ca="1" si="10"/>
        <v/>
      </c>
      <c r="V311" s="10" t="str">
        <f t="shared" ca="1" si="11"/>
        <v/>
      </c>
      <c r="AG311" t="s">
        <v>19</v>
      </c>
      <c r="AJ311" cm="1">
        <f t="array" ref="AJ311">_xlfn.IFS(AG311="Yes",1,AG311="No",0,AG311="","")</f>
        <v>1</v>
      </c>
    </row>
    <row r="312" spans="1:36">
      <c r="A312" t="s">
        <v>364</v>
      </c>
      <c r="D312" s="4" t="s">
        <v>1232</v>
      </c>
      <c r="E312" s="4" t="s">
        <v>1231</v>
      </c>
      <c r="J312" s="10" t="s">
        <v>2199</v>
      </c>
      <c r="T312" s="10">
        <f>280-2475</f>
        <v>-2195</v>
      </c>
      <c r="U312" s="10">
        <f t="shared" ca="1" si="10"/>
        <v>2475</v>
      </c>
      <c r="V312" s="10">
        <f t="shared" ca="1" si="11"/>
        <v>280</v>
      </c>
      <c r="AG312" t="s">
        <v>19</v>
      </c>
      <c r="AJ312" cm="1">
        <f t="array" ref="AJ312">_xlfn.IFS(AG312="Yes",1,AG312="No",0,AG312="","")</f>
        <v>1</v>
      </c>
    </row>
    <row r="313" spans="1:36" ht="29">
      <c r="A313" t="s">
        <v>364</v>
      </c>
      <c r="D313" s="4" t="s">
        <v>1233</v>
      </c>
      <c r="E313" s="4" t="s">
        <v>1234</v>
      </c>
      <c r="H313" t="s">
        <v>19</v>
      </c>
      <c r="J313" s="10" t="s">
        <v>24</v>
      </c>
      <c r="L313" s="10">
        <v>1</v>
      </c>
      <c r="M313" s="10">
        <v>5</v>
      </c>
      <c r="N313" s="10" t="s">
        <v>2175</v>
      </c>
      <c r="O313" s="10" t="s">
        <v>2159</v>
      </c>
      <c r="S313" s="10">
        <v>830</v>
      </c>
      <c r="U313" s="10" t="str">
        <f t="shared" ca="1" si="10"/>
        <v/>
      </c>
      <c r="V313" s="10" t="str">
        <f t="shared" ca="1" si="11"/>
        <v/>
      </c>
      <c r="AG313" t="s">
        <v>20</v>
      </c>
      <c r="AJ313" cm="1">
        <f t="array" ref="AJ313">_xlfn.IFS(AG313="Yes",1,AG313="No",0,AG313="","")</f>
        <v>0</v>
      </c>
    </row>
    <row r="314" spans="1:36">
      <c r="A314" t="s">
        <v>365</v>
      </c>
      <c r="D314" s="4" t="s">
        <v>366</v>
      </c>
      <c r="E314" s="4" t="s">
        <v>367</v>
      </c>
      <c r="J314" s="10" t="s">
        <v>2201</v>
      </c>
      <c r="U314" s="10" t="str">
        <f t="shared" ca="1" si="10"/>
        <v/>
      </c>
      <c r="V314" s="10" t="str">
        <f t="shared" ca="1" si="11"/>
        <v/>
      </c>
      <c r="AE314" s="10" t="s">
        <v>2167</v>
      </c>
      <c r="AG314" t="s">
        <v>20</v>
      </c>
      <c r="AJ314" cm="1">
        <f t="array" ref="AJ314">_xlfn.IFS(AG314="Yes",1,AG314="No",0,AG314="","")</f>
        <v>0</v>
      </c>
    </row>
    <row r="315" spans="1:36">
      <c r="A315" t="s">
        <v>365</v>
      </c>
      <c r="D315" s="4" t="s">
        <v>368</v>
      </c>
      <c r="E315" s="4" t="s">
        <v>369</v>
      </c>
      <c r="J315" s="10" t="s">
        <v>2201</v>
      </c>
      <c r="U315" s="10" t="str">
        <f t="shared" ca="1" si="10"/>
        <v/>
      </c>
      <c r="V315" s="10" t="str">
        <f t="shared" ca="1" si="11"/>
        <v/>
      </c>
      <c r="AG315" t="s">
        <v>19</v>
      </c>
      <c r="AJ315" cm="1">
        <f t="array" ref="AJ315">_xlfn.IFS(AG315="Yes",1,AG315="No",0,AG315="","")</f>
        <v>1</v>
      </c>
    </row>
    <row r="316" spans="1:36" ht="29">
      <c r="A316" t="s">
        <v>365</v>
      </c>
      <c r="D316" s="4" t="s">
        <v>1236</v>
      </c>
      <c r="E316" s="4" t="s">
        <v>1235</v>
      </c>
      <c r="J316" s="10" t="s">
        <v>2199</v>
      </c>
      <c r="T316" s="10">
        <f>105-79</f>
        <v>26</v>
      </c>
      <c r="U316" s="10">
        <f t="shared" ca="1" si="10"/>
        <v>79</v>
      </c>
      <c r="V316" s="10">
        <f t="shared" ca="1" si="11"/>
        <v>105</v>
      </c>
      <c r="AG316" t="s">
        <v>19</v>
      </c>
      <c r="AJ316" cm="1">
        <f t="array" ref="AJ316">_xlfn.IFS(AG316="Yes",1,AG316="No",0,AG316="","")</f>
        <v>1</v>
      </c>
    </row>
    <row r="317" spans="1:36">
      <c r="A317" t="s">
        <v>365</v>
      </c>
      <c r="D317" s="4" t="s">
        <v>370</v>
      </c>
      <c r="E317" s="4" t="s">
        <v>371</v>
      </c>
      <c r="J317" s="10" t="s">
        <v>2199</v>
      </c>
      <c r="T317" s="10">
        <f>2-1</f>
        <v>1</v>
      </c>
      <c r="U317" s="10">
        <f t="shared" ca="1" si="10"/>
        <v>1</v>
      </c>
      <c r="V317" s="10">
        <f t="shared" ca="1" si="11"/>
        <v>2</v>
      </c>
      <c r="AG317" t="s">
        <v>19</v>
      </c>
      <c r="AJ317" cm="1">
        <f t="array" ref="AJ317">_xlfn.IFS(AG317="Yes",1,AG317="No",0,AG317="","")</f>
        <v>1</v>
      </c>
    </row>
    <row r="318" spans="1:36">
      <c r="A318" t="s">
        <v>365</v>
      </c>
      <c r="D318" s="4" t="s">
        <v>1238</v>
      </c>
      <c r="E318" s="4" t="s">
        <v>1237</v>
      </c>
      <c r="J318" s="10" t="s">
        <v>24</v>
      </c>
      <c r="L318" s="10">
        <v>1</v>
      </c>
      <c r="M318" s="10">
        <v>3</v>
      </c>
      <c r="N318" s="10" t="s">
        <v>2158</v>
      </c>
      <c r="O318" s="10" t="s">
        <v>2159</v>
      </c>
      <c r="S318" s="10">
        <v>2475</v>
      </c>
      <c r="U318" s="10" t="str">
        <f t="shared" ca="1" si="10"/>
        <v/>
      </c>
      <c r="V318" s="10" t="str">
        <f t="shared" ca="1" si="11"/>
        <v/>
      </c>
      <c r="AG318" t="s">
        <v>19</v>
      </c>
      <c r="AJ318" cm="1">
        <f t="array" ref="AJ318">_xlfn.IFS(AG318="Yes",1,AG318="No",0,AG318="","")</f>
        <v>1</v>
      </c>
    </row>
    <row r="319" spans="1:36" ht="29">
      <c r="A319" t="s">
        <v>365</v>
      </c>
      <c r="D319" s="4" t="s">
        <v>1239</v>
      </c>
      <c r="E319" s="4" t="s">
        <v>1240</v>
      </c>
      <c r="J319" s="10" t="s">
        <v>2201</v>
      </c>
      <c r="U319" s="10" t="str">
        <f t="shared" ca="1" si="10"/>
        <v/>
      </c>
      <c r="V319" s="10" t="str">
        <f t="shared" ca="1" si="11"/>
        <v/>
      </c>
      <c r="AB319" s="10" t="s">
        <v>2162</v>
      </c>
      <c r="AD319" s="10" t="s">
        <v>19</v>
      </c>
      <c r="AG319" t="s">
        <v>19</v>
      </c>
      <c r="AJ319" cm="1">
        <f t="array" ref="AJ319">_xlfn.IFS(AG319="Yes",1,AG319="No",0,AG319="","")</f>
        <v>1</v>
      </c>
    </row>
    <row r="320" spans="1:36" ht="29">
      <c r="A320" t="s">
        <v>365</v>
      </c>
      <c r="D320" s="4" t="s">
        <v>1242</v>
      </c>
      <c r="E320" s="4" t="s">
        <v>1241</v>
      </c>
      <c r="J320" s="10" t="s">
        <v>2199</v>
      </c>
      <c r="T320" s="10">
        <f>166-99</f>
        <v>67</v>
      </c>
      <c r="U320" s="10">
        <f t="shared" ref="U320:U383" ca="1" si="12">IF(ISNUMBER(T320),VALUE(MID(_xlfn.FORMULATEXT(T320),SEARCH("-",_xlfn.FORMULATEXT(T320))+1,LEN(_xlfn.FORMULATEXT(T320))-SEARCH("-",_xlfn.FORMULATEXT(T320)))), "")</f>
        <v>99</v>
      </c>
      <c r="V320" s="10">
        <f t="shared" ref="V320:V383" ca="1" si="13">IF(ISNUMBER(T320), VALUE(MID(_xlfn.FORMULATEXT(T320), 2, SEARCH("-", _xlfn.FORMULATEXT(T320)) - 2)), "")</f>
        <v>166</v>
      </c>
      <c r="AG320" t="s">
        <v>19</v>
      </c>
      <c r="AJ320" cm="1">
        <f t="array" ref="AJ320">_xlfn.IFS(AG320="Yes",1,AG320="No",0,AG320="","")</f>
        <v>1</v>
      </c>
    </row>
    <row r="321" spans="1:36" ht="29">
      <c r="A321" t="s">
        <v>365</v>
      </c>
      <c r="D321" s="4" t="s">
        <v>1243</v>
      </c>
      <c r="E321" s="4" t="s">
        <v>1244</v>
      </c>
      <c r="J321" s="10" t="s">
        <v>2201</v>
      </c>
      <c r="U321" s="10" t="str">
        <f t="shared" ca="1" si="12"/>
        <v/>
      </c>
      <c r="V321" s="10" t="str">
        <f t="shared" ca="1" si="13"/>
        <v/>
      </c>
      <c r="AG321" t="s">
        <v>19</v>
      </c>
      <c r="AJ321" cm="1">
        <f t="array" ref="AJ321">_xlfn.IFS(AG321="Yes",1,AG321="No",0,AG321="","")</f>
        <v>1</v>
      </c>
    </row>
    <row r="322" spans="1:36">
      <c r="A322" t="s">
        <v>365</v>
      </c>
      <c r="D322" s="4" t="s">
        <v>372</v>
      </c>
      <c r="E322" s="4" t="s">
        <v>373</v>
      </c>
      <c r="J322" s="10" t="s">
        <v>2201</v>
      </c>
      <c r="U322" s="10" t="str">
        <f t="shared" ca="1" si="12"/>
        <v/>
      </c>
      <c r="V322" s="10" t="str">
        <f t="shared" ca="1" si="13"/>
        <v/>
      </c>
      <c r="AC322" s="10" t="s">
        <v>2226</v>
      </c>
      <c r="AD322" s="10" t="s">
        <v>19</v>
      </c>
      <c r="AE322" s="10" t="s">
        <v>2167</v>
      </c>
      <c r="AG322" t="s">
        <v>19</v>
      </c>
      <c r="AJ322" cm="1">
        <f t="array" ref="AJ322">_xlfn.IFS(AG322="Yes",1,AG322="No",0,AG322="","")</f>
        <v>1</v>
      </c>
    </row>
    <row r="323" spans="1:36" ht="43.5">
      <c r="A323" t="s">
        <v>374</v>
      </c>
      <c r="D323" s="4" t="s">
        <v>1246</v>
      </c>
      <c r="E323" s="4" t="s">
        <v>1247</v>
      </c>
      <c r="I323" t="s">
        <v>2269</v>
      </c>
      <c r="J323" s="10" t="s">
        <v>26</v>
      </c>
      <c r="U323" s="10" t="str">
        <f t="shared" ca="1" si="12"/>
        <v/>
      </c>
      <c r="V323" s="10" t="str">
        <f t="shared" ca="1" si="13"/>
        <v/>
      </c>
      <c r="AG323" t="s">
        <v>19</v>
      </c>
      <c r="AJ323" cm="1">
        <f t="array" ref="AJ323">_xlfn.IFS(AG323="Yes",1,AG323="No",0,AG323="","")</f>
        <v>1</v>
      </c>
    </row>
    <row r="324" spans="1:36" ht="43.5">
      <c r="A324" t="s">
        <v>374</v>
      </c>
      <c r="D324" s="4" t="s">
        <v>1248</v>
      </c>
      <c r="E324" s="4" t="s">
        <v>1245</v>
      </c>
      <c r="J324" s="10" t="s">
        <v>25</v>
      </c>
      <c r="L324" s="10">
        <v>1</v>
      </c>
      <c r="M324" s="10">
        <v>2</v>
      </c>
      <c r="N324" s="10" t="s">
        <v>2158</v>
      </c>
      <c r="O324" s="10" t="s">
        <v>2200</v>
      </c>
      <c r="S324" s="10">
        <v>2475</v>
      </c>
      <c r="U324" s="10" t="str">
        <f t="shared" ca="1" si="12"/>
        <v/>
      </c>
      <c r="V324" s="10" t="str">
        <f t="shared" ca="1" si="13"/>
        <v/>
      </c>
      <c r="AG324" t="s">
        <v>19</v>
      </c>
      <c r="AJ324" cm="1">
        <f t="array" ref="AJ324">_xlfn.IFS(AG324="Yes",1,AG324="No",0,AG324="","")</f>
        <v>1</v>
      </c>
    </row>
    <row r="325" spans="1:36" ht="43.5">
      <c r="A325" t="s">
        <v>374</v>
      </c>
      <c r="D325" s="4" t="s">
        <v>1249</v>
      </c>
      <c r="E325" s="4" t="s">
        <v>1245</v>
      </c>
      <c r="J325" s="10" t="s">
        <v>25</v>
      </c>
      <c r="L325" s="10">
        <v>1</v>
      </c>
      <c r="M325" s="10">
        <v>2</v>
      </c>
      <c r="N325" s="10" t="s">
        <v>2158</v>
      </c>
      <c r="O325" s="10" t="s">
        <v>2200</v>
      </c>
      <c r="S325" s="10">
        <v>2475</v>
      </c>
      <c r="U325" s="10" t="str">
        <f t="shared" ca="1" si="12"/>
        <v/>
      </c>
      <c r="V325" s="10" t="str">
        <f t="shared" ca="1" si="13"/>
        <v/>
      </c>
      <c r="AG325" t="s">
        <v>19</v>
      </c>
      <c r="AJ325" cm="1">
        <f t="array" ref="AJ325">_xlfn.IFS(AG325="Yes",1,AG325="No",0,AG325="","")</f>
        <v>1</v>
      </c>
    </row>
    <row r="326" spans="1:36">
      <c r="A326" t="s">
        <v>375</v>
      </c>
      <c r="D326" s="4" t="s">
        <v>376</v>
      </c>
      <c r="E326" s="4" t="s">
        <v>377</v>
      </c>
      <c r="I326" t="s">
        <v>2270</v>
      </c>
      <c r="J326" s="10" t="s">
        <v>2199</v>
      </c>
      <c r="T326" s="10">
        <f>10-2</f>
        <v>8</v>
      </c>
      <c r="U326" s="10">
        <f t="shared" ca="1" si="12"/>
        <v>2</v>
      </c>
      <c r="V326" s="10">
        <f t="shared" ca="1" si="13"/>
        <v>10</v>
      </c>
      <c r="AG326" t="s">
        <v>19</v>
      </c>
      <c r="AJ326" cm="1">
        <f t="array" ref="AJ326">_xlfn.IFS(AG326="Yes",1,AG326="No",0,AG326="","")</f>
        <v>1</v>
      </c>
    </row>
    <row r="327" spans="1:36">
      <c r="A327" t="s">
        <v>378</v>
      </c>
      <c r="D327" s="4" t="s">
        <v>1250</v>
      </c>
      <c r="E327" s="4" t="s">
        <v>1251</v>
      </c>
      <c r="J327" s="10" t="s">
        <v>24</v>
      </c>
      <c r="L327" s="10">
        <v>1</v>
      </c>
      <c r="M327" s="10">
        <v>2</v>
      </c>
      <c r="N327" s="10" t="s">
        <v>2177</v>
      </c>
      <c r="O327" s="10" t="s">
        <v>2200</v>
      </c>
      <c r="S327" s="10">
        <v>613</v>
      </c>
      <c r="U327" s="10" t="str">
        <f t="shared" ca="1" si="12"/>
        <v/>
      </c>
      <c r="V327" s="10" t="str">
        <f t="shared" ca="1" si="13"/>
        <v/>
      </c>
      <c r="AG327" t="s">
        <v>19</v>
      </c>
      <c r="AJ327" cm="1">
        <f t="array" ref="AJ327">_xlfn.IFS(AG327="Yes",1,AG327="No",0,AG327="","")</f>
        <v>1</v>
      </c>
    </row>
    <row r="328" spans="1:36" ht="29">
      <c r="A328" t="s">
        <v>378</v>
      </c>
      <c r="D328" s="4" t="s">
        <v>1252</v>
      </c>
      <c r="E328" s="4" t="s">
        <v>1253</v>
      </c>
      <c r="J328" s="10" t="s">
        <v>25</v>
      </c>
      <c r="L328" s="10">
        <v>1</v>
      </c>
      <c r="M328" s="10">
        <v>2</v>
      </c>
      <c r="N328" s="10" t="s">
        <v>2177</v>
      </c>
      <c r="O328" s="10" t="s">
        <v>2200</v>
      </c>
      <c r="S328" s="10">
        <v>79</v>
      </c>
      <c r="U328" s="10" t="str">
        <f t="shared" ca="1" si="12"/>
        <v/>
      </c>
      <c r="V328" s="10" t="str">
        <f t="shared" ca="1" si="13"/>
        <v/>
      </c>
      <c r="AG328" t="s">
        <v>19</v>
      </c>
      <c r="AJ328" cm="1">
        <f t="array" ref="AJ328">_xlfn.IFS(AG328="Yes",1,AG328="No",0,AG328="","")</f>
        <v>1</v>
      </c>
    </row>
    <row r="329" spans="1:36">
      <c r="A329" t="s">
        <v>379</v>
      </c>
      <c r="D329" s="4" t="s">
        <v>1254</v>
      </c>
      <c r="E329" s="4" t="s">
        <v>1255</v>
      </c>
      <c r="H329" t="s">
        <v>22</v>
      </c>
      <c r="I329" t="s">
        <v>1256</v>
      </c>
      <c r="J329" s="10" t="s">
        <v>2199</v>
      </c>
      <c r="T329" s="10" t="s">
        <v>2220</v>
      </c>
      <c r="U329" s="10" t="str">
        <f t="shared" ca="1" si="12"/>
        <v/>
      </c>
      <c r="V329" s="10" t="str">
        <f t="shared" ca="1" si="13"/>
        <v/>
      </c>
      <c r="AE329" s="10" t="s">
        <v>2157</v>
      </c>
      <c r="AG329" t="s">
        <v>20</v>
      </c>
      <c r="AJ329" cm="1">
        <f t="array" ref="AJ329">_xlfn.IFS(AG329="Yes",1,AG329="No",0,AG329="","")</f>
        <v>0</v>
      </c>
    </row>
    <row r="330" spans="1:36" ht="29">
      <c r="A330" t="s">
        <v>380</v>
      </c>
      <c r="D330" s="4" t="s">
        <v>1257</v>
      </c>
      <c r="E330" s="4" t="s">
        <v>1258</v>
      </c>
      <c r="H330" t="s">
        <v>19</v>
      </c>
      <c r="J330" s="10" t="s">
        <v>2199</v>
      </c>
      <c r="R330" s="10" t="s">
        <v>2154</v>
      </c>
      <c r="T330" s="10" t="s">
        <v>2220</v>
      </c>
      <c r="U330" s="10" t="str">
        <f t="shared" ca="1" si="12"/>
        <v/>
      </c>
      <c r="V330" s="10" t="str">
        <f t="shared" ca="1" si="13"/>
        <v/>
      </c>
      <c r="AE330" s="10" t="s">
        <v>2157</v>
      </c>
      <c r="AG330" t="s">
        <v>20</v>
      </c>
      <c r="AJ330" cm="1">
        <f t="array" ref="AJ330">_xlfn.IFS(AG330="Yes",1,AG330="No",0,AG330="","")</f>
        <v>0</v>
      </c>
    </row>
    <row r="331" spans="1:36" ht="29">
      <c r="A331" t="s">
        <v>381</v>
      </c>
      <c r="D331" s="4" t="s">
        <v>1260</v>
      </c>
      <c r="E331" s="4" t="s">
        <v>1259</v>
      </c>
      <c r="J331" s="10" t="s">
        <v>2201</v>
      </c>
      <c r="U331" s="10" t="str">
        <f t="shared" ca="1" si="12"/>
        <v/>
      </c>
      <c r="V331" s="10" t="str">
        <f t="shared" ca="1" si="13"/>
        <v/>
      </c>
      <c r="AG331" t="s">
        <v>19</v>
      </c>
      <c r="AJ331" cm="1">
        <f t="array" ref="AJ331">_xlfn.IFS(AG331="Yes",1,AG331="No",0,AG331="","")</f>
        <v>1</v>
      </c>
    </row>
    <row r="332" spans="1:36" ht="29">
      <c r="A332" t="s">
        <v>381</v>
      </c>
      <c r="D332" s="4" t="s">
        <v>1261</v>
      </c>
      <c r="E332" s="4" t="s">
        <v>1262</v>
      </c>
      <c r="J332" s="10" t="s">
        <v>2201</v>
      </c>
      <c r="U332" s="10" t="str">
        <f t="shared" ca="1" si="12"/>
        <v/>
      </c>
      <c r="V332" s="10" t="str">
        <f t="shared" ca="1" si="13"/>
        <v/>
      </c>
      <c r="AB332" s="10" t="s">
        <v>2162</v>
      </c>
      <c r="AD332" s="10" t="s">
        <v>19</v>
      </c>
      <c r="AG332" t="s">
        <v>19</v>
      </c>
      <c r="AJ332" cm="1">
        <f t="array" ref="AJ332">_xlfn.IFS(AG332="Yes",1,AG332="No",0,AG332="","")</f>
        <v>1</v>
      </c>
    </row>
    <row r="333" spans="1:36">
      <c r="A333" t="s">
        <v>381</v>
      </c>
      <c r="D333" t="s">
        <v>382</v>
      </c>
      <c r="E333" t="s">
        <v>383</v>
      </c>
      <c r="J333" s="10" t="s">
        <v>2201</v>
      </c>
      <c r="U333" s="10" t="str">
        <f t="shared" ca="1" si="12"/>
        <v/>
      </c>
      <c r="V333" s="10" t="str">
        <f t="shared" ca="1" si="13"/>
        <v/>
      </c>
      <c r="AE333" s="10" t="s">
        <v>2157</v>
      </c>
      <c r="AG333" t="s">
        <v>19</v>
      </c>
      <c r="AJ333" cm="1">
        <f t="array" ref="AJ333">_xlfn.IFS(AG333="Yes",1,AG333="No",0,AG333="","")</f>
        <v>1</v>
      </c>
    </row>
    <row r="334" spans="1:36" ht="29">
      <c r="A334" t="s">
        <v>381</v>
      </c>
      <c r="D334" s="4" t="s">
        <v>1264</v>
      </c>
      <c r="E334" s="4" t="s">
        <v>1263</v>
      </c>
      <c r="I334" t="s">
        <v>2250</v>
      </c>
      <c r="J334" s="10" t="s">
        <v>26</v>
      </c>
      <c r="U334" s="10" t="str">
        <f t="shared" ca="1" si="12"/>
        <v/>
      </c>
      <c r="V334" s="10" t="str">
        <f t="shared" ca="1" si="13"/>
        <v/>
      </c>
      <c r="AG334" t="s">
        <v>19</v>
      </c>
      <c r="AJ334" cm="1">
        <f t="array" ref="AJ334">_xlfn.IFS(AG334="Yes",1,AG334="No",0,AG334="","")</f>
        <v>1</v>
      </c>
    </row>
    <row r="335" spans="1:36" ht="43.5">
      <c r="A335" t="s">
        <v>381</v>
      </c>
      <c r="D335" s="4" t="s">
        <v>1266</v>
      </c>
      <c r="E335" s="4" t="s">
        <v>1267</v>
      </c>
      <c r="J335" s="10" t="s">
        <v>2201</v>
      </c>
      <c r="U335" s="10" t="str">
        <f t="shared" ca="1" si="12"/>
        <v/>
      </c>
      <c r="V335" s="10" t="str">
        <f t="shared" ca="1" si="13"/>
        <v/>
      </c>
      <c r="AG335" t="s">
        <v>19</v>
      </c>
      <c r="AJ335" cm="1">
        <f t="array" ref="AJ335">_xlfn.IFS(AG335="Yes",1,AG335="No",0,AG335="","")</f>
        <v>1</v>
      </c>
    </row>
    <row r="336" spans="1:36" ht="43.5">
      <c r="A336" t="s">
        <v>381</v>
      </c>
      <c r="D336" s="4" t="s">
        <v>1268</v>
      </c>
      <c r="E336" s="4" t="s">
        <v>1265</v>
      </c>
      <c r="I336" t="s">
        <v>1269</v>
      </c>
      <c r="J336" s="10" t="s">
        <v>25</v>
      </c>
      <c r="L336" s="10">
        <v>2</v>
      </c>
      <c r="M336" s="10">
        <v>6</v>
      </c>
      <c r="O336" s="10" t="s">
        <v>2159</v>
      </c>
      <c r="S336" s="10">
        <v>2</v>
      </c>
      <c r="U336" s="10" t="str">
        <f t="shared" ca="1" si="12"/>
        <v/>
      </c>
      <c r="V336" s="10" t="str">
        <f t="shared" ca="1" si="13"/>
        <v/>
      </c>
      <c r="AG336" t="s">
        <v>19</v>
      </c>
      <c r="AJ336" cm="1">
        <f t="array" ref="AJ336">_xlfn.IFS(AG336="Yes",1,AG336="No",0,AG336="","")</f>
        <v>1</v>
      </c>
    </row>
    <row r="337" spans="1:36">
      <c r="A337" t="s">
        <v>384</v>
      </c>
      <c r="D337" s="4" t="s">
        <v>385</v>
      </c>
      <c r="E337" s="4" t="s">
        <v>386</v>
      </c>
      <c r="H337" t="s">
        <v>19</v>
      </c>
      <c r="J337" s="10" t="s">
        <v>2199</v>
      </c>
      <c r="T337" s="10" t="s">
        <v>2220</v>
      </c>
      <c r="U337" s="10" t="str">
        <f t="shared" ca="1" si="12"/>
        <v/>
      </c>
      <c r="V337" s="10" t="str">
        <f t="shared" ca="1" si="13"/>
        <v/>
      </c>
      <c r="AC337" s="10" t="s">
        <v>2252</v>
      </c>
      <c r="AD337" s="10" t="s">
        <v>19</v>
      </c>
      <c r="AE337" s="10" t="s">
        <v>2157</v>
      </c>
      <c r="AG337" t="s">
        <v>20</v>
      </c>
      <c r="AJ337" cm="1">
        <f t="array" ref="AJ337">_xlfn.IFS(AG337="Yes",1,AG337="No",0,AG337="","")</f>
        <v>0</v>
      </c>
    </row>
    <row r="338" spans="1:36">
      <c r="A338" t="s">
        <v>384</v>
      </c>
      <c r="D338" s="4" t="s">
        <v>1270</v>
      </c>
      <c r="E338" s="4" t="s">
        <v>1271</v>
      </c>
      <c r="J338" s="10" t="s">
        <v>2199</v>
      </c>
      <c r="T338" s="10">
        <f>0-7</f>
        <v>-7</v>
      </c>
      <c r="U338" s="10">
        <f t="shared" ca="1" si="12"/>
        <v>7</v>
      </c>
      <c r="V338" s="10">
        <f t="shared" ca="1" si="13"/>
        <v>0</v>
      </c>
      <c r="AG338" t="s">
        <v>19</v>
      </c>
      <c r="AJ338" cm="1">
        <f t="array" ref="AJ338">_xlfn.IFS(AG338="Yes",1,AG338="No",0,AG338="","")</f>
        <v>1</v>
      </c>
    </row>
    <row r="339" spans="1:36">
      <c r="A339" t="s">
        <v>387</v>
      </c>
      <c r="D339" s="4" t="s">
        <v>1273</v>
      </c>
      <c r="E339" s="4" t="s">
        <v>1272</v>
      </c>
      <c r="J339" s="10" t="s">
        <v>24</v>
      </c>
      <c r="L339" s="10">
        <v>1</v>
      </c>
      <c r="M339" s="10">
        <v>3</v>
      </c>
      <c r="N339" s="10" t="s">
        <v>2168</v>
      </c>
      <c r="O339" s="10" t="s">
        <v>2159</v>
      </c>
      <c r="S339" s="10">
        <v>2475</v>
      </c>
      <c r="U339" s="10" t="str">
        <f t="shared" ca="1" si="12"/>
        <v/>
      </c>
      <c r="V339" s="10" t="str">
        <f t="shared" ca="1" si="13"/>
        <v/>
      </c>
      <c r="AG339" t="s">
        <v>19</v>
      </c>
      <c r="AJ339" cm="1">
        <f t="array" ref="AJ339">_xlfn.IFS(AG339="Yes",1,AG339="No",0,AG339="","")</f>
        <v>1</v>
      </c>
    </row>
    <row r="340" spans="1:36" ht="29">
      <c r="A340" t="s">
        <v>387</v>
      </c>
      <c r="D340" s="4" t="s">
        <v>1274</v>
      </c>
      <c r="E340" s="4" t="s">
        <v>1275</v>
      </c>
      <c r="I340" t="s">
        <v>2250</v>
      </c>
      <c r="J340" s="10" t="s">
        <v>26</v>
      </c>
      <c r="U340" s="10" t="str">
        <f t="shared" ca="1" si="12"/>
        <v/>
      </c>
      <c r="V340" s="10" t="str">
        <f t="shared" ca="1" si="13"/>
        <v/>
      </c>
      <c r="AG340" t="s">
        <v>19</v>
      </c>
      <c r="AJ340" cm="1">
        <f t="array" ref="AJ340">_xlfn.IFS(AG340="Yes",1,AG340="No",0,AG340="","")</f>
        <v>1</v>
      </c>
    </row>
    <row r="341" spans="1:36">
      <c r="A341" t="s">
        <v>388</v>
      </c>
      <c r="D341" s="4" t="s">
        <v>389</v>
      </c>
      <c r="E341" s="4" t="s">
        <v>390</v>
      </c>
      <c r="J341" s="10" t="s">
        <v>2201</v>
      </c>
      <c r="U341" s="10" t="str">
        <f t="shared" ca="1" si="12"/>
        <v/>
      </c>
      <c r="V341" s="10" t="str">
        <f t="shared" ca="1" si="13"/>
        <v/>
      </c>
      <c r="AC341" s="10" t="s">
        <v>2233</v>
      </c>
      <c r="AD341" s="10" t="s">
        <v>19</v>
      </c>
      <c r="AE341" s="10" t="s">
        <v>2167</v>
      </c>
      <c r="AG341" t="s">
        <v>19</v>
      </c>
      <c r="AJ341" cm="1">
        <f t="array" ref="AJ341">_xlfn.IFS(AG341="Yes",1,AG341="No",0,AG341="","")</f>
        <v>1</v>
      </c>
    </row>
    <row r="342" spans="1:36">
      <c r="A342" t="s">
        <v>388</v>
      </c>
      <c r="D342" s="4" t="s">
        <v>391</v>
      </c>
      <c r="E342" s="4" t="s">
        <v>392</v>
      </c>
      <c r="J342" s="10" t="s">
        <v>2199</v>
      </c>
      <c r="T342" s="10" t="s">
        <v>2220</v>
      </c>
      <c r="U342" s="10" t="str">
        <f t="shared" ca="1" si="12"/>
        <v/>
      </c>
      <c r="V342" s="10" t="str">
        <f t="shared" ca="1" si="13"/>
        <v/>
      </c>
      <c r="AC342" s="10" t="s">
        <v>2271</v>
      </c>
      <c r="AD342" s="10" t="s">
        <v>19</v>
      </c>
      <c r="AE342" s="10" t="s">
        <v>2167</v>
      </c>
      <c r="AG342" t="s">
        <v>19</v>
      </c>
      <c r="AJ342" cm="1">
        <f t="array" ref="AJ342">_xlfn.IFS(AG342="Yes",1,AG342="No",0,AG342="","")</f>
        <v>1</v>
      </c>
    </row>
    <row r="343" spans="1:36">
      <c r="A343" t="s">
        <v>393</v>
      </c>
      <c r="D343" s="4" t="s">
        <v>1276</v>
      </c>
      <c r="E343" s="4" t="s">
        <v>1277</v>
      </c>
      <c r="J343" s="10" t="s">
        <v>2199</v>
      </c>
      <c r="T343" s="10" t="s">
        <v>2220</v>
      </c>
      <c r="U343" s="10" t="str">
        <f t="shared" ca="1" si="12"/>
        <v/>
      </c>
      <c r="V343" s="10" t="str">
        <f t="shared" ca="1" si="13"/>
        <v/>
      </c>
      <c r="AB343" s="10" t="s">
        <v>2235</v>
      </c>
      <c r="AD343" s="10" t="s">
        <v>19</v>
      </c>
      <c r="AG343" t="s">
        <v>19</v>
      </c>
      <c r="AJ343" cm="1">
        <f t="array" ref="AJ343">_xlfn.IFS(AG343="Yes",1,AG343="No",0,AG343="","")</f>
        <v>1</v>
      </c>
    </row>
    <row r="344" spans="1:36">
      <c r="A344" t="s">
        <v>393</v>
      </c>
      <c r="D344" s="4" t="s">
        <v>394</v>
      </c>
      <c r="E344" s="4" t="s">
        <v>395</v>
      </c>
      <c r="J344" s="10" t="s">
        <v>2201</v>
      </c>
      <c r="U344" s="10" t="str">
        <f t="shared" ca="1" si="12"/>
        <v/>
      </c>
      <c r="V344" s="10" t="str">
        <f t="shared" ca="1" si="13"/>
        <v/>
      </c>
      <c r="AG344" t="s">
        <v>19</v>
      </c>
      <c r="AJ344" cm="1">
        <f t="array" ref="AJ344">_xlfn.IFS(AG344="Yes",1,AG344="No",0,AG344="","")</f>
        <v>1</v>
      </c>
    </row>
    <row r="345" spans="1:36">
      <c r="A345" t="s">
        <v>396</v>
      </c>
      <c r="D345" s="4" t="s">
        <v>1278</v>
      </c>
      <c r="E345" s="4" t="s">
        <v>1279</v>
      </c>
      <c r="J345" s="10" t="s">
        <v>2199</v>
      </c>
      <c r="T345" s="10">
        <f>280-31</f>
        <v>249</v>
      </c>
      <c r="U345" s="10">
        <f t="shared" ca="1" si="12"/>
        <v>31</v>
      </c>
      <c r="V345" s="10">
        <f t="shared" ca="1" si="13"/>
        <v>280</v>
      </c>
      <c r="AG345" t="s">
        <v>19</v>
      </c>
      <c r="AJ345" cm="1">
        <f t="array" ref="AJ345">_xlfn.IFS(AG345="Yes",1,AG345="No",0,AG345="","")</f>
        <v>1</v>
      </c>
    </row>
    <row r="346" spans="1:36" ht="29">
      <c r="A346" t="s">
        <v>396</v>
      </c>
      <c r="D346" s="4" t="s">
        <v>1281</v>
      </c>
      <c r="E346" s="4" t="s">
        <v>1280</v>
      </c>
      <c r="J346" s="10" t="s">
        <v>2199</v>
      </c>
      <c r="T346" s="10">
        <f>10-613</f>
        <v>-603</v>
      </c>
      <c r="U346" s="10">
        <f t="shared" ca="1" si="12"/>
        <v>613</v>
      </c>
      <c r="V346" s="10">
        <f t="shared" ca="1" si="13"/>
        <v>10</v>
      </c>
      <c r="AG346" t="s">
        <v>19</v>
      </c>
      <c r="AJ346" cm="1">
        <f t="array" ref="AJ346">_xlfn.IFS(AG346="Yes",1,AG346="No",0,AG346="","")</f>
        <v>1</v>
      </c>
    </row>
    <row r="347" spans="1:36" ht="29">
      <c r="A347" t="s">
        <v>397</v>
      </c>
      <c r="D347" s="4" t="s">
        <v>1282</v>
      </c>
      <c r="E347" s="4" t="s">
        <v>1283</v>
      </c>
      <c r="J347" s="10" t="s">
        <v>2199</v>
      </c>
      <c r="T347" s="10">
        <f>0-1</f>
        <v>-1</v>
      </c>
      <c r="U347" s="10">
        <f t="shared" ca="1" si="12"/>
        <v>1</v>
      </c>
      <c r="V347" s="10">
        <f t="shared" ca="1" si="13"/>
        <v>0</v>
      </c>
      <c r="AG347" t="s">
        <v>19</v>
      </c>
      <c r="AJ347" cm="1">
        <f t="array" ref="AJ347">_xlfn.IFS(AG347="Yes",1,AG347="No",0,AG347="","")</f>
        <v>1</v>
      </c>
    </row>
    <row r="348" spans="1:36">
      <c r="A348" t="s">
        <v>398</v>
      </c>
      <c r="D348" t="s">
        <v>125</v>
      </c>
      <c r="E348" t="s">
        <v>126</v>
      </c>
      <c r="J348" s="10" t="s">
        <v>2199</v>
      </c>
      <c r="T348" s="10" t="s">
        <v>2220</v>
      </c>
      <c r="U348" s="10" t="str">
        <f t="shared" ca="1" si="12"/>
        <v/>
      </c>
      <c r="V348" s="10" t="str">
        <f t="shared" ca="1" si="13"/>
        <v/>
      </c>
      <c r="AB348" s="10" t="s">
        <v>2235</v>
      </c>
      <c r="AC348" s="10" t="s">
        <v>2233</v>
      </c>
      <c r="AD348" s="10" t="s">
        <v>19</v>
      </c>
      <c r="AG348" t="s">
        <v>19</v>
      </c>
      <c r="AJ348" cm="1">
        <f t="array" ref="AJ348">_xlfn.IFS(AG348="Yes",1,AG348="No",0,AG348="","")</f>
        <v>1</v>
      </c>
    </row>
    <row r="349" spans="1:36">
      <c r="A349" t="s">
        <v>398</v>
      </c>
      <c r="D349" s="4" t="s">
        <v>399</v>
      </c>
      <c r="E349" s="4" t="s">
        <v>1284</v>
      </c>
      <c r="J349" s="10" t="s">
        <v>2201</v>
      </c>
      <c r="U349" s="10" t="str">
        <f t="shared" ca="1" si="12"/>
        <v/>
      </c>
      <c r="V349" s="10" t="str">
        <f t="shared" ca="1" si="13"/>
        <v/>
      </c>
      <c r="AG349" t="s">
        <v>20</v>
      </c>
      <c r="AJ349" cm="1">
        <f t="array" ref="AJ349">_xlfn.IFS(AG349="Yes",1,AG349="No",0,AG349="","")</f>
        <v>0</v>
      </c>
    </row>
    <row r="350" spans="1:36">
      <c r="A350" t="s">
        <v>398</v>
      </c>
      <c r="D350" s="4" t="s">
        <v>1286</v>
      </c>
      <c r="E350" s="4" t="s">
        <v>1285</v>
      </c>
      <c r="J350" s="10" t="s">
        <v>2201</v>
      </c>
      <c r="U350" s="10" t="str">
        <f t="shared" ca="1" si="12"/>
        <v/>
      </c>
      <c r="V350" s="10" t="str">
        <f t="shared" ca="1" si="13"/>
        <v/>
      </c>
      <c r="AE350" s="10" t="s">
        <v>2163</v>
      </c>
      <c r="AG350" t="s">
        <v>19</v>
      </c>
      <c r="AJ350" cm="1">
        <f t="array" ref="AJ350">_xlfn.IFS(AG350="Yes",1,AG350="No",0,AG350="","")</f>
        <v>1</v>
      </c>
    </row>
    <row r="351" spans="1:36">
      <c r="A351" t="s">
        <v>400</v>
      </c>
      <c r="D351" s="4" t="s">
        <v>1287</v>
      </c>
      <c r="E351" s="4" t="s">
        <v>1288</v>
      </c>
      <c r="H351" t="s">
        <v>19</v>
      </c>
      <c r="J351" s="10" t="s">
        <v>24</v>
      </c>
      <c r="L351" s="10">
        <v>1</v>
      </c>
      <c r="M351" s="10">
        <v>1</v>
      </c>
      <c r="N351" s="10" t="s">
        <v>2158</v>
      </c>
      <c r="O351" s="10" t="s">
        <v>2200</v>
      </c>
      <c r="R351" s="10" t="s">
        <v>2154</v>
      </c>
      <c r="S351" s="10">
        <v>2475</v>
      </c>
      <c r="U351" s="10" t="str">
        <f t="shared" ca="1" si="12"/>
        <v/>
      </c>
      <c r="V351" s="10" t="str">
        <f t="shared" ca="1" si="13"/>
        <v/>
      </c>
      <c r="AE351" s="10" t="s">
        <v>2163</v>
      </c>
      <c r="AG351" t="s">
        <v>20</v>
      </c>
      <c r="AJ351" cm="1">
        <f t="array" ref="AJ351">_xlfn.IFS(AG351="Yes",1,AG351="No",0,AG351="","")</f>
        <v>0</v>
      </c>
    </row>
    <row r="352" spans="1:36" ht="29">
      <c r="A352" t="s">
        <v>401</v>
      </c>
      <c r="D352" s="4" t="s">
        <v>1289</v>
      </c>
      <c r="E352" s="4" t="s">
        <v>1290</v>
      </c>
      <c r="J352" s="10" t="s">
        <v>2201</v>
      </c>
      <c r="U352" s="10" t="str">
        <f t="shared" ca="1" si="12"/>
        <v/>
      </c>
      <c r="V352" s="10" t="str">
        <f t="shared" ca="1" si="13"/>
        <v/>
      </c>
      <c r="AC352" s="10" t="s">
        <v>2252</v>
      </c>
      <c r="AD352" s="10" t="s">
        <v>19</v>
      </c>
      <c r="AG352" t="s">
        <v>19</v>
      </c>
      <c r="AJ352" cm="1">
        <f t="array" ref="AJ352">_xlfn.IFS(AG352="Yes",1,AG352="No",0,AG352="","")</f>
        <v>1</v>
      </c>
    </row>
    <row r="353" spans="1:36" ht="29">
      <c r="A353" t="s">
        <v>402</v>
      </c>
      <c r="D353" s="4" t="s">
        <v>2272</v>
      </c>
      <c r="E353" s="4" t="s">
        <v>2273</v>
      </c>
      <c r="J353" s="10" t="s">
        <v>24</v>
      </c>
      <c r="L353" s="10">
        <v>1</v>
      </c>
      <c r="M353" s="10">
        <v>3</v>
      </c>
      <c r="N353" s="10" t="s">
        <v>2168</v>
      </c>
      <c r="O353" s="10" t="s">
        <v>2159</v>
      </c>
      <c r="S353" s="10">
        <v>1701</v>
      </c>
      <c r="U353" s="10" t="str">
        <f t="shared" ca="1" si="12"/>
        <v/>
      </c>
      <c r="V353" s="10" t="str">
        <f t="shared" ca="1" si="13"/>
        <v/>
      </c>
      <c r="AG353" t="s">
        <v>19</v>
      </c>
      <c r="AJ353" cm="1">
        <f t="array" ref="AJ353">_xlfn.IFS(AG353="Yes",1,AG353="No",0,AG353="","")</f>
        <v>1</v>
      </c>
    </row>
    <row r="354" spans="1:36">
      <c r="A354" t="s">
        <v>402</v>
      </c>
      <c r="D354" s="4" t="s">
        <v>1292</v>
      </c>
      <c r="E354" s="4" t="s">
        <v>1291</v>
      </c>
      <c r="J354" s="10" t="s">
        <v>2199</v>
      </c>
      <c r="T354" s="10">
        <f>5-1</f>
        <v>4</v>
      </c>
      <c r="U354" s="10">
        <f t="shared" ca="1" si="12"/>
        <v>1</v>
      </c>
      <c r="V354" s="10">
        <f t="shared" ca="1" si="13"/>
        <v>5</v>
      </c>
      <c r="AG354" t="s">
        <v>19</v>
      </c>
      <c r="AJ354" cm="1">
        <f t="array" ref="AJ354">_xlfn.IFS(AG354="Yes",1,AG354="No",0,AG354="","")</f>
        <v>1</v>
      </c>
    </row>
    <row r="355" spans="1:36">
      <c r="A355" t="s">
        <v>402</v>
      </c>
      <c r="D355" s="4" t="s">
        <v>403</v>
      </c>
      <c r="E355" s="4" t="s">
        <v>404</v>
      </c>
      <c r="J355" s="10" t="s">
        <v>2199</v>
      </c>
      <c r="T355" s="10" t="s">
        <v>2220</v>
      </c>
      <c r="U355" s="10" t="str">
        <f t="shared" ca="1" si="12"/>
        <v/>
      </c>
      <c r="V355" s="10" t="str">
        <f t="shared" ca="1" si="13"/>
        <v/>
      </c>
      <c r="AE355" s="10" t="s">
        <v>2167</v>
      </c>
      <c r="AG355" t="s">
        <v>19</v>
      </c>
      <c r="AJ355" cm="1">
        <f t="array" ref="AJ355">_xlfn.IFS(AG355="Yes",1,AG355="No",0,AG355="","")</f>
        <v>1</v>
      </c>
    </row>
    <row r="356" spans="1:36" ht="58">
      <c r="A356" t="s">
        <v>402</v>
      </c>
      <c r="D356" s="4" t="s">
        <v>1293</v>
      </c>
      <c r="E356" s="4" t="s">
        <v>1294</v>
      </c>
      <c r="J356" s="10" t="s">
        <v>2199</v>
      </c>
      <c r="T356" s="10">
        <f>0-1</f>
        <v>-1</v>
      </c>
      <c r="U356" s="10">
        <f t="shared" ca="1" si="12"/>
        <v>1</v>
      </c>
      <c r="V356" s="10">
        <f t="shared" ca="1" si="13"/>
        <v>0</v>
      </c>
      <c r="AG356" t="s">
        <v>19</v>
      </c>
      <c r="AJ356" cm="1">
        <f t="array" ref="AJ356">_xlfn.IFS(AG356="Yes",1,AG356="No",0,AG356="","")</f>
        <v>1</v>
      </c>
    </row>
    <row r="357" spans="1:36" ht="58">
      <c r="A357" t="s">
        <v>402</v>
      </c>
      <c r="D357" s="4" t="s">
        <v>1295</v>
      </c>
      <c r="E357" s="4" t="s">
        <v>1296</v>
      </c>
      <c r="I357" t="s">
        <v>2253</v>
      </c>
      <c r="J357" s="10" t="s">
        <v>26</v>
      </c>
      <c r="U357" s="10" t="str">
        <f t="shared" ca="1" si="12"/>
        <v/>
      </c>
      <c r="V357" s="10" t="str">
        <f t="shared" ca="1" si="13"/>
        <v/>
      </c>
      <c r="AG357" t="s">
        <v>19</v>
      </c>
      <c r="AJ357" cm="1">
        <f t="array" ref="AJ357">_xlfn.IFS(AG357="Yes",1,AG357="No",0,AG357="","")</f>
        <v>1</v>
      </c>
    </row>
    <row r="358" spans="1:36">
      <c r="A358" t="s">
        <v>405</v>
      </c>
      <c r="D358" s="4" t="s">
        <v>406</v>
      </c>
      <c r="E358" s="4" t="s">
        <v>407</v>
      </c>
      <c r="J358" s="10" t="s">
        <v>2201</v>
      </c>
      <c r="U358" s="10" t="str">
        <f t="shared" ca="1" si="12"/>
        <v/>
      </c>
      <c r="V358" s="10" t="str">
        <f t="shared" ca="1" si="13"/>
        <v/>
      </c>
      <c r="AG358" t="s">
        <v>19</v>
      </c>
      <c r="AJ358" cm="1">
        <f t="array" ref="AJ358">_xlfn.IFS(AG358="Yes",1,AG358="No",0,AG358="","")</f>
        <v>1</v>
      </c>
    </row>
    <row r="359" spans="1:36">
      <c r="A359" t="s">
        <v>405</v>
      </c>
      <c r="D359" s="4" t="s">
        <v>1298</v>
      </c>
      <c r="E359" s="4" t="s">
        <v>1297</v>
      </c>
      <c r="J359" s="10" t="s">
        <v>2199</v>
      </c>
      <c r="T359" s="10">
        <f>105-166</f>
        <v>-61</v>
      </c>
      <c r="U359" s="10">
        <f t="shared" ca="1" si="12"/>
        <v>166</v>
      </c>
      <c r="V359" s="10">
        <f t="shared" ca="1" si="13"/>
        <v>105</v>
      </c>
      <c r="AG359" t="s">
        <v>19</v>
      </c>
      <c r="AJ359" cm="1">
        <f t="array" ref="AJ359">_xlfn.IFS(AG359="Yes",1,AG359="No",0,AG359="","")</f>
        <v>1</v>
      </c>
    </row>
    <row r="360" spans="1:36" ht="43.5">
      <c r="A360" t="s">
        <v>405</v>
      </c>
      <c r="D360" s="4" t="s">
        <v>1299</v>
      </c>
      <c r="E360" s="4" t="s">
        <v>1300</v>
      </c>
      <c r="J360" s="10" t="s">
        <v>2199</v>
      </c>
      <c r="T360" s="10" t="s">
        <v>2220</v>
      </c>
      <c r="U360" s="10" t="str">
        <f t="shared" ca="1" si="12"/>
        <v/>
      </c>
      <c r="V360" s="10" t="str">
        <f t="shared" ca="1" si="13"/>
        <v/>
      </c>
      <c r="AE360" s="10" t="s">
        <v>2157</v>
      </c>
      <c r="AG360" t="s">
        <v>19</v>
      </c>
      <c r="AJ360" cm="1">
        <f t="array" ref="AJ360">_xlfn.IFS(AG360="Yes",1,AG360="No",0,AG360="","")</f>
        <v>1</v>
      </c>
    </row>
    <row r="361" spans="1:36" ht="43.5">
      <c r="A361" t="s">
        <v>405</v>
      </c>
      <c r="D361" s="4" t="s">
        <v>1301</v>
      </c>
      <c r="E361" s="4" t="s">
        <v>1302</v>
      </c>
      <c r="J361" s="10" t="s">
        <v>2199</v>
      </c>
      <c r="T361" s="10">
        <f>99-166</f>
        <v>-67</v>
      </c>
      <c r="U361" s="10">
        <f t="shared" ca="1" si="12"/>
        <v>166</v>
      </c>
      <c r="V361" s="10">
        <f t="shared" ca="1" si="13"/>
        <v>99</v>
      </c>
      <c r="AG361" t="s">
        <v>19</v>
      </c>
      <c r="AJ361" cm="1">
        <f t="array" ref="AJ361">_xlfn.IFS(AG361="Yes",1,AG361="No",0,AG361="","")</f>
        <v>1</v>
      </c>
    </row>
    <row r="362" spans="1:36" ht="29">
      <c r="A362" t="s">
        <v>408</v>
      </c>
      <c r="D362" s="4" t="s">
        <v>1304</v>
      </c>
      <c r="E362" s="4" t="s">
        <v>1303</v>
      </c>
      <c r="J362" s="10" t="s">
        <v>24</v>
      </c>
      <c r="L362" s="10">
        <v>1</v>
      </c>
      <c r="M362" s="10">
        <v>3</v>
      </c>
      <c r="N362" s="10" t="s">
        <v>2175</v>
      </c>
      <c r="O362" s="10" t="s">
        <v>2159</v>
      </c>
      <c r="S362" s="10">
        <v>743</v>
      </c>
      <c r="U362" s="10" t="str">
        <f t="shared" ca="1" si="12"/>
        <v/>
      </c>
      <c r="V362" s="10" t="str">
        <f t="shared" ca="1" si="13"/>
        <v/>
      </c>
      <c r="AG362" t="s">
        <v>19</v>
      </c>
      <c r="AJ362" cm="1">
        <f t="array" ref="AJ362">_xlfn.IFS(AG362="Yes",1,AG362="No",0,AG362="","")</f>
        <v>1</v>
      </c>
    </row>
    <row r="363" spans="1:36">
      <c r="A363" t="s">
        <v>409</v>
      </c>
      <c r="D363" s="4" t="s">
        <v>410</v>
      </c>
      <c r="E363" s="4" t="s">
        <v>411</v>
      </c>
      <c r="J363" s="10" t="s">
        <v>2199</v>
      </c>
      <c r="T363" s="10">
        <f>2-0</f>
        <v>2</v>
      </c>
      <c r="U363" s="10">
        <f t="shared" ca="1" si="12"/>
        <v>0</v>
      </c>
      <c r="V363" s="10">
        <f t="shared" ca="1" si="13"/>
        <v>2</v>
      </c>
      <c r="AC363" s="10" t="s">
        <v>2233</v>
      </c>
      <c r="AD363" s="10" t="s">
        <v>19</v>
      </c>
      <c r="AG363" t="s">
        <v>19</v>
      </c>
      <c r="AJ363" cm="1">
        <f t="array" ref="AJ363">_xlfn.IFS(AG363="Yes",1,AG363="No",0,AG363="","")</f>
        <v>1</v>
      </c>
    </row>
    <row r="364" spans="1:36">
      <c r="A364" t="s">
        <v>412</v>
      </c>
      <c r="D364" s="4" t="s">
        <v>1305</v>
      </c>
      <c r="E364" s="4" t="s">
        <v>1305</v>
      </c>
      <c r="F364" t="s">
        <v>35</v>
      </c>
      <c r="I364" t="s">
        <v>1306</v>
      </c>
      <c r="U364" s="10" t="str">
        <f t="shared" ca="1" si="12"/>
        <v/>
      </c>
      <c r="V364" s="10" t="str">
        <f t="shared" ca="1" si="13"/>
        <v/>
      </c>
      <c r="AJ364" t="str" cm="1">
        <f t="array" ref="AJ364">_xlfn.IFS(AG364="Yes",1,AG364="No",0,AG364="","")</f>
        <v/>
      </c>
    </row>
    <row r="365" spans="1:36">
      <c r="A365" t="s">
        <v>412</v>
      </c>
      <c r="D365" s="4" t="s">
        <v>1308</v>
      </c>
      <c r="E365" s="4" t="s">
        <v>1307</v>
      </c>
      <c r="J365" s="10" t="s">
        <v>25</v>
      </c>
      <c r="L365" s="10">
        <v>1</v>
      </c>
      <c r="M365" s="10">
        <v>3</v>
      </c>
      <c r="N365" s="10" t="s">
        <v>2177</v>
      </c>
      <c r="O365" s="10" t="s">
        <v>2159</v>
      </c>
      <c r="S365" s="10">
        <v>10</v>
      </c>
      <c r="U365" s="10" t="str">
        <f t="shared" ca="1" si="12"/>
        <v/>
      </c>
      <c r="V365" s="10" t="str">
        <f t="shared" ca="1" si="13"/>
        <v/>
      </c>
      <c r="AG365" t="s">
        <v>19</v>
      </c>
      <c r="AJ365" cm="1">
        <f t="array" ref="AJ365">_xlfn.IFS(AG365="Yes",1,AG365="No",0,AG365="","")</f>
        <v>1</v>
      </c>
    </row>
    <row r="366" spans="1:36" ht="29">
      <c r="A366" t="s">
        <v>413</v>
      </c>
      <c r="D366" s="4" t="s">
        <v>1310</v>
      </c>
      <c r="E366" s="4" t="s">
        <v>1311</v>
      </c>
      <c r="J366" s="10" t="s">
        <v>2199</v>
      </c>
      <c r="T366" s="10">
        <f>2-0</f>
        <v>2</v>
      </c>
      <c r="U366" s="10">
        <f t="shared" ca="1" si="12"/>
        <v>0</v>
      </c>
      <c r="V366" s="10">
        <f t="shared" ca="1" si="13"/>
        <v>2</v>
      </c>
      <c r="AC366" s="10" t="s">
        <v>2233</v>
      </c>
      <c r="AD366" s="10" t="s">
        <v>19</v>
      </c>
      <c r="AG366" t="s">
        <v>19</v>
      </c>
      <c r="AJ366" cm="1">
        <f t="array" ref="AJ366">_xlfn.IFS(AG366="Yes",1,AG366="No",0,AG366="","")</f>
        <v>1</v>
      </c>
    </row>
    <row r="367" spans="1:36" ht="29">
      <c r="A367" t="s">
        <v>413</v>
      </c>
      <c r="D367" s="4" t="s">
        <v>1309</v>
      </c>
      <c r="E367" s="4" t="s">
        <v>1312</v>
      </c>
      <c r="J367" s="10" t="s">
        <v>24</v>
      </c>
      <c r="L367" s="10">
        <v>1</v>
      </c>
      <c r="M367" s="10">
        <v>3</v>
      </c>
      <c r="N367" s="10" t="s">
        <v>2168</v>
      </c>
      <c r="O367" s="10" t="s">
        <v>2159</v>
      </c>
      <c r="S367" s="10">
        <v>1701</v>
      </c>
      <c r="U367" s="10" t="str">
        <f t="shared" ca="1" si="12"/>
        <v/>
      </c>
      <c r="V367" s="10" t="str">
        <f t="shared" ca="1" si="13"/>
        <v/>
      </c>
      <c r="AG367" t="s">
        <v>19</v>
      </c>
      <c r="AJ367" cm="1">
        <f t="array" ref="AJ367">_xlfn.IFS(AG367="Yes",1,AG367="No",0,AG367="","")</f>
        <v>1</v>
      </c>
    </row>
    <row r="368" spans="1:36" ht="29">
      <c r="A368" t="s">
        <v>413</v>
      </c>
      <c r="D368" s="4" t="s">
        <v>1313</v>
      </c>
      <c r="E368" s="4" t="s">
        <v>1314</v>
      </c>
      <c r="J368" s="10" t="s">
        <v>2201</v>
      </c>
      <c r="U368" s="10" t="str">
        <f t="shared" ca="1" si="12"/>
        <v/>
      </c>
      <c r="V368" s="10" t="str">
        <f t="shared" ca="1" si="13"/>
        <v/>
      </c>
      <c r="AG368" t="s">
        <v>20</v>
      </c>
      <c r="AJ368" cm="1">
        <f t="array" ref="AJ368">_xlfn.IFS(AG368="Yes",1,AG368="No",0,AG368="","")</f>
        <v>0</v>
      </c>
    </row>
    <row r="369" spans="1:36">
      <c r="A369" t="s">
        <v>414</v>
      </c>
      <c r="D369" s="4" t="s">
        <v>1315</v>
      </c>
      <c r="E369" s="4" t="s">
        <v>1316</v>
      </c>
      <c r="J369" s="10" t="s">
        <v>2199</v>
      </c>
      <c r="T369" s="10">
        <f>99-166</f>
        <v>-67</v>
      </c>
      <c r="U369" s="10">
        <f t="shared" ca="1" si="12"/>
        <v>166</v>
      </c>
      <c r="V369" s="10">
        <f t="shared" ca="1" si="13"/>
        <v>99</v>
      </c>
      <c r="AG369" t="s">
        <v>19</v>
      </c>
      <c r="AJ369" cm="1">
        <f t="array" ref="AJ369">_xlfn.IFS(AG369="Yes",1,AG369="No",0,AG369="","")</f>
        <v>1</v>
      </c>
    </row>
    <row r="370" spans="1:36" ht="58">
      <c r="A370" t="s">
        <v>415</v>
      </c>
      <c r="D370" s="4" t="s">
        <v>1317</v>
      </c>
      <c r="E370" s="4" t="s">
        <v>1318</v>
      </c>
      <c r="J370" s="10" t="s">
        <v>24</v>
      </c>
      <c r="L370" s="10">
        <v>2</v>
      </c>
      <c r="M370" s="10">
        <v>21</v>
      </c>
      <c r="O370" s="10" t="s">
        <v>2153</v>
      </c>
      <c r="P370" s="10" t="s">
        <v>2274</v>
      </c>
      <c r="Q370" s="11" t="s">
        <v>2275</v>
      </c>
      <c r="S370" s="10">
        <v>11</v>
      </c>
      <c r="U370" s="10" t="str">
        <f t="shared" ca="1" si="12"/>
        <v/>
      </c>
      <c r="V370" s="10" t="str">
        <f t="shared" ca="1" si="13"/>
        <v/>
      </c>
      <c r="AG370" t="s">
        <v>19</v>
      </c>
      <c r="AJ370" cm="1">
        <f t="array" ref="AJ370">_xlfn.IFS(AG370="Yes",1,AG370="No",0,AG370="","")</f>
        <v>1</v>
      </c>
    </row>
    <row r="371" spans="1:36" ht="58">
      <c r="A371" t="s">
        <v>415</v>
      </c>
      <c r="D371" s="4" t="s">
        <v>1319</v>
      </c>
      <c r="E371" s="4" t="s">
        <v>1320</v>
      </c>
      <c r="J371" s="10" t="s">
        <v>24</v>
      </c>
      <c r="L371" s="10">
        <v>1</v>
      </c>
      <c r="M371" s="10">
        <v>12</v>
      </c>
      <c r="N371" s="10" t="s">
        <v>2219</v>
      </c>
      <c r="O371" s="10" t="s">
        <v>2153</v>
      </c>
      <c r="P371" s="10" t="s">
        <v>2229</v>
      </c>
      <c r="Q371" s="11" t="s">
        <v>2276</v>
      </c>
      <c r="R371" s="10" t="s">
        <v>2154</v>
      </c>
      <c r="S371" s="10">
        <v>11</v>
      </c>
      <c r="U371" s="10" t="str">
        <f t="shared" ca="1" si="12"/>
        <v/>
      </c>
      <c r="V371" s="10" t="str">
        <f t="shared" ca="1" si="13"/>
        <v/>
      </c>
      <c r="AG371" t="s">
        <v>20</v>
      </c>
      <c r="AJ371" cm="1">
        <f t="array" ref="AJ371">_xlfn.IFS(AG371="Yes",1,AG371="No",0,AG371="","")</f>
        <v>0</v>
      </c>
    </row>
    <row r="372" spans="1:36">
      <c r="A372" t="s">
        <v>416</v>
      </c>
      <c r="D372" s="4" t="s">
        <v>1321</v>
      </c>
      <c r="E372" s="4" t="s">
        <v>1322</v>
      </c>
      <c r="J372" s="10" t="s">
        <v>24</v>
      </c>
      <c r="L372" s="10">
        <v>1</v>
      </c>
      <c r="M372" s="10">
        <v>2</v>
      </c>
      <c r="N372" s="10" t="s">
        <v>2158</v>
      </c>
      <c r="O372" s="10" t="s">
        <v>2200</v>
      </c>
      <c r="S372" s="10">
        <v>2475</v>
      </c>
      <c r="U372" s="10" t="str">
        <f t="shared" ca="1" si="12"/>
        <v/>
      </c>
      <c r="V372" s="10" t="str">
        <f t="shared" ca="1" si="13"/>
        <v/>
      </c>
      <c r="AG372" t="s">
        <v>19</v>
      </c>
      <c r="AJ372" cm="1">
        <f t="array" ref="AJ372">_xlfn.IFS(AG372="Yes",1,AG372="No",0,AG372="","")</f>
        <v>1</v>
      </c>
    </row>
    <row r="373" spans="1:36">
      <c r="A373" t="s">
        <v>416</v>
      </c>
      <c r="D373" s="4" t="s">
        <v>1323</v>
      </c>
      <c r="E373" s="4" t="s">
        <v>1324</v>
      </c>
      <c r="J373" s="10" t="s">
        <v>2199</v>
      </c>
      <c r="T373" s="10" t="s">
        <v>2200</v>
      </c>
      <c r="U373" s="10" t="str">
        <f t="shared" ca="1" si="12"/>
        <v/>
      </c>
      <c r="V373" s="10" t="str">
        <f t="shared" ca="1" si="13"/>
        <v/>
      </c>
      <c r="AB373" s="10" t="s">
        <v>2235</v>
      </c>
      <c r="AC373" s="10" t="s">
        <v>2233</v>
      </c>
      <c r="AD373" s="10" t="s">
        <v>19</v>
      </c>
      <c r="AG373" t="s">
        <v>19</v>
      </c>
      <c r="AJ373" cm="1">
        <f t="array" ref="AJ373">_xlfn.IFS(AG373="Yes",1,AG373="No",0,AG373="","")</f>
        <v>1</v>
      </c>
    </row>
    <row r="374" spans="1:36">
      <c r="A374" t="s">
        <v>416</v>
      </c>
      <c r="D374" s="4" t="s">
        <v>1325</v>
      </c>
      <c r="E374" s="4" t="s">
        <v>1326</v>
      </c>
      <c r="J374" s="10" t="s">
        <v>2199</v>
      </c>
      <c r="T374" s="10">
        <f>0-1</f>
        <v>-1</v>
      </c>
      <c r="U374" s="10">
        <f t="shared" ca="1" si="12"/>
        <v>1</v>
      </c>
      <c r="V374" s="10">
        <f t="shared" ca="1" si="13"/>
        <v>0</v>
      </c>
      <c r="AG374" t="s">
        <v>19</v>
      </c>
      <c r="AJ374" cm="1">
        <f t="array" ref="AJ374">_xlfn.IFS(AG374="Yes",1,AG374="No",0,AG374="","")</f>
        <v>1</v>
      </c>
    </row>
    <row r="375" spans="1:36">
      <c r="A375" t="s">
        <v>417</v>
      </c>
      <c r="D375" s="4" t="s">
        <v>418</v>
      </c>
      <c r="E375" s="4" t="s">
        <v>419</v>
      </c>
      <c r="J375" s="10" t="s">
        <v>2201</v>
      </c>
      <c r="U375" s="10" t="str">
        <f t="shared" ca="1" si="12"/>
        <v/>
      </c>
      <c r="V375" s="10" t="str">
        <f t="shared" ca="1" si="13"/>
        <v/>
      </c>
      <c r="AG375" t="s">
        <v>19</v>
      </c>
      <c r="AJ375" cm="1">
        <f t="array" ref="AJ375">_xlfn.IFS(AG375="Yes",1,AG375="No",0,AG375="","")</f>
        <v>1</v>
      </c>
    </row>
    <row r="376" spans="1:36" ht="29">
      <c r="A376" t="s">
        <v>417</v>
      </c>
      <c r="D376" s="4" t="s">
        <v>1328</v>
      </c>
      <c r="E376" s="4" t="s">
        <v>1327</v>
      </c>
      <c r="J376" s="10" t="s">
        <v>2201</v>
      </c>
      <c r="U376" s="10" t="str">
        <f t="shared" ca="1" si="12"/>
        <v/>
      </c>
      <c r="V376" s="10" t="str">
        <f t="shared" ca="1" si="13"/>
        <v/>
      </c>
      <c r="AC376" s="10" t="s">
        <v>2251</v>
      </c>
      <c r="AD376" s="10" t="s">
        <v>19</v>
      </c>
      <c r="AG376" t="s">
        <v>19</v>
      </c>
      <c r="AJ376" cm="1">
        <f t="array" ref="AJ376">_xlfn.IFS(AG376="Yes",1,AG376="No",0,AG376="","")</f>
        <v>1</v>
      </c>
    </row>
    <row r="377" spans="1:36">
      <c r="A377" t="s">
        <v>420</v>
      </c>
      <c r="D377" s="4" t="s">
        <v>421</v>
      </c>
      <c r="E377" s="4" t="s">
        <v>1329</v>
      </c>
      <c r="J377" s="10" t="s">
        <v>2201</v>
      </c>
      <c r="U377" s="10" t="str">
        <f t="shared" ca="1" si="12"/>
        <v/>
      </c>
      <c r="V377" s="10" t="str">
        <f t="shared" ca="1" si="13"/>
        <v/>
      </c>
      <c r="AC377" s="10" t="s">
        <v>2252</v>
      </c>
      <c r="AD377" s="10" t="s">
        <v>19</v>
      </c>
      <c r="AG377" t="s">
        <v>20</v>
      </c>
      <c r="AJ377" cm="1">
        <f t="array" ref="AJ377">_xlfn.IFS(AG377="Yes",1,AG377="No",0,AG377="","")</f>
        <v>0</v>
      </c>
    </row>
    <row r="378" spans="1:36" ht="58">
      <c r="A378" t="s">
        <v>422</v>
      </c>
      <c r="D378" s="4" t="s">
        <v>1332</v>
      </c>
      <c r="E378" s="4" t="s">
        <v>1331</v>
      </c>
      <c r="I378" s="5"/>
      <c r="J378" s="10" t="s">
        <v>25</v>
      </c>
      <c r="L378" s="10">
        <v>5</v>
      </c>
      <c r="M378" s="10">
        <v>27</v>
      </c>
      <c r="O378" s="10" t="s">
        <v>2153</v>
      </c>
      <c r="P378" s="10" t="s">
        <v>2277</v>
      </c>
      <c r="Q378" s="11" t="s">
        <v>2278</v>
      </c>
      <c r="S378" s="10">
        <v>3</v>
      </c>
      <c r="U378" s="10" t="str">
        <f t="shared" ca="1" si="12"/>
        <v/>
      </c>
      <c r="V378" s="10" t="str">
        <f t="shared" ca="1" si="13"/>
        <v/>
      </c>
      <c r="AF378" s="10" t="s">
        <v>19</v>
      </c>
      <c r="AG378" t="s">
        <v>19</v>
      </c>
      <c r="AJ378" cm="1">
        <f t="array" ref="AJ378">_xlfn.IFS(AG378="Yes",1,AG378="No",0,AG378="","")</f>
        <v>1</v>
      </c>
    </row>
    <row r="379" spans="1:36" ht="58">
      <c r="A379" t="s">
        <v>422</v>
      </c>
      <c r="D379" s="4" t="s">
        <v>1330</v>
      </c>
      <c r="E379" s="4" t="s">
        <v>1333</v>
      </c>
      <c r="H379" t="s">
        <v>19</v>
      </c>
      <c r="I379" s="5"/>
      <c r="J379" s="10" t="s">
        <v>24</v>
      </c>
      <c r="L379" s="10">
        <v>1</v>
      </c>
      <c r="M379" s="10">
        <v>1</v>
      </c>
      <c r="N379" s="10" t="s">
        <v>2168</v>
      </c>
      <c r="O379" s="10" t="s">
        <v>2200</v>
      </c>
      <c r="S379" s="10">
        <v>171</v>
      </c>
      <c r="U379" s="10" t="str">
        <f t="shared" ca="1" si="12"/>
        <v/>
      </c>
      <c r="V379" s="10" t="str">
        <f t="shared" ca="1" si="13"/>
        <v/>
      </c>
      <c r="AG379" t="s">
        <v>20</v>
      </c>
      <c r="AJ379" cm="1">
        <f t="array" ref="AJ379">_xlfn.IFS(AG379="Yes",1,AG379="No",0,AG379="","")</f>
        <v>0</v>
      </c>
    </row>
    <row r="380" spans="1:36">
      <c r="A380" t="s">
        <v>422</v>
      </c>
      <c r="D380" s="4" t="s">
        <v>423</v>
      </c>
      <c r="E380" s="4" t="s">
        <v>424</v>
      </c>
      <c r="J380" s="10" t="s">
        <v>2201</v>
      </c>
      <c r="U380" s="10" t="str">
        <f t="shared" ca="1" si="12"/>
        <v/>
      </c>
      <c r="V380" s="10" t="str">
        <f t="shared" ca="1" si="13"/>
        <v/>
      </c>
      <c r="AG380" t="s">
        <v>19</v>
      </c>
      <c r="AJ380" cm="1">
        <f t="array" ref="AJ380">_xlfn.IFS(AG380="Yes",1,AG380="No",0,AG380="","")</f>
        <v>1</v>
      </c>
    </row>
    <row r="381" spans="1:36">
      <c r="A381" t="s">
        <v>425</v>
      </c>
      <c r="D381" s="4" t="s">
        <v>426</v>
      </c>
      <c r="E381" s="4" t="s">
        <v>427</v>
      </c>
      <c r="J381" s="10" t="s">
        <v>2201</v>
      </c>
      <c r="U381" s="10" t="str">
        <f t="shared" ca="1" si="12"/>
        <v/>
      </c>
      <c r="V381" s="10" t="str">
        <f t="shared" ca="1" si="13"/>
        <v/>
      </c>
      <c r="AG381" t="s">
        <v>19</v>
      </c>
      <c r="AJ381" cm="1">
        <f t="array" ref="AJ381">_xlfn.IFS(AG381="Yes",1,AG381="No",0,AG381="","")</f>
        <v>1</v>
      </c>
    </row>
    <row r="382" spans="1:36">
      <c r="A382" t="s">
        <v>428</v>
      </c>
      <c r="D382" s="4" t="s">
        <v>429</v>
      </c>
      <c r="E382" s="4" t="s">
        <v>146</v>
      </c>
      <c r="J382" s="10" t="s">
        <v>2201</v>
      </c>
      <c r="U382" s="10" t="str">
        <f t="shared" ca="1" si="12"/>
        <v/>
      </c>
      <c r="V382" s="10" t="str">
        <f t="shared" ca="1" si="13"/>
        <v/>
      </c>
      <c r="AG382" t="s">
        <v>19</v>
      </c>
      <c r="AJ382" cm="1">
        <f t="array" ref="AJ382">_xlfn.IFS(AG382="Yes",1,AG382="No",0,AG382="","")</f>
        <v>1</v>
      </c>
    </row>
    <row r="383" spans="1:36">
      <c r="A383" t="s">
        <v>430</v>
      </c>
      <c r="D383" s="4" t="s">
        <v>1334</v>
      </c>
      <c r="E383" s="4" t="s">
        <v>1335</v>
      </c>
      <c r="J383" s="10" t="s">
        <v>2201</v>
      </c>
      <c r="U383" s="10" t="str">
        <f t="shared" ca="1" si="12"/>
        <v/>
      </c>
      <c r="V383" s="10" t="str">
        <f t="shared" ca="1" si="13"/>
        <v/>
      </c>
      <c r="AB383" s="10" t="s">
        <v>2235</v>
      </c>
      <c r="AD383" s="10" t="s">
        <v>19</v>
      </c>
      <c r="AG383" t="s">
        <v>19</v>
      </c>
      <c r="AJ383" cm="1">
        <f t="array" ref="AJ383">_xlfn.IFS(AG383="Yes",1,AG383="No",0,AG383="","")</f>
        <v>1</v>
      </c>
    </row>
    <row r="384" spans="1:36">
      <c r="A384" t="s">
        <v>431</v>
      </c>
      <c r="D384" s="4" t="s">
        <v>432</v>
      </c>
      <c r="E384" s="4" t="s">
        <v>433</v>
      </c>
      <c r="J384" s="10" t="s">
        <v>2199</v>
      </c>
      <c r="T384" s="10" t="s">
        <v>2220</v>
      </c>
      <c r="U384" s="10" t="str">
        <f t="shared" ref="U384:U447" ca="1" si="14">IF(ISNUMBER(T384),VALUE(MID(_xlfn.FORMULATEXT(T384),SEARCH("-",_xlfn.FORMULATEXT(T384))+1,LEN(_xlfn.FORMULATEXT(T384))-SEARCH("-",_xlfn.FORMULATEXT(T384)))), "")</f>
        <v/>
      </c>
      <c r="V384" s="10" t="str">
        <f t="shared" ref="V384:V447" ca="1" si="15">IF(ISNUMBER(T384), VALUE(MID(_xlfn.FORMULATEXT(T384), 2, SEARCH("-", _xlfn.FORMULATEXT(T384)) - 2)), "")</f>
        <v/>
      </c>
      <c r="AB384" s="10" t="s">
        <v>2235</v>
      </c>
      <c r="AD384" s="10" t="s">
        <v>19</v>
      </c>
      <c r="AG384" t="s">
        <v>19</v>
      </c>
      <c r="AJ384" cm="1">
        <f t="array" ref="AJ384">_xlfn.IFS(AG384="Yes",1,AG384="No",0,AG384="","")</f>
        <v>1</v>
      </c>
    </row>
    <row r="385" spans="1:36">
      <c r="A385" t="s">
        <v>431</v>
      </c>
      <c r="D385" s="4" t="s">
        <v>434</v>
      </c>
      <c r="E385" s="4" t="s">
        <v>435</v>
      </c>
      <c r="J385" s="10" t="s">
        <v>2199</v>
      </c>
      <c r="T385" s="10" t="s">
        <v>2220</v>
      </c>
      <c r="U385" s="10" t="str">
        <f t="shared" ca="1" si="14"/>
        <v/>
      </c>
      <c r="V385" s="10" t="str">
        <f t="shared" ca="1" si="15"/>
        <v/>
      </c>
      <c r="AC385" s="10" t="s">
        <v>2279</v>
      </c>
      <c r="AD385" s="10" t="s">
        <v>19</v>
      </c>
      <c r="AE385" s="10" t="s">
        <v>2167</v>
      </c>
      <c r="AG385" t="s">
        <v>19</v>
      </c>
      <c r="AJ385" cm="1">
        <f t="array" ref="AJ385">_xlfn.IFS(AG385="Yes",1,AG385="No",0,AG385="","")</f>
        <v>1</v>
      </c>
    </row>
    <row r="386" spans="1:36">
      <c r="A386" t="s">
        <v>436</v>
      </c>
      <c r="D386" s="4" t="s">
        <v>426</v>
      </c>
      <c r="E386" s="4" t="s">
        <v>427</v>
      </c>
      <c r="H386" t="s">
        <v>19</v>
      </c>
      <c r="J386" s="10" t="s">
        <v>2201</v>
      </c>
      <c r="U386" s="10" t="str">
        <f t="shared" ca="1" si="14"/>
        <v/>
      </c>
      <c r="V386" s="10" t="str">
        <f t="shared" ca="1" si="15"/>
        <v/>
      </c>
      <c r="AE386" s="10" t="s">
        <v>2163</v>
      </c>
      <c r="AG386" t="s">
        <v>19</v>
      </c>
      <c r="AJ386" cm="1">
        <f t="array" ref="AJ386">_xlfn.IFS(AG386="Yes",1,AG386="No",0,AG386="","")</f>
        <v>1</v>
      </c>
    </row>
    <row r="387" spans="1:36">
      <c r="A387" t="s">
        <v>437</v>
      </c>
      <c r="D387" s="4" t="s">
        <v>1336</v>
      </c>
      <c r="E387" s="4" t="s">
        <v>1337</v>
      </c>
      <c r="J387" s="10" t="s">
        <v>2199</v>
      </c>
      <c r="T387" s="10" t="s">
        <v>2220</v>
      </c>
      <c r="U387" s="10" t="str">
        <f t="shared" ca="1" si="14"/>
        <v/>
      </c>
      <c r="V387" s="10" t="str">
        <f t="shared" ca="1" si="15"/>
        <v/>
      </c>
      <c r="AB387" s="10" t="s">
        <v>2235</v>
      </c>
      <c r="AD387" s="10" t="s">
        <v>19</v>
      </c>
      <c r="AG387" t="s">
        <v>19</v>
      </c>
      <c r="AJ387" cm="1">
        <f t="array" ref="AJ387">_xlfn.IFS(AG387="Yes",1,AG387="No",0,AG387="","")</f>
        <v>1</v>
      </c>
    </row>
    <row r="388" spans="1:36">
      <c r="A388" t="s">
        <v>437</v>
      </c>
      <c r="D388" s="4" t="s">
        <v>1339</v>
      </c>
      <c r="E388" s="4" t="s">
        <v>1338</v>
      </c>
      <c r="J388" s="10" t="s">
        <v>24</v>
      </c>
      <c r="L388" s="10">
        <v>1</v>
      </c>
      <c r="M388" s="10">
        <v>3</v>
      </c>
      <c r="N388" s="10" t="s">
        <v>2158</v>
      </c>
      <c r="O388" s="10" t="s">
        <v>2159</v>
      </c>
      <c r="S388" s="10">
        <v>2475</v>
      </c>
      <c r="U388" s="10" t="str">
        <f t="shared" ca="1" si="14"/>
        <v/>
      </c>
      <c r="V388" s="10" t="str">
        <f t="shared" ca="1" si="15"/>
        <v/>
      </c>
      <c r="AG388" t="s">
        <v>19</v>
      </c>
      <c r="AJ388" cm="1">
        <f t="array" ref="AJ388">_xlfn.IFS(AG388="Yes",1,AG388="No",0,AG388="","")</f>
        <v>1</v>
      </c>
    </row>
    <row r="389" spans="1:36">
      <c r="A389" t="s">
        <v>437</v>
      </c>
      <c r="D389" s="4" t="s">
        <v>440</v>
      </c>
      <c r="E389" s="4" t="s">
        <v>440</v>
      </c>
      <c r="F389" t="s">
        <v>35</v>
      </c>
      <c r="I389" t="s">
        <v>1341</v>
      </c>
      <c r="U389" s="10" t="str">
        <f t="shared" ca="1" si="14"/>
        <v/>
      </c>
      <c r="V389" s="10" t="str">
        <f t="shared" ca="1" si="15"/>
        <v/>
      </c>
      <c r="AJ389" t="str" cm="1">
        <f t="array" ref="AJ389">_xlfn.IFS(AG389="Yes",1,AG389="No",0,AG389="","")</f>
        <v/>
      </c>
    </row>
    <row r="390" spans="1:36">
      <c r="A390" t="s">
        <v>437</v>
      </c>
      <c r="D390" s="4" t="s">
        <v>1344</v>
      </c>
      <c r="E390" s="4" t="s">
        <v>1343</v>
      </c>
      <c r="J390" s="10" t="s">
        <v>2201</v>
      </c>
      <c r="U390" s="10" t="str">
        <f t="shared" ca="1" si="14"/>
        <v/>
      </c>
      <c r="V390" s="10" t="str">
        <f t="shared" ca="1" si="15"/>
        <v/>
      </c>
      <c r="AB390" s="10" t="s">
        <v>2162</v>
      </c>
      <c r="AD390" s="10" t="s">
        <v>19</v>
      </c>
      <c r="AG390" t="s">
        <v>19</v>
      </c>
      <c r="AJ390" cm="1">
        <f t="array" ref="AJ390">_xlfn.IFS(AG390="Yes",1,AG390="No",0,AG390="","")</f>
        <v>1</v>
      </c>
    </row>
    <row r="391" spans="1:36">
      <c r="A391" t="s">
        <v>441</v>
      </c>
      <c r="D391" s="4" t="s">
        <v>1340</v>
      </c>
      <c r="E391" s="4" t="s">
        <v>1342</v>
      </c>
      <c r="H391" t="s">
        <v>19</v>
      </c>
      <c r="J391" s="10" t="s">
        <v>2201</v>
      </c>
      <c r="U391" s="10" t="str">
        <f t="shared" ca="1" si="14"/>
        <v/>
      </c>
      <c r="V391" s="10" t="str">
        <f t="shared" ca="1" si="15"/>
        <v/>
      </c>
      <c r="AG391" t="s">
        <v>20</v>
      </c>
      <c r="AJ391" cm="1">
        <f t="array" ref="AJ391">_xlfn.IFS(AG391="Yes",1,AG391="No",0,AG391="","")</f>
        <v>0</v>
      </c>
    </row>
    <row r="392" spans="1:36">
      <c r="A392" t="s">
        <v>441</v>
      </c>
      <c r="D392" s="4" t="s">
        <v>1345</v>
      </c>
      <c r="E392" s="4" t="s">
        <v>1346</v>
      </c>
      <c r="J392" s="10" t="s">
        <v>2201</v>
      </c>
      <c r="U392" s="10" t="str">
        <f t="shared" ca="1" si="14"/>
        <v/>
      </c>
      <c r="V392" s="10" t="str">
        <f t="shared" ca="1" si="15"/>
        <v/>
      </c>
      <c r="AG392" t="s">
        <v>19</v>
      </c>
      <c r="AJ392" cm="1">
        <f t="array" ref="AJ392">_xlfn.IFS(AG392="Yes",1,AG392="No",0,AG392="","")</f>
        <v>1</v>
      </c>
    </row>
    <row r="393" spans="1:36" ht="29">
      <c r="A393" t="s">
        <v>442</v>
      </c>
      <c r="D393" s="4" t="s">
        <v>1347</v>
      </c>
      <c r="E393" s="4" t="s">
        <v>1348</v>
      </c>
      <c r="J393" s="10" t="s">
        <v>24</v>
      </c>
      <c r="L393" s="10">
        <v>1</v>
      </c>
      <c r="M393" s="10">
        <v>3</v>
      </c>
      <c r="N393" s="10" t="s">
        <v>2158</v>
      </c>
      <c r="O393" s="10" t="s">
        <v>2153</v>
      </c>
      <c r="P393" s="10" t="s">
        <v>2229</v>
      </c>
      <c r="Q393" s="11" t="s">
        <v>2230</v>
      </c>
      <c r="S393" s="10">
        <v>2475</v>
      </c>
      <c r="U393" s="10" t="str">
        <f t="shared" ca="1" si="14"/>
        <v/>
      </c>
      <c r="V393" s="10" t="str">
        <f t="shared" ca="1" si="15"/>
        <v/>
      </c>
      <c r="AG393" t="s">
        <v>20</v>
      </c>
      <c r="AJ393" cm="1">
        <f t="array" ref="AJ393">_xlfn.IFS(AG393="Yes",1,AG393="No",0,AG393="","")</f>
        <v>0</v>
      </c>
    </row>
    <row r="394" spans="1:36" ht="43.5">
      <c r="A394" t="s">
        <v>442</v>
      </c>
      <c r="D394" s="4" t="s">
        <v>1349</v>
      </c>
      <c r="E394" s="4" t="s">
        <v>1350</v>
      </c>
      <c r="J394" s="10" t="s">
        <v>24</v>
      </c>
      <c r="L394" s="10">
        <v>1</v>
      </c>
      <c r="M394" s="10">
        <v>2</v>
      </c>
      <c r="N394" s="10" t="s">
        <v>2158</v>
      </c>
      <c r="O394" s="10" t="s">
        <v>2200</v>
      </c>
      <c r="S394" s="10">
        <v>2475</v>
      </c>
      <c r="U394" s="10" t="str">
        <f t="shared" ca="1" si="14"/>
        <v/>
      </c>
      <c r="V394" s="10" t="str">
        <f t="shared" ca="1" si="15"/>
        <v/>
      </c>
      <c r="AG394" t="s">
        <v>19</v>
      </c>
      <c r="AJ394" cm="1">
        <f t="array" ref="AJ394">_xlfn.IFS(AG394="Yes",1,AG394="No",0,AG394="","")</f>
        <v>1</v>
      </c>
    </row>
    <row r="395" spans="1:36" ht="43.5">
      <c r="A395" t="s">
        <v>442</v>
      </c>
      <c r="D395" s="4" t="s">
        <v>1349</v>
      </c>
      <c r="E395" s="4" t="s">
        <v>1351</v>
      </c>
      <c r="J395" s="10" t="s">
        <v>24</v>
      </c>
      <c r="L395" s="10">
        <v>1</v>
      </c>
      <c r="M395" s="10">
        <v>3</v>
      </c>
      <c r="N395" s="10" t="s">
        <v>2158</v>
      </c>
      <c r="O395" s="10" t="s">
        <v>2159</v>
      </c>
      <c r="S395" s="10">
        <v>2475</v>
      </c>
      <c r="U395" s="10" t="str">
        <f t="shared" ca="1" si="14"/>
        <v/>
      </c>
      <c r="V395" s="10" t="str">
        <f t="shared" ca="1" si="15"/>
        <v/>
      </c>
      <c r="AG395" t="s">
        <v>19</v>
      </c>
      <c r="AJ395" cm="1">
        <f t="array" ref="AJ395">_xlfn.IFS(AG395="Yes",1,AG395="No",0,AG395="","")</f>
        <v>1</v>
      </c>
    </row>
    <row r="396" spans="1:36" ht="29">
      <c r="A396" t="s">
        <v>443</v>
      </c>
      <c r="D396" s="4" t="s">
        <v>1353</v>
      </c>
      <c r="E396" s="4" t="s">
        <v>1352</v>
      </c>
      <c r="I396" t="s">
        <v>2250</v>
      </c>
      <c r="J396" s="10" t="s">
        <v>26</v>
      </c>
      <c r="U396" s="10" t="str">
        <f t="shared" ca="1" si="14"/>
        <v/>
      </c>
      <c r="V396" s="10" t="str">
        <f t="shared" ca="1" si="15"/>
        <v/>
      </c>
      <c r="AG396" t="s">
        <v>19</v>
      </c>
      <c r="AJ396" cm="1">
        <f t="array" ref="AJ396">_xlfn.IFS(AG396="Yes",1,AG396="No",0,AG396="","")</f>
        <v>1</v>
      </c>
    </row>
    <row r="397" spans="1:36" ht="29">
      <c r="A397" t="s">
        <v>443</v>
      </c>
      <c r="D397" s="4" t="s">
        <v>1354</v>
      </c>
      <c r="E397" s="4" t="s">
        <v>1355</v>
      </c>
      <c r="J397" s="10" t="s">
        <v>2201</v>
      </c>
      <c r="U397" s="10" t="str">
        <f t="shared" ca="1" si="14"/>
        <v/>
      </c>
      <c r="V397" s="10" t="str">
        <f t="shared" ca="1" si="15"/>
        <v/>
      </c>
      <c r="AB397" s="10" t="s">
        <v>2162</v>
      </c>
      <c r="AD397" s="10" t="s">
        <v>19</v>
      </c>
      <c r="AG397" t="s">
        <v>19</v>
      </c>
      <c r="AJ397" cm="1">
        <f t="array" ref="AJ397">_xlfn.IFS(AG397="Yes",1,AG397="No",0,AG397="","")</f>
        <v>1</v>
      </c>
    </row>
    <row r="398" spans="1:36" ht="29">
      <c r="A398" t="s">
        <v>443</v>
      </c>
      <c r="D398" s="4" t="s">
        <v>1357</v>
      </c>
      <c r="E398" s="4" t="s">
        <v>1356</v>
      </c>
      <c r="J398" s="10" t="s">
        <v>25</v>
      </c>
      <c r="L398" s="10">
        <v>1</v>
      </c>
      <c r="M398" s="10">
        <v>7</v>
      </c>
      <c r="N398" s="10" t="s">
        <v>2219</v>
      </c>
      <c r="O398" s="10" t="s">
        <v>2153</v>
      </c>
      <c r="P398" s="10" t="s">
        <v>2229</v>
      </c>
      <c r="Q398" s="11" t="s">
        <v>2232</v>
      </c>
      <c r="S398" s="10">
        <v>38</v>
      </c>
      <c r="U398" s="10" t="str">
        <f t="shared" ca="1" si="14"/>
        <v/>
      </c>
      <c r="V398" s="10" t="str">
        <f t="shared" ca="1" si="15"/>
        <v/>
      </c>
      <c r="AE398" s="10" t="s">
        <v>2163</v>
      </c>
      <c r="AG398" t="s">
        <v>19</v>
      </c>
      <c r="AJ398" cm="1">
        <f t="array" ref="AJ398">_xlfn.IFS(AG398="Yes",1,AG398="No",0,AG398="","")</f>
        <v>1</v>
      </c>
    </row>
    <row r="399" spans="1:36" ht="29">
      <c r="A399" t="s">
        <v>443</v>
      </c>
      <c r="D399" s="4" t="s">
        <v>1358</v>
      </c>
      <c r="E399" s="4" t="s">
        <v>1359</v>
      </c>
      <c r="J399" s="10" t="s">
        <v>2201</v>
      </c>
      <c r="U399" s="10" t="str">
        <f t="shared" ca="1" si="14"/>
        <v/>
      </c>
      <c r="V399" s="10" t="str">
        <f t="shared" ca="1" si="15"/>
        <v/>
      </c>
      <c r="AG399" t="s">
        <v>19</v>
      </c>
      <c r="AJ399" cm="1">
        <f t="array" ref="AJ399">_xlfn.IFS(AG399="Yes",1,AG399="No",0,AG399="","")</f>
        <v>1</v>
      </c>
    </row>
    <row r="400" spans="1:36">
      <c r="A400" t="s">
        <v>445</v>
      </c>
      <c r="D400" s="4" t="s">
        <v>1360</v>
      </c>
      <c r="E400" s="4" t="s">
        <v>1361</v>
      </c>
      <c r="J400" s="10" t="s">
        <v>2201</v>
      </c>
      <c r="U400" s="10" t="str">
        <f t="shared" ca="1" si="14"/>
        <v/>
      </c>
      <c r="V400" s="10" t="str">
        <f t="shared" ca="1" si="15"/>
        <v/>
      </c>
      <c r="AG400" t="s">
        <v>19</v>
      </c>
      <c r="AJ400" cm="1">
        <f t="array" ref="AJ400">_xlfn.IFS(AG400="Yes",1,AG400="No",0,AG400="","")</f>
        <v>1</v>
      </c>
    </row>
    <row r="401" spans="1:36" ht="29">
      <c r="A401" t="s">
        <v>445</v>
      </c>
      <c r="D401" s="4" t="s">
        <v>1363</v>
      </c>
      <c r="E401" s="4" t="s">
        <v>1362</v>
      </c>
      <c r="J401" s="10" t="s">
        <v>2199</v>
      </c>
      <c r="T401" s="10">
        <f>3-1</f>
        <v>2</v>
      </c>
      <c r="U401" s="10">
        <f t="shared" ca="1" si="14"/>
        <v>1</v>
      </c>
      <c r="V401" s="10">
        <f t="shared" ca="1" si="15"/>
        <v>3</v>
      </c>
      <c r="AG401" t="s">
        <v>19</v>
      </c>
      <c r="AJ401" cm="1">
        <f t="array" ref="AJ401">_xlfn.IFS(AG401="Yes",1,AG401="No",0,AG401="","")</f>
        <v>1</v>
      </c>
    </row>
    <row r="402" spans="1:36" ht="29">
      <c r="A402" t="s">
        <v>446</v>
      </c>
      <c r="D402" s="4" t="s">
        <v>1365</v>
      </c>
      <c r="E402" s="4" t="s">
        <v>1364</v>
      </c>
      <c r="J402" s="10" t="s">
        <v>24</v>
      </c>
      <c r="L402" s="10">
        <v>1</v>
      </c>
      <c r="M402" s="10">
        <v>3</v>
      </c>
      <c r="N402" s="10" t="s">
        <v>2158</v>
      </c>
      <c r="O402" s="10" t="s">
        <v>2159</v>
      </c>
      <c r="S402" s="10">
        <v>2475</v>
      </c>
      <c r="U402" s="10" t="str">
        <f t="shared" ca="1" si="14"/>
        <v/>
      </c>
      <c r="V402" s="10" t="str">
        <f t="shared" ca="1" si="15"/>
        <v/>
      </c>
      <c r="AG402" t="s">
        <v>20</v>
      </c>
      <c r="AJ402" cm="1">
        <f t="array" ref="AJ402">_xlfn.IFS(AG402="Yes",1,AG402="No",0,AG402="","")</f>
        <v>0</v>
      </c>
    </row>
    <row r="403" spans="1:36">
      <c r="A403" t="s">
        <v>447</v>
      </c>
      <c r="D403" s="4" t="s">
        <v>448</v>
      </c>
      <c r="E403" s="4" t="s">
        <v>448</v>
      </c>
      <c r="F403" t="s">
        <v>36</v>
      </c>
      <c r="G403" t="s">
        <v>20</v>
      </c>
      <c r="I403" t="s">
        <v>2280</v>
      </c>
      <c r="U403" s="10" t="str">
        <f t="shared" ca="1" si="14"/>
        <v/>
      </c>
      <c r="V403" s="10" t="str">
        <f t="shared" ca="1" si="15"/>
        <v/>
      </c>
      <c r="AF403" s="10" t="s">
        <v>19</v>
      </c>
      <c r="AJ403" t="str" cm="1">
        <f t="array" ref="AJ403">_xlfn.IFS(AG403="Yes",1,AG403="No",0,AG403="","")</f>
        <v/>
      </c>
    </row>
    <row r="404" spans="1:36" ht="29">
      <c r="A404" t="s">
        <v>447</v>
      </c>
      <c r="D404" s="4" t="s">
        <v>1367</v>
      </c>
      <c r="E404" s="4" t="s">
        <v>1368</v>
      </c>
      <c r="I404" s="7"/>
      <c r="J404" s="10" t="s">
        <v>2199</v>
      </c>
      <c r="T404" s="10">
        <f>1-3</f>
        <v>-2</v>
      </c>
      <c r="U404" s="10">
        <f t="shared" ca="1" si="14"/>
        <v>3</v>
      </c>
      <c r="V404" s="10">
        <f t="shared" ca="1" si="15"/>
        <v>1</v>
      </c>
      <c r="AF404" s="10" t="s">
        <v>19</v>
      </c>
      <c r="AG404" t="s">
        <v>19</v>
      </c>
      <c r="AJ404" cm="1">
        <f t="array" ref="AJ404">_xlfn.IFS(AG404="Yes",1,AG404="No",0,AG404="","")</f>
        <v>1</v>
      </c>
    </row>
    <row r="405" spans="1:36" ht="29">
      <c r="A405" t="s">
        <v>447</v>
      </c>
      <c r="D405" s="4" t="s">
        <v>1366</v>
      </c>
      <c r="E405" s="4" t="s">
        <v>1369</v>
      </c>
      <c r="H405" t="s">
        <v>19</v>
      </c>
      <c r="J405" s="10" t="s">
        <v>24</v>
      </c>
      <c r="L405" s="10">
        <v>1</v>
      </c>
      <c r="M405" s="10">
        <v>1</v>
      </c>
      <c r="N405" s="10" t="s">
        <v>2152</v>
      </c>
      <c r="O405" s="10" t="s">
        <v>2200</v>
      </c>
      <c r="S405" s="10">
        <v>1</v>
      </c>
      <c r="U405" s="10" t="str">
        <f t="shared" ca="1" si="14"/>
        <v/>
      </c>
      <c r="V405" s="10" t="str">
        <f t="shared" ca="1" si="15"/>
        <v/>
      </c>
      <c r="AE405" s="10" t="s">
        <v>2163</v>
      </c>
      <c r="AG405" t="s">
        <v>20</v>
      </c>
      <c r="AJ405" cm="1">
        <f t="array" ref="AJ405">_xlfn.IFS(AG405="Yes",1,AG405="No",0,AG405="","")</f>
        <v>0</v>
      </c>
    </row>
    <row r="406" spans="1:36" ht="29">
      <c r="A406" t="s">
        <v>447</v>
      </c>
      <c r="D406" s="4" t="s">
        <v>1370</v>
      </c>
      <c r="E406" s="4" t="s">
        <v>1371</v>
      </c>
      <c r="J406" s="10" t="s">
        <v>2199</v>
      </c>
      <c r="T406" s="10">
        <f>108-1</f>
        <v>107</v>
      </c>
      <c r="U406" s="10">
        <f t="shared" ca="1" si="14"/>
        <v>1</v>
      </c>
      <c r="V406" s="10">
        <f t="shared" ca="1" si="15"/>
        <v>108</v>
      </c>
      <c r="AE406" s="10" t="s">
        <v>2163</v>
      </c>
      <c r="AG406" t="s">
        <v>19</v>
      </c>
      <c r="AJ406" cm="1">
        <f t="array" ref="AJ406">_xlfn.IFS(AG406="Yes",1,AG406="No",0,AG406="","")</f>
        <v>1</v>
      </c>
    </row>
    <row r="407" spans="1:36" ht="29">
      <c r="A407" t="s">
        <v>449</v>
      </c>
      <c r="D407" s="4" t="s">
        <v>1372</v>
      </c>
      <c r="E407" s="4" t="s">
        <v>1373</v>
      </c>
      <c r="J407" s="10" t="s">
        <v>24</v>
      </c>
      <c r="L407" s="10">
        <v>1</v>
      </c>
      <c r="M407" s="10">
        <v>2</v>
      </c>
      <c r="N407" s="10" t="s">
        <v>2168</v>
      </c>
      <c r="O407" s="10" t="s">
        <v>2200</v>
      </c>
      <c r="S407" s="10">
        <v>171</v>
      </c>
      <c r="U407" s="10" t="str">
        <f t="shared" ca="1" si="14"/>
        <v/>
      </c>
      <c r="V407" s="10" t="str">
        <f t="shared" ca="1" si="15"/>
        <v/>
      </c>
      <c r="AG407" t="s">
        <v>19</v>
      </c>
      <c r="AJ407" cm="1">
        <f t="array" ref="AJ407">_xlfn.IFS(AG407="Yes",1,AG407="No",0,AG407="","")</f>
        <v>1</v>
      </c>
    </row>
    <row r="408" spans="1:36" ht="29">
      <c r="A408" t="s">
        <v>449</v>
      </c>
      <c r="D408" s="4" t="s">
        <v>1375</v>
      </c>
      <c r="E408" s="4" t="s">
        <v>1374</v>
      </c>
      <c r="J408" s="10" t="s">
        <v>2199</v>
      </c>
      <c r="T408" s="10" t="s">
        <v>2220</v>
      </c>
      <c r="U408" s="10" t="str">
        <f t="shared" ca="1" si="14"/>
        <v/>
      </c>
      <c r="V408" s="10" t="str">
        <f t="shared" ca="1" si="15"/>
        <v/>
      </c>
      <c r="AB408" s="10" t="s">
        <v>2235</v>
      </c>
      <c r="AD408" s="10" t="s">
        <v>19</v>
      </c>
      <c r="AG408" t="s">
        <v>19</v>
      </c>
      <c r="AJ408" cm="1">
        <f t="array" ref="AJ408">_xlfn.IFS(AG408="Yes",1,AG408="No",0,AG408="","")</f>
        <v>1</v>
      </c>
    </row>
    <row r="409" spans="1:36">
      <c r="A409" t="s">
        <v>450</v>
      </c>
      <c r="D409" s="4" t="s">
        <v>438</v>
      </c>
      <c r="E409" s="4" t="s">
        <v>439</v>
      </c>
      <c r="J409" s="10" t="s">
        <v>2199</v>
      </c>
      <c r="T409" s="10" t="s">
        <v>2220</v>
      </c>
      <c r="U409" s="10" t="str">
        <f t="shared" ca="1" si="14"/>
        <v/>
      </c>
      <c r="V409" s="10" t="str">
        <f t="shared" ca="1" si="15"/>
        <v/>
      </c>
      <c r="AB409" s="10" t="s">
        <v>2235</v>
      </c>
      <c r="AD409" s="10" t="s">
        <v>19</v>
      </c>
      <c r="AG409" t="s">
        <v>19</v>
      </c>
      <c r="AJ409" cm="1">
        <f t="array" ref="AJ409">_xlfn.IFS(AG409="Yes",1,AG409="No",0,AG409="","")</f>
        <v>1</v>
      </c>
    </row>
    <row r="410" spans="1:36">
      <c r="A410" t="s">
        <v>450</v>
      </c>
      <c r="D410" s="4" t="s">
        <v>1376</v>
      </c>
      <c r="E410" s="4" t="s">
        <v>1377</v>
      </c>
      <c r="J410" s="10" t="s">
        <v>2201</v>
      </c>
      <c r="U410" s="10" t="str">
        <f t="shared" ca="1" si="14"/>
        <v/>
      </c>
      <c r="V410" s="10" t="str">
        <f t="shared" ca="1" si="15"/>
        <v/>
      </c>
      <c r="AG410" t="s">
        <v>19</v>
      </c>
      <c r="AJ410" cm="1">
        <f t="array" ref="AJ410">_xlfn.IFS(AG410="Yes",1,AG410="No",0,AG410="","")</f>
        <v>1</v>
      </c>
    </row>
    <row r="411" spans="1:36" ht="43.5">
      <c r="A411" t="s">
        <v>451</v>
      </c>
      <c r="D411" s="4" t="s">
        <v>2439</v>
      </c>
      <c r="E411" s="4" t="s">
        <v>1378</v>
      </c>
      <c r="I411" t="s">
        <v>2281</v>
      </c>
      <c r="J411" s="10" t="s">
        <v>25</v>
      </c>
      <c r="L411" s="10">
        <v>5</v>
      </c>
      <c r="M411" s="10">
        <v>27</v>
      </c>
      <c r="O411" s="10" t="s">
        <v>2159</v>
      </c>
      <c r="S411" s="10">
        <v>18</v>
      </c>
      <c r="U411" s="10" t="str">
        <f t="shared" ca="1" si="14"/>
        <v/>
      </c>
      <c r="V411" s="10" t="str">
        <f t="shared" ca="1" si="15"/>
        <v/>
      </c>
      <c r="AG411" t="s">
        <v>19</v>
      </c>
      <c r="AJ411" cm="1">
        <f t="array" ref="AJ411">_xlfn.IFS(AG411="Yes",1,AG411="No",0,AG411="","")</f>
        <v>1</v>
      </c>
    </row>
    <row r="412" spans="1:36">
      <c r="A412" t="s">
        <v>452</v>
      </c>
      <c r="D412" s="4" t="s">
        <v>1379</v>
      </c>
      <c r="E412" s="4" t="s">
        <v>1380</v>
      </c>
      <c r="H412" t="s">
        <v>19</v>
      </c>
      <c r="J412" s="10" t="s">
        <v>24</v>
      </c>
      <c r="L412" s="10">
        <v>1</v>
      </c>
      <c r="M412" s="10">
        <v>1</v>
      </c>
      <c r="N412" s="10" t="s">
        <v>2152</v>
      </c>
      <c r="O412" s="10" t="s">
        <v>2200</v>
      </c>
      <c r="S412" s="10">
        <v>0</v>
      </c>
      <c r="U412" s="10" t="str">
        <f t="shared" ca="1" si="14"/>
        <v/>
      </c>
      <c r="V412" s="10" t="str">
        <f t="shared" ca="1" si="15"/>
        <v/>
      </c>
      <c r="AE412" s="10" t="s">
        <v>2163</v>
      </c>
      <c r="AG412" t="s">
        <v>20</v>
      </c>
      <c r="AJ412" cm="1">
        <f t="array" ref="AJ412">_xlfn.IFS(AG412="Yes",1,AG412="No",0,AG412="","")</f>
        <v>0</v>
      </c>
    </row>
    <row r="413" spans="1:36">
      <c r="A413" t="s">
        <v>453</v>
      </c>
      <c r="D413" s="4" t="s">
        <v>1381</v>
      </c>
      <c r="E413" t="s">
        <v>1382</v>
      </c>
      <c r="I413" s="5"/>
      <c r="J413" s="10" t="s">
        <v>24</v>
      </c>
      <c r="L413" s="10">
        <v>1</v>
      </c>
      <c r="M413" s="10">
        <v>2</v>
      </c>
      <c r="N413" s="10" t="s">
        <v>2158</v>
      </c>
      <c r="O413" s="10" t="s">
        <v>2200</v>
      </c>
      <c r="S413" s="10">
        <v>2475</v>
      </c>
      <c r="U413" s="10" t="str">
        <f t="shared" ca="1" si="14"/>
        <v/>
      </c>
      <c r="V413" s="10" t="str">
        <f t="shared" ca="1" si="15"/>
        <v/>
      </c>
      <c r="AC413" s="10" t="s">
        <v>2251</v>
      </c>
      <c r="AD413" s="10" t="s">
        <v>19</v>
      </c>
      <c r="AG413" t="s">
        <v>19</v>
      </c>
      <c r="AJ413" cm="1">
        <f t="array" ref="AJ413">_xlfn.IFS(AG413="Yes",1,AG413="No",0,AG413="","")</f>
        <v>1</v>
      </c>
    </row>
    <row r="414" spans="1:36" ht="29">
      <c r="A414" t="s">
        <v>454</v>
      </c>
      <c r="D414" s="4" t="s">
        <v>1383</v>
      </c>
      <c r="E414" s="4" t="s">
        <v>1384</v>
      </c>
      <c r="H414" t="s">
        <v>22</v>
      </c>
      <c r="I414" t="s">
        <v>1385</v>
      </c>
      <c r="J414" s="10" t="s">
        <v>2199</v>
      </c>
      <c r="T414" s="10">
        <f>16-7</f>
        <v>9</v>
      </c>
      <c r="U414" s="10">
        <f t="shared" ca="1" si="14"/>
        <v>7</v>
      </c>
      <c r="V414" s="10">
        <f t="shared" ca="1" si="15"/>
        <v>16</v>
      </c>
      <c r="AG414" t="s">
        <v>19</v>
      </c>
      <c r="AJ414" cm="1">
        <f t="array" ref="AJ414">_xlfn.IFS(AG414="Yes",1,AG414="No",0,AG414="","")</f>
        <v>1</v>
      </c>
    </row>
    <row r="415" spans="1:36" ht="29">
      <c r="A415" t="s">
        <v>455</v>
      </c>
      <c r="D415" s="4" t="s">
        <v>2282</v>
      </c>
      <c r="E415" s="4" t="s">
        <v>2283</v>
      </c>
      <c r="H415" t="s">
        <v>19</v>
      </c>
      <c r="J415" s="10" t="s">
        <v>24</v>
      </c>
      <c r="L415" s="10">
        <v>1</v>
      </c>
      <c r="M415" s="10">
        <v>1</v>
      </c>
      <c r="N415" s="10" t="s">
        <v>2152</v>
      </c>
      <c r="O415" s="10" t="s">
        <v>2200</v>
      </c>
      <c r="S415" s="10">
        <v>9</v>
      </c>
      <c r="U415" s="10" t="str">
        <f t="shared" ca="1" si="14"/>
        <v/>
      </c>
      <c r="V415" s="10" t="str">
        <f t="shared" ca="1" si="15"/>
        <v/>
      </c>
      <c r="AG415" t="s">
        <v>20</v>
      </c>
      <c r="AJ415" cm="1">
        <f t="array" ref="AJ415">_xlfn.IFS(AG415="Yes",1,AG415="No",0,AG415="","")</f>
        <v>0</v>
      </c>
    </row>
    <row r="416" spans="1:36">
      <c r="A416" t="s">
        <v>456</v>
      </c>
      <c r="D416" s="4" t="s">
        <v>457</v>
      </c>
      <c r="E416" s="4" t="s">
        <v>458</v>
      </c>
      <c r="J416" s="10" t="s">
        <v>2201</v>
      </c>
      <c r="U416" s="10" t="str">
        <f t="shared" ca="1" si="14"/>
        <v/>
      </c>
      <c r="V416" s="10" t="str">
        <f t="shared" ca="1" si="15"/>
        <v/>
      </c>
      <c r="AG416" t="s">
        <v>20</v>
      </c>
      <c r="AJ416" cm="1">
        <f t="array" ref="AJ416">_xlfn.IFS(AG416="Yes",1,AG416="No",0,AG416="","")</f>
        <v>0</v>
      </c>
    </row>
    <row r="417" spans="1:36">
      <c r="A417" t="s">
        <v>459</v>
      </c>
      <c r="D417" s="4" t="s">
        <v>460</v>
      </c>
      <c r="E417" s="4" t="s">
        <v>461</v>
      </c>
      <c r="J417" s="10" t="s">
        <v>2199</v>
      </c>
      <c r="T417" s="10">
        <f>4-2</f>
        <v>2</v>
      </c>
      <c r="U417" s="10">
        <f t="shared" ca="1" si="14"/>
        <v>2</v>
      </c>
      <c r="V417" s="10">
        <f t="shared" ca="1" si="15"/>
        <v>4</v>
      </c>
      <c r="AC417" s="10" t="s">
        <v>2342</v>
      </c>
      <c r="AD417" s="10" t="s">
        <v>19</v>
      </c>
      <c r="AG417" t="s">
        <v>19</v>
      </c>
      <c r="AJ417" cm="1">
        <f t="array" ref="AJ417">_xlfn.IFS(AG417="Yes",1,AG417="No",0,AG417="","")</f>
        <v>1</v>
      </c>
    </row>
    <row r="418" spans="1:36">
      <c r="A418" t="s">
        <v>459</v>
      </c>
      <c r="D418" s="4" t="s">
        <v>222</v>
      </c>
      <c r="E418" s="4" t="s">
        <v>462</v>
      </c>
      <c r="J418" s="10" t="s">
        <v>2201</v>
      </c>
      <c r="U418" s="10" t="str">
        <f t="shared" ca="1" si="14"/>
        <v/>
      </c>
      <c r="V418" s="10" t="str">
        <f t="shared" ca="1" si="15"/>
        <v/>
      </c>
      <c r="AC418" s="10" t="s">
        <v>2251</v>
      </c>
      <c r="AD418" s="10" t="s">
        <v>19</v>
      </c>
      <c r="AG418" t="s">
        <v>19</v>
      </c>
      <c r="AJ418" cm="1">
        <f t="array" ref="AJ418">_xlfn.IFS(AG418="Yes",1,AG418="No",0,AG418="","")</f>
        <v>1</v>
      </c>
    </row>
    <row r="419" spans="1:36">
      <c r="A419" t="s">
        <v>459</v>
      </c>
      <c r="D419" s="4" t="s">
        <v>1386</v>
      </c>
      <c r="E419" s="4" t="s">
        <v>1387</v>
      </c>
      <c r="J419" s="10" t="s">
        <v>24</v>
      </c>
      <c r="L419" s="10">
        <v>1</v>
      </c>
      <c r="M419" s="10">
        <v>2</v>
      </c>
      <c r="N419" s="10" t="s">
        <v>2168</v>
      </c>
      <c r="O419" s="10" t="s">
        <v>2200</v>
      </c>
      <c r="S419" s="10">
        <v>129</v>
      </c>
      <c r="U419" s="10" t="str">
        <f t="shared" ca="1" si="14"/>
        <v/>
      </c>
      <c r="V419" s="10" t="str">
        <f t="shared" ca="1" si="15"/>
        <v/>
      </c>
      <c r="AG419" t="s">
        <v>20</v>
      </c>
      <c r="AJ419" cm="1">
        <f t="array" ref="AJ419">_xlfn.IFS(AG419="Yes",1,AG419="No",0,AG419="","")</f>
        <v>0</v>
      </c>
    </row>
    <row r="420" spans="1:36">
      <c r="A420" t="s">
        <v>459</v>
      </c>
      <c r="D420" s="4" t="s">
        <v>1389</v>
      </c>
      <c r="E420" s="4" t="s">
        <v>1388</v>
      </c>
      <c r="J420" s="10" t="s">
        <v>2201</v>
      </c>
      <c r="U420" s="10" t="str">
        <f t="shared" ca="1" si="14"/>
        <v/>
      </c>
      <c r="V420" s="10" t="str">
        <f t="shared" ca="1" si="15"/>
        <v/>
      </c>
      <c r="AC420" s="10" t="s">
        <v>2344</v>
      </c>
      <c r="AD420" s="10" t="s">
        <v>19</v>
      </c>
      <c r="AG420" t="s">
        <v>19</v>
      </c>
      <c r="AJ420" cm="1">
        <f t="array" ref="AJ420">_xlfn.IFS(AG420="Yes",1,AG420="No",0,AG420="","")</f>
        <v>1</v>
      </c>
    </row>
    <row r="421" spans="1:36" ht="29">
      <c r="A421" t="s">
        <v>463</v>
      </c>
      <c r="D421" s="4" t="s">
        <v>1390</v>
      </c>
      <c r="E421" s="4" t="s">
        <v>1391</v>
      </c>
      <c r="I421" t="s">
        <v>2250</v>
      </c>
      <c r="J421" s="10" t="s">
        <v>26</v>
      </c>
      <c r="U421" s="10" t="str">
        <f t="shared" ca="1" si="14"/>
        <v/>
      </c>
      <c r="V421" s="10" t="str">
        <f t="shared" ca="1" si="15"/>
        <v/>
      </c>
      <c r="AG421" t="s">
        <v>19</v>
      </c>
      <c r="AJ421" cm="1">
        <f t="array" ref="AJ421">_xlfn.IFS(AG421="Yes",1,AG421="No",0,AG421="","")</f>
        <v>1</v>
      </c>
    </row>
    <row r="422" spans="1:36">
      <c r="A422" t="s">
        <v>463</v>
      </c>
      <c r="D422" s="8" t="s">
        <v>464</v>
      </c>
      <c r="E422" s="4" t="s">
        <v>465</v>
      </c>
      <c r="F422" t="s">
        <v>31</v>
      </c>
      <c r="H422" t="s">
        <v>19</v>
      </c>
      <c r="I422" s="7"/>
      <c r="J422" s="10" t="s">
        <v>2201</v>
      </c>
      <c r="U422" s="10" t="str">
        <f t="shared" ca="1" si="14"/>
        <v/>
      </c>
      <c r="V422" s="10" t="str">
        <f t="shared" ca="1" si="15"/>
        <v/>
      </c>
      <c r="AC422" s="10" t="s">
        <v>2226</v>
      </c>
      <c r="AD422" s="10" t="s">
        <v>19</v>
      </c>
      <c r="AE422" s="10" t="s">
        <v>2157</v>
      </c>
      <c r="AG422" t="s">
        <v>20</v>
      </c>
      <c r="AJ422" cm="1">
        <f t="array" ref="AJ422">_xlfn.IFS(AG422="Yes",1,AG422="No",0,AG422="","")</f>
        <v>0</v>
      </c>
    </row>
    <row r="423" spans="1:36" ht="58">
      <c r="A423" t="s">
        <v>466</v>
      </c>
      <c r="D423" s="4" t="s">
        <v>2284</v>
      </c>
      <c r="E423" s="4" t="s">
        <v>2285</v>
      </c>
      <c r="I423" s="5" t="s">
        <v>2286</v>
      </c>
      <c r="J423" s="10" t="s">
        <v>26</v>
      </c>
      <c r="U423" s="10" t="str">
        <f t="shared" ca="1" si="14"/>
        <v/>
      </c>
      <c r="V423" s="10" t="str">
        <f t="shared" ca="1" si="15"/>
        <v/>
      </c>
      <c r="AG423" t="s">
        <v>19</v>
      </c>
      <c r="AJ423" cm="1">
        <f t="array" ref="AJ423">_xlfn.IFS(AG423="Yes",1,AG423="No",0,AG423="","")</f>
        <v>1</v>
      </c>
    </row>
    <row r="424" spans="1:36" ht="29">
      <c r="A424" t="s">
        <v>467</v>
      </c>
      <c r="D424" s="4" t="s">
        <v>1392</v>
      </c>
      <c r="E424" s="4" t="s">
        <v>1393</v>
      </c>
      <c r="J424" s="10" t="s">
        <v>2199</v>
      </c>
      <c r="T424" s="10">
        <f>186-171</f>
        <v>15</v>
      </c>
      <c r="U424" s="10">
        <f t="shared" ca="1" si="14"/>
        <v>171</v>
      </c>
      <c r="V424" s="10">
        <f t="shared" ca="1" si="15"/>
        <v>186</v>
      </c>
      <c r="AG424" t="s">
        <v>19</v>
      </c>
      <c r="AJ424" cm="1">
        <f t="array" ref="AJ424">_xlfn.IFS(AG424="Yes",1,AG424="No",0,AG424="","")</f>
        <v>1</v>
      </c>
    </row>
    <row r="425" spans="1:36" ht="29">
      <c r="A425" t="s">
        <v>467</v>
      </c>
      <c r="D425" s="4" t="s">
        <v>1394</v>
      </c>
      <c r="E425" s="4" t="s">
        <v>1395</v>
      </c>
      <c r="H425" t="s">
        <v>19</v>
      </c>
      <c r="J425" s="10" t="s">
        <v>24</v>
      </c>
      <c r="L425" s="10">
        <v>1</v>
      </c>
      <c r="M425" s="10">
        <v>3</v>
      </c>
      <c r="N425" s="10" t="s">
        <v>2158</v>
      </c>
      <c r="O425" s="10" t="s">
        <v>2153</v>
      </c>
      <c r="P425" s="10" t="s">
        <v>2229</v>
      </c>
      <c r="Q425" s="11" t="s">
        <v>2230</v>
      </c>
      <c r="R425" s="10" t="s">
        <v>2154</v>
      </c>
      <c r="S425" s="10">
        <v>2475</v>
      </c>
      <c r="U425" s="10" t="str">
        <f t="shared" ca="1" si="14"/>
        <v/>
      </c>
      <c r="V425" s="10" t="str">
        <f t="shared" ca="1" si="15"/>
        <v/>
      </c>
      <c r="AE425" s="10" t="s">
        <v>2163</v>
      </c>
      <c r="AG425" t="s">
        <v>20</v>
      </c>
      <c r="AJ425" cm="1">
        <f t="array" ref="AJ425">_xlfn.IFS(AG425="Yes",1,AG425="No",0,AG425="","")</f>
        <v>0</v>
      </c>
    </row>
    <row r="426" spans="1:36">
      <c r="A426" t="s">
        <v>468</v>
      </c>
      <c r="D426" s="4" t="s">
        <v>1396</v>
      </c>
      <c r="E426" s="4" t="s">
        <v>1397</v>
      </c>
      <c r="J426" s="10" t="s">
        <v>2201</v>
      </c>
      <c r="U426" s="10" t="str">
        <f t="shared" ca="1" si="14"/>
        <v/>
      </c>
      <c r="V426" s="10" t="str">
        <f t="shared" ca="1" si="15"/>
        <v/>
      </c>
      <c r="AC426" s="10" t="s">
        <v>2226</v>
      </c>
      <c r="AD426" s="10" t="s">
        <v>19</v>
      </c>
      <c r="AE426" s="10" t="s">
        <v>2157</v>
      </c>
      <c r="AG426" t="s">
        <v>19</v>
      </c>
      <c r="AJ426" cm="1">
        <f t="array" ref="AJ426">_xlfn.IFS(AG426="Yes",1,AG426="No",0,AG426="","")</f>
        <v>1</v>
      </c>
    </row>
    <row r="427" spans="1:36">
      <c r="A427" t="s">
        <v>469</v>
      </c>
      <c r="D427" s="4" t="s">
        <v>1399</v>
      </c>
      <c r="E427" s="4" t="s">
        <v>1398</v>
      </c>
      <c r="J427" s="10" t="s">
        <v>2199</v>
      </c>
      <c r="T427" s="10">
        <f>2475-99</f>
        <v>2376</v>
      </c>
      <c r="U427" s="10">
        <f t="shared" ca="1" si="14"/>
        <v>99</v>
      </c>
      <c r="V427" s="10">
        <f t="shared" ca="1" si="15"/>
        <v>2475</v>
      </c>
      <c r="AG427" t="s">
        <v>19</v>
      </c>
      <c r="AJ427" cm="1">
        <f t="array" ref="AJ427">_xlfn.IFS(AG427="Yes",1,AG427="No",0,AG427="","")</f>
        <v>1</v>
      </c>
    </row>
    <row r="428" spans="1:36">
      <c r="A428" t="s">
        <v>469</v>
      </c>
      <c r="D428" s="4" t="s">
        <v>1401</v>
      </c>
      <c r="E428" s="4" t="s">
        <v>1400</v>
      </c>
      <c r="J428" s="10" t="s">
        <v>24</v>
      </c>
      <c r="L428" s="10">
        <v>1</v>
      </c>
      <c r="M428" s="10">
        <v>2</v>
      </c>
      <c r="N428" s="10" t="s">
        <v>2158</v>
      </c>
      <c r="O428" s="10" t="s">
        <v>2200</v>
      </c>
      <c r="S428" s="10">
        <v>2475</v>
      </c>
      <c r="U428" s="10" t="str">
        <f t="shared" ca="1" si="14"/>
        <v/>
      </c>
      <c r="V428" s="10" t="str">
        <f t="shared" ca="1" si="15"/>
        <v/>
      </c>
      <c r="AG428" t="s">
        <v>19</v>
      </c>
      <c r="AJ428" cm="1">
        <f t="array" ref="AJ428">_xlfn.IFS(AG428="Yes",1,AG428="No",0,AG428="","")</f>
        <v>1</v>
      </c>
    </row>
    <row r="429" spans="1:36" ht="29">
      <c r="A429" t="s">
        <v>470</v>
      </c>
      <c r="D429" s="4" t="s">
        <v>1403</v>
      </c>
      <c r="E429" s="4" t="s">
        <v>1402</v>
      </c>
      <c r="J429" s="10" t="s">
        <v>2199</v>
      </c>
      <c r="T429" s="10">
        <f>210-99</f>
        <v>111</v>
      </c>
      <c r="U429" s="10">
        <f t="shared" ca="1" si="14"/>
        <v>99</v>
      </c>
      <c r="V429" s="10">
        <f t="shared" ca="1" si="15"/>
        <v>210</v>
      </c>
      <c r="AG429" t="s">
        <v>19</v>
      </c>
      <c r="AJ429" cm="1">
        <f t="array" ref="AJ429">_xlfn.IFS(AG429="Yes",1,AG429="No",0,AG429="","")</f>
        <v>1</v>
      </c>
    </row>
    <row r="430" spans="1:36">
      <c r="A430" t="s">
        <v>471</v>
      </c>
      <c r="D430" s="4" t="s">
        <v>472</v>
      </c>
      <c r="E430" s="4" t="s">
        <v>473</v>
      </c>
      <c r="H430" t="s">
        <v>19</v>
      </c>
      <c r="J430" s="10" t="s">
        <v>2201</v>
      </c>
      <c r="U430" s="10" t="str">
        <f t="shared" ca="1" si="14"/>
        <v/>
      </c>
      <c r="V430" s="10" t="str">
        <f t="shared" ca="1" si="15"/>
        <v/>
      </c>
      <c r="AB430" s="10" t="s">
        <v>2235</v>
      </c>
      <c r="AD430" s="10" t="s">
        <v>19</v>
      </c>
      <c r="AJ430" t="str" cm="1">
        <f t="array" ref="AJ430">_xlfn.IFS(AG430="Yes",1,AG430="No",0,AG430="","")</f>
        <v/>
      </c>
    </row>
    <row r="431" spans="1:36" ht="43.5">
      <c r="A431" t="s">
        <v>474</v>
      </c>
      <c r="D431" s="4" t="s">
        <v>1404</v>
      </c>
      <c r="E431" s="4" t="s">
        <v>1405</v>
      </c>
      <c r="I431" s="5"/>
      <c r="J431" s="10" t="s">
        <v>2199</v>
      </c>
      <c r="T431" s="10" t="s">
        <v>2220</v>
      </c>
      <c r="U431" s="10" t="str">
        <f t="shared" ca="1" si="14"/>
        <v/>
      </c>
      <c r="V431" s="10" t="str">
        <f t="shared" ca="1" si="15"/>
        <v/>
      </c>
      <c r="AE431" s="10" t="s">
        <v>2167</v>
      </c>
      <c r="AG431" t="s">
        <v>19</v>
      </c>
      <c r="AJ431" cm="1">
        <f t="array" ref="AJ431">_xlfn.IFS(AG431="Yes",1,AG431="No",0,AG431="","")</f>
        <v>1</v>
      </c>
    </row>
    <row r="432" spans="1:36" ht="43.5">
      <c r="A432" t="s">
        <v>474</v>
      </c>
      <c r="D432" s="4" t="s">
        <v>1406</v>
      </c>
      <c r="E432" s="4" t="s">
        <v>1407</v>
      </c>
      <c r="I432" t="s">
        <v>2253</v>
      </c>
      <c r="J432" s="10" t="s">
        <v>26</v>
      </c>
      <c r="U432" s="10" t="str">
        <f t="shared" ca="1" si="14"/>
        <v/>
      </c>
      <c r="V432" s="10" t="str">
        <f t="shared" ca="1" si="15"/>
        <v/>
      </c>
      <c r="AG432" t="s">
        <v>19</v>
      </c>
      <c r="AJ432" cm="1">
        <f t="array" ref="AJ432">_xlfn.IFS(AG432="Yes",1,AG432="No",0,AG432="","")</f>
        <v>1</v>
      </c>
    </row>
    <row r="433" spans="1:36" ht="29">
      <c r="A433" t="s">
        <v>475</v>
      </c>
      <c r="D433" s="4" t="s">
        <v>1408</v>
      </c>
      <c r="E433" s="4" t="s">
        <v>1409</v>
      </c>
      <c r="J433" s="10" t="s">
        <v>2199</v>
      </c>
      <c r="T433" s="10">
        <f>168-743</f>
        <v>-575</v>
      </c>
      <c r="U433" s="10">
        <f t="shared" ca="1" si="14"/>
        <v>743</v>
      </c>
      <c r="V433" s="10">
        <f t="shared" ca="1" si="15"/>
        <v>168</v>
      </c>
      <c r="AG433" t="s">
        <v>19</v>
      </c>
      <c r="AJ433" cm="1">
        <f t="array" ref="AJ433">_xlfn.IFS(AG433="Yes",1,AG433="No",0,AG433="","")</f>
        <v>1</v>
      </c>
    </row>
    <row r="434" spans="1:36" ht="29">
      <c r="A434" t="s">
        <v>475</v>
      </c>
      <c r="D434" s="4" t="s">
        <v>1411</v>
      </c>
      <c r="E434" s="4" t="s">
        <v>1410</v>
      </c>
      <c r="I434" s="7"/>
      <c r="J434" s="10" t="s">
        <v>2199</v>
      </c>
      <c r="T434" s="10">
        <f>743-146</f>
        <v>597</v>
      </c>
      <c r="U434" s="10">
        <f t="shared" ca="1" si="14"/>
        <v>146</v>
      </c>
      <c r="V434" s="10">
        <f t="shared" ca="1" si="15"/>
        <v>743</v>
      </c>
      <c r="AG434" t="s">
        <v>19</v>
      </c>
      <c r="AJ434" cm="1">
        <f t="array" ref="AJ434">_xlfn.IFS(AG434="Yes",1,AG434="No",0,AG434="","")</f>
        <v>1</v>
      </c>
    </row>
    <row r="435" spans="1:36" ht="29">
      <c r="A435" t="s">
        <v>475</v>
      </c>
      <c r="D435" s="4" t="s">
        <v>1413</v>
      </c>
      <c r="E435" s="4" t="s">
        <v>1412</v>
      </c>
      <c r="J435" s="10" t="s">
        <v>24</v>
      </c>
      <c r="L435" s="10">
        <v>1</v>
      </c>
      <c r="M435" s="10">
        <v>5</v>
      </c>
      <c r="N435" s="10" t="s">
        <v>2152</v>
      </c>
      <c r="O435" s="10" t="s">
        <v>2159</v>
      </c>
      <c r="S435" s="10">
        <v>266</v>
      </c>
      <c r="U435" s="10" t="str">
        <f t="shared" ca="1" si="14"/>
        <v/>
      </c>
      <c r="V435" s="10" t="str">
        <f t="shared" ca="1" si="15"/>
        <v/>
      </c>
      <c r="AG435" t="s">
        <v>19</v>
      </c>
      <c r="AJ435" cm="1">
        <f t="array" ref="AJ435">_xlfn.IFS(AG435="Yes",1,AG435="No",0,AG435="","")</f>
        <v>1</v>
      </c>
    </row>
    <row r="436" spans="1:36" ht="29">
      <c r="A436" t="s">
        <v>475</v>
      </c>
      <c r="D436" s="4" t="s">
        <v>1415</v>
      </c>
      <c r="E436" s="4" t="s">
        <v>1416</v>
      </c>
      <c r="J436" s="10" t="s">
        <v>2201</v>
      </c>
      <c r="U436" s="10" t="str">
        <f t="shared" ca="1" si="14"/>
        <v/>
      </c>
      <c r="V436" s="10" t="str">
        <f t="shared" ca="1" si="15"/>
        <v/>
      </c>
      <c r="AG436" t="s">
        <v>19</v>
      </c>
      <c r="AJ436" cm="1">
        <f t="array" ref="AJ436">_xlfn.IFS(AG436="Yes",1,AG436="No",0,AG436="","")</f>
        <v>1</v>
      </c>
    </row>
    <row r="437" spans="1:36" ht="29">
      <c r="A437" t="s">
        <v>475</v>
      </c>
      <c r="D437" s="4" t="s">
        <v>1417</v>
      </c>
      <c r="E437" s="4" t="s">
        <v>1414</v>
      </c>
      <c r="J437" s="10" t="s">
        <v>25</v>
      </c>
      <c r="L437" s="10">
        <v>1</v>
      </c>
      <c r="M437" s="10">
        <v>2</v>
      </c>
      <c r="N437" s="10" t="s">
        <v>2173</v>
      </c>
      <c r="O437" s="10" t="s">
        <v>2200</v>
      </c>
      <c r="S437" s="10">
        <v>250</v>
      </c>
      <c r="U437" s="10" t="str">
        <f t="shared" ca="1" si="14"/>
        <v/>
      </c>
      <c r="V437" s="10" t="str">
        <f t="shared" ca="1" si="15"/>
        <v/>
      </c>
      <c r="AG437" t="s">
        <v>19</v>
      </c>
      <c r="AJ437" cm="1">
        <f t="array" ref="AJ437">_xlfn.IFS(AG437="Yes",1,AG437="No",0,AG437="","")</f>
        <v>1</v>
      </c>
    </row>
    <row r="438" spans="1:36">
      <c r="A438" t="s">
        <v>476</v>
      </c>
      <c r="D438" s="4" t="s">
        <v>477</v>
      </c>
      <c r="E438" s="4" t="s">
        <v>478</v>
      </c>
      <c r="J438" s="10" t="s">
        <v>2201</v>
      </c>
      <c r="T438" s="10" t="s">
        <v>2200</v>
      </c>
      <c r="U438" s="10" t="str">
        <f t="shared" ca="1" si="14"/>
        <v/>
      </c>
      <c r="V438" s="10" t="str">
        <f t="shared" ca="1" si="15"/>
        <v/>
      </c>
      <c r="AC438" s="10" t="s">
        <v>2221</v>
      </c>
      <c r="AD438" s="10" t="s">
        <v>19</v>
      </c>
      <c r="AG438" t="s">
        <v>19</v>
      </c>
      <c r="AJ438" cm="1">
        <f t="array" ref="AJ438">_xlfn.IFS(AG438="Yes",1,AG438="No",0,AG438="","")</f>
        <v>1</v>
      </c>
    </row>
    <row r="439" spans="1:36">
      <c r="A439" t="s">
        <v>476</v>
      </c>
      <c r="D439" s="4" t="s">
        <v>1418</v>
      </c>
      <c r="E439" s="4" t="s">
        <v>1419</v>
      </c>
      <c r="J439" s="10" t="s">
        <v>2199</v>
      </c>
      <c r="T439" s="10">
        <f>0-37</f>
        <v>-37</v>
      </c>
      <c r="U439" s="10">
        <f t="shared" ca="1" si="14"/>
        <v>37</v>
      </c>
      <c r="V439" s="10">
        <f t="shared" ca="1" si="15"/>
        <v>0</v>
      </c>
      <c r="AG439" t="s">
        <v>19</v>
      </c>
      <c r="AJ439" cm="1">
        <f t="array" ref="AJ439">_xlfn.IFS(AG439="Yes",1,AG439="No",0,AG439="","")</f>
        <v>1</v>
      </c>
    </row>
    <row r="440" spans="1:36">
      <c r="A440" t="s">
        <v>479</v>
      </c>
      <c r="D440" s="4" t="s">
        <v>1421</v>
      </c>
      <c r="E440" s="4" t="s">
        <v>1420</v>
      </c>
      <c r="J440" s="10" t="s">
        <v>2201</v>
      </c>
      <c r="U440" s="10" t="str">
        <f t="shared" ca="1" si="14"/>
        <v/>
      </c>
      <c r="V440" s="10" t="str">
        <f t="shared" ca="1" si="15"/>
        <v/>
      </c>
      <c r="AB440" s="10" t="s">
        <v>2353</v>
      </c>
      <c r="AD440" s="10" t="s">
        <v>19</v>
      </c>
      <c r="AG440" t="s">
        <v>19</v>
      </c>
      <c r="AJ440" cm="1">
        <f t="array" ref="AJ440">_xlfn.IFS(AG440="Yes",1,AG440="No",0,AG440="","")</f>
        <v>1</v>
      </c>
    </row>
    <row r="441" spans="1:36" ht="29">
      <c r="A441" t="s">
        <v>479</v>
      </c>
      <c r="D441" s="4" t="s">
        <v>1422</v>
      </c>
      <c r="E441" s="4" t="s">
        <v>1423</v>
      </c>
      <c r="J441" s="10" t="s">
        <v>2201</v>
      </c>
      <c r="U441" s="10" t="str">
        <f t="shared" ca="1" si="14"/>
        <v/>
      </c>
      <c r="V441" s="10" t="str">
        <f t="shared" ca="1" si="15"/>
        <v/>
      </c>
      <c r="AC441" s="10" t="s">
        <v>2345</v>
      </c>
      <c r="AG441" t="s">
        <v>19</v>
      </c>
      <c r="AJ441" cm="1">
        <f t="array" ref="AJ441">_xlfn.IFS(AG441="Yes",1,AG441="No",0,AG441="","")</f>
        <v>1</v>
      </c>
    </row>
    <row r="442" spans="1:36" ht="29">
      <c r="A442" t="s">
        <v>479</v>
      </c>
      <c r="D442" s="4" t="s">
        <v>1425</v>
      </c>
      <c r="E442" s="4" t="s">
        <v>1424</v>
      </c>
      <c r="J442" s="10" t="s">
        <v>24</v>
      </c>
      <c r="L442" s="10">
        <v>1</v>
      </c>
      <c r="M442" s="10">
        <v>3</v>
      </c>
      <c r="N442" s="10" t="s">
        <v>2168</v>
      </c>
      <c r="O442" s="10" t="s">
        <v>2159</v>
      </c>
      <c r="S442" s="10">
        <v>1701</v>
      </c>
      <c r="U442" s="10" t="str">
        <f t="shared" ca="1" si="14"/>
        <v/>
      </c>
      <c r="V442" s="10" t="str">
        <f t="shared" ca="1" si="15"/>
        <v/>
      </c>
      <c r="AG442" t="s">
        <v>19</v>
      </c>
      <c r="AJ442" cm="1">
        <f t="array" ref="AJ442">_xlfn.IFS(AG442="Yes",1,AG442="No",0,AG442="","")</f>
        <v>1</v>
      </c>
    </row>
    <row r="443" spans="1:36">
      <c r="A443" t="s">
        <v>479</v>
      </c>
      <c r="D443" s="4" t="s">
        <v>480</v>
      </c>
      <c r="E443" s="4" t="s">
        <v>481</v>
      </c>
      <c r="J443" s="10" t="s">
        <v>2201</v>
      </c>
      <c r="U443" s="10" t="str">
        <f t="shared" ca="1" si="14"/>
        <v/>
      </c>
      <c r="V443" s="10" t="str">
        <f t="shared" ca="1" si="15"/>
        <v/>
      </c>
      <c r="AG443" t="s">
        <v>19</v>
      </c>
      <c r="AJ443" cm="1">
        <f t="array" ref="AJ443">_xlfn.IFS(AG443="Yes",1,AG443="No",0,AG443="","")</f>
        <v>1</v>
      </c>
    </row>
    <row r="444" spans="1:36" ht="29">
      <c r="A444" t="s">
        <v>479</v>
      </c>
      <c r="D444" s="4" t="s">
        <v>1426</v>
      </c>
      <c r="E444" s="4" t="s">
        <v>1427</v>
      </c>
      <c r="H444" t="s">
        <v>19</v>
      </c>
      <c r="J444" s="10" t="s">
        <v>2199</v>
      </c>
      <c r="R444" s="10" t="s">
        <v>2154</v>
      </c>
      <c r="T444" s="10" t="s">
        <v>2200</v>
      </c>
      <c r="U444" s="10" t="str">
        <f t="shared" ca="1" si="14"/>
        <v/>
      </c>
      <c r="V444" s="10" t="str">
        <f t="shared" ca="1" si="15"/>
        <v/>
      </c>
      <c r="AE444" s="10" t="s">
        <v>2157</v>
      </c>
      <c r="AG444" t="s">
        <v>20</v>
      </c>
      <c r="AJ444" cm="1">
        <f t="array" ref="AJ444">_xlfn.IFS(AG444="Yes",1,AG444="No",0,AG444="","")</f>
        <v>0</v>
      </c>
    </row>
    <row r="445" spans="1:36">
      <c r="A445" t="s">
        <v>482</v>
      </c>
      <c r="D445" s="4" t="s">
        <v>483</v>
      </c>
      <c r="E445" s="4" t="s">
        <v>484</v>
      </c>
      <c r="J445" s="10" t="s">
        <v>2199</v>
      </c>
      <c r="T445" s="10">
        <f>7-4</f>
        <v>3</v>
      </c>
      <c r="U445" s="10">
        <f t="shared" ca="1" si="14"/>
        <v>4</v>
      </c>
      <c r="V445" s="10">
        <f t="shared" ca="1" si="15"/>
        <v>7</v>
      </c>
      <c r="AG445" t="s">
        <v>19</v>
      </c>
      <c r="AJ445" cm="1">
        <f t="array" ref="AJ445">_xlfn.IFS(AG445="Yes",1,AG445="No",0,AG445="","")</f>
        <v>1</v>
      </c>
    </row>
    <row r="446" spans="1:36" ht="29">
      <c r="A446" t="s">
        <v>485</v>
      </c>
      <c r="D446" s="4" t="s">
        <v>1429</v>
      </c>
      <c r="E446" s="4" t="s">
        <v>1428</v>
      </c>
      <c r="J446" s="10" t="s">
        <v>2201</v>
      </c>
      <c r="U446" s="10" t="str">
        <f t="shared" ca="1" si="14"/>
        <v/>
      </c>
      <c r="V446" s="10" t="str">
        <f t="shared" ca="1" si="15"/>
        <v/>
      </c>
      <c r="AG446" t="s">
        <v>19</v>
      </c>
      <c r="AJ446" cm="1">
        <f t="array" ref="AJ446">_xlfn.IFS(AG446="Yes",1,AG446="No",0,AG446="","")</f>
        <v>1</v>
      </c>
    </row>
    <row r="447" spans="1:36" ht="43.5">
      <c r="A447" t="s">
        <v>485</v>
      </c>
      <c r="D447" s="4" t="s">
        <v>1431</v>
      </c>
      <c r="E447" s="4" t="s">
        <v>1432</v>
      </c>
      <c r="I447" t="s">
        <v>2253</v>
      </c>
      <c r="J447" s="10" t="s">
        <v>26</v>
      </c>
      <c r="U447" s="10" t="str">
        <f t="shared" ca="1" si="14"/>
        <v/>
      </c>
      <c r="V447" s="10" t="str">
        <f t="shared" ca="1" si="15"/>
        <v/>
      </c>
      <c r="AG447" t="s">
        <v>19</v>
      </c>
      <c r="AJ447" cm="1">
        <f t="array" ref="AJ447">_xlfn.IFS(AG447="Yes",1,AG447="No",0,AG447="","")</f>
        <v>1</v>
      </c>
    </row>
    <row r="448" spans="1:36" ht="43.5">
      <c r="A448" t="s">
        <v>485</v>
      </c>
      <c r="D448" s="4" t="s">
        <v>1430</v>
      </c>
      <c r="E448" s="4" t="s">
        <v>1433</v>
      </c>
      <c r="J448" s="10" t="s">
        <v>24</v>
      </c>
      <c r="L448" s="10">
        <v>1</v>
      </c>
      <c r="M448" s="10">
        <v>1</v>
      </c>
      <c r="N448" s="10" t="s">
        <v>2158</v>
      </c>
      <c r="O448" s="10" t="s">
        <v>2200</v>
      </c>
      <c r="R448" s="10" t="s">
        <v>2154</v>
      </c>
      <c r="S448" s="10">
        <v>2475</v>
      </c>
      <c r="U448" s="10" t="str">
        <f t="shared" ref="U448:U510" ca="1" si="16">IF(ISNUMBER(T448),VALUE(MID(_xlfn.FORMULATEXT(T448),SEARCH("-",_xlfn.FORMULATEXT(T448))+1,LEN(_xlfn.FORMULATEXT(T448))-SEARCH("-",_xlfn.FORMULATEXT(T448)))), "")</f>
        <v/>
      </c>
      <c r="V448" s="10" t="str">
        <f t="shared" ref="V448:V510" ca="1" si="17">IF(ISNUMBER(T448), VALUE(MID(_xlfn.FORMULATEXT(T448), 2, SEARCH("-", _xlfn.FORMULATEXT(T448)) - 2)), "")</f>
        <v/>
      </c>
      <c r="AG448" t="s">
        <v>19</v>
      </c>
      <c r="AJ448" cm="1">
        <f t="array" ref="AJ448">_xlfn.IFS(AG448="Yes",1,AG448="No",0,AG448="","")</f>
        <v>1</v>
      </c>
    </row>
    <row r="449" spans="1:36" ht="29">
      <c r="A449" t="s">
        <v>486</v>
      </c>
      <c r="D449" s="4" t="s">
        <v>1434</v>
      </c>
      <c r="E449" s="4" t="s">
        <v>1435</v>
      </c>
      <c r="J449" s="10" t="s">
        <v>2201</v>
      </c>
      <c r="U449" s="10" t="str">
        <f t="shared" ca="1" si="16"/>
        <v/>
      </c>
      <c r="V449" s="10" t="str">
        <f t="shared" ca="1" si="17"/>
        <v/>
      </c>
      <c r="AC449" s="10" t="s">
        <v>2226</v>
      </c>
      <c r="AD449" s="10" t="s">
        <v>19</v>
      </c>
      <c r="AG449" t="s">
        <v>19</v>
      </c>
      <c r="AJ449" cm="1">
        <f t="array" ref="AJ449">_xlfn.IFS(AG449="Yes",1,AG449="No",0,AG449="","")</f>
        <v>1</v>
      </c>
    </row>
    <row r="450" spans="1:36" ht="29">
      <c r="A450" t="s">
        <v>486</v>
      </c>
      <c r="D450" s="4" t="s">
        <v>1436</v>
      </c>
      <c r="E450" s="4" t="s">
        <v>1437</v>
      </c>
      <c r="J450" s="10" t="s">
        <v>2199</v>
      </c>
      <c r="T450" s="10">
        <f>613-166</f>
        <v>447</v>
      </c>
      <c r="U450" s="10">
        <f t="shared" ca="1" si="16"/>
        <v>166</v>
      </c>
      <c r="V450" s="10">
        <f t="shared" ca="1" si="17"/>
        <v>613</v>
      </c>
      <c r="AG450" t="s">
        <v>19</v>
      </c>
      <c r="AJ450" cm="1">
        <f t="array" ref="AJ450">_xlfn.IFS(AG450="Yes",1,AG450="No",0,AG450="","")</f>
        <v>1</v>
      </c>
    </row>
    <row r="451" spans="1:36">
      <c r="A451" t="s">
        <v>487</v>
      </c>
      <c r="D451" s="4" t="s">
        <v>1438</v>
      </c>
      <c r="E451" s="4" t="s">
        <v>1439</v>
      </c>
      <c r="J451" s="10" t="s">
        <v>25</v>
      </c>
      <c r="L451" s="10">
        <v>1</v>
      </c>
      <c r="M451" s="10">
        <v>1</v>
      </c>
      <c r="N451" s="10" t="s">
        <v>2158</v>
      </c>
      <c r="O451" s="10" t="s">
        <v>2200</v>
      </c>
      <c r="R451" s="10" t="s">
        <v>2154</v>
      </c>
      <c r="S451" s="10">
        <v>2475</v>
      </c>
      <c r="U451" s="10" t="str">
        <f t="shared" ca="1" si="16"/>
        <v/>
      </c>
      <c r="V451" s="10" t="str">
        <f t="shared" ca="1" si="17"/>
        <v/>
      </c>
      <c r="AG451" t="s">
        <v>19</v>
      </c>
      <c r="AJ451" cm="1">
        <f t="array" ref="AJ451">_xlfn.IFS(AG451="Yes",1,AG451="No",0,AG451="","")</f>
        <v>1</v>
      </c>
    </row>
    <row r="452" spans="1:36">
      <c r="A452" t="s">
        <v>488</v>
      </c>
      <c r="D452" s="4" t="s">
        <v>1440</v>
      </c>
      <c r="E452" s="4" t="s">
        <v>2287</v>
      </c>
      <c r="J452" s="10" t="s">
        <v>2201</v>
      </c>
      <c r="U452" s="10" t="str">
        <f t="shared" ca="1" si="16"/>
        <v/>
      </c>
      <c r="V452" s="10" t="str">
        <f t="shared" ca="1" si="17"/>
        <v/>
      </c>
      <c r="AG452" t="s">
        <v>19</v>
      </c>
      <c r="AJ452" cm="1">
        <f t="array" ref="AJ452">_xlfn.IFS(AG452="Yes",1,AG452="No",0,AG452="","")</f>
        <v>1</v>
      </c>
    </row>
    <row r="453" spans="1:36">
      <c r="A453" t="s">
        <v>489</v>
      </c>
      <c r="D453" s="4" t="s">
        <v>1441</v>
      </c>
      <c r="E453" s="4" t="s">
        <v>1442</v>
      </c>
      <c r="H453" t="s">
        <v>19</v>
      </c>
      <c r="I453" t="s">
        <v>2288</v>
      </c>
      <c r="J453" s="10" t="s">
        <v>24</v>
      </c>
      <c r="L453" s="10">
        <v>1</v>
      </c>
      <c r="M453" s="10">
        <v>3</v>
      </c>
      <c r="N453" s="10" t="s">
        <v>2175</v>
      </c>
      <c r="O453" s="10" t="s">
        <v>2153</v>
      </c>
      <c r="P453" s="10" t="s">
        <v>2229</v>
      </c>
      <c r="Q453" s="11" t="s">
        <v>2230</v>
      </c>
      <c r="R453" s="10" t="s">
        <v>2154</v>
      </c>
      <c r="S453" s="10">
        <v>35</v>
      </c>
      <c r="U453" s="10" t="str">
        <f t="shared" ca="1" si="16"/>
        <v/>
      </c>
      <c r="V453" s="10" t="str">
        <f t="shared" ca="1" si="17"/>
        <v/>
      </c>
      <c r="AE453" s="10" t="s">
        <v>2163</v>
      </c>
      <c r="AG453" t="s">
        <v>20</v>
      </c>
      <c r="AJ453" cm="1">
        <f t="array" ref="AJ453">_xlfn.IFS(AG453="Yes",1,AG453="No",0,AG453="","")</f>
        <v>0</v>
      </c>
    </row>
    <row r="454" spans="1:36">
      <c r="A454" t="s">
        <v>489</v>
      </c>
      <c r="D454" s="4" t="s">
        <v>1444</v>
      </c>
      <c r="E454" s="4" t="s">
        <v>1443</v>
      </c>
      <c r="J454" s="10" t="s">
        <v>2199</v>
      </c>
      <c r="T454" s="10">
        <f>210-99</f>
        <v>111</v>
      </c>
      <c r="U454" s="10">
        <f t="shared" ca="1" si="16"/>
        <v>99</v>
      </c>
      <c r="V454" s="10">
        <f t="shared" ca="1" si="17"/>
        <v>210</v>
      </c>
      <c r="AG454" t="s">
        <v>19</v>
      </c>
      <c r="AJ454" cm="1">
        <f t="array" ref="AJ454">_xlfn.IFS(AG454="Yes",1,AG454="No",0,AG454="","")</f>
        <v>1</v>
      </c>
    </row>
    <row r="455" spans="1:36">
      <c r="A455" t="s">
        <v>490</v>
      </c>
      <c r="D455" s="4" t="s">
        <v>1445</v>
      </c>
      <c r="E455" s="4" t="s">
        <v>1446</v>
      </c>
      <c r="J455" s="10" t="s">
        <v>2201</v>
      </c>
      <c r="U455" s="10" t="str">
        <f t="shared" ca="1" si="16"/>
        <v/>
      </c>
      <c r="V455" s="10" t="str">
        <f t="shared" ca="1" si="17"/>
        <v/>
      </c>
      <c r="AG455" t="s">
        <v>19</v>
      </c>
      <c r="AJ455" cm="1">
        <f t="array" ref="AJ455">_xlfn.IFS(AG455="Yes",1,AG455="No",0,AG455="","")</f>
        <v>1</v>
      </c>
    </row>
    <row r="456" spans="1:36" ht="29">
      <c r="A456" t="s">
        <v>491</v>
      </c>
      <c r="D456" s="4" t="s">
        <v>1448</v>
      </c>
      <c r="E456" s="4" t="s">
        <v>2289</v>
      </c>
      <c r="J456" s="10" t="s">
        <v>2201</v>
      </c>
      <c r="U456" s="10" t="str">
        <f t="shared" ca="1" si="16"/>
        <v/>
      </c>
      <c r="V456" s="10" t="str">
        <f t="shared" ca="1" si="17"/>
        <v/>
      </c>
      <c r="AG456" t="s">
        <v>19</v>
      </c>
      <c r="AJ456" cm="1">
        <f t="array" ref="AJ456">_xlfn.IFS(AG456="Yes",1,AG456="No",0,AG456="","")</f>
        <v>1</v>
      </c>
    </row>
    <row r="457" spans="1:36" ht="29">
      <c r="A457" t="s">
        <v>491</v>
      </c>
      <c r="D457" s="4" t="s">
        <v>1447</v>
      </c>
      <c r="E457" s="4" t="s">
        <v>1449</v>
      </c>
      <c r="J457" s="10" t="s">
        <v>24</v>
      </c>
      <c r="L457" s="10">
        <v>1</v>
      </c>
      <c r="M457" s="10">
        <v>3</v>
      </c>
      <c r="N457" s="10" t="s">
        <v>2158</v>
      </c>
      <c r="O457" s="10" t="s">
        <v>2159</v>
      </c>
      <c r="S457" s="10">
        <v>2475</v>
      </c>
      <c r="U457" s="10" t="str">
        <f t="shared" ca="1" si="16"/>
        <v/>
      </c>
      <c r="V457" s="10" t="str">
        <f t="shared" ca="1" si="17"/>
        <v/>
      </c>
      <c r="AG457" t="s">
        <v>19</v>
      </c>
      <c r="AJ457" cm="1">
        <f t="array" ref="AJ457">_xlfn.IFS(AG457="Yes",1,AG457="No",0,AG457="","")</f>
        <v>1</v>
      </c>
    </row>
    <row r="458" spans="1:36" ht="29">
      <c r="A458" t="s">
        <v>491</v>
      </c>
      <c r="D458" s="4" t="s">
        <v>1447</v>
      </c>
      <c r="E458" s="4" t="s">
        <v>1450</v>
      </c>
      <c r="J458" s="10" t="s">
        <v>24</v>
      </c>
      <c r="L458" s="10">
        <v>1</v>
      </c>
      <c r="M458" s="10">
        <v>3</v>
      </c>
      <c r="N458" s="10" t="s">
        <v>2158</v>
      </c>
      <c r="O458" s="10" t="s">
        <v>2159</v>
      </c>
      <c r="S458" s="10">
        <v>2475</v>
      </c>
      <c r="U458" s="10" t="str">
        <f t="shared" ca="1" si="16"/>
        <v/>
      </c>
      <c r="V458" s="10" t="str">
        <f t="shared" ca="1" si="17"/>
        <v/>
      </c>
      <c r="AG458" t="s">
        <v>20</v>
      </c>
      <c r="AJ458" cm="1">
        <f t="array" ref="AJ458">_xlfn.IFS(AG458="Yes",1,AG458="No",0,AG458="","")</f>
        <v>0</v>
      </c>
    </row>
    <row r="459" spans="1:36" ht="43.5">
      <c r="A459" t="s">
        <v>492</v>
      </c>
      <c r="D459" s="4" t="s">
        <v>1451</v>
      </c>
      <c r="E459" s="4" t="s">
        <v>1452</v>
      </c>
      <c r="J459" s="10" t="s">
        <v>2199</v>
      </c>
      <c r="T459" s="10">
        <f>186-5</f>
        <v>181</v>
      </c>
      <c r="U459" s="10">
        <f t="shared" ca="1" si="16"/>
        <v>5</v>
      </c>
      <c r="V459" s="10">
        <f t="shared" ca="1" si="17"/>
        <v>186</v>
      </c>
      <c r="AG459" t="s">
        <v>19</v>
      </c>
      <c r="AJ459" cm="1">
        <f t="array" ref="AJ459">_xlfn.IFS(AG459="Yes",1,AG459="No",0,AG459="","")</f>
        <v>1</v>
      </c>
    </row>
    <row r="460" spans="1:36">
      <c r="A460" t="s">
        <v>492</v>
      </c>
      <c r="D460" s="4" t="s">
        <v>1453</v>
      </c>
      <c r="E460" s="4" t="s">
        <v>1454</v>
      </c>
      <c r="J460" s="10" t="s">
        <v>2201</v>
      </c>
      <c r="U460" s="10" t="str">
        <f t="shared" ca="1" si="16"/>
        <v/>
      </c>
      <c r="V460" s="10" t="str">
        <f t="shared" ca="1" si="17"/>
        <v/>
      </c>
      <c r="AG460" t="s">
        <v>19</v>
      </c>
      <c r="AJ460" cm="1">
        <f t="array" ref="AJ460">_xlfn.IFS(AG460="Yes",1,AG460="No",0,AG460="","")</f>
        <v>1</v>
      </c>
    </row>
    <row r="461" spans="1:36">
      <c r="A461" t="s">
        <v>492</v>
      </c>
      <c r="D461" s="4" t="s">
        <v>1455</v>
      </c>
      <c r="E461" s="4" t="s">
        <v>1456</v>
      </c>
      <c r="J461" s="10" t="s">
        <v>2199</v>
      </c>
      <c r="T461" s="10">
        <f>7-31</f>
        <v>-24</v>
      </c>
      <c r="U461" s="10">
        <f t="shared" ca="1" si="16"/>
        <v>31</v>
      </c>
      <c r="V461" s="10">
        <f t="shared" ca="1" si="17"/>
        <v>7</v>
      </c>
      <c r="AG461" t="s">
        <v>19</v>
      </c>
      <c r="AJ461" cm="1">
        <f t="array" ref="AJ461">_xlfn.IFS(AG461="Yes",1,AG461="No",0,AG461="","")</f>
        <v>1</v>
      </c>
    </row>
    <row r="462" spans="1:36" ht="29">
      <c r="A462" t="s">
        <v>492</v>
      </c>
      <c r="D462" s="4" t="s">
        <v>1458</v>
      </c>
      <c r="E462" s="4" t="s">
        <v>1457</v>
      </c>
      <c r="J462" s="10" t="s">
        <v>2201</v>
      </c>
      <c r="U462" s="10" t="str">
        <f t="shared" ca="1" si="16"/>
        <v/>
      </c>
      <c r="V462" s="10" t="str">
        <f t="shared" ca="1" si="17"/>
        <v/>
      </c>
      <c r="AG462" t="s">
        <v>19</v>
      </c>
      <c r="AJ462" cm="1">
        <f t="array" ref="AJ462">_xlfn.IFS(AG462="Yes",1,AG462="No",0,AG462="","")</f>
        <v>1</v>
      </c>
    </row>
    <row r="463" spans="1:36" ht="29">
      <c r="A463" t="s">
        <v>493</v>
      </c>
      <c r="D463" s="4" t="s">
        <v>1459</v>
      </c>
      <c r="E463" s="4" t="s">
        <v>1460</v>
      </c>
      <c r="J463" s="10" t="s">
        <v>25</v>
      </c>
      <c r="L463" s="10">
        <v>2</v>
      </c>
      <c r="M463" s="10">
        <v>8</v>
      </c>
      <c r="O463" s="10" t="s">
        <v>2159</v>
      </c>
      <c r="S463" s="10">
        <v>116</v>
      </c>
      <c r="U463" s="10" t="str">
        <f t="shared" ca="1" si="16"/>
        <v/>
      </c>
      <c r="V463" s="10" t="str">
        <f t="shared" ca="1" si="17"/>
        <v/>
      </c>
      <c r="AG463" t="s">
        <v>19</v>
      </c>
      <c r="AJ463" cm="1">
        <f t="array" ref="AJ463">_xlfn.IFS(AG463="Yes",1,AG463="No",0,AG463="","")</f>
        <v>1</v>
      </c>
    </row>
    <row r="464" spans="1:36">
      <c r="A464" t="s">
        <v>493</v>
      </c>
      <c r="D464" s="4" t="s">
        <v>1462</v>
      </c>
      <c r="E464" s="4" t="s">
        <v>1463</v>
      </c>
      <c r="J464" s="10" t="s">
        <v>2201</v>
      </c>
      <c r="U464" s="10" t="str">
        <f t="shared" ca="1" si="16"/>
        <v/>
      </c>
      <c r="V464" s="10" t="str">
        <f t="shared" ca="1" si="17"/>
        <v/>
      </c>
      <c r="AB464" s="10" t="s">
        <v>2354</v>
      </c>
      <c r="AD464" s="10" t="s">
        <v>19</v>
      </c>
      <c r="AG464" t="s">
        <v>19</v>
      </c>
      <c r="AJ464" cm="1">
        <f t="array" ref="AJ464">_xlfn.IFS(AG464="Yes",1,AG464="No",0,AG464="","")</f>
        <v>1</v>
      </c>
    </row>
    <row r="465" spans="1:36">
      <c r="A465" t="s">
        <v>493</v>
      </c>
      <c r="D465" s="4" t="s">
        <v>1464</v>
      </c>
      <c r="E465" s="4" t="s">
        <v>1461</v>
      </c>
      <c r="J465" s="10" t="s">
        <v>25</v>
      </c>
      <c r="L465" s="10">
        <v>1</v>
      </c>
      <c r="M465" s="10">
        <v>3</v>
      </c>
      <c r="N465" s="10" t="s">
        <v>2168</v>
      </c>
      <c r="O465" s="10" t="s">
        <v>2153</v>
      </c>
      <c r="P465" s="10" t="s">
        <v>2231</v>
      </c>
      <c r="Q465" s="11" t="s">
        <v>2230</v>
      </c>
      <c r="S465" s="10">
        <v>1701</v>
      </c>
      <c r="U465" s="10" t="str">
        <f t="shared" ca="1" si="16"/>
        <v/>
      </c>
      <c r="V465" s="10" t="str">
        <f t="shared" ca="1" si="17"/>
        <v/>
      </c>
      <c r="AG465" t="s">
        <v>19</v>
      </c>
      <c r="AJ465" cm="1">
        <f t="array" ref="AJ465">_xlfn.IFS(AG465="Yes",1,AG465="No",0,AG465="","")</f>
        <v>1</v>
      </c>
    </row>
    <row r="466" spans="1:36" ht="29">
      <c r="A466" t="s">
        <v>494</v>
      </c>
      <c r="D466" s="4" t="s">
        <v>1465</v>
      </c>
      <c r="E466" s="4" t="s">
        <v>1466</v>
      </c>
      <c r="H466" t="s">
        <v>19</v>
      </c>
      <c r="J466" s="10" t="s">
        <v>24</v>
      </c>
      <c r="L466" s="10">
        <v>1</v>
      </c>
      <c r="M466" s="10">
        <v>6</v>
      </c>
      <c r="N466" s="10" t="s">
        <v>2173</v>
      </c>
      <c r="O466" s="10" t="s">
        <v>2159</v>
      </c>
      <c r="S466" s="10">
        <v>250</v>
      </c>
      <c r="U466" s="10" t="str">
        <f t="shared" ca="1" si="16"/>
        <v/>
      </c>
      <c r="V466" s="10" t="str">
        <f t="shared" ca="1" si="17"/>
        <v/>
      </c>
      <c r="AG466" t="s">
        <v>20</v>
      </c>
      <c r="AJ466" cm="1">
        <f t="array" ref="AJ466">_xlfn.IFS(AG466="Yes",1,AG466="No",0,AG466="","")</f>
        <v>0</v>
      </c>
    </row>
    <row r="467" spans="1:36" ht="29">
      <c r="A467" t="s">
        <v>494</v>
      </c>
      <c r="D467" s="4" t="s">
        <v>1467</v>
      </c>
      <c r="E467" s="4" t="s">
        <v>1468</v>
      </c>
      <c r="F467" t="s">
        <v>35</v>
      </c>
      <c r="I467" t="s">
        <v>1469</v>
      </c>
      <c r="U467" s="10" t="str">
        <f t="shared" ca="1" si="16"/>
        <v/>
      </c>
      <c r="V467" s="10" t="str">
        <f t="shared" ca="1" si="17"/>
        <v/>
      </c>
      <c r="AJ467" t="str" cm="1">
        <f t="array" ref="AJ467">_xlfn.IFS(AG467="Yes",1,AG467="No",0,AG467="","")</f>
        <v/>
      </c>
    </row>
    <row r="468" spans="1:36" ht="29">
      <c r="A468" t="s">
        <v>494</v>
      </c>
      <c r="D468" s="4" t="s">
        <v>1470</v>
      </c>
      <c r="E468" s="4" t="s">
        <v>1471</v>
      </c>
      <c r="F468" t="s">
        <v>35</v>
      </c>
      <c r="I468" t="s">
        <v>1474</v>
      </c>
      <c r="U468" s="10" t="str">
        <f t="shared" ca="1" si="16"/>
        <v/>
      </c>
      <c r="V468" s="10" t="str">
        <f t="shared" ca="1" si="17"/>
        <v/>
      </c>
      <c r="AJ468" t="str" cm="1">
        <f t="array" ref="AJ468">_xlfn.IFS(AG468="Yes",1,AG468="No",0,AG468="","")</f>
        <v/>
      </c>
    </row>
    <row r="469" spans="1:36" ht="43.5">
      <c r="A469" t="s">
        <v>494</v>
      </c>
      <c r="D469" s="4" t="s">
        <v>1472</v>
      </c>
      <c r="E469" s="4" t="s">
        <v>1473</v>
      </c>
      <c r="J469" s="10" t="s">
        <v>2199</v>
      </c>
      <c r="T469" s="10">
        <f>17-1701</f>
        <v>-1684</v>
      </c>
      <c r="U469" s="10">
        <f t="shared" ca="1" si="16"/>
        <v>1701</v>
      </c>
      <c r="V469" s="10">
        <f t="shared" ca="1" si="17"/>
        <v>17</v>
      </c>
      <c r="AG469" t="s">
        <v>19</v>
      </c>
      <c r="AJ469" cm="1">
        <f t="array" ref="AJ469">_xlfn.IFS(AG469="Yes",1,AG469="No",0,AG469="","")</f>
        <v>1</v>
      </c>
    </row>
    <row r="470" spans="1:36" ht="43.5">
      <c r="A470" t="s">
        <v>494</v>
      </c>
      <c r="D470" s="4" t="s">
        <v>1477</v>
      </c>
      <c r="E470" s="4" t="s">
        <v>1478</v>
      </c>
      <c r="F470" t="s">
        <v>35</v>
      </c>
      <c r="I470" t="s">
        <v>1475</v>
      </c>
      <c r="U470" s="10" t="str">
        <f t="shared" ca="1" si="16"/>
        <v/>
      </c>
      <c r="V470" s="10" t="str">
        <f t="shared" ca="1" si="17"/>
        <v/>
      </c>
      <c r="AJ470" t="str" cm="1">
        <f t="array" ref="AJ470">_xlfn.IFS(AG470="Yes",1,AG470="No",0,AG470="","")</f>
        <v/>
      </c>
    </row>
    <row r="471" spans="1:36" ht="43.5">
      <c r="A471" t="s">
        <v>495</v>
      </c>
      <c r="D471" s="4" t="s">
        <v>1479</v>
      </c>
      <c r="E471" s="4" t="s">
        <v>1476</v>
      </c>
      <c r="J471" s="10" t="s">
        <v>25</v>
      </c>
      <c r="L471" s="10">
        <v>1</v>
      </c>
      <c r="M471" s="10">
        <v>3</v>
      </c>
      <c r="N471" s="10" t="s">
        <v>2168</v>
      </c>
      <c r="O471" s="10" t="s">
        <v>2153</v>
      </c>
      <c r="P471" s="10" t="s">
        <v>2229</v>
      </c>
      <c r="Q471" s="11" t="s">
        <v>2230</v>
      </c>
      <c r="S471" s="10">
        <v>1701</v>
      </c>
      <c r="U471" s="10" t="str">
        <f t="shared" ca="1" si="16"/>
        <v/>
      </c>
      <c r="V471" s="10" t="str">
        <f t="shared" ca="1" si="17"/>
        <v/>
      </c>
      <c r="AG471" t="s">
        <v>19</v>
      </c>
      <c r="AJ471" cm="1">
        <f t="array" ref="AJ471">_xlfn.IFS(AG471="Yes",1,AG471="No",0,AG471="","")</f>
        <v>1</v>
      </c>
    </row>
    <row r="472" spans="1:36">
      <c r="A472" t="s">
        <v>495</v>
      </c>
      <c r="D472" s="4" t="s">
        <v>496</v>
      </c>
      <c r="E472" s="4" t="s">
        <v>497</v>
      </c>
      <c r="J472" s="10" t="s">
        <v>2201</v>
      </c>
      <c r="U472" s="10" t="str">
        <f t="shared" ca="1" si="16"/>
        <v/>
      </c>
      <c r="V472" s="10" t="str">
        <f t="shared" ca="1" si="17"/>
        <v/>
      </c>
      <c r="AG472" t="s">
        <v>19</v>
      </c>
      <c r="AJ472" cm="1">
        <f t="array" ref="AJ472">_xlfn.IFS(AG472="Yes",1,AG472="No",0,AG472="","")</f>
        <v>1</v>
      </c>
    </row>
    <row r="473" spans="1:36" ht="29">
      <c r="A473" t="s">
        <v>495</v>
      </c>
      <c r="D473" s="4" t="s">
        <v>1481</v>
      </c>
      <c r="E473" s="4" t="s">
        <v>1480</v>
      </c>
      <c r="J473" s="10" t="s">
        <v>25</v>
      </c>
      <c r="L473" s="10">
        <v>1</v>
      </c>
      <c r="M473" s="10">
        <v>2</v>
      </c>
      <c r="N473" s="10" t="s">
        <v>2158</v>
      </c>
      <c r="O473" s="10" t="s">
        <v>2200</v>
      </c>
      <c r="S473" s="10">
        <v>2475</v>
      </c>
      <c r="U473" s="10" t="str">
        <f t="shared" ca="1" si="16"/>
        <v/>
      </c>
      <c r="V473" s="10" t="str">
        <f t="shared" ca="1" si="17"/>
        <v/>
      </c>
      <c r="AG473" t="s">
        <v>19</v>
      </c>
      <c r="AJ473" cm="1">
        <f t="array" ref="AJ473">_xlfn.IFS(AG473="Yes",1,AG473="No",0,AG473="","")</f>
        <v>1</v>
      </c>
    </row>
    <row r="474" spans="1:36" ht="29">
      <c r="A474" t="s">
        <v>498</v>
      </c>
      <c r="D474" s="4" t="s">
        <v>1482</v>
      </c>
      <c r="E474" s="4" t="s">
        <v>1483</v>
      </c>
      <c r="J474" s="10" t="s">
        <v>24</v>
      </c>
      <c r="L474" s="10">
        <v>1</v>
      </c>
      <c r="M474" s="10">
        <v>3</v>
      </c>
      <c r="N474" s="10" t="s">
        <v>2158</v>
      </c>
      <c r="O474" s="10" t="s">
        <v>2159</v>
      </c>
      <c r="S474" s="10">
        <v>2475</v>
      </c>
      <c r="U474" s="10" t="str">
        <f t="shared" ca="1" si="16"/>
        <v/>
      </c>
      <c r="V474" s="10" t="str">
        <f t="shared" ca="1" si="17"/>
        <v/>
      </c>
      <c r="AG474" t="s">
        <v>19</v>
      </c>
      <c r="AJ474" cm="1">
        <f t="array" ref="AJ474">_xlfn.IFS(AG474="Yes",1,AG474="No",0,AG474="","")</f>
        <v>1</v>
      </c>
    </row>
    <row r="475" spans="1:36" ht="29">
      <c r="A475" t="s">
        <v>498</v>
      </c>
      <c r="D475" s="4" t="s">
        <v>1482</v>
      </c>
      <c r="E475" s="4" t="s">
        <v>1484</v>
      </c>
      <c r="J475" s="10" t="s">
        <v>24</v>
      </c>
      <c r="L475" s="10">
        <v>1</v>
      </c>
      <c r="M475" s="10">
        <v>3</v>
      </c>
      <c r="N475" s="10" t="s">
        <v>2158</v>
      </c>
      <c r="O475" s="10" t="s">
        <v>2159</v>
      </c>
      <c r="S475" s="10">
        <v>2475</v>
      </c>
      <c r="U475" s="10" t="str">
        <f t="shared" ca="1" si="16"/>
        <v/>
      </c>
      <c r="V475" s="10" t="str">
        <f t="shared" ca="1" si="17"/>
        <v/>
      </c>
      <c r="AG475" t="s">
        <v>19</v>
      </c>
      <c r="AJ475" cm="1">
        <f t="array" ref="AJ475">_xlfn.IFS(AG475="Yes",1,AG475="No",0,AG475="","")</f>
        <v>1</v>
      </c>
    </row>
    <row r="476" spans="1:36">
      <c r="A476" t="s">
        <v>498</v>
      </c>
      <c r="D476" s="4" t="s">
        <v>499</v>
      </c>
      <c r="E476" s="4" t="s">
        <v>500</v>
      </c>
      <c r="J476" s="10" t="s">
        <v>2199</v>
      </c>
      <c r="T476" s="10" t="s">
        <v>2220</v>
      </c>
      <c r="U476" s="10" t="str">
        <f t="shared" ca="1" si="16"/>
        <v/>
      </c>
      <c r="V476" s="10" t="str">
        <f t="shared" ca="1" si="17"/>
        <v/>
      </c>
      <c r="AE476" s="10" t="s">
        <v>2157</v>
      </c>
      <c r="AG476" t="s">
        <v>20</v>
      </c>
      <c r="AJ476" cm="1">
        <f t="array" ref="AJ476">_xlfn.IFS(AG476="Yes",1,AG476="No",0,AG476="","")</f>
        <v>0</v>
      </c>
    </row>
    <row r="477" spans="1:36">
      <c r="A477" t="s">
        <v>501</v>
      </c>
      <c r="D477" s="4" t="s">
        <v>502</v>
      </c>
      <c r="E477" s="4" t="s">
        <v>503</v>
      </c>
      <c r="J477" s="10" t="s">
        <v>2199</v>
      </c>
      <c r="T477" s="10" t="s">
        <v>2220</v>
      </c>
      <c r="U477" s="10" t="str">
        <f t="shared" ca="1" si="16"/>
        <v/>
      </c>
      <c r="V477" s="10" t="str">
        <f t="shared" ca="1" si="17"/>
        <v/>
      </c>
      <c r="AE477" s="10" t="s">
        <v>2157</v>
      </c>
      <c r="AG477" t="s">
        <v>20</v>
      </c>
      <c r="AJ477" cm="1">
        <f t="array" ref="AJ477">_xlfn.IFS(AG477="Yes",1,AG477="No",0,AG477="","")</f>
        <v>0</v>
      </c>
    </row>
    <row r="478" spans="1:36">
      <c r="A478" t="s">
        <v>504</v>
      </c>
      <c r="D478" s="4" t="s">
        <v>505</v>
      </c>
      <c r="E478" s="4" t="s">
        <v>506</v>
      </c>
      <c r="J478" s="10" t="s">
        <v>2201</v>
      </c>
      <c r="U478" s="10" t="str">
        <f t="shared" ca="1" si="16"/>
        <v/>
      </c>
      <c r="V478" s="10" t="str">
        <f t="shared" ca="1" si="17"/>
        <v/>
      </c>
      <c r="AC478" s="10" t="s">
        <v>2252</v>
      </c>
      <c r="AD478" s="10" t="s">
        <v>19</v>
      </c>
      <c r="AG478" t="s">
        <v>19</v>
      </c>
      <c r="AJ478" cm="1">
        <f t="array" ref="AJ478">_xlfn.IFS(AG478="Yes",1,AG478="No",0,AG478="","")</f>
        <v>1</v>
      </c>
    </row>
    <row r="479" spans="1:36">
      <c r="A479" t="s">
        <v>504</v>
      </c>
      <c r="D479" s="4" t="s">
        <v>1486</v>
      </c>
      <c r="E479" s="4" t="s">
        <v>1485</v>
      </c>
      <c r="J479" s="10" t="s">
        <v>2201</v>
      </c>
      <c r="U479" s="10" t="str">
        <f t="shared" ca="1" si="16"/>
        <v/>
      </c>
      <c r="V479" s="10" t="str">
        <f t="shared" ca="1" si="17"/>
        <v/>
      </c>
      <c r="AG479" t="s">
        <v>19</v>
      </c>
      <c r="AJ479" cm="1">
        <f t="array" ref="AJ479">_xlfn.IFS(AG479="Yes",1,AG479="No",0,AG479="","")</f>
        <v>1</v>
      </c>
    </row>
    <row r="480" spans="1:36" ht="29">
      <c r="A480" t="s">
        <v>507</v>
      </c>
      <c r="D480" s="4" t="s">
        <v>1487</v>
      </c>
      <c r="E480" s="4" t="s">
        <v>1488</v>
      </c>
      <c r="J480" s="10" t="s">
        <v>25</v>
      </c>
      <c r="L480" s="10">
        <v>1</v>
      </c>
      <c r="M480" s="10">
        <v>2</v>
      </c>
      <c r="N480" s="10" t="s">
        <v>2168</v>
      </c>
      <c r="O480" s="10" t="s">
        <v>2200</v>
      </c>
      <c r="S480" s="10">
        <v>171</v>
      </c>
      <c r="U480" s="10" t="str">
        <f t="shared" ca="1" si="16"/>
        <v/>
      </c>
      <c r="V480" s="10" t="str">
        <f t="shared" ca="1" si="17"/>
        <v/>
      </c>
      <c r="AG480" t="s">
        <v>19</v>
      </c>
      <c r="AJ480" cm="1">
        <f t="array" ref="AJ480">_xlfn.IFS(AG480="Yes",1,AG480="No",0,AG480="","")</f>
        <v>1</v>
      </c>
    </row>
    <row r="481" spans="1:36">
      <c r="A481" t="s">
        <v>508</v>
      </c>
      <c r="D481" s="4" t="s">
        <v>1490</v>
      </c>
      <c r="E481" s="4" t="s">
        <v>1489</v>
      </c>
      <c r="J481" s="10" t="s">
        <v>25</v>
      </c>
      <c r="L481" s="10">
        <v>1</v>
      </c>
      <c r="M481" s="10">
        <v>3</v>
      </c>
      <c r="N481" s="10" t="s">
        <v>2168</v>
      </c>
      <c r="O481" s="10" t="s">
        <v>2159</v>
      </c>
      <c r="S481" s="10">
        <v>86</v>
      </c>
      <c r="U481" s="10" t="str">
        <f t="shared" ca="1" si="16"/>
        <v/>
      </c>
      <c r="V481" s="10" t="str">
        <f t="shared" ca="1" si="17"/>
        <v/>
      </c>
      <c r="AG481" t="s">
        <v>19</v>
      </c>
      <c r="AJ481" cm="1">
        <f t="array" ref="AJ481">_xlfn.IFS(AG481="Yes",1,AG481="No",0,AG481="","")</f>
        <v>1</v>
      </c>
    </row>
    <row r="482" spans="1:36">
      <c r="A482" t="s">
        <v>508</v>
      </c>
      <c r="D482" s="4" t="s">
        <v>1492</v>
      </c>
      <c r="E482" s="4" t="s">
        <v>1491</v>
      </c>
      <c r="J482" s="10" t="s">
        <v>24</v>
      </c>
      <c r="L482" s="10">
        <v>1</v>
      </c>
      <c r="M482" s="10">
        <v>2</v>
      </c>
      <c r="N482" s="10" t="s">
        <v>2177</v>
      </c>
      <c r="O482" s="10" t="s">
        <v>2200</v>
      </c>
      <c r="S482" s="10">
        <v>112</v>
      </c>
      <c r="U482" s="10" t="str">
        <f t="shared" ca="1" si="16"/>
        <v/>
      </c>
      <c r="V482" s="10" t="str">
        <f t="shared" ca="1" si="17"/>
        <v/>
      </c>
      <c r="AG482" t="s">
        <v>19</v>
      </c>
      <c r="AJ482" cm="1">
        <f t="array" ref="AJ482">_xlfn.IFS(AG482="Yes",1,AG482="No",0,AG482="","")</f>
        <v>1</v>
      </c>
    </row>
    <row r="483" spans="1:36" ht="29">
      <c r="A483" t="s">
        <v>509</v>
      </c>
      <c r="D483" s="4" t="s">
        <v>1494</v>
      </c>
      <c r="E483" s="4" t="s">
        <v>1493</v>
      </c>
      <c r="J483" s="10" t="s">
        <v>2201</v>
      </c>
      <c r="U483" s="10" t="str">
        <f t="shared" ca="1" si="16"/>
        <v/>
      </c>
      <c r="V483" s="10" t="str">
        <f t="shared" ca="1" si="17"/>
        <v/>
      </c>
      <c r="AG483" t="s">
        <v>19</v>
      </c>
      <c r="AJ483" cm="1">
        <f t="array" ref="AJ483">_xlfn.IFS(AG483="Yes",1,AG483="No",0,AG483="","")</f>
        <v>1</v>
      </c>
    </row>
    <row r="484" spans="1:36" ht="72.5">
      <c r="A484" t="s">
        <v>510</v>
      </c>
      <c r="D484" s="4" t="s">
        <v>2440</v>
      </c>
      <c r="E484" s="4" t="s">
        <v>1496</v>
      </c>
      <c r="F484" t="s">
        <v>17</v>
      </c>
      <c r="H484" t="s">
        <v>19</v>
      </c>
      <c r="U484" s="10" t="str">
        <f t="shared" ca="1" si="16"/>
        <v/>
      </c>
      <c r="V484" s="10" t="str">
        <f t="shared" ca="1" si="17"/>
        <v/>
      </c>
      <c r="AJ484" t="str" cm="1">
        <f t="array" ref="AJ484">_xlfn.IFS(AG484="Yes",1,AG484="No",0,AG484="","")</f>
        <v/>
      </c>
    </row>
    <row r="485" spans="1:36" ht="72.5">
      <c r="A485" t="s">
        <v>510</v>
      </c>
      <c r="D485" s="4" t="s">
        <v>2290</v>
      </c>
      <c r="E485" s="4" t="s">
        <v>1495</v>
      </c>
      <c r="J485" s="10" t="s">
        <v>25</v>
      </c>
      <c r="L485" s="10">
        <v>8</v>
      </c>
      <c r="M485" s="10">
        <v>41</v>
      </c>
      <c r="O485" s="10" t="s">
        <v>2159</v>
      </c>
      <c r="S485" s="10">
        <v>1</v>
      </c>
      <c r="U485" s="10" t="str">
        <f t="shared" ca="1" si="16"/>
        <v/>
      </c>
      <c r="V485" s="10" t="str">
        <f t="shared" ca="1" si="17"/>
        <v/>
      </c>
      <c r="AG485" t="s">
        <v>19</v>
      </c>
      <c r="AJ485" cm="1">
        <f t="array" ref="AJ485">_xlfn.IFS(AG485="Yes",1,AG485="No",0,AG485="","")</f>
        <v>1</v>
      </c>
    </row>
    <row r="486" spans="1:36" ht="58">
      <c r="A486" t="s">
        <v>511</v>
      </c>
      <c r="D486" s="4" t="s">
        <v>1497</v>
      </c>
      <c r="E486" s="4" t="s">
        <v>1498</v>
      </c>
      <c r="J486" s="10" t="s">
        <v>2199</v>
      </c>
      <c r="T486" s="10">
        <f>2-1701</f>
        <v>-1699</v>
      </c>
      <c r="U486" s="10">
        <f t="shared" ca="1" si="16"/>
        <v>1701</v>
      </c>
      <c r="V486" s="10">
        <f t="shared" ca="1" si="17"/>
        <v>2</v>
      </c>
      <c r="AG486" t="s">
        <v>19</v>
      </c>
      <c r="AJ486" cm="1">
        <f t="array" ref="AJ486">_xlfn.IFS(AG486="Yes",1,AG486="No",0,AG486="","")</f>
        <v>1</v>
      </c>
    </row>
    <row r="487" spans="1:36" ht="29">
      <c r="A487" t="s">
        <v>512</v>
      </c>
      <c r="D487" s="4" t="s">
        <v>1500</v>
      </c>
      <c r="E487" s="4" t="s">
        <v>1499</v>
      </c>
      <c r="J487" s="10" t="s">
        <v>25</v>
      </c>
      <c r="L487" s="10">
        <v>1</v>
      </c>
      <c r="M487" s="10">
        <v>3</v>
      </c>
      <c r="N487" s="10" t="s">
        <v>2168</v>
      </c>
      <c r="O487" s="10" t="s">
        <v>2159</v>
      </c>
      <c r="S487" s="10">
        <v>280</v>
      </c>
      <c r="U487" s="10" t="str">
        <f t="shared" ca="1" si="16"/>
        <v/>
      </c>
      <c r="V487" s="10" t="str">
        <f t="shared" ca="1" si="17"/>
        <v/>
      </c>
      <c r="AG487" t="s">
        <v>19</v>
      </c>
      <c r="AJ487" cm="1">
        <f t="array" ref="AJ487">_xlfn.IFS(AG487="Yes",1,AG487="No",0,AG487="","")</f>
        <v>1</v>
      </c>
    </row>
    <row r="488" spans="1:36" ht="29">
      <c r="A488" t="s">
        <v>512</v>
      </c>
      <c r="D488" s="4" t="s">
        <v>1501</v>
      </c>
      <c r="E488" s="4" t="s">
        <v>1502</v>
      </c>
      <c r="J488" s="10" t="s">
        <v>2199</v>
      </c>
      <c r="T488" s="10">
        <f>31-5</f>
        <v>26</v>
      </c>
      <c r="U488" s="10">
        <f t="shared" ca="1" si="16"/>
        <v>5</v>
      </c>
      <c r="V488" s="10">
        <f t="shared" ca="1" si="17"/>
        <v>31</v>
      </c>
      <c r="AG488" t="s">
        <v>19</v>
      </c>
      <c r="AJ488" cm="1">
        <f t="array" ref="AJ488">_xlfn.IFS(AG488="Yes",1,AG488="No",0,AG488="","")</f>
        <v>1</v>
      </c>
    </row>
    <row r="489" spans="1:36">
      <c r="A489" t="s">
        <v>512</v>
      </c>
      <c r="D489" s="4" t="s">
        <v>513</v>
      </c>
      <c r="E489" s="4" t="s">
        <v>514</v>
      </c>
      <c r="J489" s="10" t="s">
        <v>2199</v>
      </c>
      <c r="T489" s="10">
        <f>1-4</f>
        <v>-3</v>
      </c>
      <c r="U489" s="10">
        <f t="shared" ca="1" si="16"/>
        <v>4</v>
      </c>
      <c r="V489" s="10">
        <f t="shared" ca="1" si="17"/>
        <v>1</v>
      </c>
      <c r="AG489" t="s">
        <v>19</v>
      </c>
      <c r="AJ489" cm="1">
        <f t="array" ref="AJ489">_xlfn.IFS(AG489="Yes",1,AG489="No",0,AG489="","")</f>
        <v>1</v>
      </c>
    </row>
    <row r="490" spans="1:36" ht="29">
      <c r="A490" t="s">
        <v>512</v>
      </c>
      <c r="D490" s="4" t="s">
        <v>1503</v>
      </c>
      <c r="E490" s="4" t="s">
        <v>1504</v>
      </c>
      <c r="H490" t="s">
        <v>19</v>
      </c>
      <c r="I490" t="s">
        <v>2291</v>
      </c>
      <c r="J490" s="10" t="s">
        <v>2199</v>
      </c>
      <c r="T490" s="10">
        <f>2-41</f>
        <v>-39</v>
      </c>
      <c r="U490" s="10">
        <f t="shared" ca="1" si="16"/>
        <v>41</v>
      </c>
      <c r="V490" s="10">
        <f t="shared" ca="1" si="17"/>
        <v>2</v>
      </c>
      <c r="AG490" t="s">
        <v>20</v>
      </c>
      <c r="AJ490" cm="1">
        <f t="array" ref="AJ490">_xlfn.IFS(AG490="Yes",1,AG490="No",0,AG490="","")</f>
        <v>0</v>
      </c>
    </row>
    <row r="491" spans="1:36" ht="29">
      <c r="A491" t="s">
        <v>512</v>
      </c>
      <c r="D491" s="4" t="s">
        <v>1505</v>
      </c>
      <c r="E491" s="4" t="s">
        <v>1506</v>
      </c>
      <c r="J491" s="10" t="s">
        <v>2199</v>
      </c>
      <c r="T491" s="10">
        <f>613-166</f>
        <v>447</v>
      </c>
      <c r="U491" s="10">
        <f t="shared" ca="1" si="16"/>
        <v>166</v>
      </c>
      <c r="V491" s="10">
        <f t="shared" ca="1" si="17"/>
        <v>613</v>
      </c>
      <c r="AG491" t="s">
        <v>19</v>
      </c>
      <c r="AJ491" cm="1">
        <f t="array" ref="AJ491">_xlfn.IFS(AG491="Yes",1,AG491="No",0,AG491="","")</f>
        <v>1</v>
      </c>
    </row>
    <row r="492" spans="1:36">
      <c r="A492" t="s">
        <v>515</v>
      </c>
      <c r="D492" s="4" t="s">
        <v>76</v>
      </c>
      <c r="E492" s="4" t="s">
        <v>77</v>
      </c>
      <c r="J492" s="10" t="s">
        <v>2201</v>
      </c>
      <c r="U492" s="10" t="str">
        <f t="shared" ca="1" si="16"/>
        <v/>
      </c>
      <c r="V492" s="10" t="str">
        <f t="shared" ca="1" si="17"/>
        <v/>
      </c>
      <c r="AG492" t="s">
        <v>19</v>
      </c>
      <c r="AJ492" cm="1">
        <f t="array" ref="AJ492">_xlfn.IFS(AG492="Yes",1,AG492="No",0,AG492="","")</f>
        <v>1</v>
      </c>
    </row>
    <row r="493" spans="1:36">
      <c r="A493" t="s">
        <v>516</v>
      </c>
      <c r="D493" s="4" t="s">
        <v>1507</v>
      </c>
      <c r="E493" s="4" t="s">
        <v>1508</v>
      </c>
      <c r="J493" s="10" t="s">
        <v>2201</v>
      </c>
      <c r="U493" s="10" t="str">
        <f t="shared" ca="1" si="16"/>
        <v/>
      </c>
      <c r="V493" s="10" t="str">
        <f t="shared" ca="1" si="17"/>
        <v/>
      </c>
      <c r="AE493" s="10" t="s">
        <v>2163</v>
      </c>
      <c r="AG493" t="s">
        <v>19</v>
      </c>
      <c r="AJ493" cm="1">
        <f t="array" ref="AJ493">_xlfn.IFS(AG493="Yes",1,AG493="No",0,AG493="","")</f>
        <v>1</v>
      </c>
    </row>
    <row r="494" spans="1:36" ht="29">
      <c r="A494" t="s">
        <v>516</v>
      </c>
      <c r="D494" s="4" t="s">
        <v>1509</v>
      </c>
      <c r="E494" s="4" t="s">
        <v>1510</v>
      </c>
      <c r="J494" s="10" t="s">
        <v>2201</v>
      </c>
      <c r="U494" s="10" t="str">
        <f t="shared" ca="1" si="16"/>
        <v/>
      </c>
      <c r="V494" s="10" t="str">
        <f t="shared" ca="1" si="17"/>
        <v/>
      </c>
      <c r="AE494" s="10" t="s">
        <v>2163</v>
      </c>
      <c r="AG494" t="s">
        <v>19</v>
      </c>
      <c r="AJ494" cm="1">
        <f t="array" ref="AJ494">_xlfn.IFS(AG494="Yes",1,AG494="No",0,AG494="","")</f>
        <v>1</v>
      </c>
    </row>
    <row r="495" spans="1:36">
      <c r="A495" t="s">
        <v>517</v>
      </c>
      <c r="D495" s="4" t="s">
        <v>518</v>
      </c>
      <c r="E495" s="4" t="s">
        <v>519</v>
      </c>
      <c r="J495" s="10" t="s">
        <v>2199</v>
      </c>
      <c r="T495" s="10" t="s">
        <v>2220</v>
      </c>
      <c r="U495" s="10" t="str">
        <f t="shared" ca="1" si="16"/>
        <v/>
      </c>
      <c r="V495" s="10" t="str">
        <f t="shared" ca="1" si="17"/>
        <v/>
      </c>
      <c r="AC495" s="10" t="s">
        <v>2251</v>
      </c>
      <c r="AD495" s="10" t="s">
        <v>19</v>
      </c>
      <c r="AE495" s="10" t="s">
        <v>2167</v>
      </c>
      <c r="AG495" t="s">
        <v>19</v>
      </c>
      <c r="AJ495" cm="1">
        <f t="array" ref="AJ495">_xlfn.IFS(AG495="Yes",1,AG495="No",0,AG495="","")</f>
        <v>1</v>
      </c>
    </row>
    <row r="496" spans="1:36">
      <c r="A496" t="s">
        <v>517</v>
      </c>
      <c r="D496" s="4" t="s">
        <v>1511</v>
      </c>
      <c r="E496" s="4" t="s">
        <v>1512</v>
      </c>
      <c r="J496" s="10" t="s">
        <v>2199</v>
      </c>
      <c r="T496" s="10">
        <f>17-830</f>
        <v>-813</v>
      </c>
      <c r="U496" s="10">
        <f t="shared" ca="1" si="16"/>
        <v>830</v>
      </c>
      <c r="V496" s="10">
        <f t="shared" ca="1" si="17"/>
        <v>17</v>
      </c>
      <c r="AG496" t="s">
        <v>19</v>
      </c>
      <c r="AJ496" cm="1">
        <f t="array" ref="AJ496">_xlfn.IFS(AG496="Yes",1,AG496="No",0,AG496="","")</f>
        <v>1</v>
      </c>
    </row>
    <row r="497" spans="1:36" ht="29">
      <c r="A497" t="s">
        <v>517</v>
      </c>
      <c r="D497" s="4" t="s">
        <v>1513</v>
      </c>
      <c r="E497" s="4" t="s">
        <v>1514</v>
      </c>
      <c r="J497" s="10" t="s">
        <v>25</v>
      </c>
      <c r="L497" s="10">
        <v>1</v>
      </c>
      <c r="M497" s="10">
        <v>3</v>
      </c>
      <c r="N497" s="10" t="s">
        <v>2168</v>
      </c>
      <c r="O497" s="10" t="s">
        <v>2159</v>
      </c>
      <c r="S497" s="10">
        <v>1701</v>
      </c>
      <c r="U497" s="10" t="str">
        <f t="shared" ca="1" si="16"/>
        <v/>
      </c>
      <c r="V497" s="10" t="str">
        <f t="shared" ca="1" si="17"/>
        <v/>
      </c>
      <c r="AG497" t="s">
        <v>19</v>
      </c>
      <c r="AJ497" cm="1">
        <f t="array" ref="AJ497">_xlfn.IFS(AG497="Yes",1,AG497="No",0,AG497="","")</f>
        <v>1</v>
      </c>
    </row>
    <row r="498" spans="1:36">
      <c r="A498" t="s">
        <v>520</v>
      </c>
      <c r="D498" s="4" t="s">
        <v>1516</v>
      </c>
      <c r="E498" s="4" t="s">
        <v>1515</v>
      </c>
      <c r="J498" s="10" t="s">
        <v>2201</v>
      </c>
      <c r="U498" s="10" t="str">
        <f t="shared" ca="1" si="16"/>
        <v/>
      </c>
      <c r="V498" s="10" t="str">
        <f t="shared" ca="1" si="17"/>
        <v/>
      </c>
      <c r="AB498" s="10" t="s">
        <v>2353</v>
      </c>
      <c r="AD498" s="10" t="s">
        <v>19</v>
      </c>
      <c r="AG498" t="s">
        <v>19</v>
      </c>
      <c r="AJ498" cm="1">
        <f t="array" ref="AJ498">_xlfn.IFS(AG498="Yes",1,AG498="No",0,AG498="","")</f>
        <v>1</v>
      </c>
    </row>
    <row r="499" spans="1:36">
      <c r="A499" t="s">
        <v>520</v>
      </c>
      <c r="D499" s="4" t="s">
        <v>521</v>
      </c>
      <c r="E499" s="4" t="s">
        <v>522</v>
      </c>
      <c r="J499" s="10" t="s">
        <v>2201</v>
      </c>
      <c r="U499" s="10" t="str">
        <f t="shared" ca="1" si="16"/>
        <v/>
      </c>
      <c r="V499" s="10" t="str">
        <f t="shared" ca="1" si="17"/>
        <v/>
      </c>
      <c r="AC499" s="10" t="s">
        <v>2223</v>
      </c>
      <c r="AD499" s="10" t="s">
        <v>19</v>
      </c>
      <c r="AE499" s="10" t="s">
        <v>2167</v>
      </c>
      <c r="AG499" t="s">
        <v>19</v>
      </c>
      <c r="AJ499" cm="1">
        <f t="array" ref="AJ499">_xlfn.IFS(AG499="Yes",1,AG499="No",0,AG499="","")</f>
        <v>1</v>
      </c>
    </row>
    <row r="500" spans="1:36">
      <c r="A500" t="s">
        <v>523</v>
      </c>
      <c r="D500" s="4" t="s">
        <v>1517</v>
      </c>
      <c r="E500" s="4" t="s">
        <v>1518</v>
      </c>
      <c r="J500" s="10" t="s">
        <v>2201</v>
      </c>
      <c r="U500" s="10" t="str">
        <f t="shared" ca="1" si="16"/>
        <v/>
      </c>
      <c r="V500" s="10" t="str">
        <f t="shared" ca="1" si="17"/>
        <v/>
      </c>
      <c r="AB500" s="10" t="s">
        <v>2354</v>
      </c>
      <c r="AD500" s="10" t="s">
        <v>19</v>
      </c>
      <c r="AG500" t="s">
        <v>19</v>
      </c>
      <c r="AJ500" cm="1">
        <f t="array" ref="AJ500">_xlfn.IFS(AG500="Yes",1,AG500="No",0,AG500="","")</f>
        <v>1</v>
      </c>
    </row>
    <row r="501" spans="1:36">
      <c r="A501" t="s">
        <v>523</v>
      </c>
      <c r="D501" s="4" t="s">
        <v>1519</v>
      </c>
      <c r="E501" s="4" t="s">
        <v>1520</v>
      </c>
      <c r="J501" s="10" t="s">
        <v>2201</v>
      </c>
      <c r="U501" s="10" t="str">
        <f t="shared" ca="1" si="16"/>
        <v/>
      </c>
      <c r="V501" s="10" t="str">
        <f t="shared" ca="1" si="17"/>
        <v/>
      </c>
      <c r="AG501" t="s">
        <v>19</v>
      </c>
      <c r="AJ501" cm="1">
        <f t="array" ref="AJ501">_xlfn.IFS(AG501="Yes",1,AG501="No",0,AG501="","")</f>
        <v>1</v>
      </c>
    </row>
    <row r="502" spans="1:36" ht="29">
      <c r="A502" t="s">
        <v>523</v>
      </c>
      <c r="D502" s="4" t="s">
        <v>1522</v>
      </c>
      <c r="E502" s="4" t="s">
        <v>1521</v>
      </c>
      <c r="J502" s="10" t="s">
        <v>24</v>
      </c>
      <c r="L502" s="10">
        <v>1</v>
      </c>
      <c r="M502" s="10">
        <v>3</v>
      </c>
      <c r="N502" s="10" t="s">
        <v>2158</v>
      </c>
      <c r="O502" s="10" t="s">
        <v>2159</v>
      </c>
      <c r="S502" s="10">
        <v>2475</v>
      </c>
      <c r="U502" s="10" t="str">
        <f t="shared" ca="1" si="16"/>
        <v/>
      </c>
      <c r="V502" s="10" t="str">
        <f t="shared" ca="1" si="17"/>
        <v/>
      </c>
      <c r="AG502" t="s">
        <v>19</v>
      </c>
      <c r="AJ502" cm="1">
        <f t="array" ref="AJ502">_xlfn.IFS(AG502="Yes",1,AG502="No",0,AG502="","")</f>
        <v>1</v>
      </c>
    </row>
    <row r="503" spans="1:36">
      <c r="A503" t="s">
        <v>523</v>
      </c>
      <c r="D503" t="s">
        <v>1523</v>
      </c>
      <c r="E503" t="s">
        <v>1524</v>
      </c>
      <c r="J503" s="10" t="s">
        <v>24</v>
      </c>
      <c r="L503" s="10">
        <v>1</v>
      </c>
      <c r="M503" s="10">
        <v>3</v>
      </c>
      <c r="N503" s="10" t="s">
        <v>2158</v>
      </c>
      <c r="O503" s="10" t="s">
        <v>2159</v>
      </c>
      <c r="S503" s="10">
        <v>2475</v>
      </c>
      <c r="U503" s="10" t="str">
        <f t="shared" ca="1" si="16"/>
        <v/>
      </c>
      <c r="V503" s="10" t="str">
        <f t="shared" ca="1" si="17"/>
        <v/>
      </c>
      <c r="AG503" t="s">
        <v>19</v>
      </c>
      <c r="AJ503" cm="1">
        <f t="array" ref="AJ503">_xlfn.IFS(AG503="Yes",1,AG503="No",0,AG503="","")</f>
        <v>1</v>
      </c>
    </row>
    <row r="504" spans="1:36">
      <c r="A504" t="s">
        <v>523</v>
      </c>
      <c r="D504" s="4" t="s">
        <v>1525</v>
      </c>
      <c r="E504" s="4" t="s">
        <v>1526</v>
      </c>
      <c r="J504" s="10" t="s">
        <v>25</v>
      </c>
      <c r="L504" s="10">
        <v>1</v>
      </c>
      <c r="M504" s="10">
        <v>2</v>
      </c>
      <c r="N504" s="10" t="s">
        <v>2158</v>
      </c>
      <c r="O504" s="10" t="s">
        <v>2200</v>
      </c>
      <c r="S504" s="10">
        <v>2475</v>
      </c>
      <c r="U504" s="10" t="str">
        <f t="shared" ca="1" si="16"/>
        <v/>
      </c>
      <c r="V504" s="10" t="str">
        <f t="shared" ca="1" si="17"/>
        <v/>
      </c>
      <c r="AG504" t="s">
        <v>19</v>
      </c>
      <c r="AJ504" cm="1">
        <f t="array" ref="AJ504">_xlfn.IFS(AG504="Yes",1,AG504="No",0,AG504="","")</f>
        <v>1</v>
      </c>
    </row>
    <row r="505" spans="1:36" ht="29">
      <c r="A505" t="s">
        <v>524</v>
      </c>
      <c r="D505" s="4" t="s">
        <v>1528</v>
      </c>
      <c r="E505" s="4" t="s">
        <v>1527</v>
      </c>
      <c r="J505" s="10" t="s">
        <v>25</v>
      </c>
      <c r="L505" s="10">
        <v>1</v>
      </c>
      <c r="M505" s="10">
        <v>1</v>
      </c>
      <c r="N505" s="10" t="s">
        <v>2158</v>
      </c>
      <c r="O505" s="10" t="s">
        <v>2200</v>
      </c>
      <c r="R505" s="10" t="s">
        <v>2154</v>
      </c>
      <c r="S505" s="10">
        <v>2475</v>
      </c>
      <c r="U505" s="10" t="str">
        <f t="shared" ca="1" si="16"/>
        <v/>
      </c>
      <c r="V505" s="10" t="str">
        <f t="shared" ca="1" si="17"/>
        <v/>
      </c>
      <c r="AG505" t="s">
        <v>19</v>
      </c>
      <c r="AJ505" cm="1">
        <f t="array" ref="AJ505">_xlfn.IFS(AG505="Yes",1,AG505="No",0,AG505="","")</f>
        <v>1</v>
      </c>
    </row>
    <row r="506" spans="1:36">
      <c r="A506" t="s">
        <v>525</v>
      </c>
      <c r="D506" s="4" t="s">
        <v>1530</v>
      </c>
      <c r="E506" s="4" t="s">
        <v>1529</v>
      </c>
      <c r="J506" s="10" t="s">
        <v>25</v>
      </c>
      <c r="L506" s="10">
        <v>1</v>
      </c>
      <c r="M506" s="10">
        <v>3</v>
      </c>
      <c r="N506" s="10" t="s">
        <v>2168</v>
      </c>
      <c r="O506" s="10" t="s">
        <v>2159</v>
      </c>
      <c r="S506" s="10">
        <v>186</v>
      </c>
      <c r="U506" s="10" t="str">
        <f t="shared" ca="1" si="16"/>
        <v/>
      </c>
      <c r="V506" s="10" t="str">
        <f t="shared" ca="1" si="17"/>
        <v/>
      </c>
      <c r="AG506" t="s">
        <v>19</v>
      </c>
      <c r="AJ506" cm="1">
        <f t="array" ref="AJ506">_xlfn.IFS(AG506="Yes",1,AG506="No",0,AG506="","")</f>
        <v>1</v>
      </c>
    </row>
    <row r="507" spans="1:36" ht="29">
      <c r="A507" t="s">
        <v>525</v>
      </c>
      <c r="D507" s="4" t="s">
        <v>1531</v>
      </c>
      <c r="E507" s="6" t="s">
        <v>1532</v>
      </c>
      <c r="F507" t="s">
        <v>16</v>
      </c>
      <c r="U507" s="10" t="str">
        <f t="shared" ca="1" si="16"/>
        <v/>
      </c>
      <c r="V507" s="10" t="str">
        <f t="shared" ca="1" si="17"/>
        <v/>
      </c>
      <c r="AJ507" t="str" cm="1">
        <f t="array" ref="AJ507">_xlfn.IFS(AG507="Yes",1,AG507="No",0,AG507="","")</f>
        <v/>
      </c>
    </row>
    <row r="508" spans="1:36" ht="29">
      <c r="A508" t="s">
        <v>525</v>
      </c>
      <c r="D508" s="4" t="s">
        <v>1533</v>
      </c>
      <c r="E508" s="4" t="s">
        <v>1534</v>
      </c>
      <c r="J508" s="10" t="s">
        <v>2201</v>
      </c>
      <c r="U508" s="10" t="str">
        <f t="shared" ca="1" si="16"/>
        <v/>
      </c>
      <c r="V508" s="10" t="str">
        <f t="shared" ca="1" si="17"/>
        <v/>
      </c>
      <c r="AG508" t="s">
        <v>19</v>
      </c>
      <c r="AJ508" cm="1">
        <f t="array" ref="AJ508">_xlfn.IFS(AG508="Yes",1,AG508="No",0,AG508="","")</f>
        <v>1</v>
      </c>
    </row>
    <row r="509" spans="1:36" ht="29">
      <c r="A509" t="s">
        <v>525</v>
      </c>
      <c r="D509" s="4" t="s">
        <v>1535</v>
      </c>
      <c r="E509" s="4" t="s">
        <v>1536</v>
      </c>
      <c r="H509" t="s">
        <v>19</v>
      </c>
      <c r="J509" s="10" t="s">
        <v>2199</v>
      </c>
      <c r="T509" s="10" t="s">
        <v>2200</v>
      </c>
      <c r="U509" s="10" t="str">
        <f t="shared" ca="1" si="16"/>
        <v/>
      </c>
      <c r="V509" s="10" t="str">
        <f t="shared" ca="1" si="17"/>
        <v/>
      </c>
      <c r="AE509" s="10" t="s">
        <v>2157</v>
      </c>
      <c r="AG509" t="s">
        <v>20</v>
      </c>
      <c r="AJ509" cm="1">
        <f t="array" ref="AJ509">_xlfn.IFS(AG509="Yes",1,AG509="No",0,AG509="","")</f>
        <v>0</v>
      </c>
    </row>
    <row r="510" spans="1:36" ht="29">
      <c r="A510" t="s">
        <v>526</v>
      </c>
      <c r="D510" s="4" t="s">
        <v>1537</v>
      </c>
      <c r="E510" s="4" t="s">
        <v>1538</v>
      </c>
      <c r="J510" s="10" t="s">
        <v>2199</v>
      </c>
      <c r="T510" s="10">
        <f>5-29</f>
        <v>-24</v>
      </c>
      <c r="U510" s="10">
        <f t="shared" ca="1" si="16"/>
        <v>29</v>
      </c>
      <c r="V510" s="10">
        <f t="shared" ca="1" si="17"/>
        <v>5</v>
      </c>
      <c r="AG510" t="s">
        <v>19</v>
      </c>
      <c r="AJ510" cm="1">
        <f t="array" ref="AJ510">_xlfn.IFS(AG510="Yes",1,AG510="No",0,AG510="","")</f>
        <v>1</v>
      </c>
    </row>
    <row r="511" spans="1:36" ht="29">
      <c r="A511" t="s">
        <v>527</v>
      </c>
      <c r="D511" s="4" t="s">
        <v>1540</v>
      </c>
      <c r="E511" s="4" t="s">
        <v>1539</v>
      </c>
      <c r="J511" s="10" t="s">
        <v>24</v>
      </c>
      <c r="L511" s="10">
        <v>1</v>
      </c>
      <c r="M511" s="10">
        <v>3</v>
      </c>
      <c r="N511" s="10" t="s">
        <v>2175</v>
      </c>
      <c r="O511" s="10" t="s">
        <v>2159</v>
      </c>
      <c r="S511" s="10">
        <v>743</v>
      </c>
      <c r="U511" s="10" t="str">
        <f t="shared" ref="U511:U575" ca="1" si="18">IF(ISNUMBER(T511),VALUE(MID(_xlfn.FORMULATEXT(T511),SEARCH("-",_xlfn.FORMULATEXT(T511))+1,LEN(_xlfn.FORMULATEXT(T511))-SEARCH("-",_xlfn.FORMULATEXT(T511)))), "")</f>
        <v/>
      </c>
      <c r="V511" s="10" t="str">
        <f t="shared" ref="V511:V575" ca="1" si="19">IF(ISNUMBER(T511), VALUE(MID(_xlfn.FORMULATEXT(T511), 2, SEARCH("-", _xlfn.FORMULATEXT(T511)) - 2)), "")</f>
        <v/>
      </c>
      <c r="AG511" t="s">
        <v>19</v>
      </c>
      <c r="AJ511" cm="1">
        <f t="array" ref="AJ511">_xlfn.IFS(AG511="Yes",1,AG511="No",0,AG511="","")</f>
        <v>1</v>
      </c>
    </row>
    <row r="512" spans="1:36">
      <c r="A512" t="s">
        <v>527</v>
      </c>
      <c r="D512" s="4" t="s">
        <v>1541</v>
      </c>
      <c r="E512" s="4" t="s">
        <v>1542</v>
      </c>
      <c r="J512" s="10" t="s">
        <v>2201</v>
      </c>
      <c r="U512" s="10" t="str">
        <f t="shared" ca="1" si="18"/>
        <v/>
      </c>
      <c r="V512" s="10" t="str">
        <f t="shared" ca="1" si="19"/>
        <v/>
      </c>
      <c r="AC512" s="10" t="s">
        <v>2251</v>
      </c>
      <c r="AD512" s="10" t="s">
        <v>19</v>
      </c>
      <c r="AG512" t="s">
        <v>19</v>
      </c>
      <c r="AJ512" cm="1">
        <f t="array" ref="AJ512">_xlfn.IFS(AG512="Yes",1,AG512="No",0,AG512="","")</f>
        <v>1</v>
      </c>
    </row>
    <row r="513" spans="1:36">
      <c r="A513" t="s">
        <v>528</v>
      </c>
      <c r="D513" s="4" t="s">
        <v>1543</v>
      </c>
      <c r="E513" s="4" t="s">
        <v>1544</v>
      </c>
      <c r="J513" s="10" t="s">
        <v>2199</v>
      </c>
      <c r="T513" s="10">
        <f>13-14</f>
        <v>-1</v>
      </c>
      <c r="U513" s="10">
        <f t="shared" ca="1" si="18"/>
        <v>14</v>
      </c>
      <c r="V513" s="10">
        <f t="shared" ca="1" si="19"/>
        <v>13</v>
      </c>
      <c r="AG513" t="s">
        <v>19</v>
      </c>
      <c r="AJ513" cm="1">
        <f t="array" ref="AJ513">_xlfn.IFS(AG513="Yes",1,AG513="No",0,AG513="","")</f>
        <v>1</v>
      </c>
    </row>
    <row r="514" spans="1:36">
      <c r="A514" t="s">
        <v>529</v>
      </c>
      <c r="D514" s="4" t="s">
        <v>1545</v>
      </c>
      <c r="E514" s="4" t="s">
        <v>1546</v>
      </c>
      <c r="I514" s="5"/>
      <c r="J514" s="10" t="s">
        <v>2199</v>
      </c>
      <c r="T514" s="10">
        <f>8-129</f>
        <v>-121</v>
      </c>
      <c r="U514" s="10">
        <f t="shared" ca="1" si="18"/>
        <v>129</v>
      </c>
      <c r="V514" s="10">
        <f t="shared" ca="1" si="19"/>
        <v>8</v>
      </c>
      <c r="AG514" t="s">
        <v>19</v>
      </c>
      <c r="AJ514" cm="1">
        <f t="array" ref="AJ514">_xlfn.IFS(AG514="Yes",1,AG514="No",0,AG514="","")</f>
        <v>1</v>
      </c>
    </row>
    <row r="515" spans="1:36">
      <c r="A515" t="s">
        <v>530</v>
      </c>
      <c r="D515" s="4" t="s">
        <v>531</v>
      </c>
      <c r="E515" s="4" t="s">
        <v>532</v>
      </c>
      <c r="J515" s="10" t="s">
        <v>2201</v>
      </c>
      <c r="U515" s="10" t="str">
        <f t="shared" ca="1" si="18"/>
        <v/>
      </c>
      <c r="V515" s="10" t="str">
        <f t="shared" ca="1" si="19"/>
        <v/>
      </c>
      <c r="AC515" s="10" t="s">
        <v>2222</v>
      </c>
      <c r="AD515" s="10" t="s">
        <v>19</v>
      </c>
      <c r="AG515" t="s">
        <v>19</v>
      </c>
      <c r="AJ515" cm="1">
        <f t="array" ref="AJ515">_xlfn.IFS(AG515="Yes",1,AG515="No",0,AG515="","")</f>
        <v>1</v>
      </c>
    </row>
    <row r="516" spans="1:36" ht="29">
      <c r="A516" t="s">
        <v>533</v>
      </c>
      <c r="D516" s="4" t="s">
        <v>1549</v>
      </c>
      <c r="E516" s="4" t="s">
        <v>1550</v>
      </c>
      <c r="H516" t="s">
        <v>19</v>
      </c>
      <c r="J516" s="10" t="s">
        <v>2199</v>
      </c>
      <c r="T516" s="10" t="s">
        <v>2200</v>
      </c>
      <c r="U516" s="10" t="str">
        <f t="shared" ca="1" si="18"/>
        <v/>
      </c>
      <c r="V516" s="10" t="str">
        <f t="shared" ca="1" si="19"/>
        <v/>
      </c>
      <c r="AC516" s="10" t="s">
        <v>2342</v>
      </c>
      <c r="AD516" s="10" t="s">
        <v>19</v>
      </c>
      <c r="AE516" s="10" t="s">
        <v>2157</v>
      </c>
      <c r="AG516" t="s">
        <v>20</v>
      </c>
      <c r="AJ516" cm="1">
        <f t="array" ref="AJ516">_xlfn.IFS(AG516="Yes",1,AG516="No",0,AG516="","")</f>
        <v>0</v>
      </c>
    </row>
    <row r="517" spans="1:36" ht="29">
      <c r="A517" t="s">
        <v>533</v>
      </c>
      <c r="D517" s="4" t="s">
        <v>1551</v>
      </c>
      <c r="E517" s="4" t="s">
        <v>1552</v>
      </c>
      <c r="H517" t="s">
        <v>19</v>
      </c>
      <c r="J517" s="10" t="s">
        <v>2199</v>
      </c>
      <c r="T517" s="10" t="s">
        <v>2220</v>
      </c>
      <c r="U517" s="10" t="str">
        <f t="shared" ca="1" si="18"/>
        <v/>
      </c>
      <c r="V517" s="10" t="str">
        <f t="shared" ca="1" si="19"/>
        <v/>
      </c>
      <c r="AC517" s="10" t="s">
        <v>2252</v>
      </c>
      <c r="AD517" s="10" t="s">
        <v>19</v>
      </c>
      <c r="AE517" s="10" t="s">
        <v>2157</v>
      </c>
      <c r="AG517" t="s">
        <v>19</v>
      </c>
      <c r="AJ517" cm="1">
        <f t="array" ref="AJ517">_xlfn.IFS(AG517="Yes",1,AG517="No",0,AG517="","")</f>
        <v>1</v>
      </c>
    </row>
    <row r="518" spans="1:36">
      <c r="A518" t="s">
        <v>534</v>
      </c>
      <c r="D518" s="4" t="s">
        <v>535</v>
      </c>
      <c r="E518" s="4" t="s">
        <v>536</v>
      </c>
      <c r="J518" s="10" t="s">
        <v>2201</v>
      </c>
      <c r="U518" s="10" t="str">
        <f t="shared" ca="1" si="18"/>
        <v/>
      </c>
      <c r="V518" s="10" t="str">
        <f t="shared" ca="1" si="19"/>
        <v/>
      </c>
      <c r="AB518" s="10" t="s">
        <v>2353</v>
      </c>
      <c r="AD518" s="10" t="s">
        <v>19</v>
      </c>
      <c r="AG518" t="s">
        <v>19</v>
      </c>
      <c r="AJ518" cm="1">
        <f t="array" ref="AJ518">_xlfn.IFS(AG518="Yes",1,AG518="No",0,AG518="","")</f>
        <v>1</v>
      </c>
    </row>
    <row r="519" spans="1:36" ht="58">
      <c r="A519" t="s">
        <v>534</v>
      </c>
      <c r="D519" s="4" t="s">
        <v>1554</v>
      </c>
      <c r="E519" s="4" t="s">
        <v>1553</v>
      </c>
      <c r="I519" t="s">
        <v>2292</v>
      </c>
      <c r="J519" s="10" t="s">
        <v>26</v>
      </c>
      <c r="U519" s="10" t="str">
        <f t="shared" ca="1" si="18"/>
        <v/>
      </c>
      <c r="V519" s="10" t="str">
        <f t="shared" ca="1" si="19"/>
        <v/>
      </c>
      <c r="AG519" t="s">
        <v>19</v>
      </c>
      <c r="AJ519" cm="1">
        <f t="array" ref="AJ519">_xlfn.IFS(AG519="Yes",1,AG519="No",0,AG519="","")</f>
        <v>1</v>
      </c>
    </row>
    <row r="520" spans="1:36" ht="29">
      <c r="A520" t="s">
        <v>537</v>
      </c>
      <c r="D520" s="4" t="s">
        <v>1556</v>
      </c>
      <c r="E520" s="4" t="s">
        <v>1555</v>
      </c>
      <c r="J520" s="10" t="s">
        <v>25</v>
      </c>
      <c r="L520" s="10">
        <v>1</v>
      </c>
      <c r="M520" s="10">
        <v>3</v>
      </c>
      <c r="N520" s="10" t="s">
        <v>2168</v>
      </c>
      <c r="O520" s="10" t="s">
        <v>2159</v>
      </c>
      <c r="S520" s="10">
        <v>1701</v>
      </c>
      <c r="U520" s="10" t="str">
        <f t="shared" ca="1" si="18"/>
        <v/>
      </c>
      <c r="V520" s="10" t="str">
        <f t="shared" ca="1" si="19"/>
        <v/>
      </c>
      <c r="AG520" t="s">
        <v>19</v>
      </c>
      <c r="AJ520" cm="1">
        <f t="array" ref="AJ520">_xlfn.IFS(AG520="Yes",1,AG520="No",0,AG520="","")</f>
        <v>1</v>
      </c>
    </row>
    <row r="521" spans="1:36" ht="29">
      <c r="A521" t="s">
        <v>537</v>
      </c>
      <c r="D521" s="4" t="s">
        <v>1558</v>
      </c>
      <c r="E521" s="4" t="s">
        <v>1557</v>
      </c>
      <c r="J521" s="10" t="s">
        <v>2199</v>
      </c>
      <c r="T521" s="10">
        <f>66-129</f>
        <v>-63</v>
      </c>
      <c r="U521" s="10">
        <f t="shared" ca="1" si="18"/>
        <v>129</v>
      </c>
      <c r="V521" s="10">
        <f t="shared" ca="1" si="19"/>
        <v>66</v>
      </c>
      <c r="AG521" t="s">
        <v>19</v>
      </c>
      <c r="AJ521" cm="1">
        <f t="array" ref="AJ521">_xlfn.IFS(AG521="Yes",1,AG521="No",0,AG521="","")</f>
        <v>1</v>
      </c>
    </row>
    <row r="522" spans="1:36" ht="29">
      <c r="A522" t="s">
        <v>537</v>
      </c>
      <c r="D522" s="4" t="s">
        <v>1559</v>
      </c>
      <c r="E522" s="4" t="s">
        <v>1560</v>
      </c>
      <c r="J522" s="10" t="s">
        <v>2199</v>
      </c>
      <c r="T522" s="10">
        <f>1-0</f>
        <v>1</v>
      </c>
      <c r="U522" s="10">
        <f t="shared" ca="1" si="18"/>
        <v>0</v>
      </c>
      <c r="V522" s="10">
        <f t="shared" ca="1" si="19"/>
        <v>1</v>
      </c>
      <c r="AG522" t="s">
        <v>19</v>
      </c>
      <c r="AJ522" cm="1">
        <f t="array" ref="AJ522">_xlfn.IFS(AG522="Yes",1,AG522="No",0,AG522="","")</f>
        <v>1</v>
      </c>
    </row>
    <row r="523" spans="1:36" ht="29">
      <c r="A523" t="s">
        <v>537</v>
      </c>
      <c r="D523" s="4" t="s">
        <v>1561</v>
      </c>
      <c r="E523" s="4" t="s">
        <v>1562</v>
      </c>
      <c r="J523" s="10" t="s">
        <v>2201</v>
      </c>
      <c r="U523" s="10" t="str">
        <f t="shared" ca="1" si="18"/>
        <v/>
      </c>
      <c r="V523" s="10" t="str">
        <f t="shared" ca="1" si="19"/>
        <v/>
      </c>
      <c r="AG523" t="s">
        <v>19</v>
      </c>
      <c r="AJ523" cm="1">
        <f t="array" ref="AJ523">_xlfn.IFS(AG523="Yes",1,AG523="No",0,AG523="","")</f>
        <v>1</v>
      </c>
    </row>
    <row r="524" spans="1:36" ht="29">
      <c r="A524" t="s">
        <v>537</v>
      </c>
      <c r="D524" s="4" t="s">
        <v>1563</v>
      </c>
      <c r="E524" s="4" t="s">
        <v>1564</v>
      </c>
      <c r="H524" t="s">
        <v>19</v>
      </c>
      <c r="J524" s="10" t="s">
        <v>2199</v>
      </c>
      <c r="T524" s="10" t="s">
        <v>2220</v>
      </c>
      <c r="U524" s="10" t="str">
        <f t="shared" ca="1" si="18"/>
        <v/>
      </c>
      <c r="V524" s="10" t="str">
        <f t="shared" ca="1" si="19"/>
        <v/>
      </c>
      <c r="AE524" s="10" t="s">
        <v>2157</v>
      </c>
      <c r="AG524" t="s">
        <v>20</v>
      </c>
      <c r="AJ524" cm="1">
        <f t="array" ref="AJ524">_xlfn.IFS(AG524="Yes",1,AG524="No",0,AG524="","")</f>
        <v>0</v>
      </c>
    </row>
    <row r="525" spans="1:36" ht="29">
      <c r="A525" t="s">
        <v>537</v>
      </c>
      <c r="D525" s="4" t="s">
        <v>1565</v>
      </c>
      <c r="E525" s="4" t="s">
        <v>1566</v>
      </c>
      <c r="H525" t="s">
        <v>22</v>
      </c>
      <c r="I525" t="s">
        <v>1567</v>
      </c>
      <c r="J525" s="10" t="s">
        <v>2201</v>
      </c>
      <c r="U525" s="10" t="str">
        <f t="shared" ca="1" si="18"/>
        <v/>
      </c>
      <c r="V525" s="10" t="str">
        <f t="shared" ca="1" si="19"/>
        <v/>
      </c>
      <c r="AG525" t="s">
        <v>19</v>
      </c>
      <c r="AJ525" cm="1">
        <f t="array" ref="AJ525">_xlfn.IFS(AG525="Yes",1,AG525="No",0,AG525="","")</f>
        <v>1</v>
      </c>
    </row>
    <row r="526" spans="1:36">
      <c r="A526" t="s">
        <v>537</v>
      </c>
      <c r="D526" s="4" t="s">
        <v>1568</v>
      </c>
      <c r="E526" s="4" t="s">
        <v>1569</v>
      </c>
      <c r="J526" s="10" t="s">
        <v>2199</v>
      </c>
      <c r="T526" s="10" t="s">
        <v>2220</v>
      </c>
      <c r="U526" s="10" t="str">
        <f t="shared" ca="1" si="18"/>
        <v/>
      </c>
      <c r="V526" s="10" t="str">
        <f t="shared" ca="1" si="19"/>
        <v/>
      </c>
      <c r="AE526" s="10" t="s">
        <v>2157</v>
      </c>
      <c r="AG526" t="s">
        <v>19</v>
      </c>
      <c r="AJ526" cm="1">
        <f t="array" ref="AJ526">_xlfn.IFS(AG526="Yes",1,AG526="No",0,AG526="","")</f>
        <v>1</v>
      </c>
    </row>
    <row r="527" spans="1:36" ht="29">
      <c r="A527" t="s">
        <v>537</v>
      </c>
      <c r="D527" s="4" t="s">
        <v>1570</v>
      </c>
      <c r="E527" s="4" t="s">
        <v>1571</v>
      </c>
      <c r="J527" s="10" t="s">
        <v>25</v>
      </c>
      <c r="L527" s="10">
        <v>1</v>
      </c>
      <c r="M527" s="10">
        <v>4</v>
      </c>
      <c r="N527" s="10" t="s">
        <v>2175</v>
      </c>
      <c r="O527" s="10" t="s">
        <v>2159</v>
      </c>
      <c r="S527" s="10">
        <v>312</v>
      </c>
      <c r="U527" s="10" t="str">
        <f t="shared" ca="1" si="18"/>
        <v/>
      </c>
      <c r="V527" s="10" t="str">
        <f t="shared" ca="1" si="19"/>
        <v/>
      </c>
      <c r="AG527" t="s">
        <v>19</v>
      </c>
      <c r="AJ527" cm="1">
        <f t="array" ref="AJ527">_xlfn.IFS(AG527="Yes",1,AG527="No",0,AG527="","")</f>
        <v>1</v>
      </c>
    </row>
    <row r="528" spans="1:36" ht="29">
      <c r="A528" t="s">
        <v>538</v>
      </c>
      <c r="D528" s="4" t="s">
        <v>1573</v>
      </c>
      <c r="E528" s="4" t="s">
        <v>1572</v>
      </c>
      <c r="J528" s="10" t="s">
        <v>25</v>
      </c>
      <c r="L528" s="10">
        <v>1</v>
      </c>
      <c r="M528" s="10">
        <v>1</v>
      </c>
      <c r="N528" s="10" t="s">
        <v>2158</v>
      </c>
      <c r="O528" s="10" t="s">
        <v>2200</v>
      </c>
      <c r="S528" s="10">
        <v>2475</v>
      </c>
      <c r="U528" s="10" t="str">
        <f t="shared" ca="1" si="18"/>
        <v/>
      </c>
      <c r="V528" s="10" t="str">
        <f t="shared" ca="1" si="19"/>
        <v/>
      </c>
      <c r="AG528" t="s">
        <v>19</v>
      </c>
      <c r="AJ528" cm="1">
        <f t="array" ref="AJ528">_xlfn.IFS(AG528="Yes",1,AG528="No",0,AG528="","")</f>
        <v>1</v>
      </c>
    </row>
    <row r="529" spans="1:36" ht="29">
      <c r="A529" t="s">
        <v>538</v>
      </c>
      <c r="D529" s="4" t="s">
        <v>1574</v>
      </c>
      <c r="E529" s="4" t="s">
        <v>1572</v>
      </c>
      <c r="J529" s="10" t="s">
        <v>25</v>
      </c>
      <c r="L529" s="10">
        <v>1</v>
      </c>
      <c r="M529" s="10">
        <v>3</v>
      </c>
      <c r="N529" s="10" t="s">
        <v>2158</v>
      </c>
      <c r="O529" s="10" t="s">
        <v>2159</v>
      </c>
      <c r="S529" s="10">
        <v>2475</v>
      </c>
      <c r="U529" s="10" t="str">
        <f t="shared" ca="1" si="18"/>
        <v/>
      </c>
      <c r="V529" s="10" t="str">
        <f t="shared" ca="1" si="19"/>
        <v/>
      </c>
      <c r="AG529" t="s">
        <v>19</v>
      </c>
      <c r="AJ529" cm="1">
        <f t="array" ref="AJ529">_xlfn.IFS(AG529="Yes",1,AG529="No",0,AG529="","")</f>
        <v>1</v>
      </c>
    </row>
    <row r="530" spans="1:36">
      <c r="A530" t="s">
        <v>538</v>
      </c>
      <c r="D530" s="4" t="s">
        <v>539</v>
      </c>
      <c r="E530" s="4" t="s">
        <v>540</v>
      </c>
      <c r="H530" t="s">
        <v>19</v>
      </c>
      <c r="J530" s="10" t="s">
        <v>2199</v>
      </c>
      <c r="T530" s="10" t="s">
        <v>2200</v>
      </c>
      <c r="U530" s="10" t="str">
        <f t="shared" ca="1" si="18"/>
        <v/>
      </c>
      <c r="V530" s="10" t="str">
        <f t="shared" ca="1" si="19"/>
        <v/>
      </c>
      <c r="AC530" s="10" t="s">
        <v>2342</v>
      </c>
      <c r="AD530" s="10" t="s">
        <v>19</v>
      </c>
      <c r="AE530" s="10" t="s">
        <v>2157</v>
      </c>
      <c r="AG530" t="s">
        <v>20</v>
      </c>
      <c r="AJ530" cm="1">
        <f t="array" ref="AJ530">_xlfn.IFS(AG530="Yes",1,AG530="No",0,AG530="","")</f>
        <v>0</v>
      </c>
    </row>
    <row r="531" spans="1:36" ht="29">
      <c r="A531" t="s">
        <v>541</v>
      </c>
      <c r="D531" s="4" t="s">
        <v>2441</v>
      </c>
      <c r="E531" s="4" t="s">
        <v>1575</v>
      </c>
      <c r="J531" s="10" t="s">
        <v>2201</v>
      </c>
      <c r="U531" s="10" t="str">
        <f t="shared" ca="1" si="18"/>
        <v/>
      </c>
      <c r="V531" s="10" t="str">
        <f t="shared" ca="1" si="19"/>
        <v/>
      </c>
      <c r="AG531" t="s">
        <v>19</v>
      </c>
      <c r="AJ531" cm="1">
        <f t="array" ref="AJ531">_xlfn.IFS(AG531="Yes",1,AG531="No",0,AG531="","")</f>
        <v>1</v>
      </c>
    </row>
    <row r="532" spans="1:36">
      <c r="A532" t="s">
        <v>541</v>
      </c>
      <c r="D532" s="4" t="s">
        <v>1576</v>
      </c>
      <c r="E532" s="4" t="s">
        <v>1577</v>
      </c>
      <c r="J532" s="10" t="s">
        <v>2201</v>
      </c>
      <c r="U532" s="10" t="str">
        <f t="shared" ca="1" si="18"/>
        <v/>
      </c>
      <c r="V532" s="10" t="str">
        <f t="shared" ca="1" si="19"/>
        <v/>
      </c>
      <c r="AG532" t="s">
        <v>19</v>
      </c>
      <c r="AJ532" cm="1">
        <f t="array" ref="AJ532">_xlfn.IFS(AG532="Yes",1,AG532="No",0,AG532="","")</f>
        <v>1</v>
      </c>
    </row>
    <row r="533" spans="1:36">
      <c r="A533" t="s">
        <v>542</v>
      </c>
      <c r="D533" s="4" t="s">
        <v>543</v>
      </c>
      <c r="E533" s="4" t="s">
        <v>544</v>
      </c>
      <c r="H533" t="s">
        <v>19</v>
      </c>
      <c r="J533" s="10" t="s">
        <v>2199</v>
      </c>
      <c r="T533" s="10" t="s">
        <v>2200</v>
      </c>
      <c r="U533" s="10" t="str">
        <f t="shared" ca="1" si="18"/>
        <v/>
      </c>
      <c r="V533" s="10" t="str">
        <f t="shared" ca="1" si="19"/>
        <v/>
      </c>
      <c r="AB533" s="10" t="s">
        <v>2235</v>
      </c>
      <c r="AC533" s="10" t="s">
        <v>2343</v>
      </c>
      <c r="AD533" s="10" t="s">
        <v>19</v>
      </c>
      <c r="AG533" t="s">
        <v>20</v>
      </c>
      <c r="AJ533" cm="1">
        <f t="array" ref="AJ533">_xlfn.IFS(AG533="Yes",1,AG533="No",0,AG533="","")</f>
        <v>0</v>
      </c>
    </row>
    <row r="534" spans="1:36" ht="43.5">
      <c r="A534" t="s">
        <v>542</v>
      </c>
      <c r="D534" s="4" t="s">
        <v>1579</v>
      </c>
      <c r="E534" s="4" t="s">
        <v>1580</v>
      </c>
      <c r="J534" s="10" t="s">
        <v>2199</v>
      </c>
      <c r="U534" s="10" t="str">
        <f t="shared" ca="1" si="18"/>
        <v/>
      </c>
      <c r="V534" s="10" t="str">
        <f t="shared" ca="1" si="19"/>
        <v/>
      </c>
      <c r="AB534" s="10" t="s">
        <v>2235</v>
      </c>
      <c r="AD534" s="10" t="s">
        <v>19</v>
      </c>
      <c r="AG534" t="s">
        <v>20</v>
      </c>
      <c r="AJ534" cm="1">
        <f t="array" ref="AJ534">_xlfn.IFS(AG534="Yes",1,AG534="No",0,AG534="","")</f>
        <v>0</v>
      </c>
    </row>
    <row r="535" spans="1:36" ht="43.5">
      <c r="A535" t="s">
        <v>542</v>
      </c>
      <c r="D535" s="4" t="s">
        <v>1578</v>
      </c>
      <c r="E535" s="4" t="s">
        <v>1581</v>
      </c>
      <c r="H535" t="s">
        <v>19</v>
      </c>
      <c r="J535" s="10" t="s">
        <v>24</v>
      </c>
      <c r="L535" s="10">
        <v>4</v>
      </c>
      <c r="M535" s="10">
        <v>17</v>
      </c>
      <c r="O535" s="10" t="s">
        <v>2159</v>
      </c>
      <c r="S535" s="10">
        <v>19</v>
      </c>
      <c r="U535" s="10" t="str">
        <f t="shared" ca="1" si="18"/>
        <v/>
      </c>
      <c r="V535" s="10" t="str">
        <f t="shared" ca="1" si="19"/>
        <v/>
      </c>
      <c r="AG535" t="s">
        <v>20</v>
      </c>
      <c r="AJ535" cm="1">
        <f t="array" ref="AJ535">_xlfn.IFS(AG535="Yes",1,AG535="No",0,AG535="","")</f>
        <v>0</v>
      </c>
    </row>
    <row r="536" spans="1:36">
      <c r="A536" t="s">
        <v>545</v>
      </c>
      <c r="D536" s="4" t="s">
        <v>1583</v>
      </c>
      <c r="E536" s="4" t="s">
        <v>1582</v>
      </c>
      <c r="J536" s="10" t="s">
        <v>25</v>
      </c>
      <c r="L536" s="10">
        <v>1</v>
      </c>
      <c r="M536" s="10">
        <v>5</v>
      </c>
      <c r="N536" s="10" t="s">
        <v>2219</v>
      </c>
      <c r="O536" s="10" t="s">
        <v>2159</v>
      </c>
      <c r="S536" s="10">
        <v>295</v>
      </c>
      <c r="U536" s="10" t="str">
        <f t="shared" ca="1" si="18"/>
        <v/>
      </c>
      <c r="V536" s="10" t="str">
        <f t="shared" ca="1" si="19"/>
        <v/>
      </c>
      <c r="AG536" t="s">
        <v>19</v>
      </c>
      <c r="AJ536" cm="1">
        <f t="array" ref="AJ536">_xlfn.IFS(AG536="Yes",1,AG536="No",0,AG536="","")</f>
        <v>1</v>
      </c>
    </row>
    <row r="537" spans="1:36" ht="29">
      <c r="A537" t="s">
        <v>546</v>
      </c>
      <c r="D537" s="4" t="s">
        <v>1584</v>
      </c>
      <c r="E537" s="4" t="s">
        <v>1585</v>
      </c>
      <c r="J537" s="10" t="s">
        <v>2199</v>
      </c>
      <c r="T537" s="10">
        <f>0-1</f>
        <v>-1</v>
      </c>
      <c r="U537" s="10">
        <f t="shared" ca="1" si="18"/>
        <v>1</v>
      </c>
      <c r="V537" s="10">
        <f t="shared" ca="1" si="19"/>
        <v>0</v>
      </c>
      <c r="AG537" t="s">
        <v>19</v>
      </c>
      <c r="AJ537" cm="1">
        <f t="array" ref="AJ537">_xlfn.IFS(AG537="Yes",1,AG537="No",0,AG537="","")</f>
        <v>1</v>
      </c>
    </row>
    <row r="538" spans="1:36">
      <c r="A538" t="s">
        <v>546</v>
      </c>
      <c r="D538" s="4" t="s">
        <v>547</v>
      </c>
      <c r="E538" s="4" t="s">
        <v>548</v>
      </c>
      <c r="H538" t="s">
        <v>19</v>
      </c>
      <c r="J538" s="10" t="s">
        <v>2199</v>
      </c>
      <c r="T538" s="10" t="s">
        <v>2200</v>
      </c>
      <c r="U538" s="10" t="str">
        <f t="shared" ca="1" si="18"/>
        <v/>
      </c>
      <c r="V538" s="10" t="str">
        <f t="shared" ca="1" si="19"/>
        <v/>
      </c>
      <c r="AC538" s="10" t="s">
        <v>2223</v>
      </c>
      <c r="AD538" s="10" t="s">
        <v>19</v>
      </c>
      <c r="AE538" s="10" t="s">
        <v>2157</v>
      </c>
      <c r="AG538" t="s">
        <v>20</v>
      </c>
      <c r="AJ538" cm="1">
        <f t="array" ref="AJ538">_xlfn.IFS(AG538="Yes",1,AG538="No",0,AG538="","")</f>
        <v>0</v>
      </c>
    </row>
    <row r="539" spans="1:36" ht="29">
      <c r="A539" t="s">
        <v>546</v>
      </c>
      <c r="D539" s="4" t="s">
        <v>1586</v>
      </c>
      <c r="E539" s="4" t="s">
        <v>1587</v>
      </c>
      <c r="J539" s="10" t="s">
        <v>2201</v>
      </c>
      <c r="U539" s="10" t="str">
        <f t="shared" ca="1" si="18"/>
        <v/>
      </c>
      <c r="V539" s="10" t="str">
        <f t="shared" ca="1" si="19"/>
        <v/>
      </c>
      <c r="AG539" t="s">
        <v>19</v>
      </c>
      <c r="AJ539" cm="1">
        <f t="array" ref="AJ539">_xlfn.IFS(AG539="Yes",1,AG539="No",0,AG539="","")</f>
        <v>1</v>
      </c>
    </row>
    <row r="540" spans="1:36">
      <c r="A540" t="s">
        <v>549</v>
      </c>
      <c r="D540" s="4" t="s">
        <v>1589</v>
      </c>
      <c r="E540" s="4" t="s">
        <v>1588</v>
      </c>
      <c r="J540" s="10" t="s">
        <v>24</v>
      </c>
      <c r="L540" s="10">
        <v>1</v>
      </c>
      <c r="M540" s="10">
        <v>3</v>
      </c>
      <c r="N540" s="10" t="s">
        <v>2158</v>
      </c>
      <c r="O540" s="10" t="s">
        <v>2159</v>
      </c>
      <c r="S540" s="10">
        <v>2475</v>
      </c>
      <c r="U540" s="10" t="str">
        <f t="shared" ca="1" si="18"/>
        <v/>
      </c>
      <c r="V540" s="10" t="str">
        <f t="shared" ca="1" si="19"/>
        <v/>
      </c>
      <c r="AG540" t="s">
        <v>19</v>
      </c>
      <c r="AJ540" cm="1">
        <f t="array" ref="AJ540">_xlfn.IFS(AG540="Yes",1,AG540="No",0,AG540="","")</f>
        <v>1</v>
      </c>
    </row>
    <row r="541" spans="1:36">
      <c r="A541" t="s">
        <v>550</v>
      </c>
      <c r="D541" s="4" t="s">
        <v>1591</v>
      </c>
      <c r="E541" s="4" t="s">
        <v>1590</v>
      </c>
      <c r="J541" s="10" t="s">
        <v>2201</v>
      </c>
      <c r="U541" s="10" t="str">
        <f t="shared" ca="1" si="18"/>
        <v/>
      </c>
      <c r="V541" s="10" t="str">
        <f t="shared" ca="1" si="19"/>
        <v/>
      </c>
      <c r="AB541" s="10" t="s">
        <v>2162</v>
      </c>
      <c r="AD541" s="10" t="s">
        <v>19</v>
      </c>
      <c r="AG541" t="s">
        <v>19</v>
      </c>
      <c r="AJ541" cm="1">
        <f t="array" ref="AJ541">_xlfn.IFS(AG541="Yes",1,AG541="No",0,AG541="","")</f>
        <v>1</v>
      </c>
    </row>
    <row r="542" spans="1:36" ht="43.5">
      <c r="A542" t="s">
        <v>550</v>
      </c>
      <c r="D542" s="4" t="s">
        <v>1592</v>
      </c>
      <c r="E542" s="4" t="s">
        <v>1593</v>
      </c>
      <c r="I542" t="s">
        <v>2250</v>
      </c>
      <c r="J542" s="10" t="s">
        <v>26</v>
      </c>
      <c r="U542" s="10" t="str">
        <f t="shared" ca="1" si="18"/>
        <v/>
      </c>
      <c r="V542" s="10" t="str">
        <f t="shared" ca="1" si="19"/>
        <v/>
      </c>
      <c r="AG542" t="s">
        <v>19</v>
      </c>
      <c r="AJ542" cm="1">
        <f t="array" ref="AJ542">_xlfn.IFS(AG542="Yes",1,AG542="No",0,AG542="","")</f>
        <v>1</v>
      </c>
    </row>
    <row r="543" spans="1:36">
      <c r="A543" t="s">
        <v>551</v>
      </c>
      <c r="D543" s="4" t="s">
        <v>1594</v>
      </c>
      <c r="E543" s="4" t="s">
        <v>1595</v>
      </c>
      <c r="J543" s="10" t="s">
        <v>2201</v>
      </c>
      <c r="U543" s="10" t="str">
        <f t="shared" ca="1" si="18"/>
        <v/>
      </c>
      <c r="V543" s="10" t="str">
        <f t="shared" ca="1" si="19"/>
        <v/>
      </c>
      <c r="AG543" t="s">
        <v>19</v>
      </c>
      <c r="AJ543" cm="1">
        <f t="array" ref="AJ543">_xlfn.IFS(AG543="Yes",1,AG543="No",0,AG543="","")</f>
        <v>1</v>
      </c>
    </row>
    <row r="544" spans="1:36" ht="58">
      <c r="A544" t="s">
        <v>551</v>
      </c>
      <c r="D544" s="4" t="s">
        <v>2293</v>
      </c>
      <c r="E544" s="4" t="s">
        <v>2294</v>
      </c>
      <c r="I544" t="s">
        <v>2295</v>
      </c>
      <c r="J544" s="10" t="s">
        <v>26</v>
      </c>
      <c r="U544" s="10" t="str">
        <f t="shared" ca="1" si="18"/>
        <v/>
      </c>
      <c r="V544" s="10" t="str">
        <f t="shared" ca="1" si="19"/>
        <v/>
      </c>
      <c r="AG544" t="s">
        <v>19</v>
      </c>
      <c r="AJ544" cm="1">
        <f t="array" ref="AJ544">_xlfn.IFS(AG544="Yes",1,AG544="No",0,AG544="","")</f>
        <v>1</v>
      </c>
    </row>
    <row r="545" spans="1:36" ht="58">
      <c r="A545" t="s">
        <v>551</v>
      </c>
      <c r="D545" s="4" t="s">
        <v>1596</v>
      </c>
      <c r="E545" s="4" t="s">
        <v>1597</v>
      </c>
      <c r="J545" s="10" t="s">
        <v>2201</v>
      </c>
      <c r="U545" s="10" t="str">
        <f t="shared" ca="1" si="18"/>
        <v/>
      </c>
      <c r="V545" s="10" t="str">
        <f t="shared" ca="1" si="19"/>
        <v/>
      </c>
      <c r="AC545" s="10" t="s">
        <v>2342</v>
      </c>
      <c r="AD545" s="10" t="s">
        <v>20</v>
      </c>
      <c r="AG545" t="s">
        <v>19</v>
      </c>
      <c r="AJ545" cm="1">
        <f t="array" ref="AJ545">_xlfn.IFS(AG545="Yes",1,AG545="No",0,AG545="","")</f>
        <v>1</v>
      </c>
    </row>
    <row r="546" spans="1:36">
      <c r="A546" t="s">
        <v>552</v>
      </c>
      <c r="D546" s="4" t="s">
        <v>553</v>
      </c>
      <c r="E546" s="4" t="s">
        <v>554</v>
      </c>
      <c r="J546" s="10" t="s">
        <v>2199</v>
      </c>
      <c r="T546" s="10">
        <f>0-1</f>
        <v>-1</v>
      </c>
      <c r="U546" s="10">
        <f t="shared" ca="1" si="18"/>
        <v>1</v>
      </c>
      <c r="V546" s="10">
        <f t="shared" ca="1" si="19"/>
        <v>0</v>
      </c>
      <c r="AG546" t="s">
        <v>19</v>
      </c>
      <c r="AJ546" cm="1">
        <f t="array" ref="AJ546">_xlfn.IFS(AG546="Yes",1,AG546="No",0,AG546="","")</f>
        <v>1</v>
      </c>
    </row>
    <row r="547" spans="1:36">
      <c r="A547" t="s">
        <v>552</v>
      </c>
      <c r="D547" s="4" t="s">
        <v>555</v>
      </c>
      <c r="E547" s="4" t="s">
        <v>556</v>
      </c>
      <c r="J547" s="10" t="s">
        <v>2199</v>
      </c>
      <c r="T547" s="10" t="s">
        <v>2200</v>
      </c>
      <c r="U547" s="10" t="str">
        <f t="shared" ca="1" si="18"/>
        <v/>
      </c>
      <c r="V547" s="10" t="str">
        <f t="shared" ca="1" si="19"/>
        <v/>
      </c>
      <c r="AB547" s="10" t="s">
        <v>2235</v>
      </c>
      <c r="AD547" s="10" t="s">
        <v>19</v>
      </c>
      <c r="AG547" t="s">
        <v>19</v>
      </c>
      <c r="AJ547" cm="1">
        <f t="array" ref="AJ547">_xlfn.IFS(AG547="Yes",1,AG547="No",0,AG547="","")</f>
        <v>1</v>
      </c>
    </row>
    <row r="548" spans="1:36">
      <c r="A548" t="s">
        <v>557</v>
      </c>
      <c r="D548" s="4" t="s">
        <v>558</v>
      </c>
      <c r="E548" s="4" t="s">
        <v>559</v>
      </c>
      <c r="J548" s="10" t="s">
        <v>2199</v>
      </c>
      <c r="T548" s="10" t="s">
        <v>2220</v>
      </c>
      <c r="U548" s="10" t="str">
        <f t="shared" ca="1" si="18"/>
        <v/>
      </c>
      <c r="V548" s="10" t="str">
        <f t="shared" ca="1" si="19"/>
        <v/>
      </c>
      <c r="AB548" s="10" t="s">
        <v>2235</v>
      </c>
      <c r="AC548" s="10" t="s">
        <v>2222</v>
      </c>
      <c r="AD548" s="10" t="s">
        <v>19</v>
      </c>
      <c r="AG548" t="s">
        <v>19</v>
      </c>
      <c r="AJ548" cm="1">
        <f t="array" ref="AJ548">_xlfn.IFS(AG548="Yes",1,AG548="No",0,AG548="","")</f>
        <v>1</v>
      </c>
    </row>
    <row r="549" spans="1:36" ht="29">
      <c r="A549" t="s">
        <v>560</v>
      </c>
      <c r="D549" s="4" t="s">
        <v>1599</v>
      </c>
      <c r="E549" s="4" t="s">
        <v>1598</v>
      </c>
      <c r="I549" t="s">
        <v>2250</v>
      </c>
      <c r="J549" s="10" t="s">
        <v>26</v>
      </c>
      <c r="U549" s="10" t="str">
        <f t="shared" ca="1" si="18"/>
        <v/>
      </c>
      <c r="V549" s="10" t="str">
        <f t="shared" ca="1" si="19"/>
        <v/>
      </c>
      <c r="AG549" t="s">
        <v>19</v>
      </c>
      <c r="AJ549" cm="1">
        <f t="array" ref="AJ549">_xlfn.IFS(AG549="Yes",1,AG549="No",0,AG549="","")</f>
        <v>1</v>
      </c>
    </row>
    <row r="550" spans="1:36">
      <c r="A550" t="s">
        <v>561</v>
      </c>
      <c r="D550" s="4" t="s">
        <v>558</v>
      </c>
      <c r="E550" s="4" t="s">
        <v>559</v>
      </c>
      <c r="J550" s="10" t="s">
        <v>2199</v>
      </c>
      <c r="T550" s="10" t="s">
        <v>2220</v>
      </c>
      <c r="U550" s="10" t="str">
        <f t="shared" ca="1" si="18"/>
        <v/>
      </c>
      <c r="V550" s="10" t="str">
        <f t="shared" ca="1" si="19"/>
        <v/>
      </c>
      <c r="AB550" s="10" t="s">
        <v>2235</v>
      </c>
      <c r="AC550" s="10" t="s">
        <v>2222</v>
      </c>
      <c r="AD550" s="10" t="s">
        <v>19</v>
      </c>
      <c r="AG550" t="s">
        <v>19</v>
      </c>
      <c r="AJ550" cm="1">
        <f t="array" ref="AJ550">_xlfn.IFS(AG550="Yes",1,AG550="No",0,AG550="","")</f>
        <v>1</v>
      </c>
    </row>
    <row r="551" spans="1:36">
      <c r="A551" t="s">
        <v>562</v>
      </c>
      <c r="D551" s="4" t="s">
        <v>1600</v>
      </c>
      <c r="E551" s="4" t="s">
        <v>1601</v>
      </c>
      <c r="J551" s="10" t="s">
        <v>2201</v>
      </c>
      <c r="U551" s="10" t="str">
        <f t="shared" ca="1" si="18"/>
        <v/>
      </c>
      <c r="V551" s="10" t="str">
        <f t="shared" ca="1" si="19"/>
        <v/>
      </c>
      <c r="AB551" s="10" t="s">
        <v>2162</v>
      </c>
      <c r="AD551" s="10" t="s">
        <v>19</v>
      </c>
      <c r="AG551" t="s">
        <v>19</v>
      </c>
      <c r="AJ551" cm="1">
        <f t="array" ref="AJ551">_xlfn.IFS(AG551="Yes",1,AG551="No",0,AG551="","")</f>
        <v>1</v>
      </c>
    </row>
    <row r="552" spans="1:36">
      <c r="A552" t="s">
        <v>563</v>
      </c>
      <c r="D552" s="4" t="s">
        <v>558</v>
      </c>
      <c r="E552" s="4" t="s">
        <v>559</v>
      </c>
      <c r="J552" s="10" t="s">
        <v>2199</v>
      </c>
      <c r="T552" s="10" t="s">
        <v>2220</v>
      </c>
      <c r="U552" s="10" t="str">
        <f t="shared" ca="1" si="18"/>
        <v/>
      </c>
      <c r="V552" s="10" t="str">
        <f t="shared" ca="1" si="19"/>
        <v/>
      </c>
      <c r="AB552" s="10" t="s">
        <v>2235</v>
      </c>
      <c r="AC552" s="10" t="s">
        <v>2222</v>
      </c>
      <c r="AD552" s="10" t="s">
        <v>19</v>
      </c>
      <c r="AG552" t="s">
        <v>19</v>
      </c>
      <c r="AJ552" cm="1">
        <f t="array" ref="AJ552">_xlfn.IFS(AG552="Yes",1,AG552="No",0,AG552="","")</f>
        <v>1</v>
      </c>
    </row>
    <row r="553" spans="1:36" ht="29">
      <c r="A553" t="s">
        <v>564</v>
      </c>
      <c r="D553" s="4" t="s">
        <v>1603</v>
      </c>
      <c r="E553" s="4" t="s">
        <v>1602</v>
      </c>
      <c r="J553" s="10" t="s">
        <v>25</v>
      </c>
      <c r="L553" s="10">
        <v>1</v>
      </c>
      <c r="M553" s="10">
        <v>3</v>
      </c>
      <c r="N553" s="10" t="s">
        <v>2173</v>
      </c>
      <c r="O553" s="10" t="s">
        <v>2159</v>
      </c>
      <c r="S553" s="10">
        <v>52</v>
      </c>
      <c r="U553" s="10" t="str">
        <f t="shared" ca="1" si="18"/>
        <v/>
      </c>
      <c r="V553" s="10" t="str">
        <f t="shared" ca="1" si="19"/>
        <v/>
      </c>
      <c r="AG553" t="s">
        <v>20</v>
      </c>
      <c r="AJ553" cm="1">
        <f t="array" ref="AJ553">_xlfn.IFS(AG553="Yes",1,AG553="No",0,AG553="","")</f>
        <v>0</v>
      </c>
    </row>
    <row r="554" spans="1:36">
      <c r="A554" t="s">
        <v>565</v>
      </c>
      <c r="D554" s="4" t="s">
        <v>1604</v>
      </c>
      <c r="E554" s="4" t="s">
        <v>1605</v>
      </c>
      <c r="J554" s="10" t="s">
        <v>25</v>
      </c>
      <c r="L554" s="10">
        <v>1</v>
      </c>
      <c r="M554" s="10">
        <v>2</v>
      </c>
      <c r="N554" s="10" t="s">
        <v>2175</v>
      </c>
      <c r="O554" s="10" t="s">
        <v>2200</v>
      </c>
      <c r="S554" s="10">
        <v>312</v>
      </c>
      <c r="U554" s="10" t="str">
        <f t="shared" ca="1" si="18"/>
        <v/>
      </c>
      <c r="V554" s="10" t="str">
        <f t="shared" ca="1" si="19"/>
        <v/>
      </c>
      <c r="AG554" t="s">
        <v>19</v>
      </c>
      <c r="AJ554" cm="1">
        <f t="array" ref="AJ554">_xlfn.IFS(AG554="Yes",1,AG554="No",0,AG554="","")</f>
        <v>1</v>
      </c>
    </row>
    <row r="555" spans="1:36" ht="29">
      <c r="A555" t="s">
        <v>566</v>
      </c>
      <c r="D555" s="4" t="s">
        <v>1607</v>
      </c>
      <c r="E555" s="4" t="s">
        <v>1606</v>
      </c>
      <c r="I555" t="s">
        <v>2250</v>
      </c>
      <c r="J555" s="10" t="s">
        <v>26</v>
      </c>
      <c r="U555" s="10" t="str">
        <f t="shared" ca="1" si="18"/>
        <v/>
      </c>
      <c r="V555" s="10" t="str">
        <f t="shared" ca="1" si="19"/>
        <v/>
      </c>
      <c r="AG555" t="s">
        <v>19</v>
      </c>
      <c r="AJ555" cm="1">
        <f t="array" ref="AJ555">_xlfn.IFS(AG555="Yes",1,AG555="No",0,AG555="","")</f>
        <v>1</v>
      </c>
    </row>
    <row r="556" spans="1:36">
      <c r="A556" t="s">
        <v>566</v>
      </c>
      <c r="D556" s="4" t="s">
        <v>1608</v>
      </c>
      <c r="E556" s="4" t="s">
        <v>1609</v>
      </c>
      <c r="J556" s="10" t="s">
        <v>2201</v>
      </c>
      <c r="U556" s="10" t="str">
        <f t="shared" ca="1" si="18"/>
        <v/>
      </c>
      <c r="V556" s="10" t="str">
        <f t="shared" ca="1" si="19"/>
        <v/>
      </c>
      <c r="AB556" s="10" t="s">
        <v>2354</v>
      </c>
      <c r="AD556" s="10" t="s">
        <v>19</v>
      </c>
      <c r="AG556" t="s">
        <v>19</v>
      </c>
      <c r="AJ556" cm="1">
        <f t="array" ref="AJ556">_xlfn.IFS(AG556="Yes",1,AG556="No",0,AG556="","")</f>
        <v>1</v>
      </c>
    </row>
    <row r="557" spans="1:36" ht="29">
      <c r="A557" t="s">
        <v>567</v>
      </c>
      <c r="D557" s="4" t="s">
        <v>1611</v>
      </c>
      <c r="E557" s="4" t="s">
        <v>1610</v>
      </c>
      <c r="J557" s="10" t="s">
        <v>25</v>
      </c>
      <c r="L557" s="10">
        <v>1</v>
      </c>
      <c r="M557" s="10">
        <v>2</v>
      </c>
      <c r="N557" s="10" t="s">
        <v>2175</v>
      </c>
      <c r="O557" s="10" t="s">
        <v>2200</v>
      </c>
      <c r="S557" s="10">
        <v>743</v>
      </c>
      <c r="U557" s="10" t="str">
        <f t="shared" ca="1" si="18"/>
        <v/>
      </c>
      <c r="V557" s="10" t="str">
        <f t="shared" ca="1" si="19"/>
        <v/>
      </c>
      <c r="AG557" t="s">
        <v>19</v>
      </c>
      <c r="AJ557" cm="1">
        <f t="array" ref="AJ557">_xlfn.IFS(AG557="Yes",1,AG557="No",0,AG557="","")</f>
        <v>1</v>
      </c>
    </row>
    <row r="558" spans="1:36">
      <c r="A558" t="s">
        <v>568</v>
      </c>
      <c r="D558" s="4" t="s">
        <v>1612</v>
      </c>
      <c r="E558" s="4" t="s">
        <v>1613</v>
      </c>
      <c r="J558" s="10" t="s">
        <v>2199</v>
      </c>
      <c r="R558" s="10" t="s">
        <v>2154</v>
      </c>
      <c r="T558" s="10" t="s">
        <v>2220</v>
      </c>
      <c r="U558" s="10" t="str">
        <f t="shared" ca="1" si="18"/>
        <v/>
      </c>
      <c r="V558" s="10" t="str">
        <f t="shared" ca="1" si="19"/>
        <v/>
      </c>
      <c r="AE558" s="10" t="s">
        <v>2157</v>
      </c>
      <c r="AG558" t="s">
        <v>20</v>
      </c>
      <c r="AJ558" cm="1">
        <f t="array" ref="AJ558">_xlfn.IFS(AG558="Yes",1,AG558="No",0,AG558="","")</f>
        <v>0</v>
      </c>
    </row>
    <row r="559" spans="1:36">
      <c r="A559" t="s">
        <v>568</v>
      </c>
      <c r="D559" s="4" t="s">
        <v>569</v>
      </c>
      <c r="E559" s="4" t="s">
        <v>570</v>
      </c>
      <c r="J559" s="10" t="s">
        <v>2199</v>
      </c>
      <c r="T559" s="10" t="s">
        <v>2220</v>
      </c>
      <c r="U559" s="10" t="str">
        <f t="shared" ca="1" si="18"/>
        <v/>
      </c>
      <c r="V559" s="10" t="str">
        <f t="shared" ca="1" si="19"/>
        <v/>
      </c>
      <c r="AB559" s="10" t="s">
        <v>2235</v>
      </c>
      <c r="AC559" s="10" t="s">
        <v>2222</v>
      </c>
      <c r="AD559" s="10" t="s">
        <v>19</v>
      </c>
      <c r="AG559" t="s">
        <v>19</v>
      </c>
      <c r="AJ559" cm="1">
        <f t="array" ref="AJ559">_xlfn.IFS(AG559="Yes",1,AG559="No",0,AG559="","")</f>
        <v>1</v>
      </c>
    </row>
    <row r="560" spans="1:36">
      <c r="A560" t="s">
        <v>571</v>
      </c>
      <c r="D560" s="4" t="s">
        <v>558</v>
      </c>
      <c r="E560" s="4" t="s">
        <v>559</v>
      </c>
      <c r="J560" s="10" t="s">
        <v>2199</v>
      </c>
      <c r="T560" s="10" t="s">
        <v>2220</v>
      </c>
      <c r="U560" s="10" t="str">
        <f t="shared" ca="1" si="18"/>
        <v/>
      </c>
      <c r="V560" s="10" t="str">
        <f t="shared" ca="1" si="19"/>
        <v/>
      </c>
      <c r="AB560" s="10" t="s">
        <v>2235</v>
      </c>
      <c r="AC560" s="10" t="s">
        <v>2222</v>
      </c>
      <c r="AD560" s="10" t="s">
        <v>19</v>
      </c>
      <c r="AG560" t="s">
        <v>19</v>
      </c>
      <c r="AJ560" cm="1">
        <f t="array" ref="AJ560">_xlfn.IFS(AG560="Yes",1,AG560="No",0,AG560="","")</f>
        <v>1</v>
      </c>
    </row>
    <row r="561" spans="1:36" ht="43.5">
      <c r="A561" t="s">
        <v>571</v>
      </c>
      <c r="D561" s="4" t="s">
        <v>1615</v>
      </c>
      <c r="E561" s="4" t="s">
        <v>1614</v>
      </c>
      <c r="I561" t="s">
        <v>2242</v>
      </c>
      <c r="J561" s="10" t="s">
        <v>26</v>
      </c>
      <c r="U561" s="10" t="str">
        <f t="shared" ca="1" si="18"/>
        <v/>
      </c>
      <c r="V561" s="10" t="str">
        <f t="shared" ca="1" si="19"/>
        <v/>
      </c>
      <c r="AG561" t="s">
        <v>19</v>
      </c>
      <c r="AJ561" cm="1">
        <f t="array" ref="AJ561">_xlfn.IFS(AG561="Yes",1,AG561="No",0,AG561="","")</f>
        <v>1</v>
      </c>
    </row>
    <row r="562" spans="1:36">
      <c r="A562" t="s">
        <v>571</v>
      </c>
      <c r="D562" s="4" t="s">
        <v>1617</v>
      </c>
      <c r="E562" s="4" t="s">
        <v>1616</v>
      </c>
      <c r="J562" s="10" t="s">
        <v>25</v>
      </c>
      <c r="L562" s="10">
        <v>1</v>
      </c>
      <c r="M562" s="10">
        <v>4</v>
      </c>
      <c r="N562" s="10" t="s">
        <v>2158</v>
      </c>
      <c r="O562" s="10" t="s">
        <v>2153</v>
      </c>
      <c r="P562" s="10" t="s">
        <v>2231</v>
      </c>
      <c r="Q562" s="11" t="s">
        <v>2230</v>
      </c>
      <c r="S562" s="10">
        <v>2475</v>
      </c>
      <c r="U562" s="10" t="str">
        <f t="shared" ca="1" si="18"/>
        <v/>
      </c>
      <c r="V562" s="10" t="str">
        <f t="shared" ca="1" si="19"/>
        <v/>
      </c>
      <c r="AG562" t="s">
        <v>20</v>
      </c>
      <c r="AJ562" cm="1">
        <f t="array" ref="AJ562">_xlfn.IFS(AG562="Yes",1,AG562="No",0,AG562="","")</f>
        <v>0</v>
      </c>
    </row>
    <row r="563" spans="1:36">
      <c r="A563" t="s">
        <v>571</v>
      </c>
      <c r="D563" s="4" t="s">
        <v>1618</v>
      </c>
      <c r="E563" s="4" t="s">
        <v>1619</v>
      </c>
      <c r="J563" s="10" t="s">
        <v>2201</v>
      </c>
      <c r="U563" s="10" t="str">
        <f t="shared" ca="1" si="18"/>
        <v/>
      </c>
      <c r="V563" s="10" t="str">
        <f t="shared" ca="1" si="19"/>
        <v/>
      </c>
      <c r="AG563" t="s">
        <v>19</v>
      </c>
      <c r="AJ563" cm="1">
        <f t="array" ref="AJ563">_xlfn.IFS(AG563="Yes",1,AG563="No",0,AG563="","")</f>
        <v>1</v>
      </c>
    </row>
    <row r="564" spans="1:36">
      <c r="A564" t="s">
        <v>571</v>
      </c>
      <c r="D564" s="4" t="s">
        <v>1621</v>
      </c>
      <c r="E564" s="4" t="s">
        <v>1620</v>
      </c>
      <c r="J564" s="10" t="s">
        <v>24</v>
      </c>
      <c r="L564" s="10">
        <v>1</v>
      </c>
      <c r="M564" s="10">
        <v>1</v>
      </c>
      <c r="N564" s="10" t="s">
        <v>2158</v>
      </c>
      <c r="O564" s="10" t="s">
        <v>2200</v>
      </c>
      <c r="S564" s="10">
        <v>2475</v>
      </c>
      <c r="U564" s="10" t="str">
        <f t="shared" ca="1" si="18"/>
        <v/>
      </c>
      <c r="V564" s="10" t="str">
        <f t="shared" ca="1" si="19"/>
        <v/>
      </c>
      <c r="AG564" t="s">
        <v>19</v>
      </c>
      <c r="AJ564" cm="1">
        <f t="array" ref="AJ564">_xlfn.IFS(AG564="Yes",1,AG564="No",0,AG564="","")</f>
        <v>1</v>
      </c>
    </row>
    <row r="565" spans="1:36">
      <c r="A565" t="s">
        <v>574</v>
      </c>
      <c r="D565" s="4" t="s">
        <v>575</v>
      </c>
      <c r="E565" s="4" t="s">
        <v>576</v>
      </c>
      <c r="J565" s="10" t="s">
        <v>2201</v>
      </c>
      <c r="U565" s="10" t="str">
        <f t="shared" ca="1" si="18"/>
        <v/>
      </c>
      <c r="V565" s="10" t="str">
        <f t="shared" ca="1" si="19"/>
        <v/>
      </c>
      <c r="AE565" s="10" t="s">
        <v>2167</v>
      </c>
      <c r="AG565" t="s">
        <v>20</v>
      </c>
      <c r="AJ565" cm="1">
        <f t="array" ref="AJ565">_xlfn.IFS(AG565="Yes",1,AG565="No",0,AG565="","")</f>
        <v>0</v>
      </c>
    </row>
    <row r="566" spans="1:36">
      <c r="A566" t="s">
        <v>574</v>
      </c>
      <c r="D566" s="4" t="s">
        <v>573</v>
      </c>
      <c r="E566" s="4" t="s">
        <v>572</v>
      </c>
      <c r="H566" t="s">
        <v>19</v>
      </c>
      <c r="J566" s="10" t="s">
        <v>2201</v>
      </c>
      <c r="U566" s="10" t="str">
        <f t="shared" ca="1" si="18"/>
        <v/>
      </c>
      <c r="V566" s="10" t="str">
        <f t="shared" ca="1" si="19"/>
        <v/>
      </c>
      <c r="AG566" t="s">
        <v>19</v>
      </c>
      <c r="AJ566" cm="1">
        <f t="array" ref="AJ566">_xlfn.IFS(AG566="Yes",1,AG566="No",0,AG566="","")</f>
        <v>1</v>
      </c>
    </row>
    <row r="567" spans="1:36">
      <c r="A567" t="s">
        <v>577</v>
      </c>
      <c r="D567" s="4" t="s">
        <v>1622</v>
      </c>
      <c r="E567" s="4" t="s">
        <v>1623</v>
      </c>
      <c r="J567" s="10" t="s">
        <v>2201</v>
      </c>
      <c r="U567" s="10" t="str">
        <f t="shared" ca="1" si="18"/>
        <v/>
      </c>
      <c r="V567" s="10" t="str">
        <f t="shared" ca="1" si="19"/>
        <v/>
      </c>
      <c r="AG567" t="s">
        <v>19</v>
      </c>
      <c r="AJ567" cm="1">
        <f t="array" ref="AJ567">_xlfn.IFS(AG567="Yes",1,AG567="No",0,AG567="","")</f>
        <v>1</v>
      </c>
    </row>
    <row r="568" spans="1:36">
      <c r="A568" t="s">
        <v>577</v>
      </c>
      <c r="D568" s="4" t="s">
        <v>1624</v>
      </c>
      <c r="E568" s="4" t="s">
        <v>1625</v>
      </c>
      <c r="J568" s="10" t="s">
        <v>2201</v>
      </c>
      <c r="U568" s="10" t="str">
        <f t="shared" ca="1" si="18"/>
        <v/>
      </c>
      <c r="V568" s="10" t="str">
        <f t="shared" ca="1" si="19"/>
        <v/>
      </c>
      <c r="AB568" s="10" t="s">
        <v>2354</v>
      </c>
      <c r="AD568" s="10" t="s">
        <v>19</v>
      </c>
      <c r="AG568" t="s">
        <v>19</v>
      </c>
      <c r="AJ568" cm="1">
        <f t="array" ref="AJ568">_xlfn.IFS(AG568="Yes",1,AG568="No",0,AG568="","")</f>
        <v>1</v>
      </c>
    </row>
    <row r="569" spans="1:36" ht="43.5">
      <c r="A569" t="s">
        <v>577</v>
      </c>
      <c r="D569" s="4" t="s">
        <v>1627</v>
      </c>
      <c r="E569" s="4" t="s">
        <v>1628</v>
      </c>
      <c r="H569" t="s">
        <v>23</v>
      </c>
      <c r="J569" s="10" t="s">
        <v>2201</v>
      </c>
      <c r="U569" s="10" t="str">
        <f t="shared" ca="1" si="18"/>
        <v/>
      </c>
      <c r="V569" s="10" t="str">
        <f t="shared" ca="1" si="19"/>
        <v/>
      </c>
      <c r="AE569" s="10" t="s">
        <v>2157</v>
      </c>
      <c r="AG569" t="s">
        <v>19</v>
      </c>
      <c r="AJ569" cm="1">
        <f t="array" ref="AJ569">_xlfn.IFS(AG569="Yes",1,AG569="No",0,AG569="","")</f>
        <v>1</v>
      </c>
    </row>
    <row r="570" spans="1:36" ht="43.5">
      <c r="A570" t="s">
        <v>577</v>
      </c>
      <c r="D570" s="4" t="s">
        <v>1626</v>
      </c>
      <c r="E570" s="4" t="s">
        <v>2452</v>
      </c>
      <c r="F570" t="s">
        <v>36</v>
      </c>
      <c r="J570" s="10" t="s">
        <v>27</v>
      </c>
      <c r="U570" s="10" t="str">
        <f t="shared" ref="U570" ca="1" si="20">IF(ISNUMBER(T570),VALUE(MID(_xlfn.FORMULATEXT(T570),SEARCH("-",_xlfn.FORMULATEXT(T570))+1,LEN(_xlfn.FORMULATEXT(T570))-SEARCH("-",_xlfn.FORMULATEXT(T570)))), "")</f>
        <v/>
      </c>
      <c r="V570" s="10" t="str">
        <f t="shared" ref="V570" ca="1" si="21">IF(ISNUMBER(T570), VALUE(MID(_xlfn.FORMULATEXT(T570), 2, SEARCH("-", _xlfn.FORMULATEXT(T570)) - 2)), "")</f>
        <v/>
      </c>
      <c r="AG570" t="s">
        <v>19</v>
      </c>
      <c r="AJ570" cm="1">
        <f t="array" ref="AJ570">_xlfn.IFS(AG570="Yes",1,AG570="No",0,AG570="","")</f>
        <v>1</v>
      </c>
    </row>
    <row r="571" spans="1:36" ht="43.5">
      <c r="A571" t="s">
        <v>577</v>
      </c>
      <c r="D571" s="4" t="s">
        <v>1626</v>
      </c>
      <c r="E571" s="4" t="s">
        <v>1629</v>
      </c>
      <c r="F571" t="s">
        <v>36</v>
      </c>
      <c r="I571" t="s">
        <v>2242</v>
      </c>
      <c r="J571" s="10" t="s">
        <v>26</v>
      </c>
      <c r="U571" s="10" t="str">
        <f t="shared" ca="1" si="18"/>
        <v/>
      </c>
      <c r="V571" s="10" t="str">
        <f t="shared" ca="1" si="19"/>
        <v/>
      </c>
      <c r="AG571" t="s">
        <v>19</v>
      </c>
      <c r="AJ571" cm="1">
        <f t="array" ref="AJ571">_xlfn.IFS(AG571="Yes",1,AG571="No",0,AG571="","")</f>
        <v>1</v>
      </c>
    </row>
    <row r="572" spans="1:36" ht="43.5">
      <c r="A572" t="s">
        <v>577</v>
      </c>
      <c r="D572" s="4" t="s">
        <v>1626</v>
      </c>
      <c r="E572" s="4" t="s">
        <v>1630</v>
      </c>
      <c r="F572" t="s">
        <v>36</v>
      </c>
      <c r="J572" s="10" t="s">
        <v>24</v>
      </c>
      <c r="L572" s="10">
        <v>1</v>
      </c>
      <c r="M572" s="10">
        <v>4</v>
      </c>
      <c r="N572" s="10" t="s">
        <v>2175</v>
      </c>
      <c r="O572" s="10" t="s">
        <v>2159</v>
      </c>
      <c r="S572" s="10">
        <v>312</v>
      </c>
      <c r="U572" s="10" t="str">
        <f t="shared" ca="1" si="18"/>
        <v/>
      </c>
      <c r="V572" s="10" t="str">
        <f t="shared" ca="1" si="19"/>
        <v/>
      </c>
      <c r="AG572" t="s">
        <v>20</v>
      </c>
      <c r="AJ572" cm="1">
        <f t="array" ref="AJ572">_xlfn.IFS(AG572="Yes",1,AG572="No",0,AG572="","")</f>
        <v>0</v>
      </c>
    </row>
    <row r="573" spans="1:36" ht="43.5">
      <c r="A573" t="s">
        <v>577</v>
      </c>
      <c r="D573" s="4" t="s">
        <v>2451</v>
      </c>
      <c r="E573" s="4" t="s">
        <v>1631</v>
      </c>
      <c r="F573" t="s">
        <v>36</v>
      </c>
      <c r="I573" s="5"/>
      <c r="J573" s="10" t="s">
        <v>2201</v>
      </c>
      <c r="U573" s="10" t="str">
        <f t="shared" ca="1" si="18"/>
        <v/>
      </c>
      <c r="V573" s="10" t="str">
        <f t="shared" ca="1" si="19"/>
        <v/>
      </c>
      <c r="AG573" t="s">
        <v>19</v>
      </c>
      <c r="AJ573" cm="1">
        <f t="array" ref="AJ573">_xlfn.IFS(AG573="Yes",1,AG573="No",0,AG573="","")</f>
        <v>1</v>
      </c>
    </row>
    <row r="574" spans="1:36" ht="29">
      <c r="A574" t="s">
        <v>578</v>
      </c>
      <c r="D574" s="4" t="s">
        <v>1633</v>
      </c>
      <c r="E574" s="4" t="s">
        <v>1632</v>
      </c>
      <c r="J574" s="10" t="s">
        <v>25</v>
      </c>
      <c r="L574" s="10">
        <v>1</v>
      </c>
      <c r="M574" s="10">
        <v>3</v>
      </c>
      <c r="N574" s="10" t="s">
        <v>2168</v>
      </c>
      <c r="O574" s="10" t="s">
        <v>2159</v>
      </c>
      <c r="S574" s="10">
        <v>1701</v>
      </c>
      <c r="U574" s="10" t="str">
        <f t="shared" ca="1" si="18"/>
        <v/>
      </c>
      <c r="V574" s="10" t="str">
        <f t="shared" ca="1" si="19"/>
        <v/>
      </c>
      <c r="AG574" t="s">
        <v>19</v>
      </c>
      <c r="AJ574" cm="1">
        <f t="array" ref="AJ574">_xlfn.IFS(AG574="Yes",1,AG574="No",0,AG574="","")</f>
        <v>1</v>
      </c>
    </row>
    <row r="575" spans="1:36" ht="29">
      <c r="A575" t="s">
        <v>578</v>
      </c>
      <c r="D575" s="4" t="s">
        <v>1635</v>
      </c>
      <c r="E575" s="4" t="s">
        <v>1634</v>
      </c>
      <c r="J575" s="10" t="s">
        <v>24</v>
      </c>
      <c r="L575" s="10">
        <v>1</v>
      </c>
      <c r="M575" s="10">
        <v>3</v>
      </c>
      <c r="N575" s="10" t="s">
        <v>2175</v>
      </c>
      <c r="O575" s="10" t="s">
        <v>2159</v>
      </c>
      <c r="S575" s="10">
        <v>743</v>
      </c>
      <c r="U575" s="10" t="str">
        <f t="shared" ca="1" si="18"/>
        <v/>
      </c>
      <c r="V575" s="10" t="str">
        <f t="shared" ca="1" si="19"/>
        <v/>
      </c>
      <c r="AG575" t="s">
        <v>19</v>
      </c>
      <c r="AJ575" cm="1">
        <f t="array" ref="AJ575">_xlfn.IFS(AG575="Yes",1,AG575="No",0,AG575="","")</f>
        <v>1</v>
      </c>
    </row>
    <row r="576" spans="1:36">
      <c r="A576" t="s">
        <v>579</v>
      </c>
      <c r="D576" s="4" t="s">
        <v>1636</v>
      </c>
      <c r="E576" s="4" t="s">
        <v>1637</v>
      </c>
      <c r="J576" s="10" t="s">
        <v>2199</v>
      </c>
      <c r="T576" s="10">
        <f>4-3</f>
        <v>1</v>
      </c>
      <c r="U576" s="10">
        <f t="shared" ref="U576:U639" ca="1" si="22">IF(ISNUMBER(T576),VALUE(MID(_xlfn.FORMULATEXT(T576),SEARCH("-",_xlfn.FORMULATEXT(T576))+1,LEN(_xlfn.FORMULATEXT(T576))-SEARCH("-",_xlfn.FORMULATEXT(T576)))), "")</f>
        <v>3</v>
      </c>
      <c r="V576" s="10">
        <f t="shared" ref="V576:V639" ca="1" si="23">IF(ISNUMBER(T576), VALUE(MID(_xlfn.FORMULATEXT(T576), 2, SEARCH("-", _xlfn.FORMULATEXT(T576)) - 2)), "")</f>
        <v>4</v>
      </c>
      <c r="AG576" t="s">
        <v>19</v>
      </c>
      <c r="AJ576" cm="1">
        <f t="array" ref="AJ576">_xlfn.IFS(AG576="Yes",1,AG576="No",0,AG576="","")</f>
        <v>1</v>
      </c>
    </row>
    <row r="577" spans="1:36" ht="29">
      <c r="A577" t="s">
        <v>579</v>
      </c>
      <c r="D577" s="4" t="s">
        <v>1639</v>
      </c>
      <c r="E577" s="4" t="s">
        <v>1638</v>
      </c>
      <c r="J577" s="10" t="s">
        <v>25</v>
      </c>
      <c r="L577" s="10">
        <v>1</v>
      </c>
      <c r="M577" s="10">
        <v>1</v>
      </c>
      <c r="N577" s="10" t="s">
        <v>2158</v>
      </c>
      <c r="O577" s="10" t="s">
        <v>2200</v>
      </c>
      <c r="S577" s="10">
        <v>2475</v>
      </c>
      <c r="U577" s="10" t="str">
        <f t="shared" ca="1" si="22"/>
        <v/>
      </c>
      <c r="V577" s="10" t="str">
        <f t="shared" ca="1" si="23"/>
        <v/>
      </c>
      <c r="AG577" t="s">
        <v>19</v>
      </c>
      <c r="AJ577" cm="1">
        <f t="array" ref="AJ577">_xlfn.IFS(AG577="Yes",1,AG577="No",0,AG577="","")</f>
        <v>1</v>
      </c>
    </row>
    <row r="578" spans="1:36" ht="29">
      <c r="A578" t="s">
        <v>579</v>
      </c>
      <c r="D578" s="4" t="s">
        <v>1640</v>
      </c>
      <c r="E578" s="4" t="s">
        <v>1641</v>
      </c>
      <c r="J578" s="10" t="s">
        <v>2201</v>
      </c>
      <c r="U578" s="10" t="str">
        <f t="shared" ca="1" si="22"/>
        <v/>
      </c>
      <c r="V578" s="10" t="str">
        <f t="shared" ca="1" si="23"/>
        <v/>
      </c>
      <c r="AG578" t="s">
        <v>19</v>
      </c>
      <c r="AJ578" cm="1">
        <f t="array" ref="AJ578">_xlfn.IFS(AG578="Yes",1,AG578="No",0,AG578="","")</f>
        <v>1</v>
      </c>
    </row>
    <row r="579" spans="1:36">
      <c r="A579" t="s">
        <v>580</v>
      </c>
      <c r="D579" s="4" t="s">
        <v>1643</v>
      </c>
      <c r="E579" s="4" t="s">
        <v>1644</v>
      </c>
      <c r="J579" s="10" t="s">
        <v>2199</v>
      </c>
      <c r="T579" s="10">
        <f>2-29</f>
        <v>-27</v>
      </c>
      <c r="U579" s="10">
        <f t="shared" ca="1" si="22"/>
        <v>29</v>
      </c>
      <c r="V579" s="10">
        <f t="shared" ca="1" si="23"/>
        <v>2</v>
      </c>
      <c r="AG579" t="s">
        <v>19</v>
      </c>
      <c r="AJ579" cm="1">
        <f t="array" ref="AJ579">_xlfn.IFS(AG579="Yes",1,AG579="No",0,AG579="","")</f>
        <v>1</v>
      </c>
    </row>
    <row r="580" spans="1:36">
      <c r="A580" t="s">
        <v>580</v>
      </c>
      <c r="D580" s="4" t="s">
        <v>1645</v>
      </c>
      <c r="E580" s="4" t="s">
        <v>1642</v>
      </c>
      <c r="J580" s="10" t="s">
        <v>25</v>
      </c>
      <c r="L580" s="10">
        <v>1</v>
      </c>
      <c r="M580" s="10">
        <v>3</v>
      </c>
      <c r="N580" s="10" t="s">
        <v>2168</v>
      </c>
      <c r="O580" s="10" t="s">
        <v>2159</v>
      </c>
      <c r="S580" s="10">
        <v>186</v>
      </c>
      <c r="U580" s="10" t="str">
        <f t="shared" ca="1" si="22"/>
        <v/>
      </c>
      <c r="V580" s="10" t="str">
        <f t="shared" ca="1" si="23"/>
        <v/>
      </c>
      <c r="AG580" t="s">
        <v>19</v>
      </c>
      <c r="AJ580" cm="1">
        <f t="array" ref="AJ580">_xlfn.IFS(AG580="Yes",1,AG580="No",0,AG580="","")</f>
        <v>1</v>
      </c>
    </row>
    <row r="581" spans="1:36" ht="29">
      <c r="A581" t="s">
        <v>580</v>
      </c>
      <c r="D581" s="4" t="s">
        <v>1647</v>
      </c>
      <c r="E581" s="4" t="s">
        <v>1648</v>
      </c>
      <c r="H581" t="s">
        <v>19</v>
      </c>
      <c r="J581" s="10" t="s">
        <v>2199</v>
      </c>
      <c r="T581" s="10" t="s">
        <v>2220</v>
      </c>
      <c r="U581" s="10" t="str">
        <f t="shared" ca="1" si="22"/>
        <v/>
      </c>
      <c r="V581" s="10" t="str">
        <f t="shared" ca="1" si="23"/>
        <v/>
      </c>
      <c r="AC581" s="10" t="s">
        <v>2223</v>
      </c>
      <c r="AD581" s="10" t="s">
        <v>19</v>
      </c>
      <c r="AE581" s="10" t="s">
        <v>2157</v>
      </c>
      <c r="AG581" t="s">
        <v>20</v>
      </c>
      <c r="AJ581" cm="1">
        <f t="array" ref="AJ581">_xlfn.IFS(AG581="Yes",1,AG581="No",0,AG581="","")</f>
        <v>0</v>
      </c>
    </row>
    <row r="582" spans="1:36" ht="29">
      <c r="A582" t="s">
        <v>580</v>
      </c>
      <c r="D582" s="4" t="s">
        <v>1649</v>
      </c>
      <c r="E582" s="4" t="s">
        <v>1646</v>
      </c>
      <c r="J582" s="10" t="s">
        <v>25</v>
      </c>
      <c r="L582" s="10">
        <v>1</v>
      </c>
      <c r="M582" s="10">
        <v>6</v>
      </c>
      <c r="N582" s="10" t="s">
        <v>2152</v>
      </c>
      <c r="O582" s="10" t="s">
        <v>2153</v>
      </c>
      <c r="P582" s="10" t="s">
        <v>2229</v>
      </c>
      <c r="Q582" s="11" t="s">
        <v>2232</v>
      </c>
      <c r="S582" s="10">
        <v>24</v>
      </c>
      <c r="U582" s="10" t="str">
        <f t="shared" ca="1" si="22"/>
        <v/>
      </c>
      <c r="V582" s="10" t="str">
        <f t="shared" ca="1" si="23"/>
        <v/>
      </c>
      <c r="AG582" t="s">
        <v>19</v>
      </c>
      <c r="AJ582" cm="1">
        <f t="array" ref="AJ582">_xlfn.IFS(AG582="Yes",1,AG582="No",0,AG582="","")</f>
        <v>1</v>
      </c>
    </row>
    <row r="583" spans="1:36">
      <c r="A583" t="s">
        <v>581</v>
      </c>
      <c r="D583" s="4" t="s">
        <v>582</v>
      </c>
      <c r="E583" s="4" t="s">
        <v>583</v>
      </c>
      <c r="J583" s="10" t="s">
        <v>2201</v>
      </c>
      <c r="U583" s="10" t="str">
        <f t="shared" ca="1" si="22"/>
        <v/>
      </c>
      <c r="V583" s="10" t="str">
        <f t="shared" ca="1" si="23"/>
        <v/>
      </c>
      <c r="AG583" t="s">
        <v>19</v>
      </c>
      <c r="AJ583" cm="1">
        <f t="array" ref="AJ583">_xlfn.IFS(AG583="Yes",1,AG583="No",0,AG583="","")</f>
        <v>1</v>
      </c>
    </row>
    <row r="584" spans="1:36">
      <c r="A584" t="s">
        <v>581</v>
      </c>
      <c r="D584" s="4" t="s">
        <v>1651</v>
      </c>
      <c r="E584" s="4" t="s">
        <v>1650</v>
      </c>
      <c r="J584" s="10" t="s">
        <v>25</v>
      </c>
      <c r="L584" s="10">
        <v>1</v>
      </c>
      <c r="M584" s="10">
        <v>2</v>
      </c>
      <c r="N584" s="10" t="s">
        <v>2177</v>
      </c>
      <c r="O584" s="10" t="s">
        <v>2200</v>
      </c>
      <c r="S584" s="10">
        <v>613</v>
      </c>
      <c r="U584" s="10" t="str">
        <f t="shared" ca="1" si="22"/>
        <v/>
      </c>
      <c r="V584" s="10" t="str">
        <f t="shared" ca="1" si="23"/>
        <v/>
      </c>
      <c r="AG584" t="s">
        <v>19</v>
      </c>
      <c r="AJ584" cm="1">
        <f t="array" ref="AJ584">_xlfn.IFS(AG584="Yes",1,AG584="No",0,AG584="","")</f>
        <v>1</v>
      </c>
    </row>
    <row r="585" spans="1:36">
      <c r="A585" t="s">
        <v>584</v>
      </c>
      <c r="D585" s="4" t="s">
        <v>1652</v>
      </c>
      <c r="E585" s="4" t="s">
        <v>1653</v>
      </c>
      <c r="H585" t="s">
        <v>19</v>
      </c>
      <c r="J585" s="10" t="s">
        <v>2201</v>
      </c>
      <c r="U585" s="10" t="str">
        <f t="shared" ca="1" si="22"/>
        <v/>
      </c>
      <c r="V585" s="10" t="str">
        <f t="shared" ca="1" si="23"/>
        <v/>
      </c>
      <c r="AE585" s="10" t="s">
        <v>2163</v>
      </c>
      <c r="AG585" t="s">
        <v>19</v>
      </c>
      <c r="AJ585" cm="1">
        <f t="array" ref="AJ585">_xlfn.IFS(AG585="Yes",1,AG585="No",0,AG585="","")</f>
        <v>1</v>
      </c>
    </row>
    <row r="586" spans="1:36" ht="43.5">
      <c r="A586" t="s">
        <v>585</v>
      </c>
      <c r="D586" s="4" t="s">
        <v>1655</v>
      </c>
      <c r="E586" s="4" t="s">
        <v>1654</v>
      </c>
      <c r="J586" s="10" t="s">
        <v>2201</v>
      </c>
      <c r="U586" s="10" t="str">
        <f t="shared" ca="1" si="22"/>
        <v/>
      </c>
      <c r="V586" s="10" t="str">
        <f t="shared" ca="1" si="23"/>
        <v/>
      </c>
      <c r="AG586" t="s">
        <v>19</v>
      </c>
      <c r="AJ586" cm="1">
        <f t="array" ref="AJ586">_xlfn.IFS(AG586="Yes",1,AG586="No",0,AG586="","")</f>
        <v>1</v>
      </c>
    </row>
    <row r="587" spans="1:36">
      <c r="A587" t="s">
        <v>586</v>
      </c>
      <c r="D587" s="4" t="s">
        <v>1656</v>
      </c>
      <c r="E587" s="4" t="s">
        <v>1657</v>
      </c>
      <c r="J587" s="10" t="s">
        <v>2199</v>
      </c>
      <c r="T587" s="10">
        <f>11-1</f>
        <v>10</v>
      </c>
      <c r="U587" s="10">
        <f t="shared" ca="1" si="22"/>
        <v>1</v>
      </c>
      <c r="V587" s="10">
        <f t="shared" ca="1" si="23"/>
        <v>11</v>
      </c>
      <c r="AG587" t="s">
        <v>19</v>
      </c>
      <c r="AJ587" cm="1">
        <f t="array" ref="AJ587">_xlfn.IFS(AG587="Yes",1,AG587="No",0,AG587="","")</f>
        <v>1</v>
      </c>
    </row>
    <row r="588" spans="1:36" ht="43.5">
      <c r="A588" t="s">
        <v>587</v>
      </c>
      <c r="D588" s="4" t="s">
        <v>1658</v>
      </c>
      <c r="E588" s="4" t="s">
        <v>1659</v>
      </c>
      <c r="J588" s="10" t="s">
        <v>2199</v>
      </c>
      <c r="T588" s="10">
        <f>204-8</f>
        <v>196</v>
      </c>
      <c r="U588" s="10">
        <f t="shared" ca="1" si="22"/>
        <v>8</v>
      </c>
      <c r="V588" s="10">
        <f t="shared" ca="1" si="23"/>
        <v>204</v>
      </c>
      <c r="AG588" t="s">
        <v>19</v>
      </c>
      <c r="AJ588" cm="1">
        <f t="array" ref="AJ588">_xlfn.IFS(AG588="Yes",1,AG588="No",0,AG588="","")</f>
        <v>1</v>
      </c>
    </row>
    <row r="589" spans="1:36" ht="43.5">
      <c r="A589" t="s">
        <v>587</v>
      </c>
      <c r="D589" s="4" t="s">
        <v>1661</v>
      </c>
      <c r="E589" s="4" t="s">
        <v>1660</v>
      </c>
      <c r="J589" s="10" t="s">
        <v>2201</v>
      </c>
      <c r="U589" s="10" t="str">
        <f t="shared" ca="1" si="22"/>
        <v/>
      </c>
      <c r="V589" s="10" t="str">
        <f t="shared" ca="1" si="23"/>
        <v/>
      </c>
      <c r="AG589" t="s">
        <v>19</v>
      </c>
      <c r="AJ589" cm="1">
        <f t="array" ref="AJ589">_xlfn.IFS(AG589="Yes",1,AG589="No",0,AG589="","")</f>
        <v>1</v>
      </c>
    </row>
    <row r="590" spans="1:36" ht="29">
      <c r="A590" t="s">
        <v>587</v>
      </c>
      <c r="D590" s="4" t="s">
        <v>1662</v>
      </c>
      <c r="E590" s="4" t="s">
        <v>1663</v>
      </c>
      <c r="H590" t="s">
        <v>19</v>
      </c>
      <c r="J590" s="10" t="s">
        <v>24</v>
      </c>
      <c r="L590" s="10">
        <v>1</v>
      </c>
      <c r="M590" s="10">
        <v>3</v>
      </c>
      <c r="N590" s="10" t="s">
        <v>2158</v>
      </c>
      <c r="O590" s="10" t="s">
        <v>2153</v>
      </c>
      <c r="P590" s="10" t="s">
        <v>2229</v>
      </c>
      <c r="Q590" s="11" t="s">
        <v>2230</v>
      </c>
      <c r="R590" s="10" t="s">
        <v>2154</v>
      </c>
      <c r="S590" s="10">
        <v>2475</v>
      </c>
      <c r="U590" s="10" t="str">
        <f t="shared" ca="1" si="22"/>
        <v/>
      </c>
      <c r="V590" s="10" t="str">
        <f t="shared" ca="1" si="23"/>
        <v/>
      </c>
      <c r="AE590" s="10" t="s">
        <v>2163</v>
      </c>
      <c r="AG590" t="s">
        <v>20</v>
      </c>
      <c r="AJ590" cm="1">
        <f t="array" ref="AJ590">_xlfn.IFS(AG590="Yes",1,AG590="No",0,AG590="","")</f>
        <v>0</v>
      </c>
    </row>
    <row r="591" spans="1:36">
      <c r="A591" t="s">
        <v>588</v>
      </c>
      <c r="D591" s="4" t="s">
        <v>589</v>
      </c>
      <c r="E591" s="4" t="s">
        <v>590</v>
      </c>
      <c r="J591" s="10" t="s">
        <v>2199</v>
      </c>
      <c r="T591" s="10" t="s">
        <v>2220</v>
      </c>
      <c r="U591" s="10" t="str">
        <f t="shared" ca="1" si="22"/>
        <v/>
      </c>
      <c r="V591" s="10" t="str">
        <f t="shared" ca="1" si="23"/>
        <v/>
      </c>
      <c r="AC591" s="10" t="s">
        <v>2221</v>
      </c>
      <c r="AD591" s="10" t="s">
        <v>19</v>
      </c>
      <c r="AE591" s="10" t="s">
        <v>2167</v>
      </c>
      <c r="AG591" t="s">
        <v>19</v>
      </c>
      <c r="AJ591" cm="1">
        <f t="array" ref="AJ591">_xlfn.IFS(AG591="Yes",1,AG591="No",0,AG591="","")</f>
        <v>1</v>
      </c>
    </row>
    <row r="592" spans="1:36" ht="29">
      <c r="A592" t="s">
        <v>591</v>
      </c>
      <c r="D592" s="4" t="s">
        <v>1664</v>
      </c>
      <c r="E592" s="4" t="s">
        <v>1665</v>
      </c>
      <c r="J592" s="10" t="s">
        <v>2199</v>
      </c>
      <c r="T592" s="10">
        <f>171-186</f>
        <v>-15</v>
      </c>
      <c r="U592" s="10">
        <f t="shared" ca="1" si="22"/>
        <v>186</v>
      </c>
      <c r="V592" s="10">
        <f t="shared" ca="1" si="23"/>
        <v>171</v>
      </c>
      <c r="AG592" t="s">
        <v>19</v>
      </c>
      <c r="AJ592" cm="1">
        <f t="array" ref="AJ592">_xlfn.IFS(AG592="Yes",1,AG592="No",0,AG592="","")</f>
        <v>1</v>
      </c>
    </row>
    <row r="593" spans="1:36">
      <c r="A593" t="s">
        <v>591</v>
      </c>
      <c r="D593" s="4" t="s">
        <v>1667</v>
      </c>
      <c r="E593" s="4" t="s">
        <v>1666</v>
      </c>
      <c r="J593" s="10" t="s">
        <v>25</v>
      </c>
      <c r="L593" s="10">
        <v>1</v>
      </c>
      <c r="M593" s="10">
        <v>3</v>
      </c>
      <c r="N593" s="10" t="s">
        <v>2168</v>
      </c>
      <c r="O593" s="10" t="s">
        <v>2159</v>
      </c>
      <c r="S593" s="10">
        <v>1701</v>
      </c>
      <c r="U593" s="10" t="str">
        <f t="shared" ca="1" si="22"/>
        <v/>
      </c>
      <c r="V593" s="10" t="str">
        <f t="shared" ca="1" si="23"/>
        <v/>
      </c>
      <c r="AG593" t="s">
        <v>19</v>
      </c>
      <c r="AJ593" cm="1">
        <f t="array" ref="AJ593">_xlfn.IFS(AG593="Yes",1,AG593="No",0,AG593="","")</f>
        <v>1</v>
      </c>
    </row>
    <row r="594" spans="1:36" ht="58">
      <c r="A594" t="s">
        <v>592</v>
      </c>
      <c r="D594" s="4" t="s">
        <v>1669</v>
      </c>
      <c r="E594" s="4" t="s">
        <v>1668</v>
      </c>
      <c r="I594" t="s">
        <v>2296</v>
      </c>
      <c r="J594" s="10" t="s">
        <v>26</v>
      </c>
      <c r="U594" s="10" t="str">
        <f t="shared" ca="1" si="22"/>
        <v/>
      </c>
      <c r="V594" s="10" t="str">
        <f t="shared" ca="1" si="23"/>
        <v/>
      </c>
      <c r="AG594" t="s">
        <v>19</v>
      </c>
      <c r="AJ594" cm="1">
        <f t="array" ref="AJ594">_xlfn.IFS(AG594="Yes",1,AG594="No",0,AG594="","")</f>
        <v>1</v>
      </c>
    </row>
    <row r="595" spans="1:36" ht="58">
      <c r="A595" t="s">
        <v>593</v>
      </c>
      <c r="D595" s="4" t="s">
        <v>1670</v>
      </c>
      <c r="E595" s="4" t="s">
        <v>1671</v>
      </c>
      <c r="J595" s="10" t="s">
        <v>2201</v>
      </c>
      <c r="U595" s="10" t="str">
        <f t="shared" ca="1" si="22"/>
        <v/>
      </c>
      <c r="V595" s="10" t="str">
        <f t="shared" ca="1" si="23"/>
        <v/>
      </c>
      <c r="AG595" t="s">
        <v>19</v>
      </c>
      <c r="AJ595" cm="1">
        <f t="array" ref="AJ595">_xlfn.IFS(AG595="Yes",1,AG595="No",0,AG595="","")</f>
        <v>1</v>
      </c>
    </row>
    <row r="596" spans="1:36" ht="58">
      <c r="A596" t="s">
        <v>594</v>
      </c>
      <c r="D596" s="4" t="s">
        <v>1672</v>
      </c>
      <c r="E596" s="4" t="s">
        <v>1673</v>
      </c>
      <c r="J596" s="10" t="s">
        <v>2201</v>
      </c>
      <c r="U596" s="10" t="str">
        <f t="shared" ca="1" si="22"/>
        <v/>
      </c>
      <c r="V596" s="10" t="str">
        <f t="shared" ca="1" si="23"/>
        <v/>
      </c>
      <c r="AG596" t="s">
        <v>19</v>
      </c>
      <c r="AJ596" cm="1">
        <f t="array" ref="AJ596">_xlfn.IFS(AG596="Yes",1,AG596="No",0,AG596="","")</f>
        <v>1</v>
      </c>
    </row>
    <row r="597" spans="1:36" ht="29">
      <c r="A597" t="s">
        <v>594</v>
      </c>
      <c r="D597" s="4" t="s">
        <v>1674</v>
      </c>
      <c r="E597" s="4" t="s">
        <v>1675</v>
      </c>
      <c r="J597" s="10" t="s">
        <v>2201</v>
      </c>
      <c r="U597" s="10" t="str">
        <f t="shared" ca="1" si="22"/>
        <v/>
      </c>
      <c r="V597" s="10" t="str">
        <f t="shared" ca="1" si="23"/>
        <v/>
      </c>
      <c r="AG597" t="s">
        <v>19</v>
      </c>
      <c r="AJ597" cm="1">
        <f t="array" ref="AJ597">_xlfn.IFS(AG597="Yes",1,AG597="No",0,AG597="","")</f>
        <v>1</v>
      </c>
    </row>
    <row r="598" spans="1:36">
      <c r="A598" t="s">
        <v>594</v>
      </c>
      <c r="D598" s="4" t="s">
        <v>595</v>
      </c>
      <c r="E598" s="4" t="s">
        <v>596</v>
      </c>
      <c r="J598" s="10" t="s">
        <v>2199</v>
      </c>
      <c r="T598" s="10" t="s">
        <v>2220</v>
      </c>
      <c r="U598" s="10" t="str">
        <f t="shared" ca="1" si="22"/>
        <v/>
      </c>
      <c r="V598" s="10" t="str">
        <f t="shared" ca="1" si="23"/>
        <v/>
      </c>
      <c r="AC598" s="10" t="s">
        <v>2221</v>
      </c>
      <c r="AD598" s="10" t="s">
        <v>19</v>
      </c>
      <c r="AE598" s="10" t="s">
        <v>2167</v>
      </c>
      <c r="AG598" t="s">
        <v>19</v>
      </c>
      <c r="AJ598" cm="1">
        <f t="array" ref="AJ598">_xlfn.IFS(AG598="Yes",1,AG598="No",0,AG598="","")</f>
        <v>1</v>
      </c>
    </row>
    <row r="599" spans="1:36">
      <c r="A599" t="s">
        <v>594</v>
      </c>
      <c r="D599" s="4" t="s">
        <v>597</v>
      </c>
      <c r="E599" s="4" t="s">
        <v>598</v>
      </c>
      <c r="J599" s="10" t="s">
        <v>2199</v>
      </c>
      <c r="T599" s="10" t="s">
        <v>2220</v>
      </c>
      <c r="U599" s="10" t="str">
        <f t="shared" ca="1" si="22"/>
        <v/>
      </c>
      <c r="V599" s="10" t="str">
        <f t="shared" ca="1" si="23"/>
        <v/>
      </c>
      <c r="AC599" s="10" t="s">
        <v>2221</v>
      </c>
      <c r="AD599" s="10" t="s">
        <v>19</v>
      </c>
      <c r="AE599" s="10" t="s">
        <v>2167</v>
      </c>
      <c r="AG599" t="s">
        <v>19</v>
      </c>
      <c r="AJ599" cm="1">
        <f t="array" ref="AJ599">_xlfn.IFS(AG599="Yes",1,AG599="No",0,AG599="","")</f>
        <v>1</v>
      </c>
    </row>
    <row r="600" spans="1:36">
      <c r="A600" t="s">
        <v>599</v>
      </c>
      <c r="D600" s="4" t="s">
        <v>600</v>
      </c>
      <c r="E600" s="4" t="s">
        <v>600</v>
      </c>
      <c r="F600" t="s">
        <v>35</v>
      </c>
      <c r="I600" t="s">
        <v>1676</v>
      </c>
      <c r="U600" s="10" t="str">
        <f t="shared" ca="1" si="22"/>
        <v/>
      </c>
      <c r="V600" s="10" t="str">
        <f t="shared" ca="1" si="23"/>
        <v/>
      </c>
      <c r="AJ600" t="str" cm="1">
        <f t="array" ref="AJ600">_xlfn.IFS(AG600="Yes",1,AG600="No",0,AG600="","")</f>
        <v/>
      </c>
    </row>
    <row r="601" spans="1:36" ht="29">
      <c r="A601" t="s">
        <v>599</v>
      </c>
      <c r="D601" s="4" t="s">
        <v>1678</v>
      </c>
      <c r="E601" s="4" t="s">
        <v>1677</v>
      </c>
      <c r="J601" s="10" t="s">
        <v>24</v>
      </c>
      <c r="L601" s="10">
        <v>1</v>
      </c>
      <c r="M601" s="10">
        <v>2</v>
      </c>
      <c r="N601" s="10" t="s">
        <v>2175</v>
      </c>
      <c r="O601" s="10" t="s">
        <v>2200</v>
      </c>
      <c r="R601" s="10" t="s">
        <v>2154</v>
      </c>
      <c r="S601" s="10">
        <v>312</v>
      </c>
      <c r="U601" s="10" t="str">
        <f t="shared" ca="1" si="22"/>
        <v/>
      </c>
      <c r="V601" s="10" t="str">
        <f t="shared" ca="1" si="23"/>
        <v/>
      </c>
      <c r="AG601" t="s">
        <v>19</v>
      </c>
      <c r="AJ601" cm="1">
        <f t="array" ref="AJ601">_xlfn.IFS(AG601="Yes",1,AG601="No",0,AG601="","")</f>
        <v>1</v>
      </c>
    </row>
    <row r="602" spans="1:36">
      <c r="A602" t="s">
        <v>601</v>
      </c>
      <c r="D602" s="4" t="s">
        <v>1679</v>
      </c>
      <c r="E602" s="4" t="s">
        <v>1680</v>
      </c>
      <c r="J602" s="10" t="s">
        <v>24</v>
      </c>
      <c r="L602" s="10">
        <v>1</v>
      </c>
      <c r="M602" s="10">
        <v>3</v>
      </c>
      <c r="N602" s="10" t="s">
        <v>2168</v>
      </c>
      <c r="O602" s="10" t="s">
        <v>2159</v>
      </c>
      <c r="S602" s="10">
        <v>1701</v>
      </c>
      <c r="U602" s="10" t="str">
        <f t="shared" ca="1" si="22"/>
        <v/>
      </c>
      <c r="V602" s="10" t="str">
        <f t="shared" ca="1" si="23"/>
        <v/>
      </c>
      <c r="AG602" t="s">
        <v>19</v>
      </c>
      <c r="AJ602" cm="1">
        <f t="array" ref="AJ602">_xlfn.IFS(AG602="Yes",1,AG602="No",0,AG602="","")</f>
        <v>1</v>
      </c>
    </row>
    <row r="603" spans="1:36">
      <c r="A603" t="s">
        <v>602</v>
      </c>
      <c r="D603" s="4" t="s">
        <v>1681</v>
      </c>
      <c r="E603" s="4" t="s">
        <v>1682</v>
      </c>
      <c r="J603" s="10" t="s">
        <v>2199</v>
      </c>
      <c r="T603" s="10" t="s">
        <v>2200</v>
      </c>
      <c r="U603" s="10" t="str">
        <f t="shared" ca="1" si="22"/>
        <v/>
      </c>
      <c r="V603" s="10" t="str">
        <f t="shared" ca="1" si="23"/>
        <v/>
      </c>
      <c r="AB603" s="10" t="s">
        <v>2235</v>
      </c>
      <c r="AD603" s="10" t="s">
        <v>19</v>
      </c>
      <c r="AG603" t="s">
        <v>19</v>
      </c>
      <c r="AJ603" cm="1">
        <f t="array" ref="AJ603">_xlfn.IFS(AG603="Yes",1,AG603="No",0,AG603="","")</f>
        <v>1</v>
      </c>
    </row>
    <row r="604" spans="1:36">
      <c r="A604" t="s">
        <v>602</v>
      </c>
      <c r="D604" s="4" t="s">
        <v>1683</v>
      </c>
      <c r="E604" s="4" t="s">
        <v>1684</v>
      </c>
      <c r="F604" t="s">
        <v>35</v>
      </c>
      <c r="I604" t="s">
        <v>1685</v>
      </c>
      <c r="U604" s="10" t="str">
        <f t="shared" ca="1" si="22"/>
        <v/>
      </c>
      <c r="V604" s="10" t="str">
        <f t="shared" ca="1" si="23"/>
        <v/>
      </c>
      <c r="AJ604" t="str" cm="1">
        <f t="array" ref="AJ604">_xlfn.IFS(AG604="Yes",1,AG604="No",0,AG604="","")</f>
        <v/>
      </c>
    </row>
    <row r="605" spans="1:36" ht="29">
      <c r="A605" t="s">
        <v>602</v>
      </c>
      <c r="D605" s="4" t="s">
        <v>1686</v>
      </c>
      <c r="E605" s="4" t="s">
        <v>1687</v>
      </c>
      <c r="J605" s="10" t="s">
        <v>2201</v>
      </c>
      <c r="U605" s="10" t="str">
        <f t="shared" ca="1" si="22"/>
        <v/>
      </c>
      <c r="V605" s="10" t="str">
        <f t="shared" ca="1" si="23"/>
        <v/>
      </c>
      <c r="AG605" t="s">
        <v>19</v>
      </c>
      <c r="AJ605" cm="1">
        <f t="array" ref="AJ605">_xlfn.IFS(AG605="Yes",1,AG605="No",0,AG605="","")</f>
        <v>1</v>
      </c>
    </row>
    <row r="606" spans="1:36">
      <c r="A606" t="s">
        <v>602</v>
      </c>
      <c r="D606" s="4" t="s">
        <v>1689</v>
      </c>
      <c r="E606" s="4" t="s">
        <v>1688</v>
      </c>
      <c r="J606" s="10" t="s">
        <v>24</v>
      </c>
      <c r="L606" s="10">
        <v>1</v>
      </c>
      <c r="M606" s="10">
        <v>1</v>
      </c>
      <c r="N606" s="10" t="s">
        <v>2158</v>
      </c>
      <c r="O606" s="10" t="s">
        <v>2200</v>
      </c>
      <c r="S606" s="10">
        <v>2475</v>
      </c>
      <c r="U606" s="10" t="str">
        <f t="shared" ca="1" si="22"/>
        <v/>
      </c>
      <c r="V606" s="10" t="str">
        <f t="shared" ca="1" si="23"/>
        <v/>
      </c>
      <c r="AG606" t="s">
        <v>19</v>
      </c>
      <c r="AJ606" cm="1">
        <f t="array" ref="AJ606">_xlfn.IFS(AG606="Yes",1,AG606="No",0,AG606="","")</f>
        <v>1</v>
      </c>
    </row>
    <row r="607" spans="1:36">
      <c r="A607" t="s">
        <v>602</v>
      </c>
      <c r="D607" s="4" t="s">
        <v>1690</v>
      </c>
      <c r="E607" s="4" t="s">
        <v>1691</v>
      </c>
      <c r="J607" s="10" t="s">
        <v>25</v>
      </c>
      <c r="L607" s="10">
        <v>1</v>
      </c>
      <c r="M607" s="10">
        <v>3</v>
      </c>
      <c r="N607" s="10" t="s">
        <v>2158</v>
      </c>
      <c r="O607" s="10" t="s">
        <v>2159</v>
      </c>
      <c r="S607" s="10">
        <v>2475</v>
      </c>
      <c r="U607" s="10" t="str">
        <f t="shared" ca="1" si="22"/>
        <v/>
      </c>
      <c r="V607" s="10" t="str">
        <f t="shared" ca="1" si="23"/>
        <v/>
      </c>
      <c r="AG607" t="s">
        <v>19</v>
      </c>
      <c r="AJ607" cm="1">
        <f t="array" ref="AJ607">_xlfn.IFS(AG607="Yes",1,AG607="No",0,AG607="","")</f>
        <v>1</v>
      </c>
    </row>
    <row r="608" spans="1:36" ht="43.5">
      <c r="A608" t="s">
        <v>603</v>
      </c>
      <c r="D608" s="4" t="s">
        <v>1693</v>
      </c>
      <c r="E608" s="4" t="s">
        <v>1692</v>
      </c>
      <c r="J608" s="10" t="s">
        <v>25</v>
      </c>
      <c r="L608" s="10">
        <v>1</v>
      </c>
      <c r="M608" s="10">
        <v>3</v>
      </c>
      <c r="N608" s="10" t="s">
        <v>2168</v>
      </c>
      <c r="O608" s="10" t="s">
        <v>2159</v>
      </c>
      <c r="S608" s="10">
        <v>86</v>
      </c>
      <c r="U608" s="10" t="str">
        <f t="shared" ca="1" si="22"/>
        <v/>
      </c>
      <c r="V608" s="10" t="str">
        <f t="shared" ca="1" si="23"/>
        <v/>
      </c>
      <c r="AG608" t="s">
        <v>19</v>
      </c>
      <c r="AJ608" cm="1">
        <f t="array" ref="AJ608">_xlfn.IFS(AG608="Yes",1,AG608="No",0,AG608="","")</f>
        <v>1</v>
      </c>
    </row>
    <row r="609" spans="1:36" ht="43.5">
      <c r="A609" t="s">
        <v>603</v>
      </c>
      <c r="D609" s="4" t="s">
        <v>1694</v>
      </c>
      <c r="E609" s="4" t="s">
        <v>1692</v>
      </c>
      <c r="J609" s="10" t="s">
        <v>25</v>
      </c>
      <c r="L609" s="10">
        <v>1</v>
      </c>
      <c r="M609" s="10">
        <v>3</v>
      </c>
      <c r="N609" s="10" t="s">
        <v>2168</v>
      </c>
      <c r="O609" s="10" t="s">
        <v>2159</v>
      </c>
      <c r="S609" s="10">
        <v>1701</v>
      </c>
      <c r="U609" s="10" t="str">
        <f t="shared" ca="1" si="22"/>
        <v/>
      </c>
      <c r="V609" s="10" t="str">
        <f t="shared" ca="1" si="23"/>
        <v/>
      </c>
      <c r="AG609" t="s">
        <v>19</v>
      </c>
      <c r="AJ609" cm="1">
        <f t="array" ref="AJ609">_xlfn.IFS(AG609="Yes",1,AG609="No",0,AG609="","")</f>
        <v>1</v>
      </c>
    </row>
    <row r="610" spans="1:36">
      <c r="A610" t="s">
        <v>603</v>
      </c>
      <c r="D610" s="4" t="s">
        <v>1695</v>
      </c>
      <c r="E610" s="4" t="s">
        <v>1696</v>
      </c>
      <c r="J610" s="10" t="s">
        <v>2199</v>
      </c>
      <c r="T610" s="10">
        <f>613-1701</f>
        <v>-1088</v>
      </c>
      <c r="U610" s="10">
        <f t="shared" ca="1" si="22"/>
        <v>1701</v>
      </c>
      <c r="V610" s="10">
        <f t="shared" ca="1" si="23"/>
        <v>613</v>
      </c>
      <c r="AG610" t="s">
        <v>19</v>
      </c>
      <c r="AJ610" cm="1">
        <f t="array" ref="AJ610">_xlfn.IFS(AG610="Yes",1,AG610="No",0,AG610="","")</f>
        <v>1</v>
      </c>
    </row>
    <row r="611" spans="1:36" ht="29">
      <c r="A611" t="s">
        <v>603</v>
      </c>
      <c r="D611" s="4" t="s">
        <v>1697</v>
      </c>
      <c r="E611" s="4" t="s">
        <v>1698</v>
      </c>
      <c r="J611" s="10" t="s">
        <v>25</v>
      </c>
      <c r="L611" s="10">
        <v>1</v>
      </c>
      <c r="M611" s="10">
        <v>2</v>
      </c>
      <c r="N611" s="10" t="s">
        <v>2158</v>
      </c>
      <c r="O611" s="10" t="s">
        <v>2200</v>
      </c>
      <c r="S611" s="10">
        <v>2475</v>
      </c>
      <c r="U611" s="10" t="str">
        <f t="shared" ca="1" si="22"/>
        <v/>
      </c>
      <c r="V611" s="10" t="str">
        <f t="shared" ca="1" si="23"/>
        <v/>
      </c>
      <c r="AG611" t="s">
        <v>19</v>
      </c>
      <c r="AJ611" cm="1">
        <f t="array" ref="AJ611">_xlfn.IFS(AG611="Yes",1,AG611="No",0,AG611="","")</f>
        <v>1</v>
      </c>
    </row>
    <row r="612" spans="1:36">
      <c r="A612" t="s">
        <v>604</v>
      </c>
      <c r="D612" s="4" t="s">
        <v>1700</v>
      </c>
      <c r="E612" s="4" t="s">
        <v>1699</v>
      </c>
      <c r="J612" s="10" t="s">
        <v>24</v>
      </c>
      <c r="L612" s="10">
        <v>1</v>
      </c>
      <c r="M612" s="10">
        <v>2</v>
      </c>
      <c r="N612" s="10" t="s">
        <v>2168</v>
      </c>
      <c r="O612" s="10" t="s">
        <v>2200</v>
      </c>
      <c r="S612" s="10">
        <v>171</v>
      </c>
      <c r="U612" s="10" t="str">
        <f t="shared" ca="1" si="22"/>
        <v/>
      </c>
      <c r="V612" s="10" t="str">
        <f t="shared" ca="1" si="23"/>
        <v/>
      </c>
      <c r="AG612" t="s">
        <v>19</v>
      </c>
      <c r="AJ612" cm="1">
        <f t="array" ref="AJ612">_xlfn.IFS(AG612="Yes",1,AG612="No",0,AG612="","")</f>
        <v>1</v>
      </c>
    </row>
    <row r="613" spans="1:36">
      <c r="A613" t="s">
        <v>604</v>
      </c>
      <c r="D613" s="4" t="s">
        <v>1701</v>
      </c>
      <c r="E613" s="4" t="s">
        <v>1701</v>
      </c>
      <c r="F613" t="s">
        <v>35</v>
      </c>
      <c r="I613" t="s">
        <v>1702</v>
      </c>
      <c r="U613" s="10" t="str">
        <f t="shared" ca="1" si="22"/>
        <v/>
      </c>
      <c r="V613" s="10" t="str">
        <f t="shared" ca="1" si="23"/>
        <v/>
      </c>
      <c r="AJ613" t="str" cm="1">
        <f t="array" ref="AJ613">_xlfn.IFS(AG613="Yes",1,AG613="No",0,AG613="","")</f>
        <v/>
      </c>
    </row>
    <row r="614" spans="1:36" ht="29">
      <c r="A614" t="s">
        <v>605</v>
      </c>
      <c r="D614" s="4" t="s">
        <v>1704</v>
      </c>
      <c r="E614" s="4" t="s">
        <v>1705</v>
      </c>
      <c r="J614" s="10" t="s">
        <v>2201</v>
      </c>
      <c r="U614" s="10" t="str">
        <f t="shared" ca="1" si="22"/>
        <v/>
      </c>
      <c r="V614" s="10" t="str">
        <f t="shared" ca="1" si="23"/>
        <v/>
      </c>
      <c r="AB614" s="10" t="s">
        <v>2162</v>
      </c>
      <c r="AD614" s="10" t="s">
        <v>19</v>
      </c>
      <c r="AG614" t="s">
        <v>19</v>
      </c>
      <c r="AJ614" cm="1">
        <f t="array" ref="AJ614">_xlfn.IFS(AG614="Yes",1,AG614="No",0,AG614="","")</f>
        <v>1</v>
      </c>
    </row>
    <row r="615" spans="1:36" ht="29">
      <c r="A615" t="s">
        <v>605</v>
      </c>
      <c r="D615" s="4" t="s">
        <v>1703</v>
      </c>
      <c r="E615" s="4" t="s">
        <v>1706</v>
      </c>
      <c r="J615" s="10" t="s">
        <v>24</v>
      </c>
      <c r="L615" s="10">
        <v>1</v>
      </c>
      <c r="M615" s="10">
        <v>2</v>
      </c>
      <c r="N615" s="10" t="s">
        <v>2177</v>
      </c>
      <c r="O615" s="10" t="s">
        <v>2200</v>
      </c>
      <c r="S615" s="10">
        <v>613</v>
      </c>
      <c r="U615" s="10" t="str">
        <f t="shared" ca="1" si="22"/>
        <v/>
      </c>
      <c r="V615" s="10" t="str">
        <f t="shared" ca="1" si="23"/>
        <v/>
      </c>
      <c r="AG615" t="s">
        <v>19</v>
      </c>
      <c r="AJ615" cm="1">
        <f t="array" ref="AJ615">_xlfn.IFS(AG615="Yes",1,AG615="No",0,AG615="","")</f>
        <v>1</v>
      </c>
    </row>
    <row r="616" spans="1:36" ht="72.5">
      <c r="A616" t="s">
        <v>606</v>
      </c>
      <c r="D616" s="4" t="s">
        <v>1707</v>
      </c>
      <c r="E616" s="4" t="s">
        <v>1708</v>
      </c>
      <c r="J616" s="10" t="s">
        <v>2199</v>
      </c>
      <c r="T616" s="10">
        <f>10-63</f>
        <v>-53</v>
      </c>
      <c r="U616" s="10">
        <f t="shared" ca="1" si="22"/>
        <v>63</v>
      </c>
      <c r="V616" s="10">
        <f t="shared" ca="1" si="23"/>
        <v>10</v>
      </c>
      <c r="AG616" t="s">
        <v>19</v>
      </c>
      <c r="AJ616" cm="1">
        <f t="array" ref="AJ616">_xlfn.IFS(AG616="Yes",1,AG616="No",0,AG616="","")</f>
        <v>1</v>
      </c>
    </row>
    <row r="617" spans="1:36" ht="72.5">
      <c r="A617" t="s">
        <v>606</v>
      </c>
      <c r="D617" s="4" t="s">
        <v>1709</v>
      </c>
      <c r="E617" s="4" t="s">
        <v>1710</v>
      </c>
      <c r="J617" s="10" t="s">
        <v>2199</v>
      </c>
      <c r="T617" s="10" t="s">
        <v>2220</v>
      </c>
      <c r="U617" s="10" t="str">
        <f t="shared" ca="1" si="22"/>
        <v/>
      </c>
      <c r="V617" s="10" t="str">
        <f t="shared" ca="1" si="23"/>
        <v/>
      </c>
      <c r="AC617" s="10" t="s">
        <v>2221</v>
      </c>
      <c r="AD617" s="10" t="s">
        <v>19</v>
      </c>
      <c r="AE617" s="10" t="s">
        <v>2167</v>
      </c>
      <c r="AG617" t="s">
        <v>19</v>
      </c>
      <c r="AJ617" cm="1">
        <f t="array" ref="AJ617">_xlfn.IFS(AG617="Yes",1,AG617="No",0,AG617="","")</f>
        <v>1</v>
      </c>
    </row>
    <row r="618" spans="1:36" ht="72.5">
      <c r="A618" t="s">
        <v>606</v>
      </c>
      <c r="D618" s="4" t="s">
        <v>1711</v>
      </c>
      <c r="E618" s="4" t="s">
        <v>1712</v>
      </c>
      <c r="H618" t="s">
        <v>19</v>
      </c>
      <c r="J618" s="10" t="s">
        <v>2201</v>
      </c>
      <c r="U618" s="10" t="str">
        <f t="shared" ca="1" si="22"/>
        <v/>
      </c>
      <c r="V618" s="10" t="str">
        <f t="shared" ca="1" si="23"/>
        <v/>
      </c>
      <c r="AG618" t="s">
        <v>19</v>
      </c>
      <c r="AJ618" cm="1">
        <f t="array" ref="AJ618">_xlfn.IFS(AG618="Yes",1,AG618="No",0,AG618="","")</f>
        <v>1</v>
      </c>
    </row>
    <row r="619" spans="1:36" ht="29">
      <c r="A619" t="s">
        <v>607</v>
      </c>
      <c r="D619" s="4" t="s">
        <v>1714</v>
      </c>
      <c r="E619" s="4" t="s">
        <v>1713</v>
      </c>
      <c r="I619" s="5"/>
      <c r="J619" s="10" t="s">
        <v>2199</v>
      </c>
      <c r="T619" s="10">
        <f>10-166</f>
        <v>-156</v>
      </c>
      <c r="U619" s="10">
        <f t="shared" ca="1" si="22"/>
        <v>166</v>
      </c>
      <c r="V619" s="10">
        <f t="shared" ca="1" si="23"/>
        <v>10</v>
      </c>
      <c r="AG619" t="s">
        <v>19</v>
      </c>
      <c r="AJ619" cm="1">
        <f t="array" ref="AJ619">_xlfn.IFS(AG619="Yes",1,AG619="No",0,AG619="","")</f>
        <v>1</v>
      </c>
    </row>
    <row r="620" spans="1:36" ht="29">
      <c r="A620" t="s">
        <v>608</v>
      </c>
      <c r="D620" s="4" t="s">
        <v>1716</v>
      </c>
      <c r="E620" s="4" t="s">
        <v>1715</v>
      </c>
      <c r="J620" s="10" t="s">
        <v>25</v>
      </c>
      <c r="L620" s="10">
        <v>1</v>
      </c>
      <c r="M620" s="10">
        <v>3</v>
      </c>
      <c r="N620" s="10" t="s">
        <v>2175</v>
      </c>
      <c r="O620" s="10" t="s">
        <v>2159</v>
      </c>
      <c r="S620" s="10">
        <v>768</v>
      </c>
      <c r="U620" s="10" t="str">
        <f t="shared" ca="1" si="22"/>
        <v/>
      </c>
      <c r="V620" s="10" t="str">
        <f t="shared" ca="1" si="23"/>
        <v/>
      </c>
      <c r="AG620" t="s">
        <v>19</v>
      </c>
      <c r="AJ620" cm="1">
        <f t="array" ref="AJ620">_xlfn.IFS(AG620="Yes",1,AG620="No",0,AG620="","")</f>
        <v>1</v>
      </c>
    </row>
    <row r="621" spans="1:36">
      <c r="A621" t="s">
        <v>609</v>
      </c>
      <c r="D621" s="4" t="s">
        <v>1717</v>
      </c>
      <c r="E621" s="4" t="s">
        <v>1718</v>
      </c>
      <c r="H621" t="s">
        <v>23</v>
      </c>
      <c r="I621" s="5" t="s">
        <v>2297</v>
      </c>
      <c r="J621" s="10" t="s">
        <v>25</v>
      </c>
      <c r="L621" s="10">
        <v>1</v>
      </c>
      <c r="M621" s="10">
        <v>3</v>
      </c>
      <c r="N621" s="10" t="s">
        <v>2158</v>
      </c>
      <c r="O621" s="10" t="s">
        <v>2159</v>
      </c>
      <c r="S621" s="10">
        <v>2475</v>
      </c>
      <c r="U621" s="10" t="str">
        <f t="shared" ca="1" si="22"/>
        <v/>
      </c>
      <c r="V621" s="10" t="str">
        <f t="shared" ca="1" si="23"/>
        <v/>
      </c>
      <c r="AG621" t="s">
        <v>20</v>
      </c>
      <c r="AJ621" cm="1">
        <f t="array" ref="AJ621">_xlfn.IFS(AG621="Yes",1,AG621="No",0,AG621="","")</f>
        <v>0</v>
      </c>
    </row>
    <row r="622" spans="1:36">
      <c r="A622" t="s">
        <v>610</v>
      </c>
      <c r="D622" s="4" t="s">
        <v>611</v>
      </c>
      <c r="E622" s="4" t="s">
        <v>612</v>
      </c>
      <c r="J622" s="10" t="s">
        <v>2201</v>
      </c>
      <c r="U622" s="10" t="str">
        <f t="shared" ca="1" si="22"/>
        <v/>
      </c>
      <c r="V622" s="10" t="str">
        <f t="shared" ca="1" si="23"/>
        <v/>
      </c>
      <c r="AC622" s="10" t="s">
        <v>2251</v>
      </c>
      <c r="AD622" s="10" t="s">
        <v>19</v>
      </c>
      <c r="AE622" s="10" t="s">
        <v>2167</v>
      </c>
      <c r="AG622" t="s">
        <v>19</v>
      </c>
      <c r="AJ622" cm="1">
        <f t="array" ref="AJ622">_xlfn.IFS(AG622="Yes",1,AG622="No",0,AG622="","")</f>
        <v>1</v>
      </c>
    </row>
    <row r="623" spans="1:36" ht="29">
      <c r="A623" t="s">
        <v>610</v>
      </c>
      <c r="D623" s="4" t="s">
        <v>1720</v>
      </c>
      <c r="E623" s="4" t="s">
        <v>1721</v>
      </c>
      <c r="J623" s="10" t="s">
        <v>2201</v>
      </c>
      <c r="U623" s="10" t="str">
        <f t="shared" ca="1" si="22"/>
        <v/>
      </c>
      <c r="V623" s="10" t="str">
        <f t="shared" ca="1" si="23"/>
        <v/>
      </c>
      <c r="AG623" t="s">
        <v>19</v>
      </c>
      <c r="AJ623" cm="1">
        <f t="array" ref="AJ623">_xlfn.IFS(AG623="Yes",1,AG623="No",0,AG623="","")</f>
        <v>1</v>
      </c>
    </row>
    <row r="624" spans="1:36" ht="29">
      <c r="A624" t="s">
        <v>610</v>
      </c>
      <c r="D624" s="4" t="s">
        <v>1722</v>
      </c>
      <c r="E624" s="4" t="s">
        <v>1719</v>
      </c>
      <c r="J624" s="10" t="s">
        <v>25</v>
      </c>
      <c r="L624" s="10">
        <v>1</v>
      </c>
      <c r="M624" s="10">
        <v>3</v>
      </c>
      <c r="N624" s="10" t="s">
        <v>2168</v>
      </c>
      <c r="O624" s="10" t="s">
        <v>2159</v>
      </c>
      <c r="S624" s="10">
        <v>1701</v>
      </c>
      <c r="U624" s="10" t="str">
        <f t="shared" ca="1" si="22"/>
        <v/>
      </c>
      <c r="V624" s="10" t="str">
        <f t="shared" ca="1" si="23"/>
        <v/>
      </c>
      <c r="AG624" t="s">
        <v>19</v>
      </c>
      <c r="AJ624" cm="1">
        <f t="array" ref="AJ624">_xlfn.IFS(AG624="Yes",1,AG624="No",0,AG624="","")</f>
        <v>1</v>
      </c>
    </row>
    <row r="625" spans="1:36">
      <c r="A625" t="s">
        <v>613</v>
      </c>
      <c r="D625" s="4" t="s">
        <v>1724</v>
      </c>
      <c r="E625" s="4" t="s">
        <v>1723</v>
      </c>
      <c r="J625" s="10" t="s">
        <v>24</v>
      </c>
      <c r="L625" s="10">
        <v>1</v>
      </c>
      <c r="M625" s="10">
        <v>2</v>
      </c>
      <c r="N625" s="10" t="s">
        <v>2158</v>
      </c>
      <c r="O625" s="10" t="s">
        <v>2200</v>
      </c>
      <c r="S625" s="10">
        <v>2475</v>
      </c>
      <c r="U625" s="10" t="str">
        <f t="shared" ca="1" si="22"/>
        <v/>
      </c>
      <c r="V625" s="10" t="str">
        <f t="shared" ca="1" si="23"/>
        <v/>
      </c>
      <c r="AG625" t="s">
        <v>19</v>
      </c>
      <c r="AJ625" cm="1">
        <f t="array" ref="AJ625">_xlfn.IFS(AG625="Yes",1,AG625="No",0,AG625="","")</f>
        <v>1</v>
      </c>
    </row>
    <row r="626" spans="1:36" ht="29">
      <c r="A626" t="s">
        <v>614</v>
      </c>
      <c r="D626" s="4" t="s">
        <v>1726</v>
      </c>
      <c r="E626" s="4" t="s">
        <v>1725</v>
      </c>
      <c r="I626" t="s">
        <v>2242</v>
      </c>
      <c r="J626" s="10" t="s">
        <v>26</v>
      </c>
      <c r="U626" s="10" t="str">
        <f t="shared" ca="1" si="22"/>
        <v/>
      </c>
      <c r="V626" s="10" t="str">
        <f t="shared" ca="1" si="23"/>
        <v/>
      </c>
      <c r="AG626" t="s">
        <v>19</v>
      </c>
      <c r="AJ626" cm="1">
        <f t="array" ref="AJ626">_xlfn.IFS(AG626="Yes",1,AG626="No",0,AG626="","")</f>
        <v>1</v>
      </c>
    </row>
    <row r="627" spans="1:36">
      <c r="A627" t="s">
        <v>614</v>
      </c>
      <c r="D627" s="4" t="s">
        <v>1727</v>
      </c>
      <c r="E627" s="4" t="s">
        <v>1728</v>
      </c>
      <c r="J627" s="10" t="s">
        <v>25</v>
      </c>
      <c r="L627" s="10">
        <v>1</v>
      </c>
      <c r="M627" s="10">
        <v>3</v>
      </c>
      <c r="N627" s="10" t="s">
        <v>2158</v>
      </c>
      <c r="O627" s="10" t="s">
        <v>2159</v>
      </c>
      <c r="S627" s="10">
        <v>2475</v>
      </c>
      <c r="U627" s="10" t="str">
        <f t="shared" ca="1" si="22"/>
        <v/>
      </c>
      <c r="V627" s="10" t="str">
        <f t="shared" ca="1" si="23"/>
        <v/>
      </c>
      <c r="AG627" t="s">
        <v>19</v>
      </c>
      <c r="AJ627" cm="1">
        <f t="array" ref="AJ627">_xlfn.IFS(AG627="Yes",1,AG627="No",0,AG627="","")</f>
        <v>1</v>
      </c>
    </row>
    <row r="628" spans="1:36" ht="29">
      <c r="A628" t="s">
        <v>614</v>
      </c>
      <c r="D628" s="4" t="s">
        <v>1729</v>
      </c>
      <c r="E628" s="4" t="s">
        <v>1730</v>
      </c>
      <c r="J628" s="10" t="s">
        <v>2201</v>
      </c>
      <c r="U628" s="10" t="str">
        <f t="shared" ca="1" si="22"/>
        <v/>
      </c>
      <c r="V628" s="10" t="str">
        <f t="shared" ca="1" si="23"/>
        <v/>
      </c>
      <c r="AG628" t="s">
        <v>19</v>
      </c>
      <c r="AJ628" cm="1">
        <f t="array" ref="AJ628">_xlfn.IFS(AG628="Yes",1,AG628="No",0,AG628="","")</f>
        <v>1</v>
      </c>
    </row>
    <row r="629" spans="1:36">
      <c r="A629" t="s">
        <v>615</v>
      </c>
      <c r="D629" s="4" t="s">
        <v>1731</v>
      </c>
      <c r="E629" s="4" t="s">
        <v>1732</v>
      </c>
      <c r="J629" s="10" t="s">
        <v>2201</v>
      </c>
      <c r="U629" s="10" t="str">
        <f t="shared" ca="1" si="22"/>
        <v/>
      </c>
      <c r="V629" s="10" t="str">
        <f t="shared" ca="1" si="23"/>
        <v/>
      </c>
      <c r="AB629" s="10" t="s">
        <v>2162</v>
      </c>
      <c r="AD629" s="10" t="s">
        <v>19</v>
      </c>
      <c r="AG629" t="s">
        <v>19</v>
      </c>
      <c r="AJ629" cm="1">
        <f t="array" ref="AJ629">_xlfn.IFS(AG629="Yes",1,AG629="No",0,AG629="","")</f>
        <v>1</v>
      </c>
    </row>
    <row r="630" spans="1:36" ht="43.5">
      <c r="A630" t="s">
        <v>616</v>
      </c>
      <c r="D630" s="4" t="s">
        <v>1733</v>
      </c>
      <c r="E630" s="4" t="s">
        <v>2298</v>
      </c>
      <c r="J630" s="10" t="s">
        <v>2199</v>
      </c>
      <c r="T630" s="10">
        <f>3-2</f>
        <v>1</v>
      </c>
      <c r="U630" s="10">
        <f t="shared" ca="1" si="22"/>
        <v>2</v>
      </c>
      <c r="V630" s="10">
        <f t="shared" ca="1" si="23"/>
        <v>3</v>
      </c>
      <c r="AG630" t="s">
        <v>20</v>
      </c>
      <c r="AJ630" cm="1">
        <f t="array" ref="AJ630">_xlfn.IFS(AG630="Yes",1,AG630="No",0,AG630="","")</f>
        <v>0</v>
      </c>
    </row>
    <row r="631" spans="1:36" ht="43.5">
      <c r="A631" t="s">
        <v>616</v>
      </c>
      <c r="D631" s="4" t="s">
        <v>1733</v>
      </c>
      <c r="E631" s="4" t="s">
        <v>2299</v>
      </c>
      <c r="J631" s="10" t="s">
        <v>24</v>
      </c>
      <c r="L631" s="10">
        <v>1</v>
      </c>
      <c r="M631" s="10">
        <v>3</v>
      </c>
      <c r="N631" s="10" t="s">
        <v>2168</v>
      </c>
      <c r="O631" s="10" t="s">
        <v>2159</v>
      </c>
      <c r="S631" s="10">
        <v>1701</v>
      </c>
      <c r="U631" s="10" t="str">
        <f t="shared" ca="1" si="22"/>
        <v/>
      </c>
      <c r="V631" s="10" t="str">
        <f t="shared" ca="1" si="23"/>
        <v/>
      </c>
      <c r="AG631" t="s">
        <v>20</v>
      </c>
      <c r="AJ631" cm="1">
        <f t="array" ref="AJ631">_xlfn.IFS(AG631="Yes",1,AG631="No",0,AG631="","")</f>
        <v>0</v>
      </c>
    </row>
    <row r="632" spans="1:36">
      <c r="A632" t="s">
        <v>616</v>
      </c>
      <c r="D632" s="4" t="s">
        <v>1734</v>
      </c>
      <c r="E632" s="4" t="s">
        <v>1735</v>
      </c>
      <c r="J632" s="10" t="s">
        <v>25</v>
      </c>
      <c r="L632" s="10">
        <v>1</v>
      </c>
      <c r="M632" s="10">
        <v>1</v>
      </c>
      <c r="N632" s="10" t="s">
        <v>2152</v>
      </c>
      <c r="O632" s="10" t="s">
        <v>2200</v>
      </c>
      <c r="S632" s="10">
        <v>5</v>
      </c>
      <c r="U632" s="10" t="str">
        <f t="shared" ca="1" si="22"/>
        <v/>
      </c>
      <c r="V632" s="10" t="str">
        <f t="shared" ca="1" si="23"/>
        <v/>
      </c>
      <c r="AG632" t="s">
        <v>19</v>
      </c>
      <c r="AJ632" cm="1">
        <f t="array" ref="AJ632">_xlfn.IFS(AG632="Yes",1,AG632="No",0,AG632="","")</f>
        <v>1</v>
      </c>
    </row>
    <row r="633" spans="1:36">
      <c r="A633" t="s">
        <v>617</v>
      </c>
      <c r="D633" s="4" t="s">
        <v>618</v>
      </c>
      <c r="E633" s="4" t="s">
        <v>619</v>
      </c>
      <c r="H633" t="s">
        <v>19</v>
      </c>
      <c r="J633" s="10" t="s">
        <v>2199</v>
      </c>
      <c r="T633" s="10">
        <f>49-9</f>
        <v>40</v>
      </c>
      <c r="U633" s="10">
        <f t="shared" ca="1" si="22"/>
        <v>9</v>
      </c>
      <c r="V633" s="10">
        <f t="shared" ca="1" si="23"/>
        <v>49</v>
      </c>
      <c r="AC633" s="10" t="s">
        <v>2342</v>
      </c>
      <c r="AD633" s="10" t="s">
        <v>19</v>
      </c>
      <c r="AG633" t="s">
        <v>19</v>
      </c>
      <c r="AJ633" cm="1">
        <f t="array" ref="AJ633">_xlfn.IFS(AG633="Yes",1,AG633="No",0,AG633="","")</f>
        <v>1</v>
      </c>
    </row>
    <row r="634" spans="1:36" ht="29">
      <c r="A634" t="s">
        <v>617</v>
      </c>
      <c r="D634" s="4" t="s">
        <v>1737</v>
      </c>
      <c r="E634" s="4" t="s">
        <v>1736</v>
      </c>
      <c r="J634" s="10" t="s">
        <v>2201</v>
      </c>
      <c r="U634" s="10" t="str">
        <f t="shared" ca="1" si="22"/>
        <v/>
      </c>
      <c r="V634" s="10" t="str">
        <f t="shared" ca="1" si="23"/>
        <v/>
      </c>
      <c r="AE634" s="10" t="s">
        <v>2170</v>
      </c>
      <c r="AG634" t="s">
        <v>19</v>
      </c>
      <c r="AJ634" cm="1">
        <f t="array" ref="AJ634">_xlfn.IFS(AG634="Yes",1,AG634="No",0,AG634="","")</f>
        <v>1</v>
      </c>
    </row>
    <row r="635" spans="1:36">
      <c r="A635" t="s">
        <v>620</v>
      </c>
      <c r="D635" s="4" t="s">
        <v>1739</v>
      </c>
      <c r="E635" s="4" t="s">
        <v>1738</v>
      </c>
      <c r="J635" s="10" t="s">
        <v>25</v>
      </c>
      <c r="L635" s="10">
        <v>1</v>
      </c>
      <c r="M635" s="10">
        <v>3</v>
      </c>
      <c r="N635" s="10" t="s">
        <v>2175</v>
      </c>
      <c r="O635" s="10" t="s">
        <v>2159</v>
      </c>
      <c r="S635" s="10">
        <v>743</v>
      </c>
      <c r="U635" s="10" t="str">
        <f t="shared" ca="1" si="22"/>
        <v/>
      </c>
      <c r="V635" s="10" t="str">
        <f t="shared" ca="1" si="23"/>
        <v/>
      </c>
      <c r="AG635" t="s">
        <v>19</v>
      </c>
      <c r="AJ635" cm="1">
        <f t="array" ref="AJ635">_xlfn.IFS(AG635="Yes",1,AG635="No",0,AG635="","")</f>
        <v>1</v>
      </c>
    </row>
    <row r="636" spans="1:36">
      <c r="A636" t="s">
        <v>621</v>
      </c>
      <c r="D636" s="4" t="s">
        <v>1741</v>
      </c>
      <c r="E636" s="4" t="s">
        <v>1740</v>
      </c>
      <c r="J636" s="10" t="s">
        <v>25</v>
      </c>
      <c r="L636" s="10">
        <v>1</v>
      </c>
      <c r="M636" s="10">
        <v>3</v>
      </c>
      <c r="N636" s="10" t="s">
        <v>2158</v>
      </c>
      <c r="O636" s="10" t="s">
        <v>2159</v>
      </c>
      <c r="S636" s="10">
        <v>2475</v>
      </c>
      <c r="U636" s="10" t="str">
        <f t="shared" ca="1" si="22"/>
        <v/>
      </c>
      <c r="V636" s="10" t="str">
        <f t="shared" ca="1" si="23"/>
        <v/>
      </c>
      <c r="AG636" t="s">
        <v>19</v>
      </c>
      <c r="AJ636" cm="1">
        <f t="array" ref="AJ636">_xlfn.IFS(AG636="Yes",1,AG636="No",0,AG636="","")</f>
        <v>1</v>
      </c>
    </row>
    <row r="637" spans="1:36" ht="29">
      <c r="A637" t="s">
        <v>622</v>
      </c>
      <c r="D637" s="4" t="s">
        <v>1742</v>
      </c>
      <c r="E637" s="4" t="s">
        <v>1743</v>
      </c>
      <c r="J637" s="10" t="s">
        <v>2201</v>
      </c>
      <c r="U637" s="10" t="str">
        <f t="shared" ca="1" si="22"/>
        <v/>
      </c>
      <c r="V637" s="10" t="str">
        <f t="shared" ca="1" si="23"/>
        <v/>
      </c>
      <c r="AG637" t="s">
        <v>19</v>
      </c>
      <c r="AJ637" cm="1">
        <f t="array" ref="AJ637">_xlfn.IFS(AG637="Yes",1,AG637="No",0,AG637="","")</f>
        <v>1</v>
      </c>
    </row>
    <row r="638" spans="1:36">
      <c r="A638" t="s">
        <v>622</v>
      </c>
      <c r="D638" s="4" t="s">
        <v>623</v>
      </c>
      <c r="E638" s="4" t="s">
        <v>624</v>
      </c>
      <c r="J638" s="10" t="s">
        <v>2201</v>
      </c>
      <c r="U638" s="10" t="str">
        <f t="shared" ca="1" si="22"/>
        <v/>
      </c>
      <c r="V638" s="10" t="str">
        <f t="shared" ca="1" si="23"/>
        <v/>
      </c>
      <c r="AC638" s="10" t="s">
        <v>2252</v>
      </c>
      <c r="AD638" s="10" t="s">
        <v>19</v>
      </c>
      <c r="AE638" s="10" t="s">
        <v>2157</v>
      </c>
      <c r="AG638" t="s">
        <v>19</v>
      </c>
      <c r="AJ638" cm="1">
        <f t="array" ref="AJ638">_xlfn.IFS(AG638="Yes",1,AG638="No",0,AG638="","")</f>
        <v>1</v>
      </c>
    </row>
    <row r="639" spans="1:36">
      <c r="A639" t="s">
        <v>625</v>
      </c>
      <c r="D639" s="4" t="s">
        <v>1744</v>
      </c>
      <c r="E639" s="4" t="s">
        <v>1745</v>
      </c>
      <c r="J639" s="10" t="s">
        <v>24</v>
      </c>
      <c r="L639" s="10">
        <v>1</v>
      </c>
      <c r="M639" s="10">
        <v>2</v>
      </c>
      <c r="N639" s="10" t="s">
        <v>2168</v>
      </c>
      <c r="O639" s="10" t="s">
        <v>2200</v>
      </c>
      <c r="S639" s="10">
        <v>171</v>
      </c>
      <c r="U639" s="10" t="str">
        <f t="shared" ca="1" si="22"/>
        <v/>
      </c>
      <c r="V639" s="10" t="str">
        <f t="shared" ca="1" si="23"/>
        <v/>
      </c>
      <c r="AG639" t="s">
        <v>19</v>
      </c>
      <c r="AJ639" cm="1">
        <f t="array" ref="AJ639">_xlfn.IFS(AG639="Yes",1,AG639="No",0,AG639="","")</f>
        <v>1</v>
      </c>
    </row>
    <row r="640" spans="1:36">
      <c r="A640" t="s">
        <v>626</v>
      </c>
      <c r="D640" s="4" t="s">
        <v>1747</v>
      </c>
      <c r="E640" s="4" t="s">
        <v>1746</v>
      </c>
      <c r="J640" s="10" t="s">
        <v>2201</v>
      </c>
      <c r="U640" s="10" t="str">
        <f t="shared" ref="U640:U703" ca="1" si="24">IF(ISNUMBER(T640),VALUE(MID(_xlfn.FORMULATEXT(T640),SEARCH("-",_xlfn.FORMULATEXT(T640))+1,LEN(_xlfn.FORMULATEXT(T640))-SEARCH("-",_xlfn.FORMULATEXT(T640)))), "")</f>
        <v/>
      </c>
      <c r="V640" s="10" t="str">
        <f t="shared" ref="V640:V703" ca="1" si="25">IF(ISNUMBER(T640), VALUE(MID(_xlfn.FORMULATEXT(T640), 2, SEARCH("-", _xlfn.FORMULATEXT(T640)) - 2)), "")</f>
        <v/>
      </c>
      <c r="AG640" t="s">
        <v>19</v>
      </c>
      <c r="AJ640" cm="1">
        <f t="array" ref="AJ640">_xlfn.IFS(AG640="Yes",1,AG640="No",0,AG640="","")</f>
        <v>1</v>
      </c>
    </row>
    <row r="641" spans="1:36" ht="29">
      <c r="A641" t="s">
        <v>627</v>
      </c>
      <c r="D641" s="4" t="s">
        <v>1748</v>
      </c>
      <c r="E641" s="4" t="s">
        <v>1749</v>
      </c>
      <c r="J641" s="10" t="s">
        <v>25</v>
      </c>
      <c r="L641" s="10">
        <v>1</v>
      </c>
      <c r="M641" s="10">
        <v>2</v>
      </c>
      <c r="N641" s="10" t="s">
        <v>2158</v>
      </c>
      <c r="O641" s="10" t="s">
        <v>2200</v>
      </c>
      <c r="S641" s="10">
        <v>2475</v>
      </c>
      <c r="U641" s="10" t="str">
        <f t="shared" ca="1" si="24"/>
        <v/>
      </c>
      <c r="V641" s="10" t="str">
        <f t="shared" ca="1" si="25"/>
        <v/>
      </c>
      <c r="AG641" t="s">
        <v>19</v>
      </c>
      <c r="AJ641" cm="1">
        <f t="array" ref="AJ641">_xlfn.IFS(AG641="Yes",1,AG641="No",0,AG641="","")</f>
        <v>1</v>
      </c>
    </row>
    <row r="642" spans="1:36">
      <c r="A642" t="s">
        <v>627</v>
      </c>
      <c r="D642" s="4" t="s">
        <v>1750</v>
      </c>
      <c r="E642" s="4" t="s">
        <v>1751</v>
      </c>
      <c r="J642" s="10" t="s">
        <v>2199</v>
      </c>
      <c r="T642" s="10">
        <f>312-743</f>
        <v>-431</v>
      </c>
      <c r="U642" s="10">
        <f t="shared" ca="1" si="24"/>
        <v>743</v>
      </c>
      <c r="V642" s="10">
        <f t="shared" ca="1" si="25"/>
        <v>312</v>
      </c>
      <c r="AG642" t="s">
        <v>19</v>
      </c>
      <c r="AJ642" cm="1">
        <f t="array" ref="AJ642">_xlfn.IFS(AG642="Yes",1,AG642="No",0,AG642="","")</f>
        <v>1</v>
      </c>
    </row>
    <row r="643" spans="1:36">
      <c r="A643" t="s">
        <v>627</v>
      </c>
      <c r="D643" s="4" t="s">
        <v>628</v>
      </c>
      <c r="E643" s="4" t="s">
        <v>629</v>
      </c>
      <c r="J643" s="10" t="s">
        <v>2201</v>
      </c>
      <c r="U643" s="10" t="str">
        <f t="shared" ca="1" si="24"/>
        <v/>
      </c>
      <c r="V643" s="10" t="str">
        <f t="shared" ca="1" si="25"/>
        <v/>
      </c>
      <c r="AC643" s="10" t="s">
        <v>2252</v>
      </c>
      <c r="AD643" s="10" t="s">
        <v>19</v>
      </c>
      <c r="AG643" t="s">
        <v>19</v>
      </c>
      <c r="AJ643" cm="1">
        <f t="array" ref="AJ643">_xlfn.IFS(AG643="Yes",1,AG643="No",0,AG643="","")</f>
        <v>1</v>
      </c>
    </row>
    <row r="644" spans="1:36">
      <c r="A644" t="s">
        <v>627</v>
      </c>
      <c r="D644" s="4" t="s">
        <v>838</v>
      </c>
      <c r="E644" s="4" t="s">
        <v>837</v>
      </c>
      <c r="J644" s="10" t="s">
        <v>2201</v>
      </c>
      <c r="U644" s="10" t="str">
        <f t="shared" ca="1" si="24"/>
        <v/>
      </c>
      <c r="V644" s="10" t="str">
        <f t="shared" ca="1" si="25"/>
        <v/>
      </c>
      <c r="AB644" s="10" t="s">
        <v>2353</v>
      </c>
      <c r="AD644" s="10" t="s">
        <v>19</v>
      </c>
      <c r="AG644" t="s">
        <v>20</v>
      </c>
      <c r="AJ644" cm="1">
        <f t="array" ref="AJ644">_xlfn.IFS(AG644="Yes",1,AG644="No",0,AG644="","")</f>
        <v>0</v>
      </c>
    </row>
    <row r="645" spans="1:36">
      <c r="A645" t="s">
        <v>630</v>
      </c>
      <c r="D645" s="4" t="s">
        <v>1752</v>
      </c>
      <c r="E645" s="4" t="s">
        <v>1753</v>
      </c>
      <c r="J645" s="10" t="s">
        <v>25</v>
      </c>
      <c r="L645" s="10">
        <v>1</v>
      </c>
      <c r="M645" s="10">
        <v>2</v>
      </c>
      <c r="N645" s="10" t="s">
        <v>2168</v>
      </c>
      <c r="O645" s="10" t="s">
        <v>2200</v>
      </c>
      <c r="S645" s="10">
        <v>171</v>
      </c>
      <c r="U645" s="10" t="str">
        <f t="shared" ca="1" si="24"/>
        <v/>
      </c>
      <c r="V645" s="10" t="str">
        <f t="shared" ca="1" si="25"/>
        <v/>
      </c>
      <c r="AG645" t="s">
        <v>19</v>
      </c>
      <c r="AJ645" cm="1">
        <f t="array" ref="AJ645">_xlfn.IFS(AG645="Yes",1,AG645="No",0,AG645="","")</f>
        <v>1</v>
      </c>
    </row>
    <row r="646" spans="1:36">
      <c r="A646" t="s">
        <v>630</v>
      </c>
      <c r="D646" s="4" t="s">
        <v>631</v>
      </c>
      <c r="E646" s="4" t="s">
        <v>632</v>
      </c>
      <c r="J646" s="10" t="s">
        <v>2201</v>
      </c>
      <c r="U646" s="10" t="str">
        <f t="shared" ca="1" si="24"/>
        <v/>
      </c>
      <c r="V646" s="10" t="str">
        <f t="shared" ca="1" si="25"/>
        <v/>
      </c>
      <c r="AG646" t="s">
        <v>19</v>
      </c>
      <c r="AJ646" cm="1">
        <f t="array" ref="AJ646">_xlfn.IFS(AG646="Yes",1,AG646="No",0,AG646="","")</f>
        <v>1</v>
      </c>
    </row>
    <row r="647" spans="1:36">
      <c r="A647" t="s">
        <v>633</v>
      </c>
      <c r="D647" s="4" t="s">
        <v>1755</v>
      </c>
      <c r="E647" s="4" t="s">
        <v>1754</v>
      </c>
      <c r="J647" s="10" t="s">
        <v>2201</v>
      </c>
      <c r="U647" s="10" t="str">
        <f t="shared" ca="1" si="24"/>
        <v/>
      </c>
      <c r="V647" s="10" t="str">
        <f t="shared" ca="1" si="25"/>
        <v/>
      </c>
      <c r="AE647" s="10" t="s">
        <v>2167</v>
      </c>
      <c r="AG647" t="s">
        <v>19</v>
      </c>
      <c r="AJ647" cm="1">
        <f t="array" ref="AJ647">_xlfn.IFS(AG647="Yes",1,AG647="No",0,AG647="","")</f>
        <v>1</v>
      </c>
    </row>
    <row r="648" spans="1:36">
      <c r="A648" t="s">
        <v>633</v>
      </c>
      <c r="D648" s="4" t="s">
        <v>1756</v>
      </c>
      <c r="E648" s="4" t="s">
        <v>1757</v>
      </c>
      <c r="J648" s="10" t="s">
        <v>25</v>
      </c>
      <c r="L648" s="10">
        <v>1</v>
      </c>
      <c r="M648" s="10">
        <v>3</v>
      </c>
      <c r="N648" s="10" t="s">
        <v>2158</v>
      </c>
      <c r="O648" s="10" t="s">
        <v>2159</v>
      </c>
      <c r="S648" s="10">
        <v>2475</v>
      </c>
      <c r="U648" s="10" t="str">
        <f t="shared" ca="1" si="24"/>
        <v/>
      </c>
      <c r="V648" s="10" t="str">
        <f t="shared" ca="1" si="25"/>
        <v/>
      </c>
      <c r="AG648" t="s">
        <v>19</v>
      </c>
      <c r="AJ648" cm="1">
        <f t="array" ref="AJ648">_xlfn.IFS(AG648="Yes",1,AG648="No",0,AG648="","")</f>
        <v>1</v>
      </c>
    </row>
    <row r="649" spans="1:36">
      <c r="A649" t="s">
        <v>634</v>
      </c>
      <c r="D649" s="4" t="s">
        <v>635</v>
      </c>
      <c r="E649" s="4" t="s">
        <v>636</v>
      </c>
      <c r="J649" s="10" t="s">
        <v>2201</v>
      </c>
      <c r="U649" s="10" t="str">
        <f t="shared" ca="1" si="24"/>
        <v/>
      </c>
      <c r="V649" s="10" t="str">
        <f t="shared" ca="1" si="25"/>
        <v/>
      </c>
      <c r="AG649" t="s">
        <v>20</v>
      </c>
      <c r="AJ649" cm="1">
        <f t="array" ref="AJ649">_xlfn.IFS(AG649="Yes",1,AG649="No",0,AG649="","")</f>
        <v>0</v>
      </c>
    </row>
    <row r="650" spans="1:36">
      <c r="A650" t="s">
        <v>637</v>
      </c>
      <c r="D650" s="4" t="s">
        <v>1758</v>
      </c>
      <c r="E650" s="4" t="s">
        <v>1759</v>
      </c>
      <c r="J650" s="10" t="s">
        <v>2201</v>
      </c>
      <c r="U650" s="10" t="str">
        <f t="shared" ca="1" si="24"/>
        <v/>
      </c>
      <c r="V650" s="10" t="str">
        <f t="shared" ca="1" si="25"/>
        <v/>
      </c>
      <c r="AB650" s="10" t="s">
        <v>2353</v>
      </c>
      <c r="AD650" s="10" t="s">
        <v>19</v>
      </c>
      <c r="AG650" t="s">
        <v>19</v>
      </c>
      <c r="AJ650" cm="1">
        <f t="array" ref="AJ650">_xlfn.IFS(AG650="Yes",1,AG650="No",0,AG650="","")</f>
        <v>1</v>
      </c>
    </row>
    <row r="651" spans="1:36" ht="43.5">
      <c r="A651" t="s">
        <v>638</v>
      </c>
      <c r="D651" s="4" t="s">
        <v>1761</v>
      </c>
      <c r="E651" s="4" t="s">
        <v>1762</v>
      </c>
      <c r="I651" t="s">
        <v>2242</v>
      </c>
      <c r="J651" s="10" t="s">
        <v>26</v>
      </c>
      <c r="U651" s="10" t="str">
        <f t="shared" ca="1" si="24"/>
        <v/>
      </c>
      <c r="V651" s="10" t="str">
        <f t="shared" ca="1" si="25"/>
        <v/>
      </c>
      <c r="AG651" t="s">
        <v>19</v>
      </c>
      <c r="AJ651" cm="1">
        <f t="array" ref="AJ651">_xlfn.IFS(AG651="Yes",1,AG651="No",0,AG651="","")</f>
        <v>1</v>
      </c>
    </row>
    <row r="652" spans="1:36" ht="43.5">
      <c r="A652" t="s">
        <v>638</v>
      </c>
      <c r="D652" s="4" t="s">
        <v>1763</v>
      </c>
      <c r="E652" s="4" t="s">
        <v>1760</v>
      </c>
      <c r="J652" s="10" t="s">
        <v>25</v>
      </c>
      <c r="L652" s="10">
        <v>1</v>
      </c>
      <c r="M652" s="10">
        <v>3</v>
      </c>
      <c r="N652" s="10" t="s">
        <v>2158</v>
      </c>
      <c r="O652" s="10" t="s">
        <v>2159</v>
      </c>
      <c r="S652" s="10">
        <v>2475</v>
      </c>
      <c r="U652" s="10" t="str">
        <f t="shared" ca="1" si="24"/>
        <v/>
      </c>
      <c r="V652" s="10" t="str">
        <f t="shared" ca="1" si="25"/>
        <v/>
      </c>
      <c r="AG652" t="s">
        <v>19</v>
      </c>
      <c r="AJ652" cm="1">
        <f t="array" ref="AJ652">_xlfn.IFS(AG652="Yes",1,AG652="No",0,AG652="","")</f>
        <v>1</v>
      </c>
    </row>
    <row r="653" spans="1:36" ht="29">
      <c r="A653" t="s">
        <v>638</v>
      </c>
      <c r="D653" s="4" t="s">
        <v>1765</v>
      </c>
      <c r="E653" s="4" t="s">
        <v>1764</v>
      </c>
      <c r="J653" s="10" t="s">
        <v>2201</v>
      </c>
      <c r="U653" s="10" t="str">
        <f t="shared" ca="1" si="24"/>
        <v/>
      </c>
      <c r="V653" s="10" t="str">
        <f t="shared" ca="1" si="25"/>
        <v/>
      </c>
      <c r="AG653" t="s">
        <v>19</v>
      </c>
      <c r="AJ653" cm="1">
        <f t="array" ref="AJ653">_xlfn.IFS(AG653="Yes",1,AG653="No",0,AG653="","")</f>
        <v>1</v>
      </c>
    </row>
    <row r="654" spans="1:36" ht="58">
      <c r="A654" t="s">
        <v>639</v>
      </c>
      <c r="D654" s="4" t="s">
        <v>2442</v>
      </c>
      <c r="E654" s="4" t="s">
        <v>1766</v>
      </c>
      <c r="I654" t="s">
        <v>2268</v>
      </c>
      <c r="J654" s="10" t="s">
        <v>26</v>
      </c>
      <c r="U654" s="10" t="str">
        <f t="shared" ca="1" si="24"/>
        <v/>
      </c>
      <c r="V654" s="10" t="str">
        <f t="shared" ca="1" si="25"/>
        <v/>
      </c>
      <c r="AG654" t="s">
        <v>19</v>
      </c>
      <c r="AJ654" cm="1">
        <f t="array" ref="AJ654">_xlfn.IFS(AG654="Yes",1,AG654="No",0,AG654="","")</f>
        <v>1</v>
      </c>
    </row>
    <row r="655" spans="1:36" ht="43.5">
      <c r="A655" t="s">
        <v>640</v>
      </c>
      <c r="D655" s="4" t="s">
        <v>1768</v>
      </c>
      <c r="E655" s="4" t="s">
        <v>1767</v>
      </c>
      <c r="I655" t="s">
        <v>2268</v>
      </c>
      <c r="J655" s="10" t="s">
        <v>26</v>
      </c>
      <c r="U655" s="10" t="str">
        <f t="shared" ca="1" si="24"/>
        <v/>
      </c>
      <c r="V655" s="10" t="str">
        <f t="shared" ca="1" si="25"/>
        <v/>
      </c>
      <c r="AG655" t="s">
        <v>19</v>
      </c>
      <c r="AJ655" cm="1">
        <f t="array" ref="AJ655">_xlfn.IFS(AG655="Yes",1,AG655="No",0,AG655="","")</f>
        <v>1</v>
      </c>
    </row>
    <row r="656" spans="1:36" ht="29">
      <c r="A656" t="s">
        <v>641</v>
      </c>
      <c r="D656" s="4" t="s">
        <v>1770</v>
      </c>
      <c r="E656" s="4" t="s">
        <v>1769</v>
      </c>
      <c r="J656" s="10" t="s">
        <v>25</v>
      </c>
      <c r="L656" s="10">
        <v>1</v>
      </c>
      <c r="M656" s="10">
        <v>5</v>
      </c>
      <c r="N656" s="10" t="s">
        <v>2152</v>
      </c>
      <c r="O656" s="10" t="s">
        <v>2159</v>
      </c>
      <c r="S656" s="10">
        <v>15</v>
      </c>
      <c r="U656" s="10" t="str">
        <f t="shared" ca="1" si="24"/>
        <v/>
      </c>
      <c r="V656" s="10" t="str">
        <f t="shared" ca="1" si="25"/>
        <v/>
      </c>
      <c r="AG656" t="s">
        <v>19</v>
      </c>
      <c r="AJ656" cm="1">
        <f t="array" ref="AJ656">_xlfn.IFS(AG656="Yes",1,AG656="No",0,AG656="","")</f>
        <v>1</v>
      </c>
    </row>
    <row r="657" spans="1:36" ht="29">
      <c r="A657" t="s">
        <v>641</v>
      </c>
      <c r="D657" s="4" t="s">
        <v>1772</v>
      </c>
      <c r="E657" s="4" t="s">
        <v>1771</v>
      </c>
      <c r="I657" t="s">
        <v>2250</v>
      </c>
      <c r="J657" s="10" t="s">
        <v>26</v>
      </c>
      <c r="U657" s="10" t="str">
        <f t="shared" ca="1" si="24"/>
        <v/>
      </c>
      <c r="V657" s="10" t="str">
        <f t="shared" ca="1" si="25"/>
        <v/>
      </c>
      <c r="AG657" t="s">
        <v>19</v>
      </c>
      <c r="AJ657" cm="1">
        <f t="array" ref="AJ657">_xlfn.IFS(AG657="Yes",1,AG657="No",0,AG657="","")</f>
        <v>1</v>
      </c>
    </row>
    <row r="658" spans="1:36" ht="29">
      <c r="A658" t="s">
        <v>641</v>
      </c>
      <c r="D658" s="4" t="s">
        <v>1773</v>
      </c>
      <c r="E658" s="4" t="s">
        <v>1774</v>
      </c>
      <c r="J658" s="10" t="s">
        <v>24</v>
      </c>
      <c r="L658" s="10">
        <v>1</v>
      </c>
      <c r="M658" s="10">
        <v>3</v>
      </c>
      <c r="N658" s="10" t="s">
        <v>2168</v>
      </c>
      <c r="O658" s="10" t="s">
        <v>2159</v>
      </c>
      <c r="S658" s="10">
        <v>1701</v>
      </c>
      <c r="U658" s="10" t="str">
        <f t="shared" ca="1" si="24"/>
        <v/>
      </c>
      <c r="V658" s="10" t="str">
        <f t="shared" ca="1" si="25"/>
        <v/>
      </c>
      <c r="AG658" t="s">
        <v>19</v>
      </c>
      <c r="AJ658" cm="1">
        <f t="array" ref="AJ658">_xlfn.IFS(AG658="Yes",1,AG658="No",0,AG658="","")</f>
        <v>1</v>
      </c>
    </row>
    <row r="659" spans="1:36" ht="87">
      <c r="A659" t="s">
        <v>642</v>
      </c>
      <c r="D659" s="4" t="s">
        <v>2443</v>
      </c>
      <c r="E659" s="4" t="s">
        <v>1776</v>
      </c>
      <c r="I659" t="s">
        <v>1777</v>
      </c>
      <c r="J659" s="10" t="s">
        <v>26</v>
      </c>
      <c r="U659" s="10" t="str">
        <f t="shared" ca="1" si="24"/>
        <v/>
      </c>
      <c r="V659" s="10" t="str">
        <f t="shared" ca="1" si="25"/>
        <v/>
      </c>
      <c r="AG659" t="s">
        <v>19</v>
      </c>
      <c r="AJ659" cm="1">
        <f t="array" ref="AJ659">_xlfn.IFS(AG659="Yes",1,AG659="No",0,AG659="","")</f>
        <v>1</v>
      </c>
    </row>
    <row r="660" spans="1:36" ht="87">
      <c r="A660" t="s">
        <v>642</v>
      </c>
      <c r="D660" s="4" t="s">
        <v>1779</v>
      </c>
      <c r="E660" s="4" t="s">
        <v>1778</v>
      </c>
      <c r="J660" s="10" t="s">
        <v>2202</v>
      </c>
      <c r="T660" s="10">
        <f>295-2475</f>
        <v>-2180</v>
      </c>
      <c r="U660" s="10">
        <f t="shared" ca="1" si="24"/>
        <v>2475</v>
      </c>
      <c r="V660" s="10">
        <f t="shared" ca="1" si="25"/>
        <v>295</v>
      </c>
      <c r="AG660" t="s">
        <v>19</v>
      </c>
      <c r="AJ660" cm="1">
        <f t="array" ref="AJ660">_xlfn.IFS(AG660="Yes",1,AG660="No",0,AG660="","")</f>
        <v>1</v>
      </c>
    </row>
    <row r="661" spans="1:36" ht="87">
      <c r="A661" t="s">
        <v>642</v>
      </c>
      <c r="D661" s="4" t="s">
        <v>1775</v>
      </c>
      <c r="E661" s="4" t="s">
        <v>1780</v>
      </c>
      <c r="J661" s="10" t="s">
        <v>24</v>
      </c>
      <c r="L661" s="10">
        <v>1</v>
      </c>
      <c r="M661" s="10">
        <v>3</v>
      </c>
      <c r="N661" s="10" t="s">
        <v>2168</v>
      </c>
      <c r="O661" s="10" t="s">
        <v>2159</v>
      </c>
      <c r="Q661" s="10"/>
      <c r="S661" s="10">
        <v>1701</v>
      </c>
      <c r="U661" s="10" t="str">
        <f t="shared" ca="1" si="24"/>
        <v/>
      </c>
      <c r="V661" s="10" t="str">
        <f t="shared" ca="1" si="25"/>
        <v/>
      </c>
      <c r="AG661" t="s">
        <v>19</v>
      </c>
      <c r="AJ661" cm="1">
        <f t="array" ref="AJ661">_xlfn.IFS(AG661="Yes",1,AG661="No",0,AG661="","")</f>
        <v>1</v>
      </c>
    </row>
    <row r="662" spans="1:36">
      <c r="A662" t="s">
        <v>642</v>
      </c>
      <c r="D662" s="4" t="s">
        <v>643</v>
      </c>
      <c r="E662" s="4" t="s">
        <v>644</v>
      </c>
      <c r="H662" t="s">
        <v>23</v>
      </c>
      <c r="I662" t="s">
        <v>1781</v>
      </c>
      <c r="J662" s="10" t="s">
        <v>2201</v>
      </c>
      <c r="U662" s="10" t="str">
        <f t="shared" ca="1" si="24"/>
        <v/>
      </c>
      <c r="V662" s="10" t="str">
        <f t="shared" ca="1" si="25"/>
        <v/>
      </c>
      <c r="AE662" s="10" t="s">
        <v>2157</v>
      </c>
      <c r="AG662" t="s">
        <v>20</v>
      </c>
      <c r="AJ662" cm="1">
        <f t="array" ref="AJ662">_xlfn.IFS(AG662="Yes",1,AG662="No",0,AG662="","")</f>
        <v>0</v>
      </c>
    </row>
    <row r="663" spans="1:36">
      <c r="A663" t="s">
        <v>642</v>
      </c>
      <c r="D663" s="4" t="s">
        <v>1782</v>
      </c>
      <c r="E663" s="4" t="s">
        <v>1783</v>
      </c>
      <c r="J663" s="10" t="s">
        <v>2201</v>
      </c>
      <c r="U663" s="10" t="str">
        <f t="shared" ca="1" si="24"/>
        <v/>
      </c>
      <c r="V663" s="10" t="str">
        <f t="shared" ca="1" si="25"/>
        <v/>
      </c>
      <c r="AB663" s="10" t="s">
        <v>2162</v>
      </c>
      <c r="AD663" s="10" t="s">
        <v>19</v>
      </c>
      <c r="AG663" t="s">
        <v>19</v>
      </c>
      <c r="AJ663" cm="1">
        <f t="array" ref="AJ663">_xlfn.IFS(AG663="Yes",1,AG663="No",0,AG663="","")</f>
        <v>1</v>
      </c>
    </row>
    <row r="664" spans="1:36" ht="29">
      <c r="A664" t="s">
        <v>642</v>
      </c>
      <c r="D664" s="4" t="s">
        <v>1784</v>
      </c>
      <c r="E664" s="4" t="s">
        <v>1785</v>
      </c>
      <c r="I664" t="s">
        <v>2300</v>
      </c>
      <c r="J664" s="10" t="s">
        <v>2199</v>
      </c>
      <c r="T664" s="10">
        <f>79-26</f>
        <v>53</v>
      </c>
      <c r="U664" s="10">
        <f t="shared" ca="1" si="24"/>
        <v>26</v>
      </c>
      <c r="V664" s="10">
        <f t="shared" ca="1" si="25"/>
        <v>79</v>
      </c>
      <c r="AC664" s="10" t="s">
        <v>2221</v>
      </c>
      <c r="AD664" s="10" t="s">
        <v>19</v>
      </c>
      <c r="AG664" t="s">
        <v>19</v>
      </c>
      <c r="AJ664" cm="1">
        <f t="array" ref="AJ664">_xlfn.IFS(AG664="Yes",1,AG664="No",0,AG664="","")</f>
        <v>1</v>
      </c>
    </row>
    <row r="665" spans="1:36" ht="29">
      <c r="A665" t="s">
        <v>642</v>
      </c>
      <c r="D665" s="4" t="s">
        <v>1786</v>
      </c>
      <c r="E665" s="4" t="s">
        <v>1787</v>
      </c>
      <c r="J665" s="10" t="s">
        <v>2201</v>
      </c>
      <c r="U665" s="10" t="str">
        <f t="shared" ca="1" si="24"/>
        <v/>
      </c>
      <c r="V665" s="10" t="str">
        <f t="shared" ca="1" si="25"/>
        <v/>
      </c>
      <c r="AG665" t="s">
        <v>19</v>
      </c>
      <c r="AJ665" cm="1">
        <f t="array" ref="AJ665">_xlfn.IFS(AG665="Yes",1,AG665="No",0,AG665="","")</f>
        <v>1</v>
      </c>
    </row>
    <row r="666" spans="1:36" ht="43.5">
      <c r="A666" t="s">
        <v>645</v>
      </c>
      <c r="D666" s="4" t="s">
        <v>1789</v>
      </c>
      <c r="E666" s="4" t="s">
        <v>1788</v>
      </c>
      <c r="I666" t="s">
        <v>2250</v>
      </c>
      <c r="J666" s="10" t="s">
        <v>26</v>
      </c>
      <c r="U666" s="10" t="str">
        <f t="shared" ca="1" si="24"/>
        <v/>
      </c>
      <c r="V666" s="10" t="str">
        <f t="shared" ca="1" si="25"/>
        <v/>
      </c>
      <c r="AG666" t="s">
        <v>19</v>
      </c>
      <c r="AJ666" cm="1">
        <f t="array" ref="AJ666">_xlfn.IFS(AG666="Yes",1,AG666="No",0,AG666="","")</f>
        <v>1</v>
      </c>
    </row>
    <row r="667" spans="1:36">
      <c r="A667" t="s">
        <v>646</v>
      </c>
      <c r="D667" s="4" t="s">
        <v>1790</v>
      </c>
      <c r="E667" s="4" t="s">
        <v>1791</v>
      </c>
      <c r="J667" s="10" t="s">
        <v>2201</v>
      </c>
      <c r="U667" s="10" t="str">
        <f t="shared" ca="1" si="24"/>
        <v/>
      </c>
      <c r="V667" s="10" t="str">
        <f t="shared" ca="1" si="25"/>
        <v/>
      </c>
      <c r="AG667" t="s">
        <v>19</v>
      </c>
      <c r="AJ667" cm="1">
        <f t="array" ref="AJ667">_xlfn.IFS(AG667="Yes",1,AG667="No",0,AG667="","")</f>
        <v>1</v>
      </c>
    </row>
    <row r="668" spans="1:36" ht="72.5">
      <c r="A668" t="s">
        <v>647</v>
      </c>
      <c r="D668" s="4" t="s">
        <v>1792</v>
      </c>
      <c r="E668" s="4" t="s">
        <v>1793</v>
      </c>
      <c r="H668" t="s">
        <v>19</v>
      </c>
      <c r="I668" t="s">
        <v>2301</v>
      </c>
      <c r="J668" s="10" t="s">
        <v>25</v>
      </c>
      <c r="L668" s="10">
        <v>8</v>
      </c>
      <c r="M668" s="10">
        <v>45</v>
      </c>
      <c r="O668" s="10" t="s">
        <v>2153</v>
      </c>
      <c r="P668" s="10" t="s">
        <v>2244</v>
      </c>
      <c r="Q668" s="11" t="s">
        <v>2275</v>
      </c>
      <c r="S668" s="10">
        <v>1</v>
      </c>
      <c r="U668" s="10" t="str">
        <f t="shared" ca="1" si="24"/>
        <v/>
      </c>
      <c r="V668" s="10" t="str">
        <f t="shared" ca="1" si="25"/>
        <v/>
      </c>
      <c r="AG668" t="s">
        <v>19</v>
      </c>
      <c r="AJ668" cm="1">
        <f t="array" ref="AJ668">_xlfn.IFS(AG668="Yes",1,AG668="No",0,AG668="","")</f>
        <v>1</v>
      </c>
    </row>
    <row r="669" spans="1:36">
      <c r="A669" t="s">
        <v>647</v>
      </c>
      <c r="D669" s="4" t="s">
        <v>1794</v>
      </c>
      <c r="E669" s="4" t="s">
        <v>1795</v>
      </c>
      <c r="H669" t="s">
        <v>19</v>
      </c>
      <c r="J669" s="10" t="s">
        <v>24</v>
      </c>
      <c r="L669" s="10">
        <v>1</v>
      </c>
      <c r="M669" s="10">
        <v>2</v>
      </c>
      <c r="N669" s="10" t="s">
        <v>2158</v>
      </c>
      <c r="O669" s="10" t="s">
        <v>2200</v>
      </c>
      <c r="S669" s="10">
        <v>2475</v>
      </c>
      <c r="U669" s="10" t="str">
        <f t="shared" ca="1" si="24"/>
        <v/>
      </c>
      <c r="V669" s="10" t="str">
        <f t="shared" ca="1" si="25"/>
        <v/>
      </c>
      <c r="AE669" s="10" t="s">
        <v>2163</v>
      </c>
      <c r="AG669" t="s">
        <v>20</v>
      </c>
      <c r="AJ669" cm="1">
        <f t="array" ref="AJ669">_xlfn.IFS(AG669="Yes",1,AG669="No",0,AG669="","")</f>
        <v>0</v>
      </c>
    </row>
    <row r="670" spans="1:36" ht="29">
      <c r="A670" t="s">
        <v>648</v>
      </c>
      <c r="D670" s="4" t="s">
        <v>1797</v>
      </c>
      <c r="E670" s="4" t="s">
        <v>1798</v>
      </c>
      <c r="J670" s="10" t="s">
        <v>2201</v>
      </c>
      <c r="U670" s="10" t="str">
        <f t="shared" ca="1" si="24"/>
        <v/>
      </c>
      <c r="V670" s="10" t="str">
        <f t="shared" ca="1" si="25"/>
        <v/>
      </c>
      <c r="AB670" s="10" t="s">
        <v>2166</v>
      </c>
      <c r="AD670" s="10" t="s">
        <v>19</v>
      </c>
      <c r="AG670" t="s">
        <v>19</v>
      </c>
      <c r="AJ670" cm="1">
        <f t="array" ref="AJ670">_xlfn.IFS(AG670="Yes",1,AG670="No",0,AG670="","")</f>
        <v>1</v>
      </c>
    </row>
    <row r="671" spans="1:36" ht="29">
      <c r="A671" t="s">
        <v>648</v>
      </c>
      <c r="D671" s="4" t="s">
        <v>1799</v>
      </c>
      <c r="E671" s="4" t="s">
        <v>1796</v>
      </c>
      <c r="J671" s="10" t="s">
        <v>25</v>
      </c>
      <c r="L671" s="10">
        <v>1</v>
      </c>
      <c r="M671" s="10">
        <v>3</v>
      </c>
      <c r="N671" s="10" t="s">
        <v>2158</v>
      </c>
      <c r="O671" s="10" t="s">
        <v>2153</v>
      </c>
      <c r="P671" s="10" t="s">
        <v>2231</v>
      </c>
      <c r="Q671" s="11" t="s">
        <v>2230</v>
      </c>
      <c r="S671" s="10">
        <v>2475</v>
      </c>
      <c r="U671" s="10" t="str">
        <f t="shared" ca="1" si="24"/>
        <v/>
      </c>
      <c r="V671" s="10" t="str">
        <f t="shared" ca="1" si="25"/>
        <v/>
      </c>
      <c r="AG671" t="s">
        <v>19</v>
      </c>
      <c r="AJ671" cm="1">
        <f t="array" ref="AJ671">_xlfn.IFS(AG671="Yes",1,AG671="No",0,AG671="","")</f>
        <v>1</v>
      </c>
    </row>
    <row r="672" spans="1:36">
      <c r="A672" t="s">
        <v>649</v>
      </c>
      <c r="D672" s="4" t="s">
        <v>1800</v>
      </c>
      <c r="E672" s="4" t="s">
        <v>1801</v>
      </c>
      <c r="I672" t="s">
        <v>2302</v>
      </c>
      <c r="J672" s="10" t="s">
        <v>25</v>
      </c>
      <c r="L672" s="10">
        <v>1</v>
      </c>
      <c r="M672" s="10">
        <v>3</v>
      </c>
      <c r="N672" s="10" t="s">
        <v>2152</v>
      </c>
      <c r="O672" s="10" t="s">
        <v>2159</v>
      </c>
      <c r="S672" s="10">
        <v>44</v>
      </c>
      <c r="U672" s="10" t="str">
        <f t="shared" ca="1" si="24"/>
        <v/>
      </c>
      <c r="V672" s="10" t="str">
        <f t="shared" ca="1" si="25"/>
        <v/>
      </c>
      <c r="W672" s="10" t="s">
        <v>2198</v>
      </c>
      <c r="AG672" t="s">
        <v>19</v>
      </c>
      <c r="AJ672" cm="1">
        <f t="array" ref="AJ672">_xlfn.IFS(AG672="Yes",1,AG672="No",0,AG672="","")</f>
        <v>1</v>
      </c>
    </row>
    <row r="673" spans="1:36">
      <c r="A673" t="s">
        <v>649</v>
      </c>
      <c r="D673" s="4" t="s">
        <v>650</v>
      </c>
      <c r="E673" s="4" t="s">
        <v>651</v>
      </c>
      <c r="H673" t="s">
        <v>19</v>
      </c>
      <c r="J673" s="10" t="s">
        <v>2199</v>
      </c>
      <c r="T673" s="10" t="s">
        <v>2220</v>
      </c>
      <c r="U673" s="10" t="str">
        <f t="shared" ca="1" si="24"/>
        <v/>
      </c>
      <c r="V673" s="10" t="str">
        <f t="shared" ca="1" si="25"/>
        <v/>
      </c>
      <c r="AE673" s="10" t="s">
        <v>2157</v>
      </c>
      <c r="AG673" t="s">
        <v>20</v>
      </c>
      <c r="AJ673" cm="1">
        <f t="array" ref="AJ673">_xlfn.IFS(AG673="Yes",1,AG673="No",0,AG673="","")</f>
        <v>0</v>
      </c>
    </row>
    <row r="674" spans="1:36" ht="29">
      <c r="A674" t="s">
        <v>652</v>
      </c>
      <c r="D674" s="4" t="s">
        <v>1803</v>
      </c>
      <c r="E674" s="4" t="s">
        <v>1804</v>
      </c>
      <c r="J674" s="10" t="s">
        <v>2201</v>
      </c>
      <c r="U674" s="10" t="str">
        <f t="shared" ca="1" si="24"/>
        <v/>
      </c>
      <c r="V674" s="10" t="str">
        <f t="shared" ca="1" si="25"/>
        <v/>
      </c>
      <c r="AG674" t="s">
        <v>19</v>
      </c>
      <c r="AJ674" cm="1">
        <f t="array" ref="AJ674">_xlfn.IFS(AG674="Yes",1,AG674="No",0,AG674="","")</f>
        <v>1</v>
      </c>
    </row>
    <row r="675" spans="1:36" ht="29">
      <c r="A675" t="s">
        <v>652</v>
      </c>
      <c r="D675" s="4" t="s">
        <v>1806</v>
      </c>
      <c r="E675" s="4" t="s">
        <v>1805</v>
      </c>
      <c r="J675" s="10" t="s">
        <v>2201</v>
      </c>
      <c r="U675" s="10" t="str">
        <f t="shared" ca="1" si="24"/>
        <v/>
      </c>
      <c r="V675" s="10" t="str">
        <f t="shared" ca="1" si="25"/>
        <v/>
      </c>
      <c r="AG675" t="s">
        <v>19</v>
      </c>
      <c r="AJ675" cm="1">
        <f t="array" ref="AJ675">_xlfn.IFS(AG675="Yes",1,AG675="No",0,AG675="","")</f>
        <v>1</v>
      </c>
    </row>
    <row r="676" spans="1:36" ht="29">
      <c r="A676" t="s">
        <v>652</v>
      </c>
      <c r="D676" s="4" t="s">
        <v>1807</v>
      </c>
      <c r="E676" s="4" t="s">
        <v>1802</v>
      </c>
      <c r="J676" s="10" t="s">
        <v>25</v>
      </c>
      <c r="L676" s="10">
        <v>1</v>
      </c>
      <c r="M676" s="10">
        <v>3</v>
      </c>
      <c r="N676" s="10" t="s">
        <v>2168</v>
      </c>
      <c r="O676" s="10" t="s">
        <v>2159</v>
      </c>
      <c r="S676" s="10">
        <v>186</v>
      </c>
      <c r="U676" s="10" t="str">
        <f t="shared" ca="1" si="24"/>
        <v/>
      </c>
      <c r="V676" s="10" t="str">
        <f t="shared" ca="1" si="25"/>
        <v/>
      </c>
      <c r="AG676" t="s">
        <v>19</v>
      </c>
      <c r="AJ676" cm="1">
        <f t="array" ref="AJ676">_xlfn.IFS(AG676="Yes",1,AG676="No",0,AG676="","")</f>
        <v>1</v>
      </c>
    </row>
    <row r="677" spans="1:36">
      <c r="A677" t="s">
        <v>653</v>
      </c>
      <c r="D677" s="4" t="s">
        <v>1808</v>
      </c>
      <c r="E677" s="4" t="s">
        <v>1809</v>
      </c>
      <c r="H677" t="s">
        <v>19</v>
      </c>
      <c r="J677" s="10" t="s">
        <v>25</v>
      </c>
      <c r="L677" s="10">
        <v>1</v>
      </c>
      <c r="M677" s="10">
        <v>3</v>
      </c>
      <c r="N677" s="10" t="s">
        <v>2179</v>
      </c>
      <c r="O677" s="10" t="s">
        <v>2159</v>
      </c>
      <c r="S677" s="10">
        <v>204</v>
      </c>
      <c r="U677" s="10" t="str">
        <f t="shared" ca="1" si="24"/>
        <v/>
      </c>
      <c r="V677" s="10" t="str">
        <f t="shared" ca="1" si="25"/>
        <v/>
      </c>
      <c r="AG677" t="s">
        <v>20</v>
      </c>
      <c r="AJ677" cm="1">
        <f t="array" ref="AJ677">_xlfn.IFS(AG677="Yes",1,AG677="No",0,AG677="","")</f>
        <v>0</v>
      </c>
    </row>
    <row r="678" spans="1:36" ht="29">
      <c r="A678" t="s">
        <v>653</v>
      </c>
      <c r="D678" s="4" t="s">
        <v>1810</v>
      </c>
      <c r="E678" s="4" t="s">
        <v>1811</v>
      </c>
      <c r="J678" s="10" t="s">
        <v>24</v>
      </c>
      <c r="L678" s="10">
        <v>1</v>
      </c>
      <c r="M678" s="10">
        <v>1</v>
      </c>
      <c r="N678" s="10" t="s">
        <v>2158</v>
      </c>
      <c r="O678" s="10" t="s">
        <v>2200</v>
      </c>
      <c r="S678" s="10">
        <v>2475</v>
      </c>
      <c r="U678" s="10" t="str">
        <f t="shared" ca="1" si="24"/>
        <v/>
      </c>
      <c r="V678" s="10" t="str">
        <f t="shared" ca="1" si="25"/>
        <v/>
      </c>
      <c r="AG678" t="s">
        <v>19</v>
      </c>
      <c r="AJ678" cm="1">
        <f t="array" ref="AJ678">_xlfn.IFS(AG678="Yes",1,AG678="No",0,AG678="","")</f>
        <v>1</v>
      </c>
    </row>
    <row r="679" spans="1:36">
      <c r="A679" t="s">
        <v>654</v>
      </c>
      <c r="D679" s="4" t="s">
        <v>655</v>
      </c>
      <c r="E679" s="4" t="s">
        <v>351</v>
      </c>
      <c r="J679" s="10" t="s">
        <v>2201</v>
      </c>
      <c r="U679" s="10" t="str">
        <f t="shared" ca="1" si="24"/>
        <v/>
      </c>
      <c r="V679" s="10" t="str">
        <f t="shared" ca="1" si="25"/>
        <v/>
      </c>
      <c r="AC679" s="10" t="s">
        <v>2251</v>
      </c>
      <c r="AD679" s="10" t="s">
        <v>19</v>
      </c>
      <c r="AG679" t="s">
        <v>20</v>
      </c>
      <c r="AJ679" cm="1">
        <f t="array" ref="AJ679">_xlfn.IFS(AG679="Yes",1,AG679="No",0,AG679="","")</f>
        <v>0</v>
      </c>
    </row>
    <row r="680" spans="1:36">
      <c r="A680" t="s">
        <v>656</v>
      </c>
      <c r="D680" s="4" t="s">
        <v>657</v>
      </c>
      <c r="E680" s="4" t="s">
        <v>658</v>
      </c>
      <c r="J680" s="10" t="s">
        <v>2201</v>
      </c>
      <c r="U680" s="10" t="str">
        <f t="shared" ca="1" si="24"/>
        <v/>
      </c>
      <c r="V680" s="10" t="str">
        <f t="shared" ca="1" si="25"/>
        <v/>
      </c>
      <c r="AC680" s="10" t="s">
        <v>2223</v>
      </c>
      <c r="AD680" s="10" t="s">
        <v>19</v>
      </c>
      <c r="AG680" t="s">
        <v>19</v>
      </c>
      <c r="AJ680" cm="1">
        <f t="array" ref="AJ680">_xlfn.IFS(AG680="Yes",1,AG680="No",0,AG680="","")</f>
        <v>1</v>
      </c>
    </row>
    <row r="681" spans="1:36">
      <c r="A681" t="s">
        <v>656</v>
      </c>
      <c r="D681" s="4" t="s">
        <v>659</v>
      </c>
      <c r="E681" s="4" t="s">
        <v>660</v>
      </c>
      <c r="J681" s="10" t="s">
        <v>2201</v>
      </c>
      <c r="U681" s="10" t="str">
        <f t="shared" ca="1" si="24"/>
        <v/>
      </c>
      <c r="V681" s="10" t="str">
        <f t="shared" ca="1" si="25"/>
        <v/>
      </c>
      <c r="AC681" s="10" t="s">
        <v>2223</v>
      </c>
      <c r="AD681" s="10" t="s">
        <v>19</v>
      </c>
      <c r="AG681" t="s">
        <v>20</v>
      </c>
      <c r="AJ681" cm="1">
        <f t="array" ref="AJ681">_xlfn.IFS(AG681="Yes",1,AG681="No",0,AG681="","")</f>
        <v>0</v>
      </c>
    </row>
    <row r="682" spans="1:36" ht="29">
      <c r="A682" t="s">
        <v>661</v>
      </c>
      <c r="D682" s="4" t="s">
        <v>1813</v>
      </c>
      <c r="E682" s="4" t="s">
        <v>1812</v>
      </c>
      <c r="J682" s="10" t="s">
        <v>25</v>
      </c>
      <c r="L682" s="10">
        <v>1</v>
      </c>
      <c r="M682" s="10">
        <v>5</v>
      </c>
      <c r="N682" s="10" t="s">
        <v>2175</v>
      </c>
      <c r="O682" s="10" t="s">
        <v>2159</v>
      </c>
      <c r="S682" s="10">
        <v>830</v>
      </c>
      <c r="U682" s="10" t="str">
        <f t="shared" ca="1" si="24"/>
        <v/>
      </c>
      <c r="V682" s="10" t="str">
        <f t="shared" ca="1" si="25"/>
        <v/>
      </c>
      <c r="AG682" t="s">
        <v>19</v>
      </c>
      <c r="AJ682" cm="1">
        <f t="array" ref="AJ682">_xlfn.IFS(AG682="Yes",1,AG682="No",0,AG682="","")</f>
        <v>1</v>
      </c>
    </row>
    <row r="683" spans="1:36" ht="29">
      <c r="A683" t="s">
        <v>662</v>
      </c>
      <c r="D683" s="4" t="s">
        <v>1814</v>
      </c>
      <c r="E683" s="4" t="s">
        <v>1815</v>
      </c>
      <c r="J683" s="10" t="s">
        <v>2201</v>
      </c>
      <c r="U683" s="10" t="str">
        <f t="shared" ca="1" si="24"/>
        <v/>
      </c>
      <c r="V683" s="10" t="str">
        <f t="shared" ca="1" si="25"/>
        <v/>
      </c>
      <c r="AG683" t="s">
        <v>19</v>
      </c>
      <c r="AJ683" cm="1">
        <f t="array" ref="AJ683">_xlfn.IFS(AG683="Yes",1,AG683="No",0,AG683="","")</f>
        <v>1</v>
      </c>
    </row>
    <row r="684" spans="1:36">
      <c r="A684" t="s">
        <v>662</v>
      </c>
      <c r="D684" s="4" t="s">
        <v>663</v>
      </c>
      <c r="E684" s="4" t="s">
        <v>444</v>
      </c>
      <c r="H684" t="s">
        <v>19</v>
      </c>
      <c r="J684" s="10" t="s">
        <v>2201</v>
      </c>
      <c r="U684" s="10" t="str">
        <f t="shared" ca="1" si="24"/>
        <v/>
      </c>
      <c r="V684" s="10" t="str">
        <f t="shared" ca="1" si="25"/>
        <v/>
      </c>
      <c r="AG684" t="s">
        <v>20</v>
      </c>
      <c r="AJ684" cm="1">
        <f t="array" ref="AJ684">_xlfn.IFS(AG684="Yes",1,AG684="No",0,AG684="","")</f>
        <v>0</v>
      </c>
    </row>
    <row r="685" spans="1:36">
      <c r="A685" t="s">
        <v>664</v>
      </c>
      <c r="D685" s="4" t="s">
        <v>1817</v>
      </c>
      <c r="E685" s="4" t="s">
        <v>1816</v>
      </c>
      <c r="J685" s="10" t="s">
        <v>2201</v>
      </c>
      <c r="U685" s="10" t="str">
        <f t="shared" ca="1" si="24"/>
        <v/>
      </c>
      <c r="V685" s="10" t="str">
        <f t="shared" ca="1" si="25"/>
        <v/>
      </c>
      <c r="AG685" t="s">
        <v>20</v>
      </c>
      <c r="AJ685" cm="1">
        <f t="array" ref="AJ685">_xlfn.IFS(AG685="Yes",1,AG685="No",0,AG685="","")</f>
        <v>0</v>
      </c>
    </row>
    <row r="686" spans="1:36">
      <c r="A686" t="s">
        <v>665</v>
      </c>
      <c r="D686" s="4" t="s">
        <v>666</v>
      </c>
      <c r="E686" s="4" t="s">
        <v>667</v>
      </c>
      <c r="J686" s="10" t="s">
        <v>2201</v>
      </c>
      <c r="U686" s="10" t="str">
        <f t="shared" ca="1" si="24"/>
        <v/>
      </c>
      <c r="V686" s="10" t="str">
        <f t="shared" ca="1" si="25"/>
        <v/>
      </c>
      <c r="AC686" s="10" t="s">
        <v>2342</v>
      </c>
      <c r="AD686" s="10" t="s">
        <v>19</v>
      </c>
      <c r="AG686" t="s">
        <v>19</v>
      </c>
      <c r="AJ686" cm="1">
        <f t="array" ref="AJ686">_xlfn.IFS(AG686="Yes",1,AG686="No",0,AG686="","")</f>
        <v>1</v>
      </c>
    </row>
    <row r="687" spans="1:36" ht="58">
      <c r="A687" t="s">
        <v>665</v>
      </c>
      <c r="D687" s="4" t="s">
        <v>1818</v>
      </c>
      <c r="E687" s="4" t="s">
        <v>1819</v>
      </c>
      <c r="I687" t="s">
        <v>2242</v>
      </c>
      <c r="J687" s="10" t="s">
        <v>26</v>
      </c>
      <c r="U687" s="10" t="str">
        <f t="shared" ca="1" si="24"/>
        <v/>
      </c>
      <c r="V687" s="10" t="str">
        <f t="shared" ca="1" si="25"/>
        <v/>
      </c>
      <c r="AG687" t="s">
        <v>19</v>
      </c>
      <c r="AJ687" cm="1">
        <f t="array" ref="AJ687">_xlfn.IFS(AG687="Yes",1,AG687="No",0,AG687="","")</f>
        <v>1</v>
      </c>
    </row>
    <row r="688" spans="1:36" ht="58">
      <c r="A688" t="s">
        <v>665</v>
      </c>
      <c r="D688" s="4" t="s">
        <v>1820</v>
      </c>
      <c r="E688" s="4" t="s">
        <v>1821</v>
      </c>
      <c r="J688" s="10" t="s">
        <v>2199</v>
      </c>
      <c r="T688" s="10">
        <f>210-99</f>
        <v>111</v>
      </c>
      <c r="U688" s="10">
        <f t="shared" ca="1" si="24"/>
        <v>99</v>
      </c>
      <c r="V688" s="10">
        <f t="shared" ca="1" si="25"/>
        <v>210</v>
      </c>
      <c r="AG688" t="s">
        <v>19</v>
      </c>
      <c r="AJ688" cm="1">
        <f t="array" ref="AJ688">_xlfn.IFS(AG688="Yes",1,AG688="No",0,AG688="","")</f>
        <v>1</v>
      </c>
    </row>
    <row r="689" spans="1:36">
      <c r="A689" t="s">
        <v>668</v>
      </c>
      <c r="D689" s="4" t="s">
        <v>1822</v>
      </c>
      <c r="E689" s="4" t="s">
        <v>1823</v>
      </c>
      <c r="F689" t="s">
        <v>17</v>
      </c>
      <c r="H689" t="s">
        <v>19</v>
      </c>
      <c r="J689" s="10" t="s">
        <v>2201</v>
      </c>
      <c r="U689" s="10" t="str">
        <f t="shared" ca="1" si="24"/>
        <v/>
      </c>
      <c r="V689" s="10" t="str">
        <f t="shared" ca="1" si="25"/>
        <v/>
      </c>
      <c r="AG689" t="s">
        <v>20</v>
      </c>
      <c r="AJ689" cm="1">
        <f t="array" ref="AJ689">_xlfn.IFS(AG689="Yes",1,AG689="No",0,AG689="","")</f>
        <v>0</v>
      </c>
    </row>
    <row r="690" spans="1:36" ht="29">
      <c r="A690" t="s">
        <v>669</v>
      </c>
      <c r="D690" s="4" t="s">
        <v>1825</v>
      </c>
      <c r="E690" s="4" t="s">
        <v>1826</v>
      </c>
      <c r="H690" t="s">
        <v>19</v>
      </c>
      <c r="J690" s="10" t="s">
        <v>2199</v>
      </c>
      <c r="R690" s="10" t="s">
        <v>2154</v>
      </c>
      <c r="T690" s="10" t="s">
        <v>2220</v>
      </c>
      <c r="U690" s="10" t="str">
        <f t="shared" ca="1" si="24"/>
        <v/>
      </c>
      <c r="V690" s="10" t="str">
        <f t="shared" ca="1" si="25"/>
        <v/>
      </c>
      <c r="AE690" s="10" t="s">
        <v>2157</v>
      </c>
      <c r="AG690" t="s">
        <v>20</v>
      </c>
      <c r="AJ690" cm="1">
        <f t="array" ref="AJ690">_xlfn.IFS(AG690="Yes",1,AG690="No",0,AG690="","")</f>
        <v>0</v>
      </c>
    </row>
    <row r="691" spans="1:36" ht="29">
      <c r="A691" t="s">
        <v>669</v>
      </c>
      <c r="D691" s="4" t="s">
        <v>1824</v>
      </c>
      <c r="E691" s="4" t="s">
        <v>1827</v>
      </c>
      <c r="I691" t="s">
        <v>2303</v>
      </c>
      <c r="J691" s="10" t="s">
        <v>24</v>
      </c>
      <c r="L691" s="10">
        <v>1</v>
      </c>
      <c r="M691" s="10">
        <v>4</v>
      </c>
      <c r="N691" s="10" t="s">
        <v>2158</v>
      </c>
      <c r="O691" s="10" t="s">
        <v>2153</v>
      </c>
      <c r="P691" s="10" t="s">
        <v>2231</v>
      </c>
      <c r="Q691" s="11" t="s">
        <v>2230</v>
      </c>
      <c r="S691" s="10">
        <v>2475</v>
      </c>
      <c r="U691" s="10" t="str">
        <f t="shared" ca="1" si="24"/>
        <v/>
      </c>
      <c r="V691" s="10" t="str">
        <f t="shared" ca="1" si="25"/>
        <v/>
      </c>
      <c r="W691" s="10" t="s">
        <v>2198</v>
      </c>
      <c r="AG691" t="s">
        <v>19</v>
      </c>
      <c r="AJ691" cm="1">
        <f t="array" ref="AJ691">_xlfn.IFS(AG691="Yes",1,AG691="No",0,AG691="","")</f>
        <v>1</v>
      </c>
    </row>
    <row r="692" spans="1:36">
      <c r="A692" t="s">
        <v>669</v>
      </c>
      <c r="D692" s="4" t="s">
        <v>1828</v>
      </c>
      <c r="E692" s="4" t="s">
        <v>1829</v>
      </c>
      <c r="J692" s="10" t="s">
        <v>25</v>
      </c>
      <c r="L692" s="10">
        <v>1</v>
      </c>
      <c r="M692" s="10">
        <v>1</v>
      </c>
      <c r="N692" s="10" t="s">
        <v>2158</v>
      </c>
      <c r="O692" s="10" t="s">
        <v>2200</v>
      </c>
      <c r="S692" s="10">
        <v>2475</v>
      </c>
      <c r="U692" s="10" t="str">
        <f t="shared" ca="1" si="24"/>
        <v/>
      </c>
      <c r="V692" s="10" t="str">
        <f t="shared" ca="1" si="25"/>
        <v/>
      </c>
      <c r="AG692" t="s">
        <v>19</v>
      </c>
      <c r="AJ692" cm="1">
        <f t="array" ref="AJ692">_xlfn.IFS(AG692="Yes",1,AG692="No",0,AG692="","")</f>
        <v>1</v>
      </c>
    </row>
    <row r="693" spans="1:36" ht="58">
      <c r="A693" t="s">
        <v>670</v>
      </c>
      <c r="D693" s="4" t="s">
        <v>2304</v>
      </c>
      <c r="E693" s="4" t="s">
        <v>2305</v>
      </c>
      <c r="I693" t="s">
        <v>2250</v>
      </c>
      <c r="J693" s="10" t="s">
        <v>26</v>
      </c>
      <c r="U693" s="10" t="str">
        <f t="shared" ca="1" si="24"/>
        <v/>
      </c>
      <c r="V693" s="10" t="str">
        <f t="shared" ca="1" si="25"/>
        <v/>
      </c>
      <c r="AG693" t="s">
        <v>19</v>
      </c>
      <c r="AJ693" cm="1">
        <f t="array" ref="AJ693">_xlfn.IFS(AG693="Yes",1,AG693="No",0,AG693="","")</f>
        <v>1</v>
      </c>
    </row>
    <row r="694" spans="1:36" ht="29">
      <c r="A694" s="5" t="s">
        <v>670</v>
      </c>
      <c r="B694" s="5"/>
      <c r="C694" s="5"/>
      <c r="D694" s="14" t="s">
        <v>2306</v>
      </c>
      <c r="E694" s="14" t="s">
        <v>2307</v>
      </c>
      <c r="J694" s="10" t="s">
        <v>2201</v>
      </c>
      <c r="U694" s="10" t="str">
        <f t="shared" ca="1" si="24"/>
        <v/>
      </c>
      <c r="V694" s="10" t="str">
        <f t="shared" ca="1" si="25"/>
        <v/>
      </c>
      <c r="AG694" t="s">
        <v>19</v>
      </c>
      <c r="AJ694" cm="1">
        <f t="array" ref="AJ694">_xlfn.IFS(AG694="Yes",1,AG694="No",0,AG694="","")</f>
        <v>1</v>
      </c>
    </row>
    <row r="695" spans="1:36" ht="43.5">
      <c r="A695" t="s">
        <v>671</v>
      </c>
      <c r="D695" s="4" t="s">
        <v>2444</v>
      </c>
      <c r="E695" s="4" t="s">
        <v>1830</v>
      </c>
      <c r="I695" t="s">
        <v>2242</v>
      </c>
      <c r="J695" s="10" t="s">
        <v>26</v>
      </c>
      <c r="U695" s="10" t="str">
        <f t="shared" ca="1" si="24"/>
        <v/>
      </c>
      <c r="V695" s="10" t="str">
        <f t="shared" ca="1" si="25"/>
        <v/>
      </c>
      <c r="AG695" t="s">
        <v>19</v>
      </c>
      <c r="AJ695" cm="1">
        <f t="array" ref="AJ695">_xlfn.IFS(AG695="Yes",1,AG695="No",0,AG695="","")</f>
        <v>1</v>
      </c>
    </row>
    <row r="696" spans="1:36" ht="43.5">
      <c r="A696" t="s">
        <v>671</v>
      </c>
      <c r="D696" s="4" t="s">
        <v>2445</v>
      </c>
      <c r="E696" s="4" t="s">
        <v>1831</v>
      </c>
      <c r="J696" s="10" t="s">
        <v>24</v>
      </c>
      <c r="L696" s="10">
        <v>1</v>
      </c>
      <c r="M696" s="10">
        <v>2</v>
      </c>
      <c r="N696" s="10" t="s">
        <v>2158</v>
      </c>
      <c r="O696" s="10" t="s">
        <v>2200</v>
      </c>
      <c r="S696" s="10">
        <v>2475</v>
      </c>
      <c r="U696" s="10" t="str">
        <f t="shared" ca="1" si="24"/>
        <v/>
      </c>
      <c r="V696" s="10" t="str">
        <f t="shared" ca="1" si="25"/>
        <v/>
      </c>
      <c r="AG696" t="s">
        <v>19</v>
      </c>
      <c r="AJ696" cm="1">
        <f t="array" ref="AJ696">_xlfn.IFS(AG696="Yes",1,AG696="No",0,AG696="","")</f>
        <v>1</v>
      </c>
    </row>
    <row r="697" spans="1:36">
      <c r="A697" t="s">
        <v>672</v>
      </c>
      <c r="D697" s="4" t="s">
        <v>1833</v>
      </c>
      <c r="E697" s="4" t="s">
        <v>1832</v>
      </c>
      <c r="J697" s="10" t="s">
        <v>24</v>
      </c>
      <c r="L697" s="10">
        <v>1</v>
      </c>
      <c r="M697" s="10">
        <v>4</v>
      </c>
      <c r="N697" s="10" t="s">
        <v>2219</v>
      </c>
      <c r="O697" s="10" t="s">
        <v>2159</v>
      </c>
      <c r="S697" s="10">
        <v>295</v>
      </c>
      <c r="U697" s="10" t="str">
        <f t="shared" ca="1" si="24"/>
        <v/>
      </c>
      <c r="V697" s="10" t="str">
        <f t="shared" ca="1" si="25"/>
        <v/>
      </c>
      <c r="AG697" t="s">
        <v>19</v>
      </c>
      <c r="AJ697" cm="1">
        <f t="array" ref="AJ697">_xlfn.IFS(AG697="Yes",1,AG697="No",0,AG697="","")</f>
        <v>1</v>
      </c>
    </row>
    <row r="698" spans="1:36">
      <c r="A698" t="s">
        <v>672</v>
      </c>
      <c r="D698" s="4" t="s">
        <v>1835</v>
      </c>
      <c r="E698" s="4" t="s">
        <v>1834</v>
      </c>
      <c r="J698" s="10" t="s">
        <v>25</v>
      </c>
      <c r="L698" s="10">
        <v>1</v>
      </c>
      <c r="M698" s="10">
        <v>3</v>
      </c>
      <c r="N698" s="10" t="s">
        <v>2158</v>
      </c>
      <c r="O698" s="10" t="s">
        <v>2159</v>
      </c>
      <c r="S698" s="10">
        <v>2475</v>
      </c>
      <c r="U698" s="10" t="str">
        <f t="shared" ca="1" si="24"/>
        <v/>
      </c>
      <c r="V698" s="10" t="str">
        <f t="shared" ca="1" si="25"/>
        <v/>
      </c>
      <c r="AG698" t="s">
        <v>19</v>
      </c>
      <c r="AJ698" cm="1">
        <f t="array" ref="AJ698">_xlfn.IFS(AG698="Yes",1,AG698="No",0,AG698="","")</f>
        <v>1</v>
      </c>
    </row>
    <row r="699" spans="1:36">
      <c r="A699" t="s">
        <v>672</v>
      </c>
      <c r="D699" s="4" t="s">
        <v>673</v>
      </c>
      <c r="E699" s="4" t="s">
        <v>674</v>
      </c>
      <c r="J699" s="10" t="s">
        <v>2201</v>
      </c>
      <c r="U699" s="10" t="str">
        <f t="shared" ca="1" si="24"/>
        <v/>
      </c>
      <c r="V699" s="10" t="str">
        <f t="shared" ca="1" si="25"/>
        <v/>
      </c>
      <c r="AC699" s="10" t="s">
        <v>2223</v>
      </c>
      <c r="AD699" s="10" t="s">
        <v>19</v>
      </c>
      <c r="AE699" s="10" t="s">
        <v>2167</v>
      </c>
      <c r="AG699" t="s">
        <v>19</v>
      </c>
      <c r="AJ699" cm="1">
        <f t="array" ref="AJ699">_xlfn.IFS(AG699="Yes",1,AG699="No",0,AG699="","")</f>
        <v>1</v>
      </c>
    </row>
    <row r="700" spans="1:36">
      <c r="A700" t="s">
        <v>675</v>
      </c>
      <c r="D700" s="4" t="s">
        <v>1837</v>
      </c>
      <c r="E700" s="4" t="s">
        <v>1836</v>
      </c>
      <c r="J700" s="10" t="s">
        <v>25</v>
      </c>
      <c r="L700" s="10">
        <v>1</v>
      </c>
      <c r="M700" s="10">
        <v>3</v>
      </c>
      <c r="N700" s="10" t="s">
        <v>2158</v>
      </c>
      <c r="O700" s="10" t="s">
        <v>2159</v>
      </c>
      <c r="S700" s="10">
        <v>2475</v>
      </c>
      <c r="U700" s="10" t="str">
        <f t="shared" ca="1" si="24"/>
        <v/>
      </c>
      <c r="V700" s="10" t="str">
        <f t="shared" ca="1" si="25"/>
        <v/>
      </c>
      <c r="AG700" t="s">
        <v>19</v>
      </c>
      <c r="AJ700" cm="1">
        <f t="array" ref="AJ700">_xlfn.IFS(AG700="Yes",1,AG700="No",0,AG700="","")</f>
        <v>1</v>
      </c>
    </row>
    <row r="701" spans="1:36">
      <c r="A701" t="s">
        <v>676</v>
      </c>
      <c r="D701" s="4" t="s">
        <v>1838</v>
      </c>
      <c r="E701" s="4" t="s">
        <v>1839</v>
      </c>
      <c r="H701" t="s">
        <v>19</v>
      </c>
      <c r="J701" s="10" t="s">
        <v>25</v>
      </c>
      <c r="L701" s="10">
        <v>1</v>
      </c>
      <c r="M701" s="10">
        <v>4</v>
      </c>
      <c r="N701" s="10" t="s">
        <v>2177</v>
      </c>
      <c r="O701" s="10" t="s">
        <v>2159</v>
      </c>
      <c r="S701" s="10">
        <v>99</v>
      </c>
      <c r="U701" s="10" t="str">
        <f t="shared" ca="1" si="24"/>
        <v/>
      </c>
      <c r="V701" s="10" t="str">
        <f t="shared" ca="1" si="25"/>
        <v/>
      </c>
      <c r="AG701" t="s">
        <v>20</v>
      </c>
      <c r="AJ701" cm="1">
        <f t="array" ref="AJ701">_xlfn.IFS(AG701="Yes",1,AG701="No",0,AG701="","")</f>
        <v>0</v>
      </c>
    </row>
    <row r="702" spans="1:36">
      <c r="A702" t="s">
        <v>676</v>
      </c>
      <c r="D702" s="4" t="s">
        <v>677</v>
      </c>
      <c r="E702" s="4" t="s">
        <v>678</v>
      </c>
      <c r="J702" s="10" t="s">
        <v>2199</v>
      </c>
      <c r="Q702" s="10"/>
      <c r="T702" s="10">
        <f>0-1</f>
        <v>-1</v>
      </c>
      <c r="U702" s="10">
        <f t="shared" ca="1" si="24"/>
        <v>1</v>
      </c>
      <c r="V702" s="10">
        <f t="shared" ca="1" si="25"/>
        <v>0</v>
      </c>
      <c r="AG702" t="s">
        <v>20</v>
      </c>
      <c r="AJ702" cm="1">
        <f t="array" ref="AJ702">_xlfn.IFS(AG702="Yes",1,AG702="No",0,AG702="","")</f>
        <v>0</v>
      </c>
    </row>
    <row r="703" spans="1:36" ht="29">
      <c r="A703" t="s">
        <v>679</v>
      </c>
      <c r="D703" s="4" t="s">
        <v>1840</v>
      </c>
      <c r="E703" s="4" t="s">
        <v>1841</v>
      </c>
      <c r="G703" t="s">
        <v>19</v>
      </c>
      <c r="J703" s="10" t="s">
        <v>2201</v>
      </c>
      <c r="U703" s="10" t="str">
        <f t="shared" ca="1" si="24"/>
        <v/>
      </c>
      <c r="V703" s="10" t="str">
        <f t="shared" ca="1" si="25"/>
        <v/>
      </c>
      <c r="AE703" s="10" t="s">
        <v>2170</v>
      </c>
      <c r="AG703" t="s">
        <v>19</v>
      </c>
      <c r="AJ703" cm="1">
        <f t="array" ref="AJ703">_xlfn.IFS(AG703="Yes",1,AG703="No",0,AG703="","")</f>
        <v>1</v>
      </c>
    </row>
    <row r="704" spans="1:36" ht="29">
      <c r="A704" t="s">
        <v>680</v>
      </c>
      <c r="D704" s="4" t="s">
        <v>1843</v>
      </c>
      <c r="E704" s="4" t="s">
        <v>1844</v>
      </c>
      <c r="J704" s="10" t="s">
        <v>2201</v>
      </c>
      <c r="U704" s="10" t="str">
        <f t="shared" ref="U704:U765" ca="1" si="26">IF(ISNUMBER(T704),VALUE(MID(_xlfn.FORMULATEXT(T704),SEARCH("-",_xlfn.FORMULATEXT(T704))+1,LEN(_xlfn.FORMULATEXT(T704))-SEARCH("-",_xlfn.FORMULATEXT(T704)))), "")</f>
        <v/>
      </c>
      <c r="V704" s="10" t="str">
        <f t="shared" ref="V704:V765" ca="1" si="27">IF(ISNUMBER(T704), VALUE(MID(_xlfn.FORMULATEXT(T704), 2, SEARCH("-", _xlfn.FORMULATEXT(T704)) - 2)), "")</f>
        <v/>
      </c>
      <c r="AG704" t="s">
        <v>19</v>
      </c>
      <c r="AJ704" cm="1">
        <f t="array" ref="AJ704">_xlfn.IFS(AG704="Yes",1,AG704="No",0,AG704="","")</f>
        <v>1</v>
      </c>
    </row>
    <row r="705" spans="1:36" ht="29">
      <c r="A705" t="s">
        <v>680</v>
      </c>
      <c r="D705" s="4" t="s">
        <v>1845</v>
      </c>
      <c r="E705" s="4" t="s">
        <v>1842</v>
      </c>
      <c r="J705" s="10" t="s">
        <v>25</v>
      </c>
      <c r="L705" s="10">
        <v>1</v>
      </c>
      <c r="M705" s="10">
        <v>3</v>
      </c>
      <c r="N705" s="10" t="s">
        <v>2158</v>
      </c>
      <c r="O705" s="10" t="s">
        <v>2159</v>
      </c>
      <c r="S705" s="10">
        <v>2475</v>
      </c>
      <c r="U705" s="10" t="str">
        <f t="shared" ca="1" si="26"/>
        <v/>
      </c>
      <c r="V705" s="10" t="str">
        <f t="shared" ca="1" si="27"/>
        <v/>
      </c>
      <c r="AG705" t="s">
        <v>19</v>
      </c>
      <c r="AJ705" cm="1">
        <f t="array" ref="AJ705">_xlfn.IFS(AG705="Yes",1,AG705="No",0,AG705="","")</f>
        <v>1</v>
      </c>
    </row>
    <row r="706" spans="1:36">
      <c r="A706" t="s">
        <v>681</v>
      </c>
      <c r="D706" s="4" t="s">
        <v>1847</v>
      </c>
      <c r="E706" s="4" t="s">
        <v>1848</v>
      </c>
      <c r="J706" s="10" t="s">
        <v>2201</v>
      </c>
      <c r="U706" s="10" t="str">
        <f t="shared" ca="1" si="26"/>
        <v/>
      </c>
      <c r="V706" s="10" t="str">
        <f t="shared" ca="1" si="27"/>
        <v/>
      </c>
      <c r="AB706" s="10" t="s">
        <v>2162</v>
      </c>
      <c r="AD706" s="10" t="s">
        <v>19</v>
      </c>
      <c r="AG706" t="s">
        <v>19</v>
      </c>
      <c r="AJ706" cm="1">
        <f t="array" ref="AJ706">_xlfn.IFS(AG706="Yes",1,AG706="No",0,AG706="","")</f>
        <v>1</v>
      </c>
    </row>
    <row r="707" spans="1:36">
      <c r="A707" t="s">
        <v>681</v>
      </c>
      <c r="D707" s="4" t="s">
        <v>1849</v>
      </c>
      <c r="E707" s="4" t="s">
        <v>1846</v>
      </c>
      <c r="J707" s="10" t="s">
        <v>25</v>
      </c>
      <c r="L707" s="10">
        <v>1</v>
      </c>
      <c r="M707" s="10">
        <v>1</v>
      </c>
      <c r="N707" s="10" t="s">
        <v>2158</v>
      </c>
      <c r="O707" s="10" t="s">
        <v>2200</v>
      </c>
      <c r="S707" s="10">
        <v>2475</v>
      </c>
      <c r="U707" s="10" t="str">
        <f t="shared" ca="1" si="26"/>
        <v/>
      </c>
      <c r="V707" s="10" t="str">
        <f t="shared" ca="1" si="27"/>
        <v/>
      </c>
      <c r="AG707" t="s">
        <v>19</v>
      </c>
      <c r="AJ707" cm="1">
        <f t="array" ref="AJ707">_xlfn.IFS(AG707="Yes",1,AG707="No",0,AG707="","")</f>
        <v>1</v>
      </c>
    </row>
    <row r="708" spans="1:36" ht="29">
      <c r="A708" t="s">
        <v>681</v>
      </c>
      <c r="D708" s="4" t="s">
        <v>1851</v>
      </c>
      <c r="E708" s="4" t="s">
        <v>1850</v>
      </c>
      <c r="I708" t="s">
        <v>2250</v>
      </c>
      <c r="J708" s="10" t="s">
        <v>26</v>
      </c>
      <c r="U708" s="10" t="str">
        <f t="shared" ca="1" si="26"/>
        <v/>
      </c>
      <c r="V708" s="10" t="str">
        <f t="shared" ca="1" si="27"/>
        <v/>
      </c>
      <c r="AG708" t="s">
        <v>19</v>
      </c>
      <c r="AJ708" cm="1">
        <f t="array" ref="AJ708">_xlfn.IFS(AG708="Yes",1,AG708="No",0,AG708="","")</f>
        <v>1</v>
      </c>
    </row>
    <row r="709" spans="1:36" ht="29">
      <c r="A709" t="s">
        <v>681</v>
      </c>
      <c r="D709" s="4" t="s">
        <v>1853</v>
      </c>
      <c r="E709" s="4" t="s">
        <v>1852</v>
      </c>
      <c r="J709" s="10" t="s">
        <v>25</v>
      </c>
      <c r="L709" s="10">
        <v>1</v>
      </c>
      <c r="M709" s="10">
        <v>2</v>
      </c>
      <c r="N709" s="10" t="s">
        <v>2158</v>
      </c>
      <c r="O709" s="10" t="s">
        <v>2200</v>
      </c>
      <c r="S709" s="10">
        <v>2475</v>
      </c>
      <c r="U709" s="10" t="str">
        <f t="shared" ca="1" si="26"/>
        <v/>
      </c>
      <c r="V709" s="10" t="str">
        <f t="shared" ca="1" si="27"/>
        <v/>
      </c>
      <c r="AG709" t="s">
        <v>19</v>
      </c>
      <c r="AJ709" cm="1">
        <f t="array" ref="AJ709">_xlfn.IFS(AG709="Yes",1,AG709="No",0,AG709="","")</f>
        <v>1</v>
      </c>
    </row>
    <row r="710" spans="1:36" ht="29">
      <c r="A710" t="s">
        <v>681</v>
      </c>
      <c r="D710" s="4" t="s">
        <v>1854</v>
      </c>
      <c r="E710" s="4" t="s">
        <v>1852</v>
      </c>
      <c r="J710" s="10" t="s">
        <v>25</v>
      </c>
      <c r="L710" s="10">
        <v>1</v>
      </c>
      <c r="M710" s="10">
        <v>2</v>
      </c>
      <c r="N710" s="10" t="s">
        <v>2158</v>
      </c>
      <c r="O710" s="10" t="s">
        <v>2200</v>
      </c>
      <c r="S710" s="10">
        <v>2475</v>
      </c>
      <c r="U710" s="10" t="str">
        <f t="shared" ca="1" si="26"/>
        <v/>
      </c>
      <c r="V710" s="10" t="str">
        <f t="shared" ca="1" si="27"/>
        <v/>
      </c>
      <c r="AG710" t="s">
        <v>19</v>
      </c>
      <c r="AJ710" cm="1">
        <f t="array" ref="AJ710">_xlfn.IFS(AG710="Yes",1,AG710="No",0,AG710="","")</f>
        <v>1</v>
      </c>
    </row>
    <row r="711" spans="1:36" ht="29">
      <c r="A711" t="s">
        <v>682</v>
      </c>
      <c r="D711" s="4" t="s">
        <v>1856</v>
      </c>
      <c r="E711" s="4" t="s">
        <v>1855</v>
      </c>
      <c r="J711" s="10" t="s">
        <v>2201</v>
      </c>
      <c r="U711" s="10" t="str">
        <f t="shared" ca="1" si="26"/>
        <v/>
      </c>
      <c r="V711" s="10" t="str">
        <f t="shared" ca="1" si="27"/>
        <v/>
      </c>
      <c r="AG711" t="s">
        <v>19</v>
      </c>
      <c r="AJ711" cm="1">
        <f t="array" ref="AJ711">_xlfn.IFS(AG711="Yes",1,AG711="No",0,AG711="","")</f>
        <v>1</v>
      </c>
    </row>
    <row r="712" spans="1:36" ht="29">
      <c r="A712" t="s">
        <v>683</v>
      </c>
      <c r="D712" s="4" t="s">
        <v>1858</v>
      </c>
      <c r="E712" s="4" t="s">
        <v>1857</v>
      </c>
      <c r="J712" s="10" t="s">
        <v>25</v>
      </c>
      <c r="L712" s="10">
        <v>1</v>
      </c>
      <c r="M712" s="10">
        <v>4</v>
      </c>
      <c r="N712" s="10" t="s">
        <v>2158</v>
      </c>
      <c r="O712" s="10" t="s">
        <v>2159</v>
      </c>
      <c r="S712" s="10">
        <v>2475</v>
      </c>
      <c r="U712" s="10" t="str">
        <f t="shared" ca="1" si="26"/>
        <v/>
      </c>
      <c r="V712" s="10" t="str">
        <f t="shared" ca="1" si="27"/>
        <v/>
      </c>
      <c r="AG712" t="s">
        <v>19</v>
      </c>
      <c r="AJ712" cm="1">
        <f t="array" ref="AJ712">_xlfn.IFS(AG712="Yes",1,AG712="No",0,AG712="","")</f>
        <v>1</v>
      </c>
    </row>
    <row r="713" spans="1:36" ht="29">
      <c r="A713" t="s">
        <v>683</v>
      </c>
      <c r="D713" s="4" t="s">
        <v>1859</v>
      </c>
      <c r="E713" s="4" t="s">
        <v>1860</v>
      </c>
      <c r="J713" s="10" t="s">
        <v>2201</v>
      </c>
      <c r="U713" s="10" t="str">
        <f t="shared" ca="1" si="26"/>
        <v/>
      </c>
      <c r="V713" s="10" t="str">
        <f t="shared" ca="1" si="27"/>
        <v/>
      </c>
      <c r="AB713" s="10" t="s">
        <v>2162</v>
      </c>
      <c r="AD713" s="10" t="s">
        <v>19</v>
      </c>
      <c r="AG713" t="s">
        <v>19</v>
      </c>
      <c r="AJ713" cm="1">
        <f t="array" ref="AJ713">_xlfn.IFS(AG713="Yes",1,AG713="No",0,AG713="","")</f>
        <v>1</v>
      </c>
    </row>
    <row r="714" spans="1:36">
      <c r="A714" t="s">
        <v>683</v>
      </c>
      <c r="D714" s="4" t="s">
        <v>1861</v>
      </c>
      <c r="E714" s="4" t="s">
        <v>1862</v>
      </c>
      <c r="J714" s="10" t="s">
        <v>2201</v>
      </c>
      <c r="U714" s="10" t="str">
        <f t="shared" ca="1" si="26"/>
        <v/>
      </c>
      <c r="V714" s="10" t="str">
        <f t="shared" ca="1" si="27"/>
        <v/>
      </c>
      <c r="AG714" t="s">
        <v>19</v>
      </c>
      <c r="AJ714" cm="1">
        <f t="array" ref="AJ714">_xlfn.IFS(AG714="Yes",1,AG714="No",0,AG714="","")</f>
        <v>1</v>
      </c>
    </row>
    <row r="715" spans="1:36" ht="29">
      <c r="A715" t="s">
        <v>684</v>
      </c>
      <c r="D715" s="4" t="s">
        <v>1864</v>
      </c>
      <c r="E715" s="4" t="s">
        <v>1863</v>
      </c>
      <c r="J715" s="10" t="s">
        <v>24</v>
      </c>
      <c r="L715" s="10">
        <v>1</v>
      </c>
      <c r="M715" s="10">
        <v>4</v>
      </c>
      <c r="N715" s="10" t="s">
        <v>2158</v>
      </c>
      <c r="O715" s="10" t="s">
        <v>2153</v>
      </c>
      <c r="P715" s="10" t="s">
        <v>2229</v>
      </c>
      <c r="Q715" s="11" t="s">
        <v>2230</v>
      </c>
      <c r="S715" s="10">
        <v>2475</v>
      </c>
      <c r="U715" s="10" t="str">
        <f t="shared" ca="1" si="26"/>
        <v/>
      </c>
      <c r="V715" s="10" t="str">
        <f t="shared" ca="1" si="27"/>
        <v/>
      </c>
      <c r="AG715" t="s">
        <v>19</v>
      </c>
      <c r="AJ715" cm="1">
        <f t="array" ref="AJ715">_xlfn.IFS(AG715="Yes",1,AG715="No",0,AG715="","")</f>
        <v>1</v>
      </c>
    </row>
    <row r="716" spans="1:36" ht="72.5">
      <c r="A716" t="s">
        <v>2308</v>
      </c>
      <c r="D716" s="4" t="s">
        <v>1865</v>
      </c>
      <c r="E716" s="4" t="s">
        <v>1866</v>
      </c>
      <c r="F716" t="s">
        <v>36</v>
      </c>
      <c r="H716" t="s">
        <v>19</v>
      </c>
      <c r="I716" s="2" t="s">
        <v>2456</v>
      </c>
      <c r="J716" s="10" t="s">
        <v>25</v>
      </c>
      <c r="L716" s="10">
        <f>38+14+25</f>
        <v>77</v>
      </c>
      <c r="M716" s="10">
        <f>191+76+124</f>
        <v>391</v>
      </c>
      <c r="O716" s="10" t="s">
        <v>2159</v>
      </c>
      <c r="S716" s="10">
        <v>0</v>
      </c>
      <c r="U716" s="10" t="str">
        <f t="shared" ca="1" si="26"/>
        <v/>
      </c>
      <c r="V716" s="10" t="str">
        <f t="shared" ca="1" si="27"/>
        <v/>
      </c>
      <c r="AE716" s="10" t="s">
        <v>2163</v>
      </c>
      <c r="AF716" s="10" t="s">
        <v>19</v>
      </c>
      <c r="AG716" t="s">
        <v>20</v>
      </c>
      <c r="AJ716" cm="1">
        <f t="array" ref="AJ716">_xlfn.IFS(AG716="Yes",1,AG716="No",0,AG716="","")</f>
        <v>0</v>
      </c>
    </row>
    <row r="717" spans="1:36">
      <c r="A717" t="s">
        <v>686</v>
      </c>
      <c r="D717" s="4" t="s">
        <v>1868</v>
      </c>
      <c r="E717" s="4" t="s">
        <v>1869</v>
      </c>
      <c r="I717" s="5"/>
      <c r="J717" s="10" t="s">
        <v>2201</v>
      </c>
      <c r="U717" s="10" t="str">
        <f t="shared" ca="1" si="26"/>
        <v/>
      </c>
      <c r="V717" s="10" t="str">
        <f t="shared" ca="1" si="27"/>
        <v/>
      </c>
      <c r="AB717" s="10" t="s">
        <v>2162</v>
      </c>
      <c r="AD717" s="10" t="s">
        <v>19</v>
      </c>
      <c r="AG717" t="s">
        <v>19</v>
      </c>
      <c r="AJ717" cm="1">
        <f t="array" ref="AJ717">_xlfn.IFS(AG717="Yes",1,AG717="No",0,AG717="","")</f>
        <v>1</v>
      </c>
    </row>
    <row r="718" spans="1:36">
      <c r="A718" t="s">
        <v>686</v>
      </c>
      <c r="D718" s="4" t="s">
        <v>1870</v>
      </c>
      <c r="E718" s="4" t="s">
        <v>1867</v>
      </c>
      <c r="J718" s="10" t="s">
        <v>25</v>
      </c>
      <c r="L718" s="10">
        <v>1</v>
      </c>
      <c r="M718" s="10">
        <v>3</v>
      </c>
      <c r="N718" s="10" t="s">
        <v>2175</v>
      </c>
      <c r="O718" s="10" t="s">
        <v>2159</v>
      </c>
      <c r="S718" s="10">
        <v>743</v>
      </c>
      <c r="U718" s="10" t="str">
        <f t="shared" ca="1" si="26"/>
        <v/>
      </c>
      <c r="V718" s="10" t="str">
        <f t="shared" ca="1" si="27"/>
        <v/>
      </c>
      <c r="AG718" t="s">
        <v>19</v>
      </c>
      <c r="AJ718" cm="1">
        <f t="array" ref="AJ718">_xlfn.IFS(AG718="Yes",1,AG718="No",0,AG718="","")</f>
        <v>1</v>
      </c>
    </row>
    <row r="719" spans="1:36" ht="43.5">
      <c r="A719" t="s">
        <v>687</v>
      </c>
      <c r="D719" s="4" t="s">
        <v>1872</v>
      </c>
      <c r="E719" s="4" t="s">
        <v>1873</v>
      </c>
      <c r="J719" s="10" t="s">
        <v>2199</v>
      </c>
      <c r="T719" s="10">
        <f>10-266</f>
        <v>-256</v>
      </c>
      <c r="U719" s="10">
        <f t="shared" ca="1" si="26"/>
        <v>266</v>
      </c>
      <c r="V719" s="10">
        <f t="shared" ca="1" si="27"/>
        <v>10</v>
      </c>
      <c r="AG719" t="s">
        <v>19</v>
      </c>
      <c r="AJ719" cm="1">
        <f t="array" ref="AJ719">_xlfn.IFS(AG719="Yes",1,AG719="No",0,AG719="","")</f>
        <v>1</v>
      </c>
    </row>
    <row r="720" spans="1:36" ht="43.5">
      <c r="A720" t="s">
        <v>687</v>
      </c>
      <c r="D720" s="4" t="s">
        <v>1871</v>
      </c>
      <c r="E720" s="6" t="s">
        <v>1874</v>
      </c>
      <c r="J720" s="10" t="s">
        <v>24</v>
      </c>
      <c r="L720" s="10">
        <v>1</v>
      </c>
      <c r="M720" s="10">
        <v>4</v>
      </c>
      <c r="N720" s="10" t="s">
        <v>2219</v>
      </c>
      <c r="O720" s="10" t="s">
        <v>2159</v>
      </c>
      <c r="S720" s="10">
        <v>295</v>
      </c>
      <c r="U720" s="10" t="str">
        <f t="shared" ca="1" si="26"/>
        <v/>
      </c>
      <c r="V720" s="10" t="str">
        <f t="shared" ca="1" si="27"/>
        <v/>
      </c>
      <c r="AF720" s="10" t="s">
        <v>19</v>
      </c>
      <c r="AG720" t="s">
        <v>19</v>
      </c>
      <c r="AJ720" cm="1">
        <f t="array" ref="AJ720">_xlfn.IFS(AG720="Yes",1,AG720="No",0,AG720="","")</f>
        <v>1</v>
      </c>
    </row>
    <row r="721" spans="1:36">
      <c r="A721" t="s">
        <v>688</v>
      </c>
      <c r="D721" s="4" t="s">
        <v>1875</v>
      </c>
      <c r="E721" s="4" t="s">
        <v>1876</v>
      </c>
      <c r="H721" t="s">
        <v>19</v>
      </c>
      <c r="J721" s="10" t="s">
        <v>2199</v>
      </c>
      <c r="T721" s="10">
        <f>0-15</f>
        <v>-15</v>
      </c>
      <c r="U721" s="10">
        <f t="shared" ca="1" si="26"/>
        <v>15</v>
      </c>
      <c r="V721" s="10">
        <f t="shared" ca="1" si="27"/>
        <v>0</v>
      </c>
      <c r="AE721" s="10" t="s">
        <v>2163</v>
      </c>
      <c r="AG721" t="s">
        <v>20</v>
      </c>
      <c r="AJ721" cm="1">
        <f t="array" ref="AJ721">_xlfn.IFS(AG721="Yes",1,AG721="No",0,AG721="","")</f>
        <v>0</v>
      </c>
    </row>
    <row r="722" spans="1:36" ht="29">
      <c r="A722" t="s">
        <v>688</v>
      </c>
      <c r="D722" s="4" t="s">
        <v>1877</v>
      </c>
      <c r="E722" s="4" t="s">
        <v>1878</v>
      </c>
      <c r="H722" t="s">
        <v>19</v>
      </c>
      <c r="J722" s="10" t="s">
        <v>2199</v>
      </c>
      <c r="T722" s="10" t="s">
        <v>2220</v>
      </c>
      <c r="U722" s="10" t="str">
        <f t="shared" ca="1" si="26"/>
        <v/>
      </c>
      <c r="V722" s="10" t="str">
        <f t="shared" ca="1" si="27"/>
        <v/>
      </c>
      <c r="AE722" s="10" t="s">
        <v>2157</v>
      </c>
      <c r="AG722" t="s">
        <v>20</v>
      </c>
      <c r="AJ722" cm="1">
        <f t="array" ref="AJ722">_xlfn.IFS(AG722="Yes",1,AG722="No",0,AG722="","")</f>
        <v>0</v>
      </c>
    </row>
    <row r="723" spans="1:36" ht="29">
      <c r="A723" t="s">
        <v>689</v>
      </c>
      <c r="D723" s="4" t="s">
        <v>1880</v>
      </c>
      <c r="E723" s="4" t="s">
        <v>1879</v>
      </c>
      <c r="J723" s="10" t="s">
        <v>2199</v>
      </c>
      <c r="T723" s="10">
        <f>31-63</f>
        <v>-32</v>
      </c>
      <c r="U723" s="10">
        <f t="shared" ca="1" si="26"/>
        <v>63</v>
      </c>
      <c r="V723" s="10">
        <f t="shared" ca="1" si="27"/>
        <v>31</v>
      </c>
      <c r="AG723" t="s">
        <v>19</v>
      </c>
      <c r="AJ723" cm="1">
        <f t="array" ref="AJ723">_xlfn.IFS(AG723="Yes",1,AG723="No",0,AG723="","")</f>
        <v>1</v>
      </c>
    </row>
    <row r="724" spans="1:36" ht="29">
      <c r="A724" t="s">
        <v>689</v>
      </c>
      <c r="D724" s="4" t="s">
        <v>1881</v>
      </c>
      <c r="E724" s="4" t="s">
        <v>1882</v>
      </c>
      <c r="J724" s="10" t="s">
        <v>25</v>
      </c>
      <c r="L724" s="10">
        <v>1</v>
      </c>
      <c r="M724" s="10">
        <v>1</v>
      </c>
      <c r="N724" s="10" t="s">
        <v>2158</v>
      </c>
      <c r="O724" s="10" t="s">
        <v>2200</v>
      </c>
      <c r="S724" s="10">
        <v>2475</v>
      </c>
      <c r="U724" s="10" t="str">
        <f t="shared" ca="1" si="26"/>
        <v/>
      </c>
      <c r="V724" s="10" t="str">
        <f t="shared" ca="1" si="27"/>
        <v/>
      </c>
      <c r="AG724" t="s">
        <v>19</v>
      </c>
      <c r="AJ724" cm="1">
        <f t="array" ref="AJ724">_xlfn.IFS(AG724="Yes",1,AG724="No",0,AG724="","")</f>
        <v>1</v>
      </c>
    </row>
    <row r="725" spans="1:36">
      <c r="A725" t="s">
        <v>689</v>
      </c>
      <c r="D725" s="4" t="s">
        <v>1883</v>
      </c>
      <c r="E725" s="4" t="s">
        <v>1884</v>
      </c>
      <c r="J725" s="10" t="s">
        <v>2201</v>
      </c>
      <c r="U725" s="10" t="str">
        <f t="shared" ca="1" si="26"/>
        <v/>
      </c>
      <c r="V725" s="10" t="str">
        <f t="shared" ca="1" si="27"/>
        <v/>
      </c>
      <c r="AG725" t="s">
        <v>19</v>
      </c>
      <c r="AJ725" cm="1">
        <f t="array" ref="AJ725">_xlfn.IFS(AG725="Yes",1,AG725="No",0,AG725="","")</f>
        <v>1</v>
      </c>
    </row>
    <row r="726" spans="1:36" ht="29">
      <c r="A726" t="s">
        <v>690</v>
      </c>
      <c r="D726" s="4" t="s">
        <v>1886</v>
      </c>
      <c r="E726" s="4" t="s">
        <v>1885</v>
      </c>
      <c r="J726" s="10" t="s">
        <v>25</v>
      </c>
      <c r="L726" s="10">
        <v>1</v>
      </c>
      <c r="M726" s="10">
        <v>5</v>
      </c>
      <c r="N726" s="10" t="s">
        <v>2173</v>
      </c>
      <c r="O726" s="10" t="s">
        <v>2159</v>
      </c>
      <c r="S726" s="10">
        <v>115</v>
      </c>
      <c r="U726" s="10" t="str">
        <f t="shared" ca="1" si="26"/>
        <v/>
      </c>
      <c r="V726" s="10" t="str">
        <f t="shared" ca="1" si="27"/>
        <v/>
      </c>
      <c r="AG726" t="s">
        <v>19</v>
      </c>
      <c r="AJ726" cm="1">
        <f t="array" ref="AJ726">_xlfn.IFS(AG726="Yes",1,AG726="No",0,AG726="","")</f>
        <v>1</v>
      </c>
    </row>
    <row r="727" spans="1:36">
      <c r="A727" t="s">
        <v>691</v>
      </c>
      <c r="D727" s="4" t="s">
        <v>1887</v>
      </c>
      <c r="E727" s="4" t="s">
        <v>1888</v>
      </c>
      <c r="J727" s="10" t="s">
        <v>25</v>
      </c>
      <c r="L727" s="10">
        <v>1</v>
      </c>
      <c r="M727" s="10">
        <v>3</v>
      </c>
      <c r="N727" s="10" t="s">
        <v>2168</v>
      </c>
      <c r="O727" s="10" t="s">
        <v>2159</v>
      </c>
      <c r="S727" s="10">
        <v>1701</v>
      </c>
      <c r="U727" s="10" t="str">
        <f t="shared" ca="1" si="26"/>
        <v/>
      </c>
      <c r="V727" s="10" t="str">
        <f t="shared" ca="1" si="27"/>
        <v/>
      </c>
      <c r="AG727" t="s">
        <v>19</v>
      </c>
      <c r="AJ727" cm="1">
        <f t="array" ref="AJ727">_xlfn.IFS(AG727="Yes",1,AG727="No",0,AG727="","")</f>
        <v>1</v>
      </c>
    </row>
    <row r="728" spans="1:36">
      <c r="A728" t="s">
        <v>692</v>
      </c>
      <c r="D728" s="4" t="s">
        <v>188</v>
      </c>
      <c r="E728" s="4" t="s">
        <v>189</v>
      </c>
      <c r="J728" s="10" t="s">
        <v>2201</v>
      </c>
      <c r="U728" s="10" t="str">
        <f t="shared" ca="1" si="26"/>
        <v/>
      </c>
      <c r="V728" s="10" t="str">
        <f t="shared" ca="1" si="27"/>
        <v/>
      </c>
      <c r="AC728" s="10" t="s">
        <v>2226</v>
      </c>
      <c r="AD728" s="10" t="s">
        <v>19</v>
      </c>
      <c r="AG728" t="s">
        <v>19</v>
      </c>
      <c r="AJ728" cm="1">
        <f t="array" ref="AJ728">_xlfn.IFS(AG728="Yes",1,AG728="No",0,AG728="","")</f>
        <v>1</v>
      </c>
    </row>
    <row r="729" spans="1:36" ht="58">
      <c r="A729" t="s">
        <v>692</v>
      </c>
      <c r="D729" s="4" t="s">
        <v>1891</v>
      </c>
      <c r="E729" s="4" t="s">
        <v>1890</v>
      </c>
      <c r="I729" t="s">
        <v>2241</v>
      </c>
      <c r="J729" s="10" t="s">
        <v>26</v>
      </c>
      <c r="U729" s="10" t="str">
        <f t="shared" ca="1" si="26"/>
        <v/>
      </c>
      <c r="V729" s="10" t="str">
        <f t="shared" ca="1" si="27"/>
        <v/>
      </c>
      <c r="AG729" t="s">
        <v>19</v>
      </c>
      <c r="AJ729" cm="1">
        <f t="array" ref="AJ729">_xlfn.IFS(AG729="Yes",1,AG729="No",0,AG729="","")</f>
        <v>1</v>
      </c>
    </row>
    <row r="730" spans="1:36" ht="58">
      <c r="A730" t="s">
        <v>692</v>
      </c>
      <c r="D730" s="4" t="s">
        <v>1889</v>
      </c>
      <c r="E730" s="4" t="s">
        <v>1892</v>
      </c>
      <c r="J730" s="10" t="s">
        <v>24</v>
      </c>
      <c r="L730" s="10">
        <v>1</v>
      </c>
      <c r="M730" s="10">
        <v>3</v>
      </c>
      <c r="N730" s="10" t="s">
        <v>2158</v>
      </c>
      <c r="O730" s="10" t="s">
        <v>2159</v>
      </c>
      <c r="S730" s="10">
        <v>2475</v>
      </c>
      <c r="U730" s="10" t="str">
        <f t="shared" ca="1" si="26"/>
        <v/>
      </c>
      <c r="V730" s="10" t="str">
        <f t="shared" ca="1" si="27"/>
        <v/>
      </c>
      <c r="AG730" t="s">
        <v>20</v>
      </c>
      <c r="AJ730" cm="1">
        <f t="array" ref="AJ730">_xlfn.IFS(AG730="Yes",1,AG730="No",0,AG730="","")</f>
        <v>0</v>
      </c>
    </row>
    <row r="731" spans="1:36" ht="29">
      <c r="A731" t="s">
        <v>693</v>
      </c>
      <c r="D731" s="4" t="s">
        <v>1893</v>
      </c>
      <c r="E731" s="4" t="s">
        <v>1894</v>
      </c>
      <c r="J731" s="10" t="s">
        <v>2199</v>
      </c>
      <c r="Q731" s="10"/>
      <c r="T731" s="10">
        <f>1-3</f>
        <v>-2</v>
      </c>
      <c r="U731" s="10">
        <f t="shared" ca="1" si="26"/>
        <v>3</v>
      </c>
      <c r="V731" s="10">
        <f t="shared" ca="1" si="27"/>
        <v>1</v>
      </c>
      <c r="AG731" t="s">
        <v>19</v>
      </c>
      <c r="AJ731" cm="1">
        <f t="array" ref="AJ731">_xlfn.IFS(AG731="Yes",1,AG731="No",0,AG731="","")</f>
        <v>1</v>
      </c>
    </row>
    <row r="732" spans="1:36">
      <c r="A732" t="s">
        <v>693</v>
      </c>
      <c r="D732" s="4" t="s">
        <v>289</v>
      </c>
      <c r="E732" s="4" t="s">
        <v>290</v>
      </c>
      <c r="J732" s="10" t="s">
        <v>2201</v>
      </c>
      <c r="U732" s="10" t="str">
        <f t="shared" ca="1" si="26"/>
        <v/>
      </c>
      <c r="V732" s="10" t="str">
        <f t="shared" ca="1" si="27"/>
        <v/>
      </c>
      <c r="AC732" s="10" t="s">
        <v>2226</v>
      </c>
      <c r="AD732" s="10" t="s">
        <v>19</v>
      </c>
      <c r="AG732" t="s">
        <v>19</v>
      </c>
      <c r="AJ732" cm="1">
        <f t="array" ref="AJ732">_xlfn.IFS(AG732="Yes",1,AG732="No",0,AG732="","")</f>
        <v>1</v>
      </c>
    </row>
    <row r="733" spans="1:36" ht="29">
      <c r="A733" t="s">
        <v>693</v>
      </c>
      <c r="D733" s="4" t="s">
        <v>2446</v>
      </c>
      <c r="E733" s="4" t="s">
        <v>1895</v>
      </c>
      <c r="J733" s="10" t="s">
        <v>2201</v>
      </c>
      <c r="U733" s="10" t="str">
        <f t="shared" ca="1" si="26"/>
        <v/>
      </c>
      <c r="V733" s="10" t="str">
        <f t="shared" ca="1" si="27"/>
        <v/>
      </c>
      <c r="AG733" t="s">
        <v>19</v>
      </c>
      <c r="AJ733" cm="1">
        <f t="array" ref="AJ733">_xlfn.IFS(AG733="Yes",1,AG733="No",0,AG733="","")</f>
        <v>1</v>
      </c>
    </row>
    <row r="734" spans="1:36">
      <c r="A734" t="s">
        <v>694</v>
      </c>
      <c r="D734" s="4" t="s">
        <v>1896</v>
      </c>
      <c r="E734" s="4" t="s">
        <v>1897</v>
      </c>
      <c r="J734" s="10" t="s">
        <v>25</v>
      </c>
      <c r="L734" s="10">
        <v>1</v>
      </c>
      <c r="M734" s="10">
        <v>2</v>
      </c>
      <c r="N734" s="10" t="s">
        <v>2164</v>
      </c>
      <c r="O734" s="10" t="s">
        <v>2200</v>
      </c>
      <c r="S734" s="10">
        <v>129</v>
      </c>
      <c r="U734" s="10" t="str">
        <f t="shared" ca="1" si="26"/>
        <v/>
      </c>
      <c r="V734" s="10" t="str">
        <f t="shared" ca="1" si="27"/>
        <v/>
      </c>
      <c r="AG734" t="s">
        <v>19</v>
      </c>
      <c r="AJ734" cm="1">
        <f t="array" ref="AJ734">_xlfn.IFS(AG734="Yes",1,AG734="No",0,AG734="","")</f>
        <v>1</v>
      </c>
    </row>
    <row r="735" spans="1:36" ht="29">
      <c r="A735" t="s">
        <v>695</v>
      </c>
      <c r="D735" s="4" t="s">
        <v>1899</v>
      </c>
      <c r="E735" s="4" t="s">
        <v>1898</v>
      </c>
      <c r="J735" s="10" t="s">
        <v>2201</v>
      </c>
      <c r="U735" s="10" t="str">
        <f t="shared" ca="1" si="26"/>
        <v/>
      </c>
      <c r="V735" s="10" t="str">
        <f t="shared" ca="1" si="27"/>
        <v/>
      </c>
      <c r="AG735" t="s">
        <v>19</v>
      </c>
      <c r="AJ735" cm="1">
        <f t="array" ref="AJ735">_xlfn.IFS(AG735="Yes",1,AG735="No",0,AG735="","")</f>
        <v>1</v>
      </c>
    </row>
    <row r="736" spans="1:36">
      <c r="A736" t="s">
        <v>696</v>
      </c>
      <c r="D736" s="4" t="s">
        <v>1901</v>
      </c>
      <c r="E736" s="4" t="s">
        <v>1900</v>
      </c>
      <c r="J736" s="10" t="s">
        <v>25</v>
      </c>
      <c r="L736" s="10">
        <v>1</v>
      </c>
      <c r="M736" s="10">
        <v>5</v>
      </c>
      <c r="N736" s="10" t="s">
        <v>2175</v>
      </c>
      <c r="O736" s="10" t="s">
        <v>2159</v>
      </c>
      <c r="S736" s="10">
        <v>830</v>
      </c>
      <c r="U736" s="10" t="str">
        <f t="shared" ca="1" si="26"/>
        <v/>
      </c>
      <c r="V736" s="10" t="str">
        <f t="shared" ca="1" si="27"/>
        <v/>
      </c>
      <c r="AG736" t="s">
        <v>19</v>
      </c>
      <c r="AJ736" cm="1">
        <f t="array" ref="AJ736">_xlfn.IFS(AG736="Yes",1,AG736="No",0,AG736="","")</f>
        <v>1</v>
      </c>
    </row>
    <row r="737" spans="1:36" ht="29">
      <c r="A737" t="s">
        <v>696</v>
      </c>
      <c r="D737" s="4" t="s">
        <v>1903</v>
      </c>
      <c r="E737" s="4" t="s">
        <v>1902</v>
      </c>
      <c r="J737" s="10" t="s">
        <v>25</v>
      </c>
      <c r="L737" s="10">
        <v>1</v>
      </c>
      <c r="M737" s="10">
        <v>3</v>
      </c>
      <c r="N737" s="10" t="s">
        <v>2168</v>
      </c>
      <c r="O737" s="10" t="s">
        <v>2159</v>
      </c>
      <c r="S737" s="10">
        <v>1701</v>
      </c>
      <c r="U737" s="10" t="str">
        <f t="shared" ca="1" si="26"/>
        <v/>
      </c>
      <c r="V737" s="10" t="str">
        <f t="shared" ca="1" si="27"/>
        <v/>
      </c>
      <c r="AG737" t="s">
        <v>19</v>
      </c>
      <c r="AJ737" cm="1">
        <f t="array" ref="AJ737">_xlfn.IFS(AG737="Yes",1,AG737="No",0,AG737="","")</f>
        <v>1</v>
      </c>
    </row>
    <row r="738" spans="1:36" ht="29">
      <c r="A738" t="s">
        <v>696</v>
      </c>
      <c r="D738" s="4" t="s">
        <v>1905</v>
      </c>
      <c r="E738" s="4" t="s">
        <v>1904</v>
      </c>
      <c r="I738" t="s">
        <v>2250</v>
      </c>
      <c r="J738" s="10" t="s">
        <v>26</v>
      </c>
      <c r="U738" s="10" t="str">
        <f t="shared" ca="1" si="26"/>
        <v/>
      </c>
      <c r="V738" s="10" t="str">
        <f t="shared" ca="1" si="27"/>
        <v/>
      </c>
      <c r="AG738" t="s">
        <v>19</v>
      </c>
      <c r="AJ738" cm="1">
        <f t="array" ref="AJ738">_xlfn.IFS(AG738="Yes",1,AG738="No",0,AG738="","")</f>
        <v>1</v>
      </c>
    </row>
    <row r="739" spans="1:36">
      <c r="A739" t="s">
        <v>697</v>
      </c>
      <c r="D739" s="4" t="s">
        <v>1907</v>
      </c>
      <c r="E739" s="4" t="s">
        <v>1906</v>
      </c>
      <c r="J739" s="10" t="s">
        <v>2199</v>
      </c>
      <c r="T739" s="10">
        <f>613-166</f>
        <v>447</v>
      </c>
      <c r="U739" s="10">
        <f t="shared" ca="1" si="26"/>
        <v>166</v>
      </c>
      <c r="V739" s="10">
        <f t="shared" ca="1" si="27"/>
        <v>613</v>
      </c>
      <c r="AG739" t="s">
        <v>19</v>
      </c>
      <c r="AJ739" cm="1">
        <f t="array" ref="AJ739">_xlfn.IFS(AG739="Yes",1,AG739="No",0,AG739="","")</f>
        <v>1</v>
      </c>
    </row>
    <row r="740" spans="1:36" ht="29">
      <c r="A740" t="s">
        <v>698</v>
      </c>
      <c r="D740" s="4" t="s">
        <v>1909</v>
      </c>
      <c r="E740" s="4" t="s">
        <v>1908</v>
      </c>
      <c r="J740" s="10" t="s">
        <v>2199</v>
      </c>
      <c r="T740" s="10">
        <f>2475-27</f>
        <v>2448</v>
      </c>
      <c r="U740" s="10">
        <f t="shared" ca="1" si="26"/>
        <v>27</v>
      </c>
      <c r="V740" s="10">
        <f t="shared" ca="1" si="27"/>
        <v>2475</v>
      </c>
      <c r="AG740" t="s">
        <v>19</v>
      </c>
      <c r="AJ740" cm="1">
        <f t="array" ref="AJ740">_xlfn.IFS(AG740="Yes",1,AG740="No",0,AG740="","")</f>
        <v>1</v>
      </c>
    </row>
    <row r="741" spans="1:36" ht="43.5">
      <c r="A741" t="s">
        <v>699</v>
      </c>
      <c r="D741" s="4" t="s">
        <v>1911</v>
      </c>
      <c r="E741" s="4" t="s">
        <v>1910</v>
      </c>
      <c r="J741" s="10" t="s">
        <v>25</v>
      </c>
      <c r="L741" s="10">
        <v>1</v>
      </c>
      <c r="M741" s="10">
        <v>3</v>
      </c>
      <c r="N741" s="10" t="s">
        <v>2158</v>
      </c>
      <c r="O741" s="10" t="s">
        <v>2159</v>
      </c>
      <c r="S741" s="10">
        <v>2475</v>
      </c>
      <c r="U741" s="10" t="str">
        <f t="shared" ca="1" si="26"/>
        <v/>
      </c>
      <c r="V741" s="10" t="str">
        <f t="shared" ca="1" si="27"/>
        <v/>
      </c>
      <c r="AG741" t="s">
        <v>20</v>
      </c>
      <c r="AJ741" cm="1">
        <f t="array" ref="AJ741">_xlfn.IFS(AG741="Yes",1,AG741="No",0,AG741="","")</f>
        <v>0</v>
      </c>
    </row>
    <row r="742" spans="1:36" ht="43.5">
      <c r="A742" t="s">
        <v>699</v>
      </c>
      <c r="D742" s="4" t="s">
        <v>1912</v>
      </c>
      <c r="E742" s="4" t="s">
        <v>1910</v>
      </c>
      <c r="I742" t="s">
        <v>2310</v>
      </c>
      <c r="J742" s="10" t="s">
        <v>25</v>
      </c>
      <c r="L742" s="10">
        <v>3</v>
      </c>
      <c r="M742" s="10">
        <v>11</v>
      </c>
      <c r="O742" s="10" t="s">
        <v>2153</v>
      </c>
      <c r="P742" s="10" t="s">
        <v>2244</v>
      </c>
      <c r="Q742" s="11" t="s">
        <v>2309</v>
      </c>
      <c r="S742" s="10">
        <v>48</v>
      </c>
      <c r="U742" s="10" t="str">
        <f t="shared" ca="1" si="26"/>
        <v/>
      </c>
      <c r="V742" s="10" t="str">
        <f t="shared" ca="1" si="27"/>
        <v/>
      </c>
      <c r="AG742" t="s">
        <v>19</v>
      </c>
      <c r="AJ742" cm="1">
        <f t="array" ref="AJ742">_xlfn.IFS(AG742="Yes",1,AG742="No",0,AG742="","")</f>
        <v>1</v>
      </c>
    </row>
    <row r="743" spans="1:36" ht="43.5">
      <c r="A743" t="s">
        <v>699</v>
      </c>
      <c r="D743" s="4" t="s">
        <v>1913</v>
      </c>
      <c r="E743" s="4" t="s">
        <v>1914</v>
      </c>
      <c r="F743" t="s">
        <v>35</v>
      </c>
      <c r="I743" t="s">
        <v>1915</v>
      </c>
      <c r="U743" s="10" t="str">
        <f t="shared" ca="1" si="26"/>
        <v/>
      </c>
      <c r="V743" s="10" t="str">
        <f t="shared" ca="1" si="27"/>
        <v/>
      </c>
      <c r="AJ743" t="str" cm="1">
        <f t="array" ref="AJ743">_xlfn.IFS(AG743="Yes",1,AG743="No",0,AG743="","")</f>
        <v/>
      </c>
    </row>
    <row r="744" spans="1:36">
      <c r="A744" t="s">
        <v>700</v>
      </c>
      <c r="D744" s="4" t="s">
        <v>1917</v>
      </c>
      <c r="E744" s="4" t="s">
        <v>1916</v>
      </c>
      <c r="J744" s="10" t="s">
        <v>2201</v>
      </c>
      <c r="U744" s="10" t="str">
        <f t="shared" ca="1" si="26"/>
        <v/>
      </c>
      <c r="V744" s="10" t="str">
        <f t="shared" ca="1" si="27"/>
        <v/>
      </c>
      <c r="AE744" s="10" t="s">
        <v>2157</v>
      </c>
      <c r="AG744" t="s">
        <v>19</v>
      </c>
      <c r="AJ744" cm="1">
        <f t="array" ref="AJ744">_xlfn.IFS(AG744="Yes",1,AG744="No",0,AG744="","")</f>
        <v>1</v>
      </c>
    </row>
    <row r="745" spans="1:36" ht="43.5">
      <c r="A745" t="s">
        <v>701</v>
      </c>
      <c r="D745" s="4" t="s">
        <v>2347</v>
      </c>
      <c r="E745" s="4" t="s">
        <v>1918</v>
      </c>
      <c r="F745" t="s">
        <v>36</v>
      </c>
      <c r="J745" s="10" t="s">
        <v>27</v>
      </c>
      <c r="T745" s="10">
        <f>4-17</f>
        <v>-13</v>
      </c>
      <c r="U745" s="10">
        <f t="shared" ref="U745" ca="1" si="28">IF(ISNUMBER(T745),VALUE(MID(_xlfn.FORMULATEXT(T745),SEARCH("-",_xlfn.FORMULATEXT(T745))+1,LEN(_xlfn.FORMULATEXT(T745))-SEARCH("-",_xlfn.FORMULATEXT(T745)))), "")</f>
        <v>17</v>
      </c>
      <c r="V745" s="10">
        <f t="shared" ref="V745" ca="1" si="29">IF(ISNUMBER(T745), VALUE(MID(_xlfn.FORMULATEXT(T745), 2, SEARCH("-", _xlfn.FORMULATEXT(T745)) - 2)), "")</f>
        <v>4</v>
      </c>
      <c r="AG745" t="s">
        <v>19</v>
      </c>
      <c r="AJ745" cm="1">
        <f t="array" ref="AJ745">_xlfn.IFS(AG745="Yes",1,AG745="No",0,AG745="","")</f>
        <v>1</v>
      </c>
    </row>
    <row r="746" spans="1:36" ht="43.5">
      <c r="A746" t="s">
        <v>701</v>
      </c>
      <c r="D746" s="4" t="s">
        <v>2347</v>
      </c>
      <c r="E746" s="4" t="s">
        <v>1918</v>
      </c>
      <c r="F746" t="s">
        <v>36</v>
      </c>
      <c r="J746" s="10" t="s">
        <v>2199</v>
      </c>
      <c r="T746" s="10">
        <f>4-17</f>
        <v>-13</v>
      </c>
      <c r="U746" s="10">
        <f t="shared" ca="1" si="26"/>
        <v>17</v>
      </c>
      <c r="V746" s="10">
        <f t="shared" ca="1" si="27"/>
        <v>4</v>
      </c>
      <c r="AG746" t="s">
        <v>19</v>
      </c>
      <c r="AJ746" cm="1">
        <f t="array" ref="AJ746">_xlfn.IFS(AG746="Yes",1,AG746="No",0,AG746="","")</f>
        <v>1</v>
      </c>
    </row>
    <row r="747" spans="1:36" ht="43.5">
      <c r="A747" t="s">
        <v>701</v>
      </c>
      <c r="D747" s="4" t="s">
        <v>2311</v>
      </c>
      <c r="E747" s="4" t="s">
        <v>2348</v>
      </c>
      <c r="F747" t="s">
        <v>36</v>
      </c>
      <c r="I747" s="5"/>
      <c r="J747" s="10" t="s">
        <v>24</v>
      </c>
      <c r="L747" s="10">
        <v>1</v>
      </c>
      <c r="M747" s="10">
        <v>3</v>
      </c>
      <c r="N747" s="10" t="s">
        <v>2168</v>
      </c>
      <c r="O747" s="10" t="s">
        <v>2159</v>
      </c>
      <c r="S747" s="10">
        <v>280</v>
      </c>
      <c r="U747" s="10" t="str">
        <f t="shared" ca="1" si="26"/>
        <v/>
      </c>
      <c r="V747" s="10" t="str">
        <f t="shared" ca="1" si="27"/>
        <v/>
      </c>
      <c r="AG747" t="s">
        <v>19</v>
      </c>
      <c r="AJ747" cm="1">
        <f t="array" ref="AJ747">_xlfn.IFS(AG747="Yes",1,AG747="No",0,AG747="","")</f>
        <v>1</v>
      </c>
    </row>
    <row r="748" spans="1:36" ht="43.5">
      <c r="A748" t="s">
        <v>701</v>
      </c>
      <c r="D748" s="4" t="s">
        <v>2349</v>
      </c>
      <c r="E748" s="4" t="s">
        <v>2350</v>
      </c>
      <c r="F748" t="s">
        <v>36</v>
      </c>
      <c r="I748" s="5"/>
      <c r="J748" s="10" t="s">
        <v>2201</v>
      </c>
      <c r="U748" s="10" t="str">
        <f t="shared" ca="1" si="26"/>
        <v/>
      </c>
      <c r="V748" s="10" t="str">
        <f t="shared" ca="1" si="27"/>
        <v/>
      </c>
      <c r="AG748" t="s">
        <v>19</v>
      </c>
      <c r="AJ748" cm="1">
        <f t="array" ref="AJ748">_xlfn.IFS(AG748="Yes",1,AG748="No",0,AG748="","")</f>
        <v>1</v>
      </c>
    </row>
    <row r="749" spans="1:36" ht="43.5">
      <c r="A749" t="s">
        <v>701</v>
      </c>
      <c r="D749" s="4" t="s">
        <v>2351</v>
      </c>
      <c r="E749" s="4" t="s">
        <v>2352</v>
      </c>
      <c r="F749" t="s">
        <v>36</v>
      </c>
      <c r="I749" s="5"/>
      <c r="J749" s="10" t="s">
        <v>2201</v>
      </c>
      <c r="U749" s="10" t="str">
        <f t="shared" ca="1" si="26"/>
        <v/>
      </c>
      <c r="V749" s="10" t="str">
        <f t="shared" ca="1" si="27"/>
        <v/>
      </c>
      <c r="AG749" t="s">
        <v>19</v>
      </c>
      <c r="AJ749" cm="1">
        <f t="array" ref="AJ749">_xlfn.IFS(AG749="Yes",1,AG749="No",0,AG749="","")</f>
        <v>1</v>
      </c>
    </row>
    <row r="750" spans="1:36">
      <c r="A750" t="s">
        <v>701</v>
      </c>
      <c r="D750" s="4" t="s">
        <v>1920</v>
      </c>
      <c r="E750" s="4" t="s">
        <v>1919</v>
      </c>
      <c r="J750" s="10" t="s">
        <v>24</v>
      </c>
      <c r="L750" s="10">
        <v>1</v>
      </c>
      <c r="M750" s="10">
        <v>2</v>
      </c>
      <c r="N750" s="10" t="s">
        <v>2173</v>
      </c>
      <c r="O750" s="10" t="s">
        <v>2200</v>
      </c>
      <c r="S750" s="10">
        <v>75</v>
      </c>
      <c r="U750" s="10" t="str">
        <f t="shared" ca="1" si="26"/>
        <v/>
      </c>
      <c r="V750" s="10" t="str">
        <f t="shared" ca="1" si="27"/>
        <v/>
      </c>
      <c r="AG750" t="s">
        <v>19</v>
      </c>
      <c r="AJ750" cm="1">
        <f t="array" ref="AJ750">_xlfn.IFS(AG750="Yes",1,AG750="No",0,AG750="","")</f>
        <v>1</v>
      </c>
    </row>
    <row r="751" spans="1:36" ht="29">
      <c r="A751" t="s">
        <v>701</v>
      </c>
      <c r="D751" s="4" t="s">
        <v>2447</v>
      </c>
      <c r="E751" s="4" t="s">
        <v>1921</v>
      </c>
      <c r="J751" s="10" t="s">
        <v>24</v>
      </c>
      <c r="L751" s="10">
        <v>2</v>
      </c>
      <c r="M751" s="10">
        <v>7</v>
      </c>
      <c r="O751" s="10" t="s">
        <v>2153</v>
      </c>
      <c r="P751" s="10" t="s">
        <v>2312</v>
      </c>
      <c r="Q751" s="11" t="s">
        <v>2309</v>
      </c>
      <c r="S751" s="10">
        <v>48</v>
      </c>
      <c r="U751" s="10" t="str">
        <f t="shared" ca="1" si="26"/>
        <v/>
      </c>
      <c r="V751" s="10" t="str">
        <f t="shared" ca="1" si="27"/>
        <v/>
      </c>
      <c r="AG751" t="s">
        <v>19</v>
      </c>
      <c r="AJ751" cm="1">
        <f t="array" ref="AJ751">_xlfn.IFS(AG751="Yes",1,AG751="No",0,AG751="","")</f>
        <v>1</v>
      </c>
    </row>
    <row r="752" spans="1:36">
      <c r="A752" t="s">
        <v>701</v>
      </c>
      <c r="D752" s="4" t="s">
        <v>1922</v>
      </c>
      <c r="E752" s="4" t="s">
        <v>1923</v>
      </c>
      <c r="J752" s="10" t="s">
        <v>2199</v>
      </c>
      <c r="T752" s="10">
        <f>3-5</f>
        <v>-2</v>
      </c>
      <c r="U752" s="10">
        <f t="shared" ca="1" si="26"/>
        <v>5</v>
      </c>
      <c r="V752" s="10">
        <f t="shared" ca="1" si="27"/>
        <v>3</v>
      </c>
      <c r="AG752" t="s">
        <v>19</v>
      </c>
      <c r="AJ752" cm="1">
        <f t="array" ref="AJ752">_xlfn.IFS(AG752="Yes",1,AG752="No",0,AG752="","")</f>
        <v>1</v>
      </c>
    </row>
    <row r="753" spans="1:36">
      <c r="A753" t="s">
        <v>702</v>
      </c>
      <c r="D753" s="4" t="s">
        <v>1925</v>
      </c>
      <c r="E753" s="4" t="s">
        <v>1924</v>
      </c>
      <c r="J753" s="10" t="s">
        <v>25</v>
      </c>
      <c r="L753" s="10">
        <v>1</v>
      </c>
      <c r="M753" s="10">
        <v>3</v>
      </c>
      <c r="N753" s="10" t="s">
        <v>2168</v>
      </c>
      <c r="O753" s="10" t="s">
        <v>2153</v>
      </c>
      <c r="P753" s="10" t="s">
        <v>2229</v>
      </c>
      <c r="Q753" s="11" t="s">
        <v>2309</v>
      </c>
      <c r="S753" s="10">
        <v>1701</v>
      </c>
      <c r="U753" s="10" t="str">
        <f t="shared" ca="1" si="26"/>
        <v/>
      </c>
      <c r="V753" s="10" t="str">
        <f t="shared" ca="1" si="27"/>
        <v/>
      </c>
      <c r="AG753" t="s">
        <v>19</v>
      </c>
      <c r="AJ753" cm="1">
        <f t="array" ref="AJ753">_xlfn.IFS(AG753="Yes",1,AG753="No",0,AG753="","")</f>
        <v>1</v>
      </c>
    </row>
    <row r="754" spans="1:36">
      <c r="A754" t="s">
        <v>702</v>
      </c>
      <c r="D754" s="4" t="s">
        <v>1926</v>
      </c>
      <c r="E754" s="4" t="s">
        <v>1927</v>
      </c>
      <c r="J754" s="10" t="s">
        <v>2201</v>
      </c>
      <c r="U754" s="10" t="str">
        <f t="shared" ca="1" si="26"/>
        <v/>
      </c>
      <c r="V754" s="10" t="str">
        <f t="shared" ca="1" si="27"/>
        <v/>
      </c>
      <c r="AG754" t="s">
        <v>19</v>
      </c>
      <c r="AJ754" cm="1">
        <f t="array" ref="AJ754">_xlfn.IFS(AG754="Yes",1,AG754="No",0,AG754="","")</f>
        <v>1</v>
      </c>
    </row>
    <row r="755" spans="1:36">
      <c r="A755" t="s">
        <v>703</v>
      </c>
      <c r="D755" s="4" t="s">
        <v>1929</v>
      </c>
      <c r="E755" s="4" t="s">
        <v>1928</v>
      </c>
      <c r="H755" t="s">
        <v>19</v>
      </c>
      <c r="J755" s="10" t="s">
        <v>2201</v>
      </c>
      <c r="U755" s="10" t="str">
        <f t="shared" ca="1" si="26"/>
        <v/>
      </c>
      <c r="V755" s="10" t="str">
        <f t="shared" ca="1" si="27"/>
        <v/>
      </c>
      <c r="AG755" t="s">
        <v>20</v>
      </c>
      <c r="AJ755" cm="1">
        <f t="array" ref="AJ755">_xlfn.IFS(AG755="Yes",1,AG755="No",0,AG755="","")</f>
        <v>0</v>
      </c>
    </row>
    <row r="756" spans="1:36" ht="29">
      <c r="A756" t="s">
        <v>704</v>
      </c>
      <c r="D756" s="4" t="s">
        <v>1931</v>
      </c>
      <c r="E756" s="4" t="s">
        <v>1932</v>
      </c>
      <c r="J756" s="10" t="s">
        <v>2201</v>
      </c>
      <c r="U756" s="10" t="str">
        <f t="shared" ca="1" si="26"/>
        <v/>
      </c>
      <c r="V756" s="10" t="str">
        <f t="shared" ca="1" si="27"/>
        <v/>
      </c>
      <c r="AG756" t="s">
        <v>19</v>
      </c>
      <c r="AJ756" cm="1">
        <f t="array" ref="AJ756">_xlfn.IFS(AG756="Yes",1,AG756="No",0,AG756="","")</f>
        <v>1</v>
      </c>
    </row>
    <row r="757" spans="1:36" ht="29">
      <c r="A757" t="s">
        <v>704</v>
      </c>
      <c r="D757" s="4" t="s">
        <v>1930</v>
      </c>
      <c r="E757" s="4" t="s">
        <v>1933</v>
      </c>
      <c r="J757" s="10" t="s">
        <v>24</v>
      </c>
      <c r="L757" s="10">
        <v>1</v>
      </c>
      <c r="M757" s="10">
        <v>4</v>
      </c>
      <c r="N757" s="10" t="s">
        <v>2219</v>
      </c>
      <c r="O757" s="10" t="s">
        <v>2159</v>
      </c>
      <c r="S757" s="10">
        <v>295</v>
      </c>
      <c r="U757" s="10" t="str">
        <f t="shared" ca="1" si="26"/>
        <v/>
      </c>
      <c r="V757" s="10" t="str">
        <f t="shared" ca="1" si="27"/>
        <v/>
      </c>
      <c r="AG757" t="s">
        <v>19</v>
      </c>
      <c r="AJ757" cm="1">
        <f t="array" ref="AJ757">_xlfn.IFS(AG757="Yes",1,AG757="No",0,AG757="","")</f>
        <v>1</v>
      </c>
    </row>
    <row r="758" spans="1:36" ht="43.5">
      <c r="A758" t="s">
        <v>705</v>
      </c>
      <c r="D758" s="4" t="s">
        <v>1935</v>
      </c>
      <c r="E758" s="4" t="s">
        <v>1934</v>
      </c>
      <c r="I758" t="s">
        <v>2313</v>
      </c>
      <c r="J758" s="10" t="s">
        <v>26</v>
      </c>
      <c r="U758" s="10" t="str">
        <f t="shared" ca="1" si="26"/>
        <v/>
      </c>
      <c r="V758" s="10" t="str">
        <f t="shared" ca="1" si="27"/>
        <v/>
      </c>
      <c r="AG758" t="s">
        <v>19</v>
      </c>
      <c r="AJ758" cm="1">
        <f t="array" ref="AJ758">_xlfn.IFS(AG758="Yes",1,AG758="No",0,AG758="","")</f>
        <v>1</v>
      </c>
    </row>
    <row r="759" spans="1:36">
      <c r="A759" t="s">
        <v>706</v>
      </c>
      <c r="D759" s="4" t="s">
        <v>707</v>
      </c>
      <c r="E759" s="4" t="s">
        <v>708</v>
      </c>
      <c r="J759" s="10" t="s">
        <v>2201</v>
      </c>
      <c r="U759" s="10" t="str">
        <f t="shared" ca="1" si="26"/>
        <v/>
      </c>
      <c r="V759" s="10" t="str">
        <f t="shared" ca="1" si="27"/>
        <v/>
      </c>
      <c r="AC759" s="10" t="s">
        <v>2346</v>
      </c>
      <c r="AD759" s="10" t="s">
        <v>19</v>
      </c>
      <c r="AG759" t="s">
        <v>19</v>
      </c>
      <c r="AJ759" cm="1">
        <f t="array" ref="AJ759">_xlfn.IFS(AG759="Yes",1,AG759="No",0,AG759="","")</f>
        <v>1</v>
      </c>
    </row>
    <row r="760" spans="1:36" ht="29">
      <c r="A760" t="s">
        <v>706</v>
      </c>
      <c r="D760" s="4" t="s">
        <v>1936</v>
      </c>
      <c r="E760" s="4" t="s">
        <v>1937</v>
      </c>
      <c r="J760" s="10" t="s">
        <v>24</v>
      </c>
      <c r="L760" s="10">
        <v>1</v>
      </c>
      <c r="M760" s="10">
        <v>2</v>
      </c>
      <c r="N760" s="10" t="s">
        <v>2168</v>
      </c>
      <c r="O760" s="10" t="s">
        <v>2200</v>
      </c>
      <c r="S760" s="10">
        <v>171</v>
      </c>
      <c r="U760" s="10" t="str">
        <f t="shared" ca="1" si="26"/>
        <v/>
      </c>
      <c r="V760" s="10" t="str">
        <f t="shared" ca="1" si="27"/>
        <v/>
      </c>
      <c r="AG760" t="s">
        <v>19</v>
      </c>
      <c r="AJ760" cm="1">
        <f t="array" ref="AJ760">_xlfn.IFS(AG760="Yes",1,AG760="No",0,AG760="","")</f>
        <v>1</v>
      </c>
    </row>
    <row r="761" spans="1:36" ht="29">
      <c r="A761" t="s">
        <v>709</v>
      </c>
      <c r="D761" s="4" t="s">
        <v>1939</v>
      </c>
      <c r="E761" s="4" t="s">
        <v>1938</v>
      </c>
      <c r="J761" s="10" t="s">
        <v>2202</v>
      </c>
      <c r="T761" s="10">
        <f>6-2</f>
        <v>4</v>
      </c>
      <c r="U761" s="10">
        <f t="shared" ca="1" si="26"/>
        <v>2</v>
      </c>
      <c r="V761" s="10">
        <f t="shared" ca="1" si="27"/>
        <v>6</v>
      </c>
      <c r="AG761" t="s">
        <v>19</v>
      </c>
      <c r="AJ761" cm="1">
        <f t="array" ref="AJ761">_xlfn.IFS(AG761="Yes",1,AG761="No",0,AG761="","")</f>
        <v>1</v>
      </c>
    </row>
    <row r="762" spans="1:36">
      <c r="A762" t="s">
        <v>709</v>
      </c>
      <c r="D762" s="4" t="s">
        <v>1940</v>
      </c>
      <c r="E762" s="4" t="s">
        <v>1941</v>
      </c>
      <c r="J762" s="10" t="s">
        <v>2201</v>
      </c>
      <c r="U762" s="10" t="str">
        <f t="shared" ca="1" si="26"/>
        <v/>
      </c>
      <c r="V762" s="10" t="str">
        <f t="shared" ca="1" si="27"/>
        <v/>
      </c>
      <c r="AG762" t="s">
        <v>19</v>
      </c>
      <c r="AJ762" cm="1">
        <f t="array" ref="AJ762">_xlfn.IFS(AG762="Yes",1,AG762="No",0,AG762="","")</f>
        <v>1</v>
      </c>
    </row>
    <row r="763" spans="1:36">
      <c r="A763" t="s">
        <v>710</v>
      </c>
      <c r="D763" s="4" t="s">
        <v>711</v>
      </c>
      <c r="E763" s="4" t="s">
        <v>712</v>
      </c>
      <c r="I763" t="s">
        <v>2314</v>
      </c>
      <c r="J763" s="10" t="s">
        <v>2199</v>
      </c>
      <c r="T763" s="10">
        <f>0-1</f>
        <v>-1</v>
      </c>
      <c r="U763" s="10">
        <f t="shared" ca="1" si="26"/>
        <v>1</v>
      </c>
      <c r="V763" s="10">
        <f t="shared" ca="1" si="27"/>
        <v>0</v>
      </c>
      <c r="AG763" t="s">
        <v>19</v>
      </c>
      <c r="AJ763" cm="1">
        <f t="array" ref="AJ763">_xlfn.IFS(AG763="Yes",1,AG763="No",0,AG763="","")</f>
        <v>1</v>
      </c>
    </row>
    <row r="764" spans="1:36">
      <c r="A764" t="s">
        <v>710</v>
      </c>
      <c r="D764" s="4" t="s">
        <v>713</v>
      </c>
      <c r="E764" s="4" t="s">
        <v>713</v>
      </c>
      <c r="F764" t="s">
        <v>35</v>
      </c>
      <c r="I764" t="s">
        <v>1942</v>
      </c>
      <c r="U764" s="10" t="str">
        <f t="shared" ca="1" si="26"/>
        <v/>
      </c>
      <c r="V764" s="10" t="str">
        <f t="shared" ca="1" si="27"/>
        <v/>
      </c>
      <c r="AJ764" t="str" cm="1">
        <f t="array" ref="AJ764">_xlfn.IFS(AG764="Yes",1,AG764="No",0,AG764="","")</f>
        <v/>
      </c>
    </row>
    <row r="765" spans="1:36">
      <c r="A765" t="s">
        <v>714</v>
      </c>
      <c r="D765" s="4" t="s">
        <v>1944</v>
      </c>
      <c r="E765" s="4" t="s">
        <v>1943</v>
      </c>
      <c r="J765" s="10" t="s">
        <v>24</v>
      </c>
      <c r="L765" s="10">
        <v>1</v>
      </c>
      <c r="M765" s="10">
        <v>3</v>
      </c>
      <c r="N765" s="10" t="s">
        <v>2175</v>
      </c>
      <c r="O765" s="10" t="s">
        <v>2159</v>
      </c>
      <c r="S765" s="10">
        <v>743</v>
      </c>
      <c r="U765" s="10" t="str">
        <f t="shared" ca="1" si="26"/>
        <v/>
      </c>
      <c r="V765" s="10" t="str">
        <f t="shared" ca="1" si="27"/>
        <v/>
      </c>
      <c r="AG765" t="s">
        <v>19</v>
      </c>
      <c r="AJ765" cm="1">
        <f t="array" ref="AJ765">_xlfn.IFS(AG765="Yes",1,AG765="No",0,AG765="","")</f>
        <v>1</v>
      </c>
    </row>
    <row r="766" spans="1:36" ht="43.5">
      <c r="A766" t="s">
        <v>715</v>
      </c>
      <c r="D766" s="4" t="s">
        <v>1946</v>
      </c>
      <c r="E766" s="4" t="s">
        <v>1945</v>
      </c>
      <c r="J766" s="10" t="s">
        <v>25</v>
      </c>
      <c r="L766" s="10">
        <v>1</v>
      </c>
      <c r="M766" s="10">
        <v>3</v>
      </c>
      <c r="N766" s="10" t="s">
        <v>2168</v>
      </c>
      <c r="O766" s="10" t="s">
        <v>2159</v>
      </c>
      <c r="S766" s="10">
        <v>1701</v>
      </c>
      <c r="U766" s="10" t="str">
        <f t="shared" ref="U766:U830" ca="1" si="30">IF(ISNUMBER(T766),VALUE(MID(_xlfn.FORMULATEXT(T766),SEARCH("-",_xlfn.FORMULATEXT(T766))+1,LEN(_xlfn.FORMULATEXT(T766))-SEARCH("-",_xlfn.FORMULATEXT(T766)))), "")</f>
        <v/>
      </c>
      <c r="V766" s="10" t="str">
        <f t="shared" ref="V766:V830" ca="1" si="31">IF(ISNUMBER(T766), VALUE(MID(_xlfn.FORMULATEXT(T766), 2, SEARCH("-", _xlfn.FORMULATEXT(T766)) - 2)), "")</f>
        <v/>
      </c>
      <c r="AG766" t="s">
        <v>19</v>
      </c>
      <c r="AJ766" cm="1">
        <f t="array" ref="AJ766">_xlfn.IFS(AG766="Yes",1,AG766="No",0,AG766="","")</f>
        <v>1</v>
      </c>
    </row>
    <row r="767" spans="1:36" ht="43.5">
      <c r="A767" t="s">
        <v>715</v>
      </c>
      <c r="D767" s="4" t="s">
        <v>1947</v>
      </c>
      <c r="E767" s="4" t="s">
        <v>1948</v>
      </c>
      <c r="J767" s="10" t="s">
        <v>2201</v>
      </c>
      <c r="U767" s="10" t="str">
        <f t="shared" ca="1" si="30"/>
        <v/>
      </c>
      <c r="V767" s="10" t="str">
        <f t="shared" ca="1" si="31"/>
        <v/>
      </c>
      <c r="AG767" t="s">
        <v>19</v>
      </c>
      <c r="AJ767" cm="1">
        <f t="array" ref="AJ767">_xlfn.IFS(AG767="Yes",1,AG767="No",0,AG767="","")</f>
        <v>1</v>
      </c>
    </row>
    <row r="768" spans="1:36">
      <c r="A768" t="s">
        <v>716</v>
      </c>
      <c r="D768" s="4" t="s">
        <v>1950</v>
      </c>
      <c r="E768" s="4" t="s">
        <v>1949</v>
      </c>
      <c r="J768" s="10" t="s">
        <v>25</v>
      </c>
      <c r="L768" s="10">
        <v>1</v>
      </c>
      <c r="M768" s="10">
        <v>3</v>
      </c>
      <c r="N768" s="10" t="s">
        <v>2168</v>
      </c>
      <c r="O768" s="10" t="s">
        <v>2159</v>
      </c>
      <c r="S768" s="10">
        <v>186</v>
      </c>
      <c r="U768" s="10" t="str">
        <f t="shared" ca="1" si="30"/>
        <v/>
      </c>
      <c r="V768" s="10" t="str">
        <f t="shared" ca="1" si="31"/>
        <v/>
      </c>
      <c r="AG768" t="s">
        <v>19</v>
      </c>
      <c r="AJ768" cm="1">
        <f t="array" ref="AJ768">_xlfn.IFS(AG768="Yes",1,AG768="No",0,AG768="","")</f>
        <v>1</v>
      </c>
    </row>
    <row r="769" spans="1:36">
      <c r="A769" t="s">
        <v>717</v>
      </c>
      <c r="D769" s="4" t="s">
        <v>1951</v>
      </c>
      <c r="E769" s="4" t="s">
        <v>1952</v>
      </c>
      <c r="J769" s="10" t="s">
        <v>2199</v>
      </c>
      <c r="T769" s="10">
        <f>26-31</f>
        <v>-5</v>
      </c>
      <c r="U769" s="10">
        <f t="shared" ca="1" si="30"/>
        <v>31</v>
      </c>
      <c r="V769" s="10">
        <f t="shared" ca="1" si="31"/>
        <v>26</v>
      </c>
      <c r="AG769" t="s">
        <v>19</v>
      </c>
      <c r="AJ769" cm="1">
        <f t="array" ref="AJ769">_xlfn.IFS(AG769="Yes",1,AG769="No",0,AG769="","")</f>
        <v>1</v>
      </c>
    </row>
    <row r="770" spans="1:36">
      <c r="A770" t="s">
        <v>717</v>
      </c>
      <c r="D770" s="4" t="s">
        <v>718</v>
      </c>
      <c r="E770" s="4" t="s">
        <v>719</v>
      </c>
      <c r="H770" t="s">
        <v>19</v>
      </c>
      <c r="J770" s="10" t="s">
        <v>2199</v>
      </c>
      <c r="T770" s="10" t="s">
        <v>2220</v>
      </c>
      <c r="U770" s="10" t="str">
        <f t="shared" ca="1" si="30"/>
        <v/>
      </c>
      <c r="V770" s="10" t="str">
        <f t="shared" ca="1" si="31"/>
        <v/>
      </c>
      <c r="AE770" s="10" t="s">
        <v>2157</v>
      </c>
      <c r="AG770" t="s">
        <v>20</v>
      </c>
      <c r="AJ770" cm="1">
        <f t="array" ref="AJ770">_xlfn.IFS(AG770="Yes",1,AG770="No",0,AG770="","")</f>
        <v>0</v>
      </c>
    </row>
    <row r="771" spans="1:36">
      <c r="A771" t="s">
        <v>717</v>
      </c>
      <c r="D771" s="4" t="s">
        <v>1953</v>
      </c>
      <c r="E771" s="4" t="s">
        <v>1954</v>
      </c>
      <c r="J771" s="10" t="s">
        <v>2201</v>
      </c>
      <c r="U771" s="10" t="str">
        <f t="shared" ca="1" si="30"/>
        <v/>
      </c>
      <c r="V771" s="10" t="str">
        <f t="shared" ca="1" si="31"/>
        <v/>
      </c>
      <c r="AC771" s="10" t="s">
        <v>2223</v>
      </c>
      <c r="AD771" s="10" t="s">
        <v>19</v>
      </c>
      <c r="AE771" s="10" t="s">
        <v>2157</v>
      </c>
      <c r="AG771" t="s">
        <v>19</v>
      </c>
      <c r="AJ771" cm="1">
        <f t="array" ref="AJ771">_xlfn.IFS(AG771="Yes",1,AG771="No",0,AG771="","")</f>
        <v>1</v>
      </c>
    </row>
    <row r="772" spans="1:36">
      <c r="A772" t="s">
        <v>717</v>
      </c>
      <c r="D772" s="4" t="s">
        <v>1956</v>
      </c>
      <c r="E772" s="4" t="s">
        <v>1955</v>
      </c>
      <c r="J772" s="10" t="s">
        <v>25</v>
      </c>
      <c r="L772" s="10">
        <v>1</v>
      </c>
      <c r="M772" s="10">
        <v>3</v>
      </c>
      <c r="N772" s="10" t="s">
        <v>2168</v>
      </c>
      <c r="O772" s="10" t="s">
        <v>2159</v>
      </c>
      <c r="S772" s="10">
        <v>1701</v>
      </c>
      <c r="U772" s="10" t="str">
        <f t="shared" ca="1" si="30"/>
        <v/>
      </c>
      <c r="V772" s="10" t="str">
        <f t="shared" ca="1" si="31"/>
        <v/>
      </c>
      <c r="AG772" t="s">
        <v>19</v>
      </c>
      <c r="AJ772" cm="1">
        <f t="array" ref="AJ772">_xlfn.IFS(AG772="Yes",1,AG772="No",0,AG772="","")</f>
        <v>1</v>
      </c>
    </row>
    <row r="773" spans="1:36">
      <c r="A773" t="s">
        <v>720</v>
      </c>
      <c r="D773" s="4" t="s">
        <v>1957</v>
      </c>
      <c r="E773" s="4" t="s">
        <v>1958</v>
      </c>
      <c r="J773" s="10" t="s">
        <v>2201</v>
      </c>
      <c r="U773" s="10" t="str">
        <f t="shared" ca="1" si="30"/>
        <v/>
      </c>
      <c r="V773" s="10" t="str">
        <f t="shared" ca="1" si="31"/>
        <v/>
      </c>
      <c r="AG773" t="s">
        <v>19</v>
      </c>
      <c r="AJ773" cm="1">
        <f t="array" ref="AJ773">_xlfn.IFS(AG773="Yes",1,AG773="No",0,AG773="","")</f>
        <v>1</v>
      </c>
    </row>
    <row r="774" spans="1:36">
      <c r="A774" t="s">
        <v>720</v>
      </c>
      <c r="D774" s="4" t="s">
        <v>1959</v>
      </c>
      <c r="E774" s="4" t="s">
        <v>1960</v>
      </c>
      <c r="J774" s="10" t="s">
        <v>2201</v>
      </c>
      <c r="U774" s="10" t="str">
        <f t="shared" ca="1" si="30"/>
        <v/>
      </c>
      <c r="V774" s="10" t="str">
        <f t="shared" ca="1" si="31"/>
        <v/>
      </c>
      <c r="AG774" t="s">
        <v>19</v>
      </c>
      <c r="AJ774" cm="1">
        <f t="array" ref="AJ774">_xlfn.IFS(AG774="Yes",1,AG774="No",0,AG774="","")</f>
        <v>1</v>
      </c>
    </row>
    <row r="775" spans="1:36">
      <c r="A775" t="s">
        <v>721</v>
      </c>
      <c r="D775" s="4" t="s">
        <v>1961</v>
      </c>
      <c r="E775" s="4" t="s">
        <v>1962</v>
      </c>
      <c r="J775" s="10" t="s">
        <v>25</v>
      </c>
      <c r="L775" s="10">
        <v>1</v>
      </c>
      <c r="M775" s="10">
        <v>2</v>
      </c>
      <c r="N775" s="10" t="s">
        <v>2158</v>
      </c>
      <c r="O775" s="10" t="s">
        <v>2200</v>
      </c>
      <c r="S775" s="10">
        <v>2475</v>
      </c>
      <c r="U775" s="10" t="str">
        <f t="shared" ca="1" si="30"/>
        <v/>
      </c>
      <c r="V775" s="10" t="str">
        <f t="shared" ca="1" si="31"/>
        <v/>
      </c>
      <c r="AG775" t="s">
        <v>19</v>
      </c>
      <c r="AJ775" cm="1">
        <f t="array" ref="AJ775">_xlfn.IFS(AG775="Yes",1,AG775="No",0,AG775="","")</f>
        <v>1</v>
      </c>
    </row>
    <row r="776" spans="1:36" ht="29">
      <c r="A776" t="s">
        <v>721</v>
      </c>
      <c r="D776" s="4" t="s">
        <v>1963</v>
      </c>
      <c r="E776" s="4" t="s">
        <v>1964</v>
      </c>
      <c r="H776" t="s">
        <v>19</v>
      </c>
      <c r="J776" s="10" t="s">
        <v>2199</v>
      </c>
      <c r="T776" s="10" t="s">
        <v>2220</v>
      </c>
      <c r="U776" s="10" t="str">
        <f t="shared" ca="1" si="30"/>
        <v/>
      </c>
      <c r="V776" s="10" t="str">
        <f t="shared" ca="1" si="31"/>
        <v/>
      </c>
      <c r="AE776" s="10" t="s">
        <v>2157</v>
      </c>
      <c r="AG776" t="s">
        <v>20</v>
      </c>
      <c r="AJ776" cm="1">
        <f t="array" ref="AJ776">_xlfn.IFS(AG776="Yes",1,AG776="No",0,AG776="","")</f>
        <v>0</v>
      </c>
    </row>
    <row r="777" spans="1:36">
      <c r="A777" t="s">
        <v>722</v>
      </c>
      <c r="D777" s="4" t="s">
        <v>1966</v>
      </c>
      <c r="E777" s="4" t="s">
        <v>1965</v>
      </c>
      <c r="J777" s="10" t="s">
        <v>2201</v>
      </c>
      <c r="U777" s="10" t="str">
        <f t="shared" ca="1" si="30"/>
        <v/>
      </c>
      <c r="V777" s="10" t="str">
        <f t="shared" ca="1" si="31"/>
        <v/>
      </c>
      <c r="AB777" s="10" t="s">
        <v>2353</v>
      </c>
      <c r="AD777" s="10" t="s">
        <v>19</v>
      </c>
      <c r="AG777" t="s">
        <v>20</v>
      </c>
      <c r="AJ777" cm="1">
        <f t="array" ref="AJ777">_xlfn.IFS(AG777="Yes",1,AG777="No",0,AG777="","")</f>
        <v>0</v>
      </c>
    </row>
    <row r="778" spans="1:36" ht="29">
      <c r="A778" t="s">
        <v>723</v>
      </c>
      <c r="D778" s="4" t="s">
        <v>1968</v>
      </c>
      <c r="E778" s="4" t="s">
        <v>1967</v>
      </c>
      <c r="J778" s="10" t="s">
        <v>2199</v>
      </c>
      <c r="T778" s="10">
        <f>613-2475</f>
        <v>-1862</v>
      </c>
      <c r="U778" s="10">
        <f t="shared" ca="1" si="30"/>
        <v>2475</v>
      </c>
      <c r="V778" s="10">
        <f t="shared" ca="1" si="31"/>
        <v>613</v>
      </c>
      <c r="AG778" t="s">
        <v>19</v>
      </c>
      <c r="AJ778" cm="1">
        <f t="array" ref="AJ778">_xlfn.IFS(AG778="Yes",1,AG778="No",0,AG778="","")</f>
        <v>1</v>
      </c>
    </row>
    <row r="779" spans="1:36" ht="29">
      <c r="A779" t="s">
        <v>724</v>
      </c>
      <c r="D779" s="4" t="s">
        <v>1969</v>
      </c>
      <c r="E779" s="4" t="s">
        <v>1970</v>
      </c>
      <c r="H779" t="s">
        <v>19</v>
      </c>
      <c r="I779" t="s">
        <v>2315</v>
      </c>
      <c r="J779" s="10" t="s">
        <v>2199</v>
      </c>
      <c r="T779" s="10">
        <f>66-17</f>
        <v>49</v>
      </c>
      <c r="U779" s="10">
        <f t="shared" ca="1" si="30"/>
        <v>17</v>
      </c>
      <c r="V779" s="10">
        <f t="shared" ca="1" si="31"/>
        <v>66</v>
      </c>
      <c r="AE779" s="10" t="s">
        <v>2163</v>
      </c>
      <c r="AG779" t="s">
        <v>20</v>
      </c>
      <c r="AJ779" cm="1">
        <f t="array" ref="AJ779">_xlfn.IFS(AG779="Yes",1,AG779="No",0,AG779="","")</f>
        <v>0</v>
      </c>
    </row>
    <row r="780" spans="1:36" ht="29">
      <c r="A780" t="s">
        <v>724</v>
      </c>
      <c r="D780" s="4" t="s">
        <v>1972</v>
      </c>
      <c r="E780" s="4" t="s">
        <v>1971</v>
      </c>
      <c r="J780" s="10" t="s">
        <v>2201</v>
      </c>
      <c r="U780" s="10" t="str">
        <f t="shared" ca="1" si="30"/>
        <v/>
      </c>
      <c r="V780" s="10" t="str">
        <f t="shared" ca="1" si="31"/>
        <v/>
      </c>
      <c r="AG780" t="s">
        <v>19</v>
      </c>
      <c r="AJ780" cm="1">
        <f t="array" ref="AJ780">_xlfn.IFS(AG780="Yes",1,AG780="No",0,AG780="","")</f>
        <v>1</v>
      </c>
    </row>
    <row r="781" spans="1:36" ht="43.5">
      <c r="A781" t="s">
        <v>725</v>
      </c>
      <c r="D781" s="4" t="s">
        <v>1974</v>
      </c>
      <c r="E781" s="4" t="s">
        <v>1975</v>
      </c>
      <c r="J781" s="10" t="s">
        <v>24</v>
      </c>
      <c r="L781" s="10">
        <v>1</v>
      </c>
      <c r="M781" s="10">
        <v>2</v>
      </c>
      <c r="N781" s="10" t="s">
        <v>2168</v>
      </c>
      <c r="O781" s="10" t="s">
        <v>2200</v>
      </c>
      <c r="S781" s="10">
        <v>171</v>
      </c>
      <c r="U781" s="10" t="str">
        <f t="shared" ca="1" si="30"/>
        <v/>
      </c>
      <c r="V781" s="10" t="str">
        <f t="shared" ca="1" si="31"/>
        <v/>
      </c>
      <c r="AG781" t="s">
        <v>19</v>
      </c>
      <c r="AJ781" cm="1">
        <f t="array" ref="AJ781">_xlfn.IFS(AG781="Yes",1,AG781="No",0,AG781="","")</f>
        <v>1</v>
      </c>
    </row>
    <row r="782" spans="1:36" ht="43.5">
      <c r="A782" t="s">
        <v>725</v>
      </c>
      <c r="D782" s="4" t="s">
        <v>1976</v>
      </c>
      <c r="E782" s="4" t="s">
        <v>1973</v>
      </c>
      <c r="J782" s="10" t="s">
        <v>25</v>
      </c>
      <c r="L782" s="10">
        <v>1</v>
      </c>
      <c r="M782" s="10">
        <v>3</v>
      </c>
      <c r="N782" s="10" t="s">
        <v>2168</v>
      </c>
      <c r="O782" s="10" t="s">
        <v>2159</v>
      </c>
      <c r="S782" s="10">
        <v>1701</v>
      </c>
      <c r="U782" s="10" t="str">
        <f t="shared" ca="1" si="30"/>
        <v/>
      </c>
      <c r="V782" s="10" t="str">
        <f t="shared" ca="1" si="31"/>
        <v/>
      </c>
      <c r="AG782" t="s">
        <v>19</v>
      </c>
      <c r="AJ782" cm="1">
        <f t="array" ref="AJ782">_xlfn.IFS(AG782="Yes",1,AG782="No",0,AG782="","")</f>
        <v>1</v>
      </c>
    </row>
    <row r="783" spans="1:36" ht="43.5">
      <c r="A783" t="s">
        <v>725</v>
      </c>
      <c r="D783" s="4" t="s">
        <v>2316</v>
      </c>
      <c r="E783" s="4" t="s">
        <v>2317</v>
      </c>
      <c r="J783" s="10" t="s">
        <v>2201</v>
      </c>
      <c r="U783" s="10" t="str">
        <f t="shared" ca="1" si="30"/>
        <v/>
      </c>
      <c r="V783" s="10" t="str">
        <f t="shared" ca="1" si="31"/>
        <v/>
      </c>
      <c r="AG783" t="s">
        <v>19</v>
      </c>
      <c r="AJ783" cm="1">
        <f t="array" ref="AJ783">_xlfn.IFS(AG783="Yes",1,AG783="No",0,AG783="","")</f>
        <v>1</v>
      </c>
    </row>
    <row r="784" spans="1:36">
      <c r="A784" t="s">
        <v>726</v>
      </c>
      <c r="D784" s="4" t="s">
        <v>255</v>
      </c>
      <c r="E784" s="6" t="s">
        <v>256</v>
      </c>
      <c r="F784" t="s">
        <v>16</v>
      </c>
      <c r="U784" s="10" t="str">
        <f t="shared" ca="1" si="30"/>
        <v/>
      </c>
      <c r="V784" s="10" t="str">
        <f t="shared" ca="1" si="31"/>
        <v/>
      </c>
      <c r="AJ784" t="str" cm="1">
        <f t="array" ref="AJ784">_xlfn.IFS(AG784="Yes",1,AG784="No",0,AG784="","")</f>
        <v/>
      </c>
    </row>
    <row r="785" spans="1:36">
      <c r="A785" t="s">
        <v>727</v>
      </c>
      <c r="D785" s="4" t="s">
        <v>685</v>
      </c>
      <c r="E785" s="4" t="s">
        <v>728</v>
      </c>
      <c r="J785" s="10" t="s">
        <v>2199</v>
      </c>
      <c r="T785" s="10">
        <f>9-23</f>
        <v>-14</v>
      </c>
      <c r="U785" s="10">
        <f t="shared" ca="1" si="30"/>
        <v>23</v>
      </c>
      <c r="V785" s="10">
        <f t="shared" ca="1" si="31"/>
        <v>9</v>
      </c>
      <c r="AG785" t="s">
        <v>20</v>
      </c>
      <c r="AJ785" cm="1">
        <f t="array" ref="AJ785">_xlfn.IFS(AG785="Yes",1,AG785="No",0,AG785="","")</f>
        <v>0</v>
      </c>
    </row>
    <row r="786" spans="1:36">
      <c r="A786" t="s">
        <v>727</v>
      </c>
      <c r="D786" s="4" t="s">
        <v>729</v>
      </c>
      <c r="E786" s="4" t="s">
        <v>730</v>
      </c>
      <c r="J786" s="10" t="s">
        <v>2199</v>
      </c>
      <c r="T786" s="10" t="s">
        <v>2220</v>
      </c>
      <c r="U786" s="10" t="str">
        <f t="shared" ca="1" si="30"/>
        <v/>
      </c>
      <c r="V786" s="10" t="str">
        <f t="shared" ca="1" si="31"/>
        <v/>
      </c>
      <c r="AC786" s="10" t="s">
        <v>2251</v>
      </c>
      <c r="AD786" s="10" t="s">
        <v>19</v>
      </c>
      <c r="AE786" s="10" t="s">
        <v>2167</v>
      </c>
      <c r="AG786" t="s">
        <v>19</v>
      </c>
      <c r="AJ786" cm="1">
        <f t="array" ref="AJ786">_xlfn.IFS(AG786="Yes",1,AG786="No",0,AG786="","")</f>
        <v>1</v>
      </c>
    </row>
    <row r="787" spans="1:36">
      <c r="A787" t="s">
        <v>731</v>
      </c>
      <c r="D787" s="4" t="s">
        <v>732</v>
      </c>
      <c r="E787" s="4" t="s">
        <v>733</v>
      </c>
      <c r="J787" s="10" t="s">
        <v>2201</v>
      </c>
      <c r="U787" s="10" t="str">
        <f t="shared" ca="1" si="30"/>
        <v/>
      </c>
      <c r="V787" s="10" t="str">
        <f t="shared" ca="1" si="31"/>
        <v/>
      </c>
      <c r="AG787" t="s">
        <v>19</v>
      </c>
      <c r="AJ787" cm="1">
        <f t="array" ref="AJ787">_xlfn.IFS(AG787="Yes",1,AG787="No",0,AG787="","")</f>
        <v>1</v>
      </c>
    </row>
    <row r="788" spans="1:36">
      <c r="A788" t="s">
        <v>734</v>
      </c>
      <c r="D788" s="4" t="s">
        <v>1977</v>
      </c>
      <c r="E788" s="4" t="s">
        <v>1978</v>
      </c>
      <c r="J788" s="10" t="s">
        <v>25</v>
      </c>
      <c r="L788" s="10">
        <v>1</v>
      </c>
      <c r="M788" s="10">
        <v>5</v>
      </c>
      <c r="N788" s="10" t="s">
        <v>2219</v>
      </c>
      <c r="O788" s="10" t="s">
        <v>2153</v>
      </c>
      <c r="P788" s="10" t="s">
        <v>2231</v>
      </c>
      <c r="Q788" s="11" t="s">
        <v>2230</v>
      </c>
      <c r="S788" s="10">
        <v>295</v>
      </c>
      <c r="U788" s="10" t="str">
        <f t="shared" ca="1" si="30"/>
        <v/>
      </c>
      <c r="V788" s="10" t="str">
        <f t="shared" ca="1" si="31"/>
        <v/>
      </c>
      <c r="AG788" t="s">
        <v>19</v>
      </c>
      <c r="AJ788" cm="1">
        <f t="array" ref="AJ788">_xlfn.IFS(AG788="Yes",1,AG788="No",0,AG788="","")</f>
        <v>1</v>
      </c>
    </row>
    <row r="789" spans="1:36">
      <c r="A789" t="s">
        <v>735</v>
      </c>
      <c r="D789" s="4" t="s">
        <v>736</v>
      </c>
      <c r="E789" s="4" t="s">
        <v>737</v>
      </c>
      <c r="J789" s="10" t="s">
        <v>2201</v>
      </c>
      <c r="U789" s="10" t="str">
        <f t="shared" ca="1" si="30"/>
        <v/>
      </c>
      <c r="V789" s="10" t="str">
        <f t="shared" ca="1" si="31"/>
        <v/>
      </c>
      <c r="AC789" s="10" t="s">
        <v>2252</v>
      </c>
      <c r="AD789" s="10" t="s">
        <v>19</v>
      </c>
      <c r="AG789" t="s">
        <v>19</v>
      </c>
      <c r="AJ789" cm="1">
        <f t="array" ref="AJ789">_xlfn.IFS(AG789="Yes",1,AG789="No",0,AG789="","")</f>
        <v>1</v>
      </c>
    </row>
    <row r="790" spans="1:36">
      <c r="A790" t="s">
        <v>735</v>
      </c>
      <c r="D790" s="4" t="s">
        <v>738</v>
      </c>
      <c r="E790" s="4" t="s">
        <v>739</v>
      </c>
      <c r="J790" s="10" t="s">
        <v>2199</v>
      </c>
      <c r="T790" s="10">
        <f>0-2</f>
        <v>-2</v>
      </c>
      <c r="U790" s="10">
        <f t="shared" ca="1" si="30"/>
        <v>2</v>
      </c>
      <c r="V790" s="10">
        <f t="shared" ca="1" si="31"/>
        <v>0</v>
      </c>
      <c r="AG790" t="s">
        <v>19</v>
      </c>
      <c r="AJ790" cm="1">
        <f t="array" ref="AJ790">_xlfn.IFS(AG790="Yes",1,AG790="No",0,AG790="","")</f>
        <v>1</v>
      </c>
    </row>
    <row r="791" spans="1:36" ht="29">
      <c r="A791" t="s">
        <v>740</v>
      </c>
      <c r="D791" s="4" t="s">
        <v>1980</v>
      </c>
      <c r="E791" s="4" t="s">
        <v>1981</v>
      </c>
      <c r="I791" t="s">
        <v>2318</v>
      </c>
      <c r="J791" s="10" t="s">
        <v>2199</v>
      </c>
      <c r="T791" s="10">
        <f>0-52</f>
        <v>-52</v>
      </c>
      <c r="U791" s="10">
        <f t="shared" ca="1" si="30"/>
        <v>52</v>
      </c>
      <c r="V791" s="10">
        <f t="shared" ca="1" si="31"/>
        <v>0</v>
      </c>
      <c r="AC791" s="10" t="s">
        <v>2226</v>
      </c>
      <c r="AD791" s="10" t="s">
        <v>19</v>
      </c>
      <c r="AG791" t="s">
        <v>20</v>
      </c>
      <c r="AJ791" cm="1">
        <f t="array" ref="AJ791">_xlfn.IFS(AG791="Yes",1,AG791="No",0,AG791="","")</f>
        <v>0</v>
      </c>
    </row>
    <row r="792" spans="1:36" ht="29">
      <c r="A792" t="s">
        <v>740</v>
      </c>
      <c r="D792" s="4" t="s">
        <v>1979</v>
      </c>
      <c r="E792" s="4" t="s">
        <v>1982</v>
      </c>
      <c r="J792" s="10" t="s">
        <v>24</v>
      </c>
      <c r="L792" s="10">
        <v>1</v>
      </c>
      <c r="M792" s="10">
        <v>1</v>
      </c>
      <c r="N792" s="10" t="s">
        <v>2152</v>
      </c>
      <c r="O792" s="10" t="s">
        <v>2200</v>
      </c>
      <c r="S792" s="10">
        <v>5</v>
      </c>
      <c r="U792" s="10" t="str">
        <f t="shared" ca="1" si="30"/>
        <v/>
      </c>
      <c r="V792" s="10" t="str">
        <f t="shared" ca="1" si="31"/>
        <v/>
      </c>
      <c r="AG792" t="s">
        <v>19</v>
      </c>
      <c r="AJ792" cm="1">
        <f t="array" ref="AJ792">_xlfn.IFS(AG792="Yes",1,AG792="No",0,AG792="","")</f>
        <v>1</v>
      </c>
    </row>
    <row r="793" spans="1:36" ht="29">
      <c r="A793" t="s">
        <v>741</v>
      </c>
      <c r="D793" s="4" t="s">
        <v>1984</v>
      </c>
      <c r="E793" s="4" t="s">
        <v>1983</v>
      </c>
      <c r="J793" s="10" t="s">
        <v>2199</v>
      </c>
      <c r="T793" s="10">
        <f>1701-86</f>
        <v>1615</v>
      </c>
      <c r="U793" s="10">
        <f t="shared" ca="1" si="30"/>
        <v>86</v>
      </c>
      <c r="V793" s="10">
        <f t="shared" ca="1" si="31"/>
        <v>1701</v>
      </c>
      <c r="AG793" t="s">
        <v>19</v>
      </c>
      <c r="AJ793" cm="1">
        <f t="array" ref="AJ793">_xlfn.IFS(AG793="Yes",1,AG793="No",0,AG793="","")</f>
        <v>1</v>
      </c>
    </row>
    <row r="794" spans="1:36">
      <c r="A794" t="s">
        <v>741</v>
      </c>
      <c r="D794" s="4" t="s">
        <v>742</v>
      </c>
      <c r="E794" s="4" t="s">
        <v>743</v>
      </c>
      <c r="J794" s="10" t="s">
        <v>2199</v>
      </c>
      <c r="T794" s="10" t="s">
        <v>2220</v>
      </c>
      <c r="U794" s="10" t="str">
        <f t="shared" ca="1" si="30"/>
        <v/>
      </c>
      <c r="V794" s="10" t="str">
        <f t="shared" ca="1" si="31"/>
        <v/>
      </c>
      <c r="AB794" s="10" t="s">
        <v>2235</v>
      </c>
      <c r="AC794" s="10" t="s">
        <v>2342</v>
      </c>
      <c r="AD794" s="10" t="s">
        <v>19</v>
      </c>
      <c r="AG794" t="s">
        <v>19</v>
      </c>
      <c r="AJ794" cm="1">
        <f t="array" ref="AJ794">_xlfn.IFS(AG794="Yes",1,AG794="No",0,AG794="","")</f>
        <v>1</v>
      </c>
    </row>
    <row r="795" spans="1:36" ht="29">
      <c r="A795" t="s">
        <v>744</v>
      </c>
      <c r="D795" s="4" t="s">
        <v>1986</v>
      </c>
      <c r="E795" s="4" t="s">
        <v>1985</v>
      </c>
      <c r="J795" s="10" t="s">
        <v>24</v>
      </c>
      <c r="L795" s="10">
        <v>1</v>
      </c>
      <c r="M795" s="10">
        <v>5</v>
      </c>
      <c r="N795" s="10" t="s">
        <v>2175</v>
      </c>
      <c r="O795" s="10" t="s">
        <v>2159</v>
      </c>
      <c r="S795" s="10">
        <v>830</v>
      </c>
      <c r="U795" s="10" t="str">
        <f t="shared" ca="1" si="30"/>
        <v/>
      </c>
      <c r="V795" s="10" t="str">
        <f t="shared" ca="1" si="31"/>
        <v/>
      </c>
      <c r="AG795" t="s">
        <v>19</v>
      </c>
      <c r="AJ795" cm="1">
        <f t="array" ref="AJ795">_xlfn.IFS(AG795="Yes",1,AG795="No",0,AG795="","")</f>
        <v>1</v>
      </c>
    </row>
    <row r="796" spans="1:36" ht="29">
      <c r="A796" t="s">
        <v>745</v>
      </c>
      <c r="D796" s="4" t="s">
        <v>1987</v>
      </c>
      <c r="E796" s="4" t="s">
        <v>1988</v>
      </c>
      <c r="J796" s="10" t="s">
        <v>2199</v>
      </c>
      <c r="T796" s="10">
        <f>21-79</f>
        <v>-58</v>
      </c>
      <c r="U796" s="10">
        <f t="shared" ca="1" si="30"/>
        <v>79</v>
      </c>
      <c r="V796" s="10">
        <f t="shared" ca="1" si="31"/>
        <v>21</v>
      </c>
      <c r="AG796" t="s">
        <v>19</v>
      </c>
      <c r="AJ796" cm="1">
        <f t="array" ref="AJ796">_xlfn.IFS(AG796="Yes",1,AG796="No",0,AG796="","")</f>
        <v>1</v>
      </c>
    </row>
    <row r="797" spans="1:36">
      <c r="A797" t="s">
        <v>746</v>
      </c>
      <c r="D797" s="4" t="s">
        <v>1989</v>
      </c>
      <c r="E797" s="4" t="s">
        <v>1990</v>
      </c>
      <c r="J797" s="10" t="s">
        <v>2199</v>
      </c>
      <c r="T797" s="10">
        <f>0-1</f>
        <v>-1</v>
      </c>
      <c r="U797" s="10">
        <f t="shared" ca="1" si="30"/>
        <v>1</v>
      </c>
      <c r="V797" s="10">
        <f t="shared" ca="1" si="31"/>
        <v>0</v>
      </c>
      <c r="AG797" t="s">
        <v>19</v>
      </c>
      <c r="AJ797" cm="1">
        <f t="array" ref="AJ797">_xlfn.IFS(AG797="Yes",1,AG797="No",0,AG797="","")</f>
        <v>1</v>
      </c>
    </row>
    <row r="798" spans="1:36" ht="29">
      <c r="A798" t="s">
        <v>746</v>
      </c>
      <c r="D798" s="4" t="s">
        <v>2448</v>
      </c>
      <c r="E798" s="4" t="s">
        <v>2319</v>
      </c>
      <c r="J798" s="10" t="s">
        <v>2199</v>
      </c>
      <c r="T798" s="10">
        <f>31-280</f>
        <v>-249</v>
      </c>
      <c r="U798" s="10">
        <f t="shared" ca="1" si="30"/>
        <v>280</v>
      </c>
      <c r="V798" s="10">
        <f t="shared" ca="1" si="31"/>
        <v>31</v>
      </c>
      <c r="AG798" t="s">
        <v>19</v>
      </c>
      <c r="AJ798" cm="1">
        <f t="array" ref="AJ798">_xlfn.IFS(AG798="Yes",1,AG798="No",0,AG798="","")</f>
        <v>1</v>
      </c>
    </row>
    <row r="799" spans="1:36">
      <c r="A799" t="s">
        <v>747</v>
      </c>
      <c r="D799" s="4" t="s">
        <v>748</v>
      </c>
      <c r="E799" s="4" t="s">
        <v>749</v>
      </c>
      <c r="J799" s="10" t="s">
        <v>2201</v>
      </c>
      <c r="U799" s="10" t="str">
        <f t="shared" ca="1" si="30"/>
        <v/>
      </c>
      <c r="V799" s="10" t="str">
        <f t="shared" ca="1" si="31"/>
        <v/>
      </c>
      <c r="AG799" t="s">
        <v>20</v>
      </c>
      <c r="AJ799" cm="1">
        <f t="array" ref="AJ799">_xlfn.IFS(AG799="Yes",1,AG799="No",0,AG799="","")</f>
        <v>0</v>
      </c>
    </row>
    <row r="800" spans="1:36">
      <c r="A800" t="s">
        <v>747</v>
      </c>
      <c r="D800" s="4" t="s">
        <v>1992</v>
      </c>
      <c r="E800" s="4" t="s">
        <v>1991</v>
      </c>
      <c r="J800" s="10" t="s">
        <v>25</v>
      </c>
      <c r="L800" s="10">
        <v>1</v>
      </c>
      <c r="M800" s="10">
        <v>3</v>
      </c>
      <c r="N800" s="10" t="s">
        <v>2175</v>
      </c>
      <c r="O800" s="10" t="s">
        <v>2159</v>
      </c>
      <c r="S800" s="10">
        <v>312</v>
      </c>
      <c r="U800" s="10" t="str">
        <f t="shared" ca="1" si="30"/>
        <v/>
      </c>
      <c r="V800" s="10" t="str">
        <f t="shared" ca="1" si="31"/>
        <v/>
      </c>
      <c r="AG800" t="s">
        <v>19</v>
      </c>
      <c r="AJ800" cm="1">
        <f t="array" ref="AJ800">_xlfn.IFS(AG800="Yes",1,AG800="No",0,AG800="","")</f>
        <v>1</v>
      </c>
    </row>
    <row r="801" spans="1:36">
      <c r="A801" t="s">
        <v>747</v>
      </c>
      <c r="D801" s="4" t="s">
        <v>1994</v>
      </c>
      <c r="E801" s="4" t="s">
        <v>1993</v>
      </c>
      <c r="J801" s="10" t="s">
        <v>25</v>
      </c>
      <c r="L801" s="10">
        <v>1</v>
      </c>
      <c r="M801" s="10">
        <v>1</v>
      </c>
      <c r="N801" s="10" t="s">
        <v>2158</v>
      </c>
      <c r="O801" s="10" t="s">
        <v>2200</v>
      </c>
      <c r="S801" s="10">
        <v>2475</v>
      </c>
      <c r="U801" s="10" t="str">
        <f t="shared" ca="1" si="30"/>
        <v/>
      </c>
      <c r="V801" s="10" t="str">
        <f t="shared" ca="1" si="31"/>
        <v/>
      </c>
      <c r="AG801" t="s">
        <v>19</v>
      </c>
      <c r="AJ801" cm="1">
        <f t="array" ref="AJ801">_xlfn.IFS(AG801="Yes",1,AG801="No",0,AG801="","")</f>
        <v>1</v>
      </c>
    </row>
    <row r="802" spans="1:36" ht="29">
      <c r="A802" t="s">
        <v>747</v>
      </c>
      <c r="D802" s="4" t="s">
        <v>1996</v>
      </c>
      <c r="E802" s="4" t="s">
        <v>1995</v>
      </c>
      <c r="J802" s="10" t="s">
        <v>24</v>
      </c>
      <c r="L802" s="10">
        <v>1</v>
      </c>
      <c r="M802" s="10">
        <v>5</v>
      </c>
      <c r="N802" s="10" t="s">
        <v>2219</v>
      </c>
      <c r="O802" s="10" t="s">
        <v>2159</v>
      </c>
      <c r="S802" s="10">
        <v>295</v>
      </c>
      <c r="U802" s="10" t="str">
        <f t="shared" ca="1" si="30"/>
        <v/>
      </c>
      <c r="V802" s="10" t="str">
        <f t="shared" ca="1" si="31"/>
        <v/>
      </c>
      <c r="AG802" t="s">
        <v>19</v>
      </c>
      <c r="AJ802" cm="1">
        <f t="array" ref="AJ802">_xlfn.IFS(AG802="Yes",1,AG802="No",0,AG802="","")</f>
        <v>1</v>
      </c>
    </row>
    <row r="803" spans="1:36">
      <c r="A803" t="s">
        <v>750</v>
      </c>
      <c r="D803" s="4" t="s">
        <v>1998</v>
      </c>
      <c r="E803" s="4" t="s">
        <v>1997</v>
      </c>
      <c r="J803" s="10" t="s">
        <v>25</v>
      </c>
      <c r="L803" s="10">
        <v>1</v>
      </c>
      <c r="M803" s="10">
        <v>5</v>
      </c>
      <c r="N803" s="10" t="s">
        <v>2175</v>
      </c>
      <c r="O803" s="10" t="s">
        <v>2159</v>
      </c>
      <c r="S803" s="10">
        <v>830</v>
      </c>
      <c r="U803" s="10" t="str">
        <f t="shared" ca="1" si="30"/>
        <v/>
      </c>
      <c r="V803" s="10" t="str">
        <f t="shared" ca="1" si="31"/>
        <v/>
      </c>
      <c r="AG803" t="s">
        <v>19</v>
      </c>
      <c r="AJ803" cm="1">
        <f t="array" ref="AJ803">_xlfn.IFS(AG803="Yes",1,AG803="No",0,AG803="","")</f>
        <v>1</v>
      </c>
    </row>
    <row r="804" spans="1:36">
      <c r="A804" t="s">
        <v>751</v>
      </c>
      <c r="D804" s="4" t="s">
        <v>752</v>
      </c>
      <c r="E804" s="4" t="s">
        <v>752</v>
      </c>
      <c r="F804" t="s">
        <v>35</v>
      </c>
      <c r="I804" t="s">
        <v>1999</v>
      </c>
      <c r="U804" s="10" t="str">
        <f t="shared" ca="1" si="30"/>
        <v/>
      </c>
      <c r="V804" s="10" t="str">
        <f t="shared" ca="1" si="31"/>
        <v/>
      </c>
      <c r="AJ804" t="str" cm="1">
        <f t="array" ref="AJ804">_xlfn.IFS(AG804="Yes",1,AG804="No",0,AG804="","")</f>
        <v/>
      </c>
    </row>
    <row r="805" spans="1:36" ht="29">
      <c r="A805" t="s">
        <v>753</v>
      </c>
      <c r="D805" s="4" t="s">
        <v>2449</v>
      </c>
      <c r="E805" s="4" t="s">
        <v>2000</v>
      </c>
      <c r="J805" s="10" t="s">
        <v>2199</v>
      </c>
      <c r="T805" s="10">
        <f>312-250</f>
        <v>62</v>
      </c>
      <c r="U805" s="10">
        <f t="shared" ca="1" si="30"/>
        <v>250</v>
      </c>
      <c r="V805" s="10">
        <f t="shared" ca="1" si="31"/>
        <v>312</v>
      </c>
      <c r="AG805" t="s">
        <v>19</v>
      </c>
      <c r="AJ805" cm="1">
        <f t="array" ref="AJ805">_xlfn.IFS(AG805="Yes",1,AG805="No",0,AG805="","")</f>
        <v>1</v>
      </c>
    </row>
    <row r="806" spans="1:36" ht="29">
      <c r="A806" t="s">
        <v>753</v>
      </c>
      <c r="D806" s="4" t="s">
        <v>2001</v>
      </c>
      <c r="E806" s="4" t="s">
        <v>2002</v>
      </c>
      <c r="J806" s="10" t="s">
        <v>24</v>
      </c>
      <c r="L806" s="10">
        <v>1</v>
      </c>
      <c r="M806" s="10">
        <v>3</v>
      </c>
      <c r="N806" s="10" t="s">
        <v>2158</v>
      </c>
      <c r="O806" s="10" t="s">
        <v>2153</v>
      </c>
      <c r="P806" s="10" t="s">
        <v>2231</v>
      </c>
      <c r="Q806" s="11" t="s">
        <v>2230</v>
      </c>
      <c r="S806" s="10">
        <v>2475</v>
      </c>
      <c r="U806" s="10" t="str">
        <f t="shared" ca="1" si="30"/>
        <v/>
      </c>
      <c r="V806" s="10" t="str">
        <f t="shared" ca="1" si="31"/>
        <v/>
      </c>
      <c r="AG806" t="s">
        <v>19</v>
      </c>
      <c r="AJ806" cm="1">
        <f t="array" ref="AJ806">_xlfn.IFS(AG806="Yes",1,AG806="No",0,AG806="","")</f>
        <v>1</v>
      </c>
    </row>
    <row r="807" spans="1:36">
      <c r="A807" t="s">
        <v>754</v>
      </c>
      <c r="D807" s="4" t="s">
        <v>2004</v>
      </c>
      <c r="E807" s="4" t="s">
        <v>2003</v>
      </c>
      <c r="J807" s="10" t="s">
        <v>2199</v>
      </c>
      <c r="T807" s="10">
        <f>105-25</f>
        <v>80</v>
      </c>
      <c r="U807" s="10">
        <f t="shared" ca="1" si="30"/>
        <v>25</v>
      </c>
      <c r="V807" s="10">
        <f t="shared" ca="1" si="31"/>
        <v>105</v>
      </c>
      <c r="AG807" t="s">
        <v>19</v>
      </c>
      <c r="AJ807" cm="1">
        <f t="array" ref="AJ807">_xlfn.IFS(AG807="Yes",1,AG807="No",0,AG807="","")</f>
        <v>1</v>
      </c>
    </row>
    <row r="808" spans="1:36" ht="29">
      <c r="A808" t="s">
        <v>755</v>
      </c>
      <c r="D808" s="4" t="s">
        <v>2006</v>
      </c>
      <c r="E808" s="4" t="s">
        <v>2005</v>
      </c>
      <c r="J808" s="10" t="s">
        <v>2201</v>
      </c>
      <c r="U808" s="10" t="str">
        <f t="shared" ca="1" si="30"/>
        <v/>
      </c>
      <c r="V808" s="10" t="str">
        <f t="shared" ca="1" si="31"/>
        <v/>
      </c>
      <c r="AG808" t="s">
        <v>19</v>
      </c>
      <c r="AJ808" cm="1">
        <f t="array" ref="AJ808">_xlfn.IFS(AG808="Yes",1,AG808="No",0,AG808="","")</f>
        <v>1</v>
      </c>
    </row>
    <row r="809" spans="1:36" ht="29">
      <c r="A809" t="s">
        <v>755</v>
      </c>
      <c r="D809" s="4" t="s">
        <v>2007</v>
      </c>
      <c r="E809" s="4" t="s">
        <v>2009</v>
      </c>
      <c r="J809" s="10" t="s">
        <v>25</v>
      </c>
      <c r="L809" s="10">
        <v>1</v>
      </c>
      <c r="M809" s="10">
        <v>1</v>
      </c>
      <c r="N809" s="10" t="s">
        <v>2158</v>
      </c>
      <c r="O809" s="10" t="s">
        <v>2200</v>
      </c>
      <c r="S809" s="10">
        <v>2475</v>
      </c>
      <c r="U809" s="10" t="str">
        <f t="shared" ca="1" si="30"/>
        <v/>
      </c>
      <c r="V809" s="10" t="str">
        <f t="shared" ca="1" si="31"/>
        <v/>
      </c>
      <c r="AG809" t="s">
        <v>19</v>
      </c>
      <c r="AJ809" cm="1">
        <f t="array" ref="AJ809">_xlfn.IFS(AG809="Yes",1,AG809="No",0,AG809="","")</f>
        <v>1</v>
      </c>
    </row>
    <row r="810" spans="1:36" ht="29">
      <c r="A810" t="s">
        <v>755</v>
      </c>
      <c r="D810" s="4" t="s">
        <v>2008</v>
      </c>
      <c r="E810" s="4" t="s">
        <v>2010</v>
      </c>
      <c r="I810" t="s">
        <v>2320</v>
      </c>
      <c r="J810" s="10" t="s">
        <v>2199</v>
      </c>
      <c r="T810" s="10">
        <f>31-0</f>
        <v>31</v>
      </c>
      <c r="U810" s="10">
        <f t="shared" ca="1" si="30"/>
        <v>0</v>
      </c>
      <c r="V810" s="10">
        <f t="shared" ca="1" si="31"/>
        <v>31</v>
      </c>
      <c r="AE810" s="10" t="s">
        <v>2170</v>
      </c>
      <c r="AG810" t="s">
        <v>19</v>
      </c>
      <c r="AJ810" cm="1">
        <f t="array" ref="AJ810">_xlfn.IFS(AG810="Yes",1,AG810="No",0,AG810="","")</f>
        <v>1</v>
      </c>
    </row>
    <row r="811" spans="1:36">
      <c r="A811" t="s">
        <v>756</v>
      </c>
      <c r="D811" s="4" t="s">
        <v>2011</v>
      </c>
      <c r="E811" s="4" t="s">
        <v>2012</v>
      </c>
      <c r="J811" s="10" t="s">
        <v>25</v>
      </c>
      <c r="L811" s="10">
        <v>1</v>
      </c>
      <c r="M811" s="10">
        <v>3</v>
      </c>
      <c r="N811" s="10" t="s">
        <v>2177</v>
      </c>
      <c r="O811" s="10" t="s">
        <v>2159</v>
      </c>
      <c r="S811" s="10">
        <v>166</v>
      </c>
      <c r="U811" s="10" t="str">
        <f t="shared" ca="1" si="30"/>
        <v/>
      </c>
      <c r="V811" s="10" t="str">
        <f t="shared" ca="1" si="31"/>
        <v/>
      </c>
      <c r="AG811" t="s">
        <v>19</v>
      </c>
      <c r="AJ811" cm="1">
        <f t="array" ref="AJ811">_xlfn.IFS(AG811="Yes",1,AG811="No",0,AG811="","")</f>
        <v>1</v>
      </c>
    </row>
    <row r="812" spans="1:36" ht="29">
      <c r="A812" t="s">
        <v>757</v>
      </c>
      <c r="D812" s="4" t="s">
        <v>2014</v>
      </c>
      <c r="E812" s="4" t="s">
        <v>2013</v>
      </c>
      <c r="J812" s="10" t="s">
        <v>2199</v>
      </c>
      <c r="Q812" s="10"/>
      <c r="T812" s="10">
        <f>166-613</f>
        <v>-447</v>
      </c>
      <c r="U812" s="10">
        <f t="shared" ca="1" si="30"/>
        <v>613</v>
      </c>
      <c r="V812" s="10">
        <f t="shared" ca="1" si="31"/>
        <v>166</v>
      </c>
      <c r="AG812" t="s">
        <v>19</v>
      </c>
      <c r="AJ812" cm="1">
        <f t="array" ref="AJ812">_xlfn.IFS(AG812="Yes",1,AG812="No",0,AG812="","")</f>
        <v>1</v>
      </c>
    </row>
    <row r="813" spans="1:36" ht="43.5">
      <c r="A813" t="s">
        <v>757</v>
      </c>
      <c r="D813" s="4" t="s">
        <v>2016</v>
      </c>
      <c r="E813" s="4" t="s">
        <v>2017</v>
      </c>
      <c r="J813" s="10" t="s">
        <v>26</v>
      </c>
      <c r="U813" s="10" t="str">
        <f t="shared" ca="1" si="30"/>
        <v/>
      </c>
      <c r="V813" s="10" t="str">
        <f t="shared" ca="1" si="31"/>
        <v/>
      </c>
      <c r="AG813" t="s">
        <v>19</v>
      </c>
      <c r="AJ813" cm="1">
        <f t="array" ref="AJ813">_xlfn.IFS(AG813="Yes",1,AG813="No",0,AG813="","")</f>
        <v>1</v>
      </c>
    </row>
    <row r="814" spans="1:36" ht="43.5">
      <c r="A814" t="s">
        <v>757</v>
      </c>
      <c r="D814" s="4" t="s">
        <v>2015</v>
      </c>
      <c r="E814" s="4" t="s">
        <v>2018</v>
      </c>
      <c r="J814" s="10" t="s">
        <v>24</v>
      </c>
      <c r="L814" s="10">
        <v>1</v>
      </c>
      <c r="M814" s="10">
        <v>3</v>
      </c>
      <c r="N814" s="10" t="s">
        <v>2158</v>
      </c>
      <c r="O814" s="10" t="s">
        <v>2159</v>
      </c>
      <c r="S814" s="10">
        <v>2475</v>
      </c>
      <c r="U814" s="10" t="str">
        <f t="shared" ca="1" si="30"/>
        <v/>
      </c>
      <c r="V814" s="10" t="str">
        <f t="shared" ca="1" si="31"/>
        <v/>
      </c>
      <c r="AG814" t="s">
        <v>19</v>
      </c>
      <c r="AJ814" cm="1">
        <f t="array" ref="AJ814">_xlfn.IFS(AG814="Yes",1,AG814="No",0,AG814="","")</f>
        <v>1</v>
      </c>
    </row>
    <row r="815" spans="1:36" ht="29">
      <c r="A815" t="s">
        <v>758</v>
      </c>
      <c r="D815" s="4" t="s">
        <v>2020</v>
      </c>
      <c r="E815" s="4" t="s">
        <v>2019</v>
      </c>
      <c r="J815" s="10" t="s">
        <v>24</v>
      </c>
      <c r="L815" s="10">
        <v>1</v>
      </c>
      <c r="M815" s="10">
        <v>3</v>
      </c>
      <c r="N815" s="10" t="s">
        <v>2168</v>
      </c>
      <c r="O815" s="10" t="s">
        <v>2159</v>
      </c>
      <c r="S815" s="10">
        <v>86</v>
      </c>
      <c r="U815" s="10" t="str">
        <f t="shared" ca="1" si="30"/>
        <v/>
      </c>
      <c r="V815" s="10" t="str">
        <f t="shared" ca="1" si="31"/>
        <v/>
      </c>
      <c r="AG815" t="s">
        <v>19</v>
      </c>
      <c r="AJ815" cm="1">
        <f t="array" ref="AJ815">_xlfn.IFS(AG815="Yes",1,AG815="No",0,AG815="","")</f>
        <v>1</v>
      </c>
    </row>
    <row r="816" spans="1:36">
      <c r="A816" t="s">
        <v>759</v>
      </c>
      <c r="D816" s="4" t="s">
        <v>2021</v>
      </c>
      <c r="E816" s="4" t="s">
        <v>2022</v>
      </c>
      <c r="J816" s="10" t="s">
        <v>2201</v>
      </c>
      <c r="U816" s="10" t="str">
        <f t="shared" ca="1" si="30"/>
        <v/>
      </c>
      <c r="V816" s="10" t="str">
        <f t="shared" ca="1" si="31"/>
        <v/>
      </c>
      <c r="AG816" t="s">
        <v>19</v>
      </c>
      <c r="AJ816" cm="1">
        <f t="array" ref="AJ816">_xlfn.IFS(AG816="Yes",1,AG816="No",0,AG816="","")</f>
        <v>1</v>
      </c>
    </row>
    <row r="817" spans="1:36" ht="29">
      <c r="A817" t="s">
        <v>760</v>
      </c>
      <c r="D817" s="4" t="s">
        <v>2024</v>
      </c>
      <c r="E817" s="4" t="s">
        <v>2025</v>
      </c>
      <c r="J817" s="10" t="s">
        <v>2201</v>
      </c>
      <c r="U817" s="10" t="str">
        <f t="shared" ca="1" si="30"/>
        <v/>
      </c>
      <c r="V817" s="10" t="str">
        <f t="shared" ca="1" si="31"/>
        <v/>
      </c>
      <c r="AC817" s="10" t="s">
        <v>2223</v>
      </c>
      <c r="AD817" s="10" t="s">
        <v>19</v>
      </c>
      <c r="AG817" t="s">
        <v>19</v>
      </c>
      <c r="AJ817" cm="1">
        <f t="array" ref="AJ817">_xlfn.IFS(AG817="Yes",1,AG817="No",0,AG817="","")</f>
        <v>1</v>
      </c>
    </row>
    <row r="818" spans="1:36" ht="29">
      <c r="A818" t="s">
        <v>760</v>
      </c>
      <c r="D818" s="4" t="s">
        <v>2026</v>
      </c>
      <c r="E818" s="4" t="s">
        <v>2023</v>
      </c>
      <c r="J818" s="10" t="s">
        <v>25</v>
      </c>
      <c r="L818" s="10">
        <v>1</v>
      </c>
      <c r="M818" s="10">
        <v>1</v>
      </c>
      <c r="N818" s="10" t="s">
        <v>2158</v>
      </c>
      <c r="O818" s="10" t="s">
        <v>2200</v>
      </c>
      <c r="S818" s="10">
        <v>2475</v>
      </c>
      <c r="U818" s="10" t="str">
        <f t="shared" ca="1" si="30"/>
        <v/>
      </c>
      <c r="V818" s="10" t="str">
        <f t="shared" ca="1" si="31"/>
        <v/>
      </c>
      <c r="AG818" t="s">
        <v>19</v>
      </c>
      <c r="AJ818" cm="1">
        <f t="array" ref="AJ818">_xlfn.IFS(AG818="Yes",1,AG818="No",0,AG818="","")</f>
        <v>1</v>
      </c>
    </row>
    <row r="819" spans="1:36">
      <c r="A819" t="s">
        <v>760</v>
      </c>
      <c r="D819" s="4" t="s">
        <v>2028</v>
      </c>
      <c r="E819" s="4" t="s">
        <v>2027</v>
      </c>
      <c r="J819" s="10" t="s">
        <v>2201</v>
      </c>
      <c r="U819" s="10" t="str">
        <f t="shared" ca="1" si="30"/>
        <v/>
      </c>
      <c r="V819" s="10" t="str">
        <f t="shared" ca="1" si="31"/>
        <v/>
      </c>
      <c r="AG819" t="s">
        <v>20</v>
      </c>
      <c r="AJ819" cm="1">
        <f t="array" ref="AJ819">_xlfn.IFS(AG819="Yes",1,AG819="No",0,AG819="","")</f>
        <v>0</v>
      </c>
    </row>
    <row r="820" spans="1:36">
      <c r="A820" t="s">
        <v>761</v>
      </c>
      <c r="D820" s="4" t="s">
        <v>2029</v>
      </c>
      <c r="E820" s="4" t="s">
        <v>2030</v>
      </c>
      <c r="J820" s="10" t="s">
        <v>2201</v>
      </c>
      <c r="U820" s="10" t="str">
        <f t="shared" ca="1" si="30"/>
        <v/>
      </c>
      <c r="V820" s="10" t="str">
        <f t="shared" ca="1" si="31"/>
        <v/>
      </c>
      <c r="AG820" t="s">
        <v>19</v>
      </c>
      <c r="AJ820" cm="1">
        <f t="array" ref="AJ820">_xlfn.IFS(AG820="Yes",1,AG820="No",0,AG820="","")</f>
        <v>1</v>
      </c>
    </row>
    <row r="821" spans="1:36">
      <c r="A821" t="s">
        <v>762</v>
      </c>
      <c r="D821" s="4" t="s">
        <v>2032</v>
      </c>
      <c r="E821" s="4" t="s">
        <v>2031</v>
      </c>
      <c r="J821" s="10" t="s">
        <v>24</v>
      </c>
      <c r="L821" s="10">
        <v>1</v>
      </c>
      <c r="M821" s="10">
        <v>3</v>
      </c>
      <c r="N821" s="10" t="s">
        <v>2168</v>
      </c>
      <c r="O821" s="10" t="s">
        <v>2159</v>
      </c>
      <c r="S821" s="10">
        <v>86</v>
      </c>
      <c r="U821" s="10" t="str">
        <f t="shared" ca="1" si="30"/>
        <v/>
      </c>
      <c r="V821" s="10" t="str">
        <f t="shared" ca="1" si="31"/>
        <v/>
      </c>
      <c r="AG821" t="s">
        <v>19</v>
      </c>
      <c r="AJ821" cm="1">
        <f t="array" ref="AJ821">_xlfn.IFS(AG821="Yes",1,AG821="No",0,AG821="","")</f>
        <v>1</v>
      </c>
    </row>
    <row r="822" spans="1:36">
      <c r="A822" t="s">
        <v>762</v>
      </c>
      <c r="D822" s="4" t="s">
        <v>2033</v>
      </c>
      <c r="E822" s="4" t="s">
        <v>2034</v>
      </c>
      <c r="J822" s="10" t="s">
        <v>2199</v>
      </c>
      <c r="R822" s="10" t="s">
        <v>2154</v>
      </c>
      <c r="U822" s="10" t="str">
        <f t="shared" ca="1" si="30"/>
        <v/>
      </c>
      <c r="V822" s="10" t="str">
        <f t="shared" ca="1" si="31"/>
        <v/>
      </c>
      <c r="AE822" s="10" t="s">
        <v>2157</v>
      </c>
      <c r="AG822" t="s">
        <v>20</v>
      </c>
      <c r="AJ822" cm="1">
        <f t="array" ref="AJ822">_xlfn.IFS(AG822="Yes",1,AG822="No",0,AG822="","")</f>
        <v>0</v>
      </c>
    </row>
    <row r="823" spans="1:36" ht="29">
      <c r="A823" t="s">
        <v>763</v>
      </c>
      <c r="D823" s="4" t="s">
        <v>2035</v>
      </c>
      <c r="E823" s="4" t="s">
        <v>2036</v>
      </c>
      <c r="F823" t="s">
        <v>35</v>
      </c>
      <c r="I823" t="s">
        <v>2037</v>
      </c>
      <c r="U823" s="10" t="str">
        <f t="shared" ca="1" si="30"/>
        <v/>
      </c>
      <c r="V823" s="10" t="str">
        <f t="shared" ca="1" si="31"/>
        <v/>
      </c>
      <c r="AJ823" t="str" cm="1">
        <f t="array" ref="AJ823">_xlfn.IFS(AG823="Yes",1,AG823="No",0,AG823="","")</f>
        <v/>
      </c>
    </row>
    <row r="824" spans="1:36" ht="43.5">
      <c r="A824" t="s">
        <v>763</v>
      </c>
      <c r="D824" s="4" t="s">
        <v>2453</v>
      </c>
      <c r="E824" s="4" t="s">
        <v>2321</v>
      </c>
      <c r="F824" t="s">
        <v>36</v>
      </c>
      <c r="I824" s="7"/>
      <c r="J824" s="10" t="s">
        <v>27</v>
      </c>
      <c r="L824" s="10">
        <v>1</v>
      </c>
      <c r="M824" s="10">
        <v>8</v>
      </c>
      <c r="N824" s="10" t="s">
        <v>2219</v>
      </c>
      <c r="O824" s="10" t="s">
        <v>2159</v>
      </c>
      <c r="S824" s="10">
        <v>12</v>
      </c>
      <c r="U824" s="10" t="str">
        <f t="shared" ref="U824" ca="1" si="32">IF(ISNUMBER(T824),VALUE(MID(_xlfn.FORMULATEXT(T824),SEARCH("-",_xlfn.FORMULATEXT(T824))+1,LEN(_xlfn.FORMULATEXT(T824))-SEARCH("-",_xlfn.FORMULATEXT(T824)))), "")</f>
        <v/>
      </c>
      <c r="V824" s="10" t="str">
        <f t="shared" ref="V824" ca="1" si="33">IF(ISNUMBER(T824), VALUE(MID(_xlfn.FORMULATEXT(T824), 2, SEARCH("-", _xlfn.FORMULATEXT(T824)) - 2)), "")</f>
        <v/>
      </c>
      <c r="W824" s="10" t="s">
        <v>2198</v>
      </c>
      <c r="AG824" t="s">
        <v>19</v>
      </c>
      <c r="AJ824" cm="1">
        <f t="array" ref="AJ824">_xlfn.IFS(AG824="Yes",1,AG824="No",0,AG824="","")</f>
        <v>1</v>
      </c>
    </row>
    <row r="825" spans="1:36" ht="43.5">
      <c r="A825" t="s">
        <v>763</v>
      </c>
      <c r="D825" s="4" t="s">
        <v>2322</v>
      </c>
      <c r="E825" s="4" t="s">
        <v>2321</v>
      </c>
      <c r="F825" t="s">
        <v>36</v>
      </c>
      <c r="I825" s="7"/>
      <c r="J825" s="10" t="s">
        <v>25</v>
      </c>
      <c r="L825" s="10">
        <v>1</v>
      </c>
      <c r="M825" s="10">
        <v>8</v>
      </c>
      <c r="N825" s="10" t="s">
        <v>2219</v>
      </c>
      <c r="O825" s="10" t="s">
        <v>2159</v>
      </c>
      <c r="S825" s="10">
        <v>12</v>
      </c>
      <c r="U825" s="10" t="str">
        <f t="shared" ca="1" si="30"/>
        <v/>
      </c>
      <c r="V825" s="10" t="str">
        <f t="shared" ca="1" si="31"/>
        <v/>
      </c>
      <c r="W825" s="10" t="s">
        <v>2198</v>
      </c>
      <c r="AG825" t="s">
        <v>19</v>
      </c>
      <c r="AJ825" cm="1">
        <f t="array" ref="AJ825">_xlfn.IFS(AG825="Yes",1,AG825="No",0,AG825="","")</f>
        <v>1</v>
      </c>
    </row>
    <row r="826" spans="1:36" ht="43.5">
      <c r="A826" t="s">
        <v>763</v>
      </c>
      <c r="D826" s="4" t="s">
        <v>2323</v>
      </c>
      <c r="E826" s="4" t="s">
        <v>2324</v>
      </c>
      <c r="F826" t="s">
        <v>36</v>
      </c>
      <c r="I826" s="7" t="s">
        <v>2242</v>
      </c>
      <c r="J826" s="10" t="s">
        <v>26</v>
      </c>
      <c r="U826" s="10" t="str">
        <f t="shared" ca="1" si="30"/>
        <v/>
      </c>
      <c r="V826" s="10" t="str">
        <f t="shared" ca="1" si="31"/>
        <v/>
      </c>
      <c r="AG826" t="s">
        <v>19</v>
      </c>
      <c r="AJ826" cm="1">
        <f t="array" ref="AJ826">_xlfn.IFS(AG826="Yes",1,AG826="No",0,AG826="","")</f>
        <v>1</v>
      </c>
    </row>
    <row r="827" spans="1:36" ht="43.5">
      <c r="A827" t="s">
        <v>763</v>
      </c>
      <c r="D827" s="4" t="s">
        <v>2325</v>
      </c>
      <c r="E827" s="4" t="s">
        <v>2326</v>
      </c>
      <c r="F827" t="s">
        <v>36</v>
      </c>
      <c r="I827" s="7" t="s">
        <v>2429</v>
      </c>
      <c r="J827" s="10" t="s">
        <v>25</v>
      </c>
      <c r="L827" s="10">
        <v>1</v>
      </c>
      <c r="M827" s="10">
        <v>2</v>
      </c>
      <c r="N827" s="10" t="s">
        <v>2177</v>
      </c>
      <c r="O827" s="10" t="s">
        <v>2200</v>
      </c>
      <c r="S827" s="10">
        <v>797</v>
      </c>
      <c r="AG827" t="s">
        <v>19</v>
      </c>
      <c r="AJ827" cm="1">
        <f t="array" ref="AJ827">_xlfn.IFS(AG827="Yes",1,AG827="No",0,AG827="","")</f>
        <v>1</v>
      </c>
    </row>
    <row r="828" spans="1:36" ht="43.5">
      <c r="A828" t="s">
        <v>763</v>
      </c>
      <c r="D828" s="4" t="s">
        <v>2327</v>
      </c>
      <c r="E828" s="4" t="s">
        <v>2328</v>
      </c>
      <c r="F828" t="s">
        <v>36</v>
      </c>
      <c r="I828" s="7"/>
      <c r="J828" s="10" t="s">
        <v>2201</v>
      </c>
      <c r="U828" s="10" t="str">
        <f t="shared" ca="1" si="30"/>
        <v/>
      </c>
      <c r="V828" s="10" t="str">
        <f t="shared" ca="1" si="31"/>
        <v/>
      </c>
      <c r="AG828" t="s">
        <v>19</v>
      </c>
      <c r="AJ828" cm="1">
        <f t="array" ref="AJ828">_xlfn.IFS(AG828="Yes",1,AG828="No",0,AG828="","")</f>
        <v>1</v>
      </c>
    </row>
    <row r="829" spans="1:36">
      <c r="A829" t="s">
        <v>764</v>
      </c>
      <c r="D829" s="4" t="s">
        <v>2039</v>
      </c>
      <c r="E829" s="4" t="s">
        <v>2038</v>
      </c>
      <c r="J829" s="10" t="s">
        <v>25</v>
      </c>
      <c r="L829" s="10">
        <v>1</v>
      </c>
      <c r="M829" s="10">
        <v>1</v>
      </c>
      <c r="N829" s="10" t="s">
        <v>2158</v>
      </c>
      <c r="O829" s="10" t="s">
        <v>2200</v>
      </c>
      <c r="S829" s="10">
        <v>2475</v>
      </c>
      <c r="U829" s="10" t="str">
        <f t="shared" ca="1" si="30"/>
        <v/>
      </c>
      <c r="V829" s="10" t="str">
        <f t="shared" ca="1" si="31"/>
        <v/>
      </c>
      <c r="AG829" t="s">
        <v>19</v>
      </c>
      <c r="AJ829" cm="1">
        <f t="array" ref="AJ829">_xlfn.IFS(AG829="Yes",1,AG829="No",0,AG829="","")</f>
        <v>1</v>
      </c>
    </row>
    <row r="830" spans="1:36">
      <c r="A830" t="s">
        <v>764</v>
      </c>
      <c r="D830" s="4" t="s">
        <v>765</v>
      </c>
      <c r="E830" s="4" t="s">
        <v>766</v>
      </c>
      <c r="J830" s="10" t="s">
        <v>2199</v>
      </c>
      <c r="T830" s="10" t="s">
        <v>2200</v>
      </c>
      <c r="U830" s="10" t="str">
        <f t="shared" ca="1" si="30"/>
        <v/>
      </c>
      <c r="V830" s="10" t="str">
        <f t="shared" ca="1" si="31"/>
        <v/>
      </c>
      <c r="AC830" s="10" t="s">
        <v>2223</v>
      </c>
      <c r="AD830" s="10" t="s">
        <v>19</v>
      </c>
      <c r="AE830" s="10" t="s">
        <v>2167</v>
      </c>
      <c r="AG830" t="s">
        <v>19</v>
      </c>
      <c r="AJ830" cm="1">
        <f t="array" ref="AJ830">_xlfn.IFS(AG830="Yes",1,AG830="No",0,AG830="","")</f>
        <v>1</v>
      </c>
    </row>
    <row r="831" spans="1:36">
      <c r="A831" t="s">
        <v>767</v>
      </c>
      <c r="D831" s="4" t="s">
        <v>2041</v>
      </c>
      <c r="E831" s="4" t="s">
        <v>2040</v>
      </c>
      <c r="J831" s="10" t="s">
        <v>2201</v>
      </c>
      <c r="U831" s="10" t="str">
        <f t="shared" ref="U831:U894" ca="1" si="34">IF(ISNUMBER(T831),VALUE(MID(_xlfn.FORMULATEXT(T831),SEARCH("-",_xlfn.FORMULATEXT(T831))+1,LEN(_xlfn.FORMULATEXT(T831))-SEARCH("-",_xlfn.FORMULATEXT(T831)))), "")</f>
        <v/>
      </c>
      <c r="V831" s="10" t="str">
        <f t="shared" ref="V831:V894" ca="1" si="35">IF(ISNUMBER(T831), VALUE(MID(_xlfn.FORMULATEXT(T831), 2, SEARCH("-", _xlfn.FORMULATEXT(T831)) - 2)), "")</f>
        <v/>
      </c>
      <c r="AB831" s="10" t="s">
        <v>2353</v>
      </c>
      <c r="AD831" s="10" t="s">
        <v>19</v>
      </c>
      <c r="AG831" t="s">
        <v>19</v>
      </c>
      <c r="AJ831" cm="1">
        <f t="array" ref="AJ831">_xlfn.IFS(AG831="Yes",1,AG831="No",0,AG831="","")</f>
        <v>1</v>
      </c>
    </row>
    <row r="832" spans="1:36">
      <c r="A832" t="s">
        <v>768</v>
      </c>
      <c r="D832" s="4" t="s">
        <v>769</v>
      </c>
      <c r="E832" s="4" t="s">
        <v>770</v>
      </c>
      <c r="J832" s="10" t="s">
        <v>2199</v>
      </c>
      <c r="T832" s="10" t="s">
        <v>2200</v>
      </c>
      <c r="U832" s="10" t="str">
        <f t="shared" ca="1" si="34"/>
        <v/>
      </c>
      <c r="V832" s="10" t="str">
        <f t="shared" ca="1" si="35"/>
        <v/>
      </c>
      <c r="AC832" s="10" t="s">
        <v>2223</v>
      </c>
      <c r="AD832" s="10" t="s">
        <v>19</v>
      </c>
      <c r="AE832" s="10" t="s">
        <v>2167</v>
      </c>
      <c r="AG832" t="s">
        <v>19</v>
      </c>
      <c r="AJ832" cm="1">
        <f t="array" ref="AJ832">_xlfn.IFS(AG832="Yes",1,AG832="No",0,AG832="","")</f>
        <v>1</v>
      </c>
    </row>
    <row r="833" spans="1:36">
      <c r="A833" t="s">
        <v>768</v>
      </c>
      <c r="D833" s="4" t="s">
        <v>2042</v>
      </c>
      <c r="E833" s="4" t="s">
        <v>2043</v>
      </c>
      <c r="J833" s="10" t="s">
        <v>25</v>
      </c>
      <c r="L833" s="10">
        <v>1</v>
      </c>
      <c r="M833" s="10">
        <v>3</v>
      </c>
      <c r="N833" s="10" t="s">
        <v>2158</v>
      </c>
      <c r="O833" s="10" t="s">
        <v>2159</v>
      </c>
      <c r="S833" s="10">
        <v>2475</v>
      </c>
      <c r="U833" s="10" t="str">
        <f t="shared" ca="1" si="34"/>
        <v/>
      </c>
      <c r="V833" s="10" t="str">
        <f t="shared" ca="1" si="35"/>
        <v/>
      </c>
      <c r="AG833" t="s">
        <v>19</v>
      </c>
      <c r="AJ833" cm="1">
        <f t="array" ref="AJ833">_xlfn.IFS(AG833="Yes",1,AG833="No",0,AG833="","")</f>
        <v>1</v>
      </c>
    </row>
    <row r="834" spans="1:36">
      <c r="A834" t="s">
        <v>771</v>
      </c>
      <c r="D834" s="4" t="s">
        <v>2044</v>
      </c>
      <c r="E834" s="4" t="s">
        <v>2044</v>
      </c>
      <c r="F834" t="s">
        <v>35</v>
      </c>
      <c r="I834" t="s">
        <v>2045</v>
      </c>
      <c r="U834" s="10" t="str">
        <f t="shared" ca="1" si="34"/>
        <v/>
      </c>
      <c r="V834" s="10" t="str">
        <f t="shared" ca="1" si="35"/>
        <v/>
      </c>
      <c r="AJ834" t="str" cm="1">
        <f t="array" ref="AJ834">_xlfn.IFS(AG834="Yes",1,AG834="No",0,AG834="","")</f>
        <v/>
      </c>
    </row>
    <row r="835" spans="1:36">
      <c r="A835" t="s">
        <v>772</v>
      </c>
      <c r="D835" s="4" t="s">
        <v>2046</v>
      </c>
      <c r="E835" s="4" t="s">
        <v>2047</v>
      </c>
      <c r="J835" s="10" t="s">
        <v>25</v>
      </c>
      <c r="L835" s="10">
        <v>1</v>
      </c>
      <c r="M835" s="10">
        <v>1</v>
      </c>
      <c r="N835" s="10" t="s">
        <v>2158</v>
      </c>
      <c r="O835" s="10" t="s">
        <v>2200</v>
      </c>
      <c r="S835" s="10">
        <v>2475</v>
      </c>
      <c r="U835" s="10" t="str">
        <f t="shared" ca="1" si="34"/>
        <v/>
      </c>
      <c r="V835" s="10" t="str">
        <f t="shared" ca="1" si="35"/>
        <v/>
      </c>
      <c r="AG835" t="s">
        <v>19</v>
      </c>
      <c r="AJ835" cm="1">
        <f t="array" ref="AJ835">_xlfn.IFS(AG835="Yes",1,AG835="No",0,AG835="","")</f>
        <v>1</v>
      </c>
    </row>
    <row r="836" spans="1:36">
      <c r="A836" t="s">
        <v>773</v>
      </c>
      <c r="D836" s="4" t="s">
        <v>2048</v>
      </c>
      <c r="E836" s="4" t="s">
        <v>2049</v>
      </c>
      <c r="J836" s="10" t="s">
        <v>2199</v>
      </c>
      <c r="T836" s="10" t="s">
        <v>2220</v>
      </c>
      <c r="U836" s="10" t="str">
        <f t="shared" ca="1" si="34"/>
        <v/>
      </c>
      <c r="V836" s="10" t="str">
        <f t="shared" ca="1" si="35"/>
        <v/>
      </c>
      <c r="AE836" s="10" t="s">
        <v>2157</v>
      </c>
      <c r="AG836" t="s">
        <v>19</v>
      </c>
      <c r="AJ836" cm="1">
        <f t="array" ref="AJ836">_xlfn.IFS(AG836="Yes",1,AG836="No",0,AG836="","")</f>
        <v>1</v>
      </c>
    </row>
    <row r="837" spans="1:36">
      <c r="A837" t="s">
        <v>774</v>
      </c>
      <c r="D837" s="4" t="s">
        <v>2051</v>
      </c>
      <c r="E837" s="4" t="s">
        <v>2050</v>
      </c>
      <c r="J837" s="10" t="s">
        <v>24</v>
      </c>
      <c r="L837" s="10">
        <v>1</v>
      </c>
      <c r="M837" s="10">
        <v>2</v>
      </c>
      <c r="N837" s="10" t="s">
        <v>2158</v>
      </c>
      <c r="O837" s="10" t="s">
        <v>2200</v>
      </c>
      <c r="S837" s="10">
        <v>2475</v>
      </c>
      <c r="U837" s="10" t="str">
        <f t="shared" ca="1" si="34"/>
        <v/>
      </c>
      <c r="V837" s="10" t="str">
        <f t="shared" ca="1" si="35"/>
        <v/>
      </c>
      <c r="AG837" t="s">
        <v>19</v>
      </c>
      <c r="AJ837" cm="1">
        <f t="array" ref="AJ837">_xlfn.IFS(AG837="Yes",1,AG837="No",0,AG837="","")</f>
        <v>1</v>
      </c>
    </row>
    <row r="838" spans="1:36" ht="29">
      <c r="A838" t="s">
        <v>774</v>
      </c>
      <c r="D838" s="4" t="s">
        <v>2052</v>
      </c>
      <c r="E838" s="4" t="s">
        <v>2053</v>
      </c>
      <c r="J838" s="10" t="s">
        <v>2201</v>
      </c>
      <c r="U838" s="10" t="str">
        <f t="shared" ca="1" si="34"/>
        <v/>
      </c>
      <c r="V838" s="10" t="str">
        <f t="shared" ca="1" si="35"/>
        <v/>
      </c>
      <c r="AG838" t="s">
        <v>19</v>
      </c>
      <c r="AJ838" cm="1">
        <f t="array" ref="AJ838">_xlfn.IFS(AG838="Yes",1,AG838="No",0,AG838="","")</f>
        <v>1</v>
      </c>
    </row>
    <row r="839" spans="1:36" ht="29">
      <c r="A839" t="s">
        <v>774</v>
      </c>
      <c r="D839" s="4" t="s">
        <v>2055</v>
      </c>
      <c r="E839" s="4" t="s">
        <v>2054</v>
      </c>
      <c r="J839" s="10" t="s">
        <v>2199</v>
      </c>
      <c r="T839" s="10">
        <f>166-613</f>
        <v>-447</v>
      </c>
      <c r="U839" s="10">
        <f t="shared" ca="1" si="34"/>
        <v>613</v>
      </c>
      <c r="V839" s="10">
        <f t="shared" ca="1" si="35"/>
        <v>166</v>
      </c>
      <c r="AG839" t="s">
        <v>19</v>
      </c>
      <c r="AJ839" cm="1">
        <f t="array" ref="AJ839">_xlfn.IFS(AG839="Yes",1,AG839="No",0,AG839="","")</f>
        <v>1</v>
      </c>
    </row>
    <row r="840" spans="1:36">
      <c r="A840" t="s">
        <v>775</v>
      </c>
      <c r="D840" s="4" t="s">
        <v>1548</v>
      </c>
      <c r="E840" s="4" t="s">
        <v>1547</v>
      </c>
      <c r="J840" s="10" t="s">
        <v>2201</v>
      </c>
      <c r="U840" s="10" t="str">
        <f t="shared" ca="1" si="34"/>
        <v/>
      </c>
      <c r="V840" s="10" t="str">
        <f t="shared" ca="1" si="35"/>
        <v/>
      </c>
      <c r="AG840" t="s">
        <v>19</v>
      </c>
      <c r="AJ840" cm="1">
        <f t="array" ref="AJ840">_xlfn.IFS(AG840="Yes",1,AG840="No",0,AG840="","")</f>
        <v>1</v>
      </c>
    </row>
    <row r="841" spans="1:36">
      <c r="A841" t="s">
        <v>775</v>
      </c>
      <c r="D841" s="4" t="s">
        <v>2056</v>
      </c>
      <c r="E841" s="4" t="s">
        <v>2057</v>
      </c>
      <c r="J841" s="10" t="s">
        <v>2201</v>
      </c>
      <c r="U841" s="10" t="str">
        <f t="shared" ca="1" si="34"/>
        <v/>
      </c>
      <c r="V841" s="10" t="str">
        <f t="shared" ca="1" si="35"/>
        <v/>
      </c>
      <c r="AE841" s="10" t="s">
        <v>2157</v>
      </c>
      <c r="AG841" t="s">
        <v>19</v>
      </c>
      <c r="AJ841" cm="1">
        <f t="array" ref="AJ841">_xlfn.IFS(AG841="Yes",1,AG841="No",0,AG841="","")</f>
        <v>1</v>
      </c>
    </row>
    <row r="842" spans="1:36" ht="29">
      <c r="A842" t="s">
        <v>775</v>
      </c>
      <c r="D842" s="4" t="s">
        <v>2060</v>
      </c>
      <c r="E842" s="4" t="s">
        <v>2061</v>
      </c>
      <c r="H842" t="s">
        <v>19</v>
      </c>
      <c r="J842" s="10" t="s">
        <v>2201</v>
      </c>
      <c r="U842" s="10" t="str">
        <f t="shared" ca="1" si="34"/>
        <v/>
      </c>
      <c r="V842" s="10" t="str">
        <f t="shared" ca="1" si="35"/>
        <v/>
      </c>
      <c r="AE842" s="10" t="s">
        <v>2157</v>
      </c>
      <c r="AG842" t="s">
        <v>20</v>
      </c>
      <c r="AJ842" cm="1">
        <f t="array" ref="AJ842">_xlfn.IFS(AG842="Yes",1,AG842="No",0,AG842="","")</f>
        <v>0</v>
      </c>
    </row>
    <row r="843" spans="1:36" ht="29">
      <c r="A843" t="s">
        <v>775</v>
      </c>
      <c r="D843" s="4" t="s">
        <v>2059</v>
      </c>
      <c r="E843" s="4" t="s">
        <v>2058</v>
      </c>
      <c r="J843" s="10" t="s">
        <v>2199</v>
      </c>
      <c r="T843" s="10">
        <f>1701-171</f>
        <v>1530</v>
      </c>
      <c r="U843" s="10">
        <f t="shared" ca="1" si="34"/>
        <v>171</v>
      </c>
      <c r="V843" s="10">
        <f t="shared" ca="1" si="35"/>
        <v>1701</v>
      </c>
      <c r="AG843" t="s">
        <v>19</v>
      </c>
      <c r="AJ843" cm="1">
        <f t="array" ref="AJ843">_xlfn.IFS(AG843="Yes",1,AG843="No",0,AG843="","")</f>
        <v>1</v>
      </c>
    </row>
    <row r="844" spans="1:36" ht="29">
      <c r="A844" t="s">
        <v>776</v>
      </c>
      <c r="D844" s="4" t="s">
        <v>2062</v>
      </c>
      <c r="E844" s="4" t="s">
        <v>2063</v>
      </c>
      <c r="H844" t="s">
        <v>19</v>
      </c>
      <c r="J844" s="10" t="s">
        <v>2201</v>
      </c>
      <c r="U844" s="10" t="str">
        <f t="shared" ca="1" si="34"/>
        <v/>
      </c>
      <c r="V844" s="10" t="str">
        <f t="shared" ca="1" si="35"/>
        <v/>
      </c>
      <c r="AG844" t="s">
        <v>19</v>
      </c>
      <c r="AJ844" cm="1">
        <f t="array" ref="AJ844">_xlfn.IFS(AG844="Yes",1,AG844="No",0,AG844="","")</f>
        <v>1</v>
      </c>
    </row>
    <row r="845" spans="1:36">
      <c r="A845" t="s">
        <v>776</v>
      </c>
      <c r="D845" s="4" t="s">
        <v>777</v>
      </c>
      <c r="E845" s="4" t="s">
        <v>778</v>
      </c>
      <c r="H845" t="s">
        <v>23</v>
      </c>
      <c r="I845" t="s">
        <v>2064</v>
      </c>
      <c r="J845" s="10" t="s">
        <v>2201</v>
      </c>
      <c r="U845" s="10" t="str">
        <f t="shared" ca="1" si="34"/>
        <v/>
      </c>
      <c r="V845" s="10" t="str">
        <f t="shared" ca="1" si="35"/>
        <v/>
      </c>
      <c r="AC845" s="10" t="s">
        <v>2223</v>
      </c>
      <c r="AD845" s="10" t="s">
        <v>19</v>
      </c>
      <c r="AE845" s="10" t="s">
        <v>2167</v>
      </c>
      <c r="AG845" t="s">
        <v>19</v>
      </c>
      <c r="AJ845" cm="1">
        <f t="array" ref="AJ845">_xlfn.IFS(AG845="Yes",1,AG845="No",0,AG845="","")</f>
        <v>1</v>
      </c>
    </row>
    <row r="846" spans="1:36" ht="29">
      <c r="A846" t="s">
        <v>779</v>
      </c>
      <c r="D846" s="4" t="s">
        <v>2066</v>
      </c>
      <c r="E846" s="4" t="s">
        <v>2065</v>
      </c>
      <c r="J846" s="10" t="s">
        <v>25</v>
      </c>
      <c r="L846" s="10">
        <v>1</v>
      </c>
      <c r="M846" s="10">
        <v>1</v>
      </c>
      <c r="N846" s="10" t="s">
        <v>2158</v>
      </c>
      <c r="O846" s="10" t="s">
        <v>2200</v>
      </c>
      <c r="S846" s="10">
        <v>2475</v>
      </c>
      <c r="U846" s="10" t="str">
        <f t="shared" ca="1" si="34"/>
        <v/>
      </c>
      <c r="V846" s="10" t="str">
        <f t="shared" ca="1" si="35"/>
        <v/>
      </c>
      <c r="AG846" t="s">
        <v>19</v>
      </c>
      <c r="AJ846" cm="1">
        <f t="array" ref="AJ846">_xlfn.IFS(AG846="Yes",1,AG846="No",0,AG846="","")</f>
        <v>1</v>
      </c>
    </row>
    <row r="847" spans="1:36" ht="29">
      <c r="A847" t="s">
        <v>779</v>
      </c>
      <c r="D847" s="4" t="s">
        <v>2067</v>
      </c>
      <c r="E847" s="4" t="s">
        <v>2065</v>
      </c>
      <c r="J847" s="10" t="s">
        <v>25</v>
      </c>
      <c r="L847" s="10">
        <v>1</v>
      </c>
      <c r="M847" s="10">
        <v>3</v>
      </c>
      <c r="N847" s="10" t="s">
        <v>2158</v>
      </c>
      <c r="O847" s="10" t="s">
        <v>2159</v>
      </c>
      <c r="S847" s="10">
        <v>2475</v>
      </c>
      <c r="U847" s="10" t="str">
        <f t="shared" ca="1" si="34"/>
        <v/>
      </c>
      <c r="V847" s="10" t="str">
        <f t="shared" ca="1" si="35"/>
        <v/>
      </c>
      <c r="AG847" t="s">
        <v>19</v>
      </c>
      <c r="AJ847" cm="1">
        <f t="array" ref="AJ847">_xlfn.IFS(AG847="Yes",1,AG847="No",0,AG847="","")</f>
        <v>1</v>
      </c>
    </row>
    <row r="848" spans="1:36" ht="43.5">
      <c r="A848" t="s">
        <v>780</v>
      </c>
      <c r="D848" s="4" t="s">
        <v>2069</v>
      </c>
      <c r="E848" s="4" t="s">
        <v>2068</v>
      </c>
      <c r="J848" s="10" t="s">
        <v>25</v>
      </c>
      <c r="L848" s="10">
        <v>2</v>
      </c>
      <c r="M848" s="10">
        <v>18</v>
      </c>
      <c r="O848" s="10" t="s">
        <v>2153</v>
      </c>
      <c r="P848" s="10" t="s">
        <v>2274</v>
      </c>
      <c r="Q848" s="11" t="s">
        <v>2245</v>
      </c>
      <c r="S848" s="10">
        <v>2</v>
      </c>
      <c r="U848" s="10" t="str">
        <f t="shared" ca="1" si="34"/>
        <v/>
      </c>
      <c r="V848" s="10" t="str">
        <f t="shared" ca="1" si="35"/>
        <v/>
      </c>
      <c r="AG848" t="s">
        <v>19</v>
      </c>
      <c r="AJ848" cm="1">
        <f t="array" ref="AJ848">_xlfn.IFS(AG848="Yes",1,AG848="No",0,AG848="","")</f>
        <v>1</v>
      </c>
    </row>
    <row r="849" spans="1:36">
      <c r="A849" t="s">
        <v>781</v>
      </c>
      <c r="D849" s="4" t="s">
        <v>782</v>
      </c>
      <c r="E849" s="4" t="s">
        <v>783</v>
      </c>
      <c r="J849" s="10" t="s">
        <v>2199</v>
      </c>
      <c r="T849" s="10" t="s">
        <v>2220</v>
      </c>
      <c r="U849" s="10" t="str">
        <f t="shared" ca="1" si="34"/>
        <v/>
      </c>
      <c r="V849" s="10" t="str">
        <f t="shared" ca="1" si="35"/>
        <v/>
      </c>
      <c r="AE849" s="10" t="s">
        <v>2157</v>
      </c>
      <c r="AG849" t="s">
        <v>19</v>
      </c>
      <c r="AJ849" cm="1">
        <f t="array" ref="AJ849">_xlfn.IFS(AG849="Yes",1,AG849="No",0,AG849="","")</f>
        <v>1</v>
      </c>
    </row>
    <row r="850" spans="1:36">
      <c r="A850" t="s">
        <v>781</v>
      </c>
      <c r="D850" s="4" t="s">
        <v>2070</v>
      </c>
      <c r="E850" s="4" t="s">
        <v>2071</v>
      </c>
      <c r="J850" s="10" t="s">
        <v>2199</v>
      </c>
      <c r="T850" s="10">
        <f>1-1</f>
        <v>0</v>
      </c>
      <c r="U850" s="10">
        <f t="shared" ca="1" si="34"/>
        <v>1</v>
      </c>
      <c r="V850" s="10">
        <f t="shared" ca="1" si="35"/>
        <v>1</v>
      </c>
      <c r="AG850" t="s">
        <v>19</v>
      </c>
      <c r="AJ850" cm="1">
        <f t="array" ref="AJ850">_xlfn.IFS(AG850="Yes",1,AG850="No",0,AG850="","")</f>
        <v>1</v>
      </c>
    </row>
    <row r="851" spans="1:36">
      <c r="A851" t="s">
        <v>781</v>
      </c>
      <c r="D851" s="4" t="s">
        <v>784</v>
      </c>
      <c r="E851" s="4" t="s">
        <v>785</v>
      </c>
      <c r="J851" s="10" t="s">
        <v>2201</v>
      </c>
      <c r="U851" s="10" t="str">
        <f t="shared" ca="1" si="34"/>
        <v/>
      </c>
      <c r="V851" s="10" t="str">
        <f t="shared" ca="1" si="35"/>
        <v/>
      </c>
      <c r="AG851" t="s">
        <v>19</v>
      </c>
      <c r="AJ851" cm="1">
        <f t="array" ref="AJ851">_xlfn.IFS(AG851="Yes",1,AG851="No",0,AG851="","")</f>
        <v>1</v>
      </c>
    </row>
    <row r="852" spans="1:36">
      <c r="A852" t="s">
        <v>786</v>
      </c>
      <c r="D852" s="4" t="s">
        <v>2073</v>
      </c>
      <c r="E852" s="4" t="s">
        <v>2074</v>
      </c>
      <c r="J852" s="10" t="s">
        <v>2201</v>
      </c>
      <c r="U852" s="10" t="str">
        <f t="shared" ca="1" si="34"/>
        <v/>
      </c>
      <c r="V852" s="10" t="str">
        <f t="shared" ca="1" si="35"/>
        <v/>
      </c>
      <c r="AG852" t="s">
        <v>19</v>
      </c>
      <c r="AJ852" cm="1">
        <f t="array" ref="AJ852">_xlfn.IFS(AG852="Yes",1,AG852="No",0,AG852="","")</f>
        <v>1</v>
      </c>
    </row>
    <row r="853" spans="1:36">
      <c r="A853" t="s">
        <v>786</v>
      </c>
      <c r="D853" s="4" t="s">
        <v>2075</v>
      </c>
      <c r="E853" s="6" t="s">
        <v>2072</v>
      </c>
      <c r="F853" t="s">
        <v>16</v>
      </c>
      <c r="U853" s="10" t="str">
        <f t="shared" ca="1" si="34"/>
        <v/>
      </c>
      <c r="V853" s="10" t="str">
        <f t="shared" ca="1" si="35"/>
        <v/>
      </c>
      <c r="AJ853" t="str" cm="1">
        <f t="array" ref="AJ853">_xlfn.IFS(AG853="Yes",1,AG853="No",0,AG853="","")</f>
        <v/>
      </c>
    </row>
    <row r="854" spans="1:36">
      <c r="A854" t="s">
        <v>786</v>
      </c>
      <c r="D854" s="4" t="s">
        <v>2077</v>
      </c>
      <c r="E854" s="4" t="s">
        <v>2076</v>
      </c>
      <c r="J854" s="10" t="s">
        <v>24</v>
      </c>
      <c r="L854" s="10">
        <v>1</v>
      </c>
      <c r="M854" s="10">
        <v>3</v>
      </c>
      <c r="N854" s="10" t="s">
        <v>2158</v>
      </c>
      <c r="O854" s="10" t="s">
        <v>2159</v>
      </c>
      <c r="S854" s="10">
        <v>2475</v>
      </c>
      <c r="U854" s="10" t="str">
        <f t="shared" ca="1" si="34"/>
        <v/>
      </c>
      <c r="V854" s="10" t="str">
        <f t="shared" ca="1" si="35"/>
        <v/>
      </c>
      <c r="AG854" t="s">
        <v>19</v>
      </c>
      <c r="AJ854" cm="1">
        <f t="array" ref="AJ854">_xlfn.IFS(AG854="Yes",1,AG854="No",0,AG854="","")</f>
        <v>1</v>
      </c>
    </row>
    <row r="855" spans="1:36">
      <c r="A855" t="s">
        <v>787</v>
      </c>
      <c r="D855" s="4" t="s">
        <v>2079</v>
      </c>
      <c r="E855" s="4" t="s">
        <v>2078</v>
      </c>
      <c r="J855" s="10" t="s">
        <v>2199</v>
      </c>
      <c r="T855" s="10">
        <f>31-280</f>
        <v>-249</v>
      </c>
      <c r="U855" s="10">
        <f t="shared" ca="1" si="34"/>
        <v>280</v>
      </c>
      <c r="V855" s="10">
        <f t="shared" ca="1" si="35"/>
        <v>31</v>
      </c>
      <c r="AG855" t="s">
        <v>19</v>
      </c>
      <c r="AJ855" cm="1">
        <f t="array" ref="AJ855">_xlfn.IFS(AG855="Yes",1,AG855="No",0,AG855="","")</f>
        <v>1</v>
      </c>
    </row>
    <row r="856" spans="1:36" ht="29">
      <c r="A856" t="s">
        <v>787</v>
      </c>
      <c r="D856" s="4" t="s">
        <v>2081</v>
      </c>
      <c r="E856" s="4" t="s">
        <v>2080</v>
      </c>
      <c r="I856" t="s">
        <v>2253</v>
      </c>
      <c r="J856" s="10" t="s">
        <v>26</v>
      </c>
      <c r="U856" s="10" t="str">
        <f t="shared" ca="1" si="34"/>
        <v/>
      </c>
      <c r="V856" s="10" t="str">
        <f t="shared" ca="1" si="35"/>
        <v/>
      </c>
      <c r="AG856" t="s">
        <v>19</v>
      </c>
      <c r="AJ856" cm="1">
        <f t="array" ref="AJ856">_xlfn.IFS(AG856="Yes",1,AG856="No",0,AG856="","")</f>
        <v>1</v>
      </c>
    </row>
    <row r="857" spans="1:36">
      <c r="A857" t="s">
        <v>787</v>
      </c>
      <c r="D857" s="4" t="s">
        <v>2082</v>
      </c>
      <c r="E857" s="4" t="s">
        <v>2083</v>
      </c>
      <c r="J857" s="10" t="s">
        <v>2199</v>
      </c>
      <c r="T857" s="10" t="s">
        <v>2200</v>
      </c>
      <c r="U857" s="10" t="str">
        <f t="shared" ca="1" si="34"/>
        <v/>
      </c>
      <c r="V857" s="10" t="str">
        <f t="shared" ca="1" si="35"/>
        <v/>
      </c>
      <c r="AC857" s="10" t="s">
        <v>2221</v>
      </c>
      <c r="AD857" s="10" t="s">
        <v>19</v>
      </c>
      <c r="AE857" s="10" t="s">
        <v>2167</v>
      </c>
      <c r="AG857" t="s">
        <v>19</v>
      </c>
      <c r="AJ857" cm="1">
        <f t="array" ref="AJ857">_xlfn.IFS(AG857="Yes",1,AG857="No",0,AG857="","")</f>
        <v>1</v>
      </c>
    </row>
    <row r="858" spans="1:36" ht="43.5">
      <c r="A858" t="s">
        <v>787</v>
      </c>
      <c r="D858" s="4" t="s">
        <v>2084</v>
      </c>
      <c r="E858" s="4" t="s">
        <v>2085</v>
      </c>
      <c r="J858" s="10" t="s">
        <v>2201</v>
      </c>
      <c r="U858" s="10" t="str">
        <f t="shared" ca="1" si="34"/>
        <v/>
      </c>
      <c r="V858" s="10" t="str">
        <f t="shared" ca="1" si="35"/>
        <v/>
      </c>
      <c r="AE858" s="10" t="s">
        <v>2163</v>
      </c>
      <c r="AG858" t="s">
        <v>19</v>
      </c>
      <c r="AJ858" cm="1">
        <f t="array" ref="AJ858">_xlfn.IFS(AG858="Yes",1,AG858="No",0,AG858="","")</f>
        <v>1</v>
      </c>
    </row>
    <row r="859" spans="1:36" ht="29">
      <c r="A859" t="s">
        <v>787</v>
      </c>
      <c r="D859" s="4" t="s">
        <v>2086</v>
      </c>
      <c r="E859" s="4" t="s">
        <v>2087</v>
      </c>
      <c r="H859" t="s">
        <v>19</v>
      </c>
      <c r="J859" s="10" t="s">
        <v>2201</v>
      </c>
      <c r="U859" s="10" t="str">
        <f t="shared" ca="1" si="34"/>
        <v/>
      </c>
      <c r="V859" s="10" t="str">
        <f t="shared" ca="1" si="35"/>
        <v/>
      </c>
      <c r="AE859" s="10" t="s">
        <v>2163</v>
      </c>
      <c r="AG859" t="s">
        <v>20</v>
      </c>
      <c r="AJ859" cm="1">
        <f t="array" ref="AJ859">_xlfn.IFS(AG859="Yes",1,AG859="No",0,AG859="","")</f>
        <v>0</v>
      </c>
    </row>
    <row r="860" spans="1:36" ht="43.5">
      <c r="A860" t="s">
        <v>787</v>
      </c>
      <c r="D860" s="4" t="s">
        <v>2089</v>
      </c>
      <c r="E860" s="4" t="s">
        <v>2090</v>
      </c>
      <c r="I860" t="s">
        <v>2253</v>
      </c>
      <c r="J860" s="10" t="s">
        <v>26</v>
      </c>
      <c r="U860" s="10" t="str">
        <f t="shared" ca="1" si="34"/>
        <v/>
      </c>
      <c r="V860" s="10" t="str">
        <f t="shared" ca="1" si="35"/>
        <v/>
      </c>
      <c r="AG860" t="s">
        <v>19</v>
      </c>
      <c r="AJ860" cm="1">
        <f t="array" ref="AJ860">_xlfn.IFS(AG860="Yes",1,AG860="No",0,AG860="","")</f>
        <v>1</v>
      </c>
    </row>
    <row r="861" spans="1:36" ht="29">
      <c r="A861" t="s">
        <v>787</v>
      </c>
      <c r="D861" s="4" t="s">
        <v>2091</v>
      </c>
      <c r="E861" s="4" t="s">
        <v>2088</v>
      </c>
      <c r="J861" s="10" t="s">
        <v>25</v>
      </c>
      <c r="L861" s="10">
        <v>1</v>
      </c>
      <c r="M861" s="10">
        <v>3</v>
      </c>
      <c r="N861" s="10" t="s">
        <v>2175</v>
      </c>
      <c r="O861" s="10" t="s">
        <v>2159</v>
      </c>
      <c r="S861" s="10">
        <v>743</v>
      </c>
      <c r="U861" s="10" t="str">
        <f t="shared" ca="1" si="34"/>
        <v/>
      </c>
      <c r="V861" s="10" t="str">
        <f t="shared" ca="1" si="35"/>
        <v/>
      </c>
      <c r="AG861" t="s">
        <v>19</v>
      </c>
      <c r="AJ861" cm="1">
        <f t="array" ref="AJ861">_xlfn.IFS(AG861="Yes",1,AG861="No",0,AG861="","")</f>
        <v>1</v>
      </c>
    </row>
    <row r="862" spans="1:36">
      <c r="A862" t="s">
        <v>787</v>
      </c>
      <c r="D862" s="4" t="s">
        <v>2092</v>
      </c>
      <c r="E862" s="4" t="s">
        <v>2093</v>
      </c>
      <c r="J862" s="10" t="s">
        <v>2199</v>
      </c>
      <c r="T862" s="10" t="s">
        <v>2200</v>
      </c>
      <c r="U862" s="10" t="str">
        <f t="shared" ca="1" si="34"/>
        <v/>
      </c>
      <c r="V862" s="10" t="str">
        <f t="shared" ca="1" si="35"/>
        <v/>
      </c>
      <c r="AC862" s="10" t="s">
        <v>2221</v>
      </c>
      <c r="AD862" s="10" t="s">
        <v>19</v>
      </c>
      <c r="AE862" s="10" t="s">
        <v>2167</v>
      </c>
      <c r="AG862" t="s">
        <v>19</v>
      </c>
      <c r="AJ862" cm="1">
        <f t="array" ref="AJ862">_xlfn.IFS(AG862="Yes",1,AG862="No",0,AG862="","")</f>
        <v>1</v>
      </c>
    </row>
    <row r="863" spans="1:36" ht="58">
      <c r="A863" t="s">
        <v>788</v>
      </c>
      <c r="D863" s="4" t="s">
        <v>2095</v>
      </c>
      <c r="E863" s="4" t="s">
        <v>2094</v>
      </c>
      <c r="I863" t="s">
        <v>2268</v>
      </c>
      <c r="J863" s="10" t="s">
        <v>26</v>
      </c>
      <c r="U863" s="10" t="str">
        <f t="shared" ca="1" si="34"/>
        <v/>
      </c>
      <c r="V863" s="10" t="str">
        <f t="shared" ca="1" si="35"/>
        <v/>
      </c>
      <c r="AG863" t="s">
        <v>19</v>
      </c>
      <c r="AJ863" cm="1">
        <f t="array" ref="AJ863">_xlfn.IFS(AG863="Yes",1,AG863="No",0,AG863="","")</f>
        <v>1</v>
      </c>
    </row>
    <row r="864" spans="1:36">
      <c r="A864" t="s">
        <v>788</v>
      </c>
      <c r="D864" s="4" t="s">
        <v>2096</v>
      </c>
      <c r="E864" s="4" t="s">
        <v>2097</v>
      </c>
      <c r="J864" s="10" t="s">
        <v>2199</v>
      </c>
      <c r="T864" s="10">
        <f>150-830</f>
        <v>-680</v>
      </c>
      <c r="U864" s="10">
        <f t="shared" ca="1" si="34"/>
        <v>830</v>
      </c>
      <c r="V864" s="10">
        <f t="shared" ca="1" si="35"/>
        <v>150</v>
      </c>
      <c r="AG864" t="s">
        <v>19</v>
      </c>
      <c r="AJ864" cm="1">
        <f t="array" ref="AJ864">_xlfn.IFS(AG864="Yes",1,AG864="No",0,AG864="","")</f>
        <v>1</v>
      </c>
    </row>
    <row r="865" spans="1:36">
      <c r="A865" t="s">
        <v>788</v>
      </c>
      <c r="D865" s="4" t="s">
        <v>2099</v>
      </c>
      <c r="E865" s="4" t="s">
        <v>2100</v>
      </c>
      <c r="J865" s="10" t="s">
        <v>2201</v>
      </c>
      <c r="U865" s="10" t="str">
        <f t="shared" ca="1" si="34"/>
        <v/>
      </c>
      <c r="V865" s="10" t="str">
        <f t="shared" ca="1" si="35"/>
        <v/>
      </c>
      <c r="AG865" t="s">
        <v>19</v>
      </c>
      <c r="AJ865" cm="1">
        <f t="array" ref="AJ865">_xlfn.IFS(AG865="Yes",1,AG865="No",0,AG865="","")</f>
        <v>1</v>
      </c>
    </row>
    <row r="866" spans="1:36">
      <c r="A866" t="s">
        <v>788</v>
      </c>
      <c r="D866" s="4" t="s">
        <v>2101</v>
      </c>
      <c r="E866" s="4" t="s">
        <v>2098</v>
      </c>
      <c r="J866" s="10" t="s">
        <v>25</v>
      </c>
      <c r="L866" s="10">
        <v>1</v>
      </c>
      <c r="M866" s="10">
        <v>3</v>
      </c>
      <c r="N866" s="10" t="s">
        <v>2168</v>
      </c>
      <c r="O866" s="10" t="s">
        <v>2159</v>
      </c>
      <c r="S866" s="10">
        <v>1701</v>
      </c>
      <c r="U866" s="10" t="str">
        <f t="shared" ca="1" si="34"/>
        <v/>
      </c>
      <c r="V866" s="10" t="str">
        <f t="shared" ca="1" si="35"/>
        <v/>
      </c>
      <c r="AG866" t="s">
        <v>19</v>
      </c>
      <c r="AJ866" cm="1">
        <f t="array" ref="AJ866">_xlfn.IFS(AG866="Yes",1,AG866="No",0,AG866="","")</f>
        <v>1</v>
      </c>
    </row>
    <row r="867" spans="1:36" ht="29">
      <c r="A867" t="s">
        <v>789</v>
      </c>
      <c r="D867" s="4" t="s">
        <v>2103</v>
      </c>
      <c r="E867" s="4" t="s">
        <v>2102</v>
      </c>
      <c r="I867" t="s">
        <v>2250</v>
      </c>
      <c r="J867" s="10" t="s">
        <v>26</v>
      </c>
      <c r="U867" s="10" t="str">
        <f t="shared" ca="1" si="34"/>
        <v/>
      </c>
      <c r="V867" s="10" t="str">
        <f t="shared" ca="1" si="35"/>
        <v/>
      </c>
      <c r="AG867" t="s">
        <v>19</v>
      </c>
      <c r="AJ867" cm="1">
        <f t="array" ref="AJ867">_xlfn.IFS(AG867="Yes",1,AG867="No",0,AG867="","")</f>
        <v>1</v>
      </c>
    </row>
    <row r="868" spans="1:36" ht="29">
      <c r="A868" t="s">
        <v>789</v>
      </c>
      <c r="D868" s="4" t="s">
        <v>790</v>
      </c>
      <c r="E868" s="4" t="s">
        <v>791</v>
      </c>
      <c r="H868" t="s">
        <v>19</v>
      </c>
      <c r="J868" s="10" t="s">
        <v>2201</v>
      </c>
      <c r="U868" s="10" t="str">
        <f t="shared" ca="1" si="34"/>
        <v/>
      </c>
      <c r="V868" s="10" t="str">
        <f t="shared" ca="1" si="35"/>
        <v/>
      </c>
      <c r="AG868" t="s">
        <v>20</v>
      </c>
      <c r="AJ868" cm="1">
        <f t="array" ref="AJ868">_xlfn.IFS(AG868="Yes",1,AG868="No",0,AG868="","")</f>
        <v>0</v>
      </c>
    </row>
    <row r="869" spans="1:36">
      <c r="A869" t="s">
        <v>789</v>
      </c>
      <c r="D869" s="4" t="s">
        <v>248</v>
      </c>
      <c r="E869" s="4" t="s">
        <v>76</v>
      </c>
      <c r="J869" s="10" t="s">
        <v>2201</v>
      </c>
      <c r="U869" s="10" t="str">
        <f t="shared" ca="1" si="34"/>
        <v/>
      </c>
      <c r="V869" s="10" t="str">
        <f t="shared" ca="1" si="35"/>
        <v/>
      </c>
      <c r="AG869" t="s">
        <v>19</v>
      </c>
      <c r="AJ869" cm="1">
        <f t="array" ref="AJ869">_xlfn.IFS(AG869="Yes",1,AG869="No",0,AG869="","")</f>
        <v>1</v>
      </c>
    </row>
    <row r="870" spans="1:36">
      <c r="A870" t="s">
        <v>789</v>
      </c>
      <c r="D870" s="4" t="s">
        <v>2450</v>
      </c>
      <c r="E870" s="4" t="s">
        <v>2104</v>
      </c>
      <c r="J870" s="10" t="s">
        <v>2199</v>
      </c>
      <c r="T870" s="10">
        <f>7-31</f>
        <v>-24</v>
      </c>
      <c r="U870" s="10">
        <f t="shared" ca="1" si="34"/>
        <v>31</v>
      </c>
      <c r="V870" s="10">
        <f t="shared" ca="1" si="35"/>
        <v>7</v>
      </c>
      <c r="AG870" t="s">
        <v>19</v>
      </c>
      <c r="AJ870" cm="1">
        <f t="array" ref="AJ870">_xlfn.IFS(AG870="Yes",1,AG870="No",0,AG870="","")</f>
        <v>1</v>
      </c>
    </row>
    <row r="871" spans="1:36" ht="29">
      <c r="A871" t="s">
        <v>789</v>
      </c>
      <c r="D871" s="4" t="s">
        <v>2105</v>
      </c>
      <c r="E871" s="4" t="s">
        <v>2106</v>
      </c>
      <c r="J871" s="10" t="s">
        <v>2201</v>
      </c>
      <c r="U871" s="10" t="str">
        <f t="shared" ca="1" si="34"/>
        <v/>
      </c>
      <c r="V871" s="10" t="str">
        <f t="shared" ca="1" si="35"/>
        <v/>
      </c>
      <c r="AG871" t="s">
        <v>19</v>
      </c>
      <c r="AJ871" cm="1">
        <f t="array" ref="AJ871">_xlfn.IFS(AG871="Yes",1,AG871="No",0,AG871="","")</f>
        <v>1</v>
      </c>
    </row>
    <row r="872" spans="1:36">
      <c r="A872" t="s">
        <v>792</v>
      </c>
      <c r="D872" s="4" t="s">
        <v>2107</v>
      </c>
      <c r="E872" s="4" t="s">
        <v>2108</v>
      </c>
      <c r="J872" s="10" t="s">
        <v>25</v>
      </c>
      <c r="L872" s="10">
        <v>1</v>
      </c>
      <c r="M872" s="10">
        <v>3</v>
      </c>
      <c r="N872" s="10" t="s">
        <v>2168</v>
      </c>
      <c r="O872" s="10" t="s">
        <v>2159</v>
      </c>
      <c r="S872" s="10">
        <v>1701</v>
      </c>
      <c r="U872" s="10" t="str">
        <f t="shared" ca="1" si="34"/>
        <v/>
      </c>
      <c r="V872" s="10" t="str">
        <f t="shared" ca="1" si="35"/>
        <v/>
      </c>
      <c r="AG872" t="s">
        <v>19</v>
      </c>
      <c r="AJ872" cm="1">
        <f t="array" ref="AJ872">_xlfn.IFS(AG872="Yes",1,AG872="No",0,AG872="","")</f>
        <v>1</v>
      </c>
    </row>
    <row r="873" spans="1:36">
      <c r="A873" t="s">
        <v>793</v>
      </c>
      <c r="D873" s="4" t="s">
        <v>2109</v>
      </c>
      <c r="E873" s="4" t="s">
        <v>2110</v>
      </c>
      <c r="J873" s="10" t="s">
        <v>24</v>
      </c>
      <c r="L873" s="10">
        <v>1</v>
      </c>
      <c r="M873" s="10">
        <v>2</v>
      </c>
      <c r="N873" s="10" t="s">
        <v>2177</v>
      </c>
      <c r="O873" s="10" t="s">
        <v>2200</v>
      </c>
      <c r="S873" s="10">
        <v>613</v>
      </c>
      <c r="U873" s="10" t="str">
        <f t="shared" ca="1" si="34"/>
        <v/>
      </c>
      <c r="V873" s="10" t="str">
        <f t="shared" ca="1" si="35"/>
        <v/>
      </c>
      <c r="AG873" t="s">
        <v>20</v>
      </c>
      <c r="AJ873" cm="1">
        <f t="array" ref="AJ873">_xlfn.IFS(AG873="Yes",1,AG873="No",0,AG873="","")</f>
        <v>0</v>
      </c>
    </row>
    <row r="874" spans="1:36">
      <c r="A874" t="s">
        <v>793</v>
      </c>
      <c r="D874" s="4" t="s">
        <v>794</v>
      </c>
      <c r="E874" s="4" t="s">
        <v>795</v>
      </c>
      <c r="J874" s="10" t="s">
        <v>2201</v>
      </c>
      <c r="U874" s="10" t="str">
        <f t="shared" ca="1" si="34"/>
        <v/>
      </c>
      <c r="V874" s="10" t="str">
        <f t="shared" ca="1" si="35"/>
        <v/>
      </c>
      <c r="AC874" s="10" t="s">
        <v>2233</v>
      </c>
      <c r="AD874" s="10" t="s">
        <v>19</v>
      </c>
      <c r="AG874" t="s">
        <v>19</v>
      </c>
      <c r="AJ874" cm="1">
        <f t="array" ref="AJ874">_xlfn.IFS(AG874="Yes",1,AG874="No",0,AG874="","")</f>
        <v>1</v>
      </c>
    </row>
    <row r="875" spans="1:36" ht="29">
      <c r="A875" t="s">
        <v>796</v>
      </c>
      <c r="D875" s="4" t="s">
        <v>2111</v>
      </c>
      <c r="E875" s="4" t="s">
        <v>2112</v>
      </c>
      <c r="I875" t="s">
        <v>2329</v>
      </c>
      <c r="J875" s="10" t="s">
        <v>2199</v>
      </c>
      <c r="T875" s="10">
        <f>31-27</f>
        <v>4</v>
      </c>
      <c r="U875" s="10">
        <f t="shared" ca="1" si="34"/>
        <v>27</v>
      </c>
      <c r="V875" s="10">
        <f t="shared" ca="1" si="35"/>
        <v>31</v>
      </c>
      <c r="W875" s="10" t="s">
        <v>2198</v>
      </c>
      <c r="AG875" t="s">
        <v>19</v>
      </c>
      <c r="AJ875" cm="1">
        <f t="array" ref="AJ875">_xlfn.IFS(AG875="Yes",1,AG875="No",0,AG875="","")</f>
        <v>1</v>
      </c>
    </row>
    <row r="876" spans="1:36">
      <c r="A876" t="s">
        <v>796</v>
      </c>
      <c r="D876" s="4" t="s">
        <v>2114</v>
      </c>
      <c r="E876" s="4" t="s">
        <v>2113</v>
      </c>
      <c r="J876" s="10" t="s">
        <v>24</v>
      </c>
      <c r="L876" s="10">
        <v>1</v>
      </c>
      <c r="M876" s="10">
        <v>3</v>
      </c>
      <c r="N876" s="10" t="s">
        <v>2168</v>
      </c>
      <c r="O876" s="10" t="s">
        <v>2159</v>
      </c>
      <c r="S876" s="10">
        <v>1701</v>
      </c>
      <c r="U876" s="10" t="str">
        <f t="shared" ca="1" si="34"/>
        <v/>
      </c>
      <c r="V876" s="10" t="str">
        <f t="shared" ca="1" si="35"/>
        <v/>
      </c>
      <c r="AG876" t="s">
        <v>19</v>
      </c>
      <c r="AJ876" cm="1">
        <f t="array" ref="AJ876">_xlfn.IFS(AG876="Yes",1,AG876="No",0,AG876="","")</f>
        <v>1</v>
      </c>
    </row>
    <row r="877" spans="1:36">
      <c r="A877" t="s">
        <v>796</v>
      </c>
      <c r="D877" s="4" t="s">
        <v>797</v>
      </c>
      <c r="E877" s="4" t="s">
        <v>798</v>
      </c>
      <c r="J877" s="10" t="s">
        <v>2201</v>
      </c>
      <c r="U877" s="10" t="str">
        <f t="shared" ca="1" si="34"/>
        <v/>
      </c>
      <c r="V877" s="10" t="str">
        <f t="shared" ca="1" si="35"/>
        <v/>
      </c>
      <c r="AG877" t="s">
        <v>19</v>
      </c>
      <c r="AJ877" cm="1">
        <f t="array" ref="AJ877">_xlfn.IFS(AG877="Yes",1,AG877="No",0,AG877="","")</f>
        <v>1</v>
      </c>
    </row>
    <row r="878" spans="1:36">
      <c r="A878" t="s">
        <v>799</v>
      </c>
      <c r="D878" s="4" t="s">
        <v>800</v>
      </c>
      <c r="E878" s="4" t="s">
        <v>801</v>
      </c>
      <c r="J878" s="10" t="s">
        <v>2199</v>
      </c>
      <c r="T878" s="10" t="s">
        <v>2220</v>
      </c>
      <c r="U878" s="10" t="str">
        <f t="shared" ca="1" si="34"/>
        <v/>
      </c>
      <c r="V878" s="10" t="str">
        <f t="shared" ca="1" si="35"/>
        <v/>
      </c>
      <c r="AB878" s="10" t="s">
        <v>2235</v>
      </c>
      <c r="AC878" s="10" t="s">
        <v>2233</v>
      </c>
      <c r="AD878" s="10" t="s">
        <v>19</v>
      </c>
      <c r="AG878" t="s">
        <v>19</v>
      </c>
      <c r="AJ878" cm="1">
        <f t="array" ref="AJ878">_xlfn.IFS(AG878="Yes",1,AG878="No",0,AG878="","")</f>
        <v>1</v>
      </c>
    </row>
    <row r="879" spans="1:36" ht="29">
      <c r="A879" t="s">
        <v>799</v>
      </c>
      <c r="D879" s="4" t="s">
        <v>2116</v>
      </c>
      <c r="E879" s="4" t="s">
        <v>2115</v>
      </c>
      <c r="J879" s="10" t="s">
        <v>2201</v>
      </c>
      <c r="U879" s="10" t="str">
        <f t="shared" ca="1" si="34"/>
        <v/>
      </c>
      <c r="V879" s="10" t="str">
        <f t="shared" ca="1" si="35"/>
        <v/>
      </c>
      <c r="AG879" t="s">
        <v>19</v>
      </c>
      <c r="AJ879" cm="1">
        <f t="array" ref="AJ879">_xlfn.IFS(AG879="Yes",1,AG879="No",0,AG879="","")</f>
        <v>1</v>
      </c>
    </row>
    <row r="880" spans="1:36">
      <c r="A880" t="s">
        <v>799</v>
      </c>
      <c r="D880" s="4" t="s">
        <v>802</v>
      </c>
      <c r="E880" s="4" t="s">
        <v>803</v>
      </c>
      <c r="J880" s="10" t="s">
        <v>2199</v>
      </c>
      <c r="T880" s="10" t="s">
        <v>2220</v>
      </c>
      <c r="U880" s="10" t="str">
        <f t="shared" ca="1" si="34"/>
        <v/>
      </c>
      <c r="V880" s="10" t="str">
        <f t="shared" ca="1" si="35"/>
        <v/>
      </c>
      <c r="AC880" s="10" t="s">
        <v>2251</v>
      </c>
      <c r="AD880" s="10" t="s">
        <v>19</v>
      </c>
      <c r="AG880" t="s">
        <v>19</v>
      </c>
      <c r="AJ880" cm="1">
        <f t="array" ref="AJ880">_xlfn.IFS(AG880="Yes",1,AG880="No",0,AG880="","")</f>
        <v>1</v>
      </c>
    </row>
    <row r="881" spans="1:36" ht="29">
      <c r="A881" t="s">
        <v>799</v>
      </c>
      <c r="D881" s="4" t="s">
        <v>2118</v>
      </c>
      <c r="E881" s="4" t="s">
        <v>2117</v>
      </c>
      <c r="J881" s="10" t="s">
        <v>2199</v>
      </c>
      <c r="T881" s="10">
        <f>86-204</f>
        <v>-118</v>
      </c>
      <c r="U881" s="10">
        <f t="shared" ca="1" si="34"/>
        <v>204</v>
      </c>
      <c r="V881" s="10">
        <f t="shared" ca="1" si="35"/>
        <v>86</v>
      </c>
      <c r="AG881" t="s">
        <v>19</v>
      </c>
      <c r="AJ881" cm="1">
        <f t="array" ref="AJ881">_xlfn.IFS(AG881="Yes",1,AG881="No",0,AG881="","")</f>
        <v>1</v>
      </c>
    </row>
    <row r="882" spans="1:36" ht="29">
      <c r="A882" t="s">
        <v>799</v>
      </c>
      <c r="D882" s="4" t="s">
        <v>2120</v>
      </c>
      <c r="E882" s="4" t="s">
        <v>2119</v>
      </c>
      <c r="J882" s="10" t="s">
        <v>24</v>
      </c>
      <c r="L882" s="10">
        <v>1</v>
      </c>
      <c r="M882" s="10">
        <v>3</v>
      </c>
      <c r="N882" s="10" t="s">
        <v>2158</v>
      </c>
      <c r="O882" s="10" t="s">
        <v>2159</v>
      </c>
      <c r="S882" s="10">
        <v>2475</v>
      </c>
      <c r="U882" s="10" t="str">
        <f t="shared" ca="1" si="34"/>
        <v/>
      </c>
      <c r="V882" s="10" t="str">
        <f t="shared" ca="1" si="35"/>
        <v/>
      </c>
      <c r="AG882" t="s">
        <v>19</v>
      </c>
      <c r="AJ882" cm="1">
        <f t="array" ref="AJ882">_xlfn.IFS(AG882="Yes",1,AG882="No",0,AG882="","")</f>
        <v>1</v>
      </c>
    </row>
    <row r="883" spans="1:36">
      <c r="A883" t="s">
        <v>804</v>
      </c>
      <c r="D883" s="4" t="s">
        <v>805</v>
      </c>
      <c r="E883" s="4" t="s">
        <v>806</v>
      </c>
      <c r="J883" s="10" t="s">
        <v>2201</v>
      </c>
      <c r="U883" s="10" t="str">
        <f t="shared" ca="1" si="34"/>
        <v/>
      </c>
      <c r="V883" s="10" t="str">
        <f t="shared" ca="1" si="35"/>
        <v/>
      </c>
      <c r="AC883" s="10" t="s">
        <v>2252</v>
      </c>
      <c r="AD883" s="10" t="s">
        <v>19</v>
      </c>
      <c r="AG883" t="s">
        <v>19</v>
      </c>
      <c r="AJ883" cm="1">
        <f t="array" ref="AJ883">_xlfn.IFS(AG883="Yes",1,AG883="No",0,AG883="","")</f>
        <v>1</v>
      </c>
    </row>
    <row r="884" spans="1:36" ht="29">
      <c r="A884" t="s">
        <v>804</v>
      </c>
      <c r="D884" s="4" t="s">
        <v>2121</v>
      </c>
      <c r="E884" s="4" t="s">
        <v>2122</v>
      </c>
      <c r="G884" t="s">
        <v>19</v>
      </c>
      <c r="J884" s="10" t="s">
        <v>2201</v>
      </c>
      <c r="U884" s="10" t="str">
        <f t="shared" ca="1" si="34"/>
        <v/>
      </c>
      <c r="V884" s="10" t="str">
        <f t="shared" ca="1" si="35"/>
        <v/>
      </c>
      <c r="AG884" t="s">
        <v>19</v>
      </c>
      <c r="AJ884" cm="1">
        <f t="array" ref="AJ884">_xlfn.IFS(AG884="Yes",1,AG884="No",0,AG884="","")</f>
        <v>1</v>
      </c>
    </row>
    <row r="885" spans="1:36" ht="29">
      <c r="A885" t="s">
        <v>804</v>
      </c>
      <c r="D885" s="4" t="s">
        <v>2124</v>
      </c>
      <c r="E885" s="4" t="s">
        <v>2123</v>
      </c>
      <c r="J885" s="10" t="s">
        <v>2199</v>
      </c>
      <c r="T885" s="10">
        <f>613-166</f>
        <v>447</v>
      </c>
      <c r="U885" s="10">
        <f t="shared" ca="1" si="34"/>
        <v>166</v>
      </c>
      <c r="V885" s="10">
        <f t="shared" ca="1" si="35"/>
        <v>613</v>
      </c>
      <c r="AG885" t="s">
        <v>19</v>
      </c>
      <c r="AJ885" cm="1">
        <f t="array" ref="AJ885">_xlfn.IFS(AG885="Yes",1,AG885="No",0,AG885="","")</f>
        <v>1</v>
      </c>
    </row>
    <row r="886" spans="1:36" ht="58">
      <c r="A886" t="s">
        <v>804</v>
      </c>
      <c r="D886" s="4" t="s">
        <v>2126</v>
      </c>
      <c r="E886" s="4" t="s">
        <v>2125</v>
      </c>
      <c r="I886" t="s">
        <v>2296</v>
      </c>
      <c r="J886" s="10" t="s">
        <v>26</v>
      </c>
      <c r="U886" s="10" t="str">
        <f t="shared" ca="1" si="34"/>
        <v/>
      </c>
      <c r="V886" s="10" t="str">
        <f t="shared" ca="1" si="35"/>
        <v/>
      </c>
      <c r="AG886" t="s">
        <v>19</v>
      </c>
      <c r="AJ886" cm="1">
        <f t="array" ref="AJ886">_xlfn.IFS(AG886="Yes",1,AG886="No",0,AG886="","")</f>
        <v>1</v>
      </c>
    </row>
    <row r="887" spans="1:36" ht="29">
      <c r="A887" t="s">
        <v>807</v>
      </c>
      <c r="D887" s="4" t="s">
        <v>2128</v>
      </c>
      <c r="E887" s="4" t="s">
        <v>2127</v>
      </c>
      <c r="J887" s="10" t="s">
        <v>2199</v>
      </c>
      <c r="T887" s="10">
        <f>2475-75</f>
        <v>2400</v>
      </c>
      <c r="U887" s="10">
        <f t="shared" ca="1" si="34"/>
        <v>75</v>
      </c>
      <c r="V887" s="10">
        <f t="shared" ca="1" si="35"/>
        <v>2475</v>
      </c>
      <c r="AG887" t="s">
        <v>19</v>
      </c>
      <c r="AJ887" cm="1">
        <f t="array" ref="AJ887">_xlfn.IFS(AG887="Yes",1,AG887="No",0,AG887="","")</f>
        <v>1</v>
      </c>
    </row>
    <row r="888" spans="1:36" ht="43.5">
      <c r="A888" t="s">
        <v>807</v>
      </c>
      <c r="D888" s="4" t="s">
        <v>2130</v>
      </c>
      <c r="E888" s="4" t="s">
        <v>2129</v>
      </c>
      <c r="I888" t="s">
        <v>2296</v>
      </c>
      <c r="J888" s="10" t="s">
        <v>26</v>
      </c>
      <c r="U888" s="10" t="str">
        <f t="shared" ca="1" si="34"/>
        <v/>
      </c>
      <c r="V888" s="10" t="str">
        <f t="shared" ca="1" si="35"/>
        <v/>
      </c>
      <c r="AG888" t="s">
        <v>19</v>
      </c>
      <c r="AJ888" cm="1">
        <f t="array" ref="AJ888">_xlfn.IFS(AG888="Yes",1,AG888="No",0,AG888="","")</f>
        <v>1</v>
      </c>
    </row>
    <row r="889" spans="1:36" ht="43.5">
      <c r="A889" t="s">
        <v>808</v>
      </c>
      <c r="D889" s="4" t="s">
        <v>2131</v>
      </c>
      <c r="E889" s="4" t="s">
        <v>2132</v>
      </c>
      <c r="J889" s="10" t="s">
        <v>24</v>
      </c>
      <c r="L889" s="10">
        <v>1</v>
      </c>
      <c r="M889" s="10">
        <v>4</v>
      </c>
      <c r="N889" s="10" t="s">
        <v>2158</v>
      </c>
      <c r="O889" s="10" t="s">
        <v>2153</v>
      </c>
      <c r="P889" s="10" t="s">
        <v>2231</v>
      </c>
      <c r="Q889" s="11" t="s">
        <v>2230</v>
      </c>
      <c r="S889" s="10">
        <v>2475</v>
      </c>
      <c r="U889" s="10" t="str">
        <f t="shared" ca="1" si="34"/>
        <v/>
      </c>
      <c r="V889" s="10" t="str">
        <f t="shared" ca="1" si="35"/>
        <v/>
      </c>
      <c r="AG889" t="s">
        <v>19</v>
      </c>
      <c r="AJ889" cm="1">
        <f t="array" ref="AJ889">_xlfn.IFS(AG889="Yes",1,AG889="No",0,AG889="","")</f>
        <v>1</v>
      </c>
    </row>
    <row r="890" spans="1:36" ht="43.5">
      <c r="A890" t="s">
        <v>808</v>
      </c>
      <c r="D890" s="4" t="s">
        <v>2131</v>
      </c>
      <c r="E890" s="4" t="s">
        <v>2133</v>
      </c>
      <c r="J890" s="10" t="s">
        <v>24</v>
      </c>
      <c r="L890" s="10">
        <v>1</v>
      </c>
      <c r="M890" s="10">
        <v>3</v>
      </c>
      <c r="N890" s="10" t="s">
        <v>2158</v>
      </c>
      <c r="O890" s="10" t="s">
        <v>2159</v>
      </c>
      <c r="S890" s="10">
        <v>2475</v>
      </c>
      <c r="U890" s="10" t="str">
        <f t="shared" ca="1" si="34"/>
        <v/>
      </c>
      <c r="V890" s="10" t="str">
        <f t="shared" ca="1" si="35"/>
        <v/>
      </c>
      <c r="AG890" t="s">
        <v>19</v>
      </c>
      <c r="AJ890" cm="1">
        <f t="array" ref="AJ890">_xlfn.IFS(AG890="Yes",1,AG890="No",0,AG890="","")</f>
        <v>1</v>
      </c>
    </row>
    <row r="891" spans="1:36">
      <c r="A891" t="s">
        <v>809</v>
      </c>
      <c r="D891" s="4" t="s">
        <v>2135</v>
      </c>
      <c r="E891" s="4" t="s">
        <v>2134</v>
      </c>
      <c r="J891" s="10" t="s">
        <v>24</v>
      </c>
      <c r="L891" s="10">
        <v>1</v>
      </c>
      <c r="M891" s="10">
        <v>4</v>
      </c>
      <c r="N891" s="10" t="s">
        <v>2158</v>
      </c>
      <c r="O891" s="10" t="s">
        <v>2153</v>
      </c>
      <c r="P891" s="10" t="s">
        <v>2231</v>
      </c>
      <c r="Q891" s="11" t="s">
        <v>2230</v>
      </c>
      <c r="S891" s="10">
        <v>2475</v>
      </c>
      <c r="U891" s="10" t="str">
        <f t="shared" ca="1" si="34"/>
        <v/>
      </c>
      <c r="V891" s="10" t="str">
        <f t="shared" ca="1" si="35"/>
        <v/>
      </c>
      <c r="AG891" t="s">
        <v>19</v>
      </c>
      <c r="AJ891" cm="1">
        <f t="array" ref="AJ891">_xlfn.IFS(AG891="Yes",1,AG891="No",0,AG891="","")</f>
        <v>1</v>
      </c>
    </row>
    <row r="892" spans="1:36">
      <c r="A892" t="s">
        <v>810</v>
      </c>
      <c r="D892" s="4" t="s">
        <v>2136</v>
      </c>
      <c r="E892" s="4" t="s">
        <v>2137</v>
      </c>
      <c r="J892" s="10" t="s">
        <v>2199</v>
      </c>
      <c r="T892" s="10">
        <f>2475-830</f>
        <v>1645</v>
      </c>
      <c r="U892" s="10">
        <f t="shared" ca="1" si="34"/>
        <v>830</v>
      </c>
      <c r="V892" s="10">
        <f t="shared" ca="1" si="35"/>
        <v>2475</v>
      </c>
      <c r="AG892" t="s">
        <v>20</v>
      </c>
      <c r="AJ892" cm="1">
        <f t="array" ref="AJ892">_xlfn.IFS(AG892="Yes",1,AG892="No",0,AG892="","")</f>
        <v>0</v>
      </c>
    </row>
    <row r="893" spans="1:36">
      <c r="A893" t="s">
        <v>811</v>
      </c>
      <c r="D893" s="4" t="s">
        <v>2138</v>
      </c>
      <c r="E893" s="4" t="s">
        <v>2139</v>
      </c>
      <c r="J893" s="10" t="s">
        <v>2199</v>
      </c>
      <c r="T893" s="10" t="s">
        <v>2220</v>
      </c>
      <c r="U893" s="10" t="str">
        <f t="shared" ca="1" si="34"/>
        <v/>
      </c>
      <c r="V893" s="10" t="str">
        <f t="shared" ca="1" si="35"/>
        <v/>
      </c>
      <c r="AC893" s="10" t="s">
        <v>2222</v>
      </c>
      <c r="AD893" s="10" t="s">
        <v>19</v>
      </c>
      <c r="AG893" t="s">
        <v>19</v>
      </c>
      <c r="AJ893" cm="1">
        <f t="array" ref="AJ893">_xlfn.IFS(AG893="Yes",1,AG893="No",0,AG893="","")</f>
        <v>1</v>
      </c>
    </row>
    <row r="894" spans="1:36" ht="29">
      <c r="A894" t="s">
        <v>812</v>
      </c>
      <c r="D894" s="4" t="s">
        <v>2141</v>
      </c>
      <c r="E894" s="4" t="s">
        <v>2142</v>
      </c>
      <c r="J894" s="10" t="s">
        <v>24</v>
      </c>
      <c r="L894" s="10">
        <v>2</v>
      </c>
      <c r="M894" s="10">
        <v>4</v>
      </c>
      <c r="O894" s="10" t="s">
        <v>2159</v>
      </c>
      <c r="S894" s="10">
        <v>613</v>
      </c>
      <c r="U894" s="10" t="str">
        <f t="shared" ca="1" si="34"/>
        <v/>
      </c>
      <c r="V894" s="10" t="str">
        <f t="shared" ca="1" si="35"/>
        <v/>
      </c>
      <c r="AG894" t="s">
        <v>19</v>
      </c>
      <c r="AJ894" cm="1">
        <f t="array" ref="AJ894">_xlfn.IFS(AG894="Yes",1,AG894="No",0,AG894="","")</f>
        <v>1</v>
      </c>
    </row>
    <row r="895" spans="1:36" ht="29">
      <c r="A895" t="s">
        <v>812</v>
      </c>
      <c r="D895" s="4" t="s">
        <v>2143</v>
      </c>
      <c r="E895" s="4" t="s">
        <v>2140</v>
      </c>
      <c r="I895" s="7" t="s">
        <v>2144</v>
      </c>
      <c r="J895" s="10" t="s">
        <v>25</v>
      </c>
      <c r="L895" s="10">
        <v>1</v>
      </c>
      <c r="M895" s="10">
        <v>5</v>
      </c>
      <c r="N895" s="10" t="s">
        <v>2152</v>
      </c>
      <c r="O895" s="10" t="s">
        <v>2159</v>
      </c>
      <c r="S895" s="10">
        <v>24</v>
      </c>
      <c r="U895" s="10" t="str">
        <f t="shared" ref="U895" ca="1" si="36">IF(ISNUMBER(T895),VALUE(MID(_xlfn.FORMULATEXT(T895),SEARCH("-",_xlfn.FORMULATEXT(T895))+1,LEN(_xlfn.FORMULATEXT(T895))-SEARCH("-",_xlfn.FORMULATEXT(T895)))), "")</f>
        <v/>
      </c>
      <c r="V895" s="10" t="str">
        <f t="shared" ref="V895" ca="1" si="37">IF(ISNUMBER(T895), VALUE(MID(_xlfn.FORMULATEXT(T895), 2, SEARCH("-", _xlfn.FORMULATEXT(T895)) - 2)), "")</f>
        <v/>
      </c>
      <c r="AG895" t="s">
        <v>19</v>
      </c>
      <c r="AJ895" cm="1">
        <f t="array" ref="AJ895">_xlfn.IFS(AG895="Yes",1,AG895="No",0,AG895="","")</f>
        <v>1</v>
      </c>
    </row>
    <row r="897" spans="4:38">
      <c r="D897" s="4" t="s">
        <v>2205</v>
      </c>
      <c r="E897" s="4">
        <f>SUBTOTAL(3,A2:A895)</f>
        <v>894</v>
      </c>
    </row>
    <row r="898" spans="4:38">
      <c r="D898" s="4" t="s">
        <v>2206</v>
      </c>
      <c r="E898" s="4">
        <f>COUNTA(A2:A895)</f>
        <v>894</v>
      </c>
      <c r="AJ898" t="s">
        <v>2330</v>
      </c>
      <c r="AK898" t="s">
        <v>2333</v>
      </c>
      <c r="AL898" t="s">
        <v>2334</v>
      </c>
    </row>
    <row r="899" spans="4:38">
      <c r="D899" s="4"/>
    </row>
    <row r="900" spans="4:38">
      <c r="D900" s="4" t="s">
        <v>2341</v>
      </c>
      <c r="E900" s="4" t="s">
        <v>2339</v>
      </c>
      <c r="AJ900" t="s">
        <v>2331</v>
      </c>
      <c r="AK900">
        <f>COUNTIF(AG2:AG895,"No")</f>
        <v>134</v>
      </c>
      <c r="AL900">
        <f>SUBTOTAL(2,AJ2:AJ895)-AL901</f>
        <v>134</v>
      </c>
    </row>
    <row r="901" spans="4:38">
      <c r="D901" s="4" t="s">
        <v>2335</v>
      </c>
      <c r="E901" s="4">
        <v>27</v>
      </c>
      <c r="AJ901" t="s">
        <v>2165</v>
      </c>
      <c r="AK901">
        <f>COUNTIF(AG2:AG895,"Yes")</f>
        <v>735</v>
      </c>
      <c r="AL901">
        <f>SUBTOTAL(9,AJ2:AJ895)</f>
        <v>735</v>
      </c>
    </row>
    <row r="902" spans="4:38">
      <c r="D902" s="4" t="s">
        <v>2336</v>
      </c>
      <c r="E902" s="4">
        <v>20</v>
      </c>
      <c r="AJ902" t="s">
        <v>2332</v>
      </c>
      <c r="AK902">
        <f>AK901/(AK900+AK901)</f>
        <v>0.84579976985040273</v>
      </c>
      <c r="AL902">
        <f>AL901/(AL900+AL901)</f>
        <v>0.84579976985040273</v>
      </c>
    </row>
    <row r="903" spans="4:38">
      <c r="E903" s="4" t="s">
        <v>2340</v>
      </c>
    </row>
    <row r="904" spans="4:38">
      <c r="D904" s="4" t="s">
        <v>2335</v>
      </c>
      <c r="E904" s="4">
        <v>24</v>
      </c>
    </row>
    <row r="905" spans="4:38">
      <c r="D905" s="4" t="s">
        <v>2336</v>
      </c>
      <c r="E905" s="4">
        <v>20</v>
      </c>
    </row>
    <row r="908" spans="4:38">
      <c r="E908" s="4">
        <f>COUNTIF(F:F, "Autograph transcript error, but still a variant") + COUNTIF(F:F, "Apograph transcript error, but still a variant") + COUNTIF(F:F, "Not a variant: autograph transcript error") + COUNTIF(F:F, "Not a variant: apograph transcript error")</f>
        <v>5</v>
      </c>
    </row>
  </sheetData>
  <conditionalFormatting sqref="J2:J1048576">
    <cfRule type="expression" dxfId="341" priority="4">
      <formula>$J2&lt;&gt;""</formula>
    </cfRule>
    <cfRule type="expression" dxfId="340" priority="5">
      <formula>$J2=""</formula>
    </cfRule>
  </conditionalFormatting>
  <conditionalFormatting sqref="K2:O1048576 R2:S1048576">
    <cfRule type="expression" dxfId="339" priority="27">
      <formula>AND(OR($J2="Addition",$J2="Omission"), K2="")</formula>
    </cfRule>
    <cfRule type="expression" dxfId="338" priority="28">
      <formula>AND($J2&lt;&gt;"Addition",$J2&lt;&gt;"Omission",$J2&lt;&gt;"Substitution - Word")</formula>
    </cfRule>
  </conditionalFormatting>
  <conditionalFormatting sqref="K2:S1048576">
    <cfRule type="expression" dxfId="337" priority="26">
      <formula>AND(OR($J2="Addition",$J2="Omission"), K2&lt;&gt;"")</formula>
    </cfRule>
  </conditionalFormatting>
  <conditionalFormatting sqref="N2:N1048576">
    <cfRule type="expression" dxfId="336" priority="21">
      <formula>AND($L2&lt;&gt;"",$L2&gt;1)</formula>
    </cfRule>
  </conditionalFormatting>
  <conditionalFormatting sqref="P2:Q1048576">
    <cfRule type="expression" dxfId="335" priority="17">
      <formula>$O2="Absent"</formula>
    </cfRule>
    <cfRule type="expression" dxfId="334" priority="18">
      <formula>$O2="NA"</formula>
    </cfRule>
    <cfRule type="expression" dxfId="333" priority="19">
      <formula>AND(OR($J2="Addition",$J2="Omission"), P2="")</formula>
    </cfRule>
    <cfRule type="expression" dxfId="332" priority="20">
      <formula>AND($J2&lt;&gt;"Addition",$J2&lt;&gt;"Omission")</formula>
    </cfRule>
  </conditionalFormatting>
  <conditionalFormatting sqref="R2:R1048576">
    <cfRule type="expression" dxfId="331" priority="22">
      <formula>OR($J2="Addition",$J2="Omission",$J2 = "Substitution - Word")</formula>
    </cfRule>
  </conditionalFormatting>
  <conditionalFormatting sqref="T2 T3:V1048576">
    <cfRule type="expression" dxfId="330" priority="24">
      <formula>AND(AND(LEFT($J2,3)="Sub", RIGHT($J2,4)&lt;&gt;"Form"),$T2="")</formula>
    </cfRule>
    <cfRule type="expression" dxfId="329" priority="25">
      <formula>"&lt;&gt;AND(LEFT($J2,3)=""Sub"", RIGHT($J2,4)&lt;&gt;""Form"")"</formula>
    </cfRule>
  </conditionalFormatting>
  <conditionalFormatting sqref="T3:V1048576 T2">
    <cfRule type="expression" dxfId="328" priority="23">
      <formula>AND(AND(LEFT($J2,3)="Sub", RIGHT($J2,4)&lt;&gt;"Form"),$T2&lt;&gt;"")</formula>
    </cfRule>
  </conditionalFormatting>
  <conditionalFormatting sqref="U2:V895">
    <cfRule type="expression" dxfId="327" priority="1">
      <formula>AND(AND(LEFT($J2,3)="Sub", RIGHT($J2,4)&lt;&gt;"Form"),$T2&lt;&gt;"")</formula>
    </cfRule>
    <cfRule type="expression" dxfId="326" priority="2">
      <formula>AND(AND(LEFT($J2,3)="Sub", RIGHT($J2,4)&lt;&gt;"Form"),$T2="")</formula>
    </cfRule>
    <cfRule type="expression" dxfId="325" priority="3">
      <formula>"&lt;&gt;AND(LEFT($J2,3)=""Sub"", RIGHT($J2,4)&lt;&gt;""Form"")"</formula>
    </cfRule>
  </conditionalFormatting>
  <conditionalFormatting sqref="W2:W16 W18:W1048576">
    <cfRule type="expression" dxfId="324" priority="40">
      <formula>AND($AD2&lt;&gt;"Yes",$AE2="")</formula>
    </cfRule>
  </conditionalFormatting>
  <conditionalFormatting sqref="W2:W1048576">
    <cfRule type="expression" dxfId="323" priority="9">
      <formula>AND($W2&lt;&gt;"",OR($AD2="Yes",$AE2&lt;&gt;""))</formula>
    </cfRule>
    <cfRule type="expression" dxfId="322" priority="10">
      <formula>OR($AD2="Yes",$AE2&lt;&gt;"")</formula>
    </cfRule>
  </conditionalFormatting>
  <conditionalFormatting sqref="W17">
    <cfRule type="expression" dxfId="321" priority="11">
      <formula>AND($J17&lt;&gt;"",$J17&lt;&gt;"Unclear due to correction")</formula>
    </cfRule>
    <cfRule type="expression" dxfId="320" priority="14">
      <formula>OR($J17="",$J17="Unclear due to correction")</formula>
    </cfRule>
    <cfRule type="expression" dxfId="319" priority="15">
      <formula>AND($AD17&lt;&gt;"Yes",$AE17="")</formula>
    </cfRule>
  </conditionalFormatting>
  <conditionalFormatting sqref="W2:AF16 W18:AF1048576">
    <cfRule type="expression" dxfId="318" priority="36">
      <formula>AND($J2&lt;&gt;"",$J2&lt;&gt;"Unclear due to correction")</formula>
    </cfRule>
    <cfRule type="expression" dxfId="317" priority="39">
      <formula>OR($J2="",$J2="Unclear due to correction")</formula>
    </cfRule>
  </conditionalFormatting>
  <conditionalFormatting sqref="X2:X1048576">
    <cfRule type="expression" dxfId="316" priority="8">
      <formula>AND($J2&lt;&gt;"",$J2&lt;&gt;"Unclear due to correction",$X2="")</formula>
    </cfRule>
  </conditionalFormatting>
  <conditionalFormatting sqref="X17:AF17">
    <cfRule type="expression" dxfId="315" priority="31">
      <formula>AND($J17&lt;&gt;"",$J17&lt;&gt;"Unclear due to correction")</formula>
    </cfRule>
    <cfRule type="expression" dxfId="314" priority="32">
      <formula>OR($J17="",$J17="Unclear due to correction")</formula>
    </cfRule>
  </conditionalFormatting>
  <conditionalFormatting sqref="Y2:Y1048576">
    <cfRule type="expression" dxfId="313" priority="12">
      <formula>AND($X2="Yes",$Y2="")</formula>
    </cfRule>
    <cfRule type="expression" dxfId="312" priority="13">
      <formula>$X2=""</formula>
    </cfRule>
  </conditionalFormatting>
  <conditionalFormatting sqref="Z862">
    <cfRule type="expression" dxfId="311" priority="83">
      <formula>AND(OR($AB862&lt;&gt;"",$AC862&lt;&gt;""),$AD862="")</formula>
    </cfRule>
  </conditionalFormatting>
  <conditionalFormatting sqref="AD2:AD1048576 Z743:Z744 Z834">
    <cfRule type="expression" dxfId="310" priority="84">
      <formula>AND(OR($AB2&lt;&gt;"",$AC2&lt;&gt;""),$AD2="")</formula>
    </cfRule>
  </conditionalFormatting>
  <dataValidations count="1">
    <dataValidation allowBlank="1" showInputMessage="1" sqref="X2:X4 X6 X8:X16 X18:X1048576" xr:uid="{89449E29-5D6F-4A03-AB0A-802981CB0C94}"/>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7301F58A-7842-47E1-A459-B74EC9D1D65F}">
          <x14:formula1>
            <xm:f>'Data Regularization'!$Q$2:$Q$4</xm:f>
          </x14:formula1>
          <xm:sqref>AG2:AI1048576</xm:sqref>
        </x14:dataValidation>
        <x14:dataValidation type="list" allowBlank="1" showInputMessage="1" showErrorMessage="1" xr:uid="{F296372A-82D7-4C15-8DFD-7B6F0274E2CD}">
          <x14:formula1>
            <xm:f>'Data Regularization'!$D$2:$D$1048576</xm:f>
          </x14:formula1>
          <xm:sqref>J2:J4 J79:J1048576 J68:J77 J8:J16 J18:J66 J6</xm:sqref>
        </x14:dataValidation>
        <x14:dataValidation type="list" allowBlank="1" showInputMessage="1" showErrorMessage="1" xr:uid="{BD70BFA8-C89B-4065-9EFE-D228E46E94FC}">
          <x14:formula1>
            <xm:f>'Data Regularization'!$E$2:$E$1048576</xm:f>
          </x14:formula1>
          <xm:sqref>N2:N4 N18:N1048576 N8:N16 N6</xm:sqref>
        </x14:dataValidation>
        <x14:dataValidation type="list" allowBlank="1" showInputMessage="1" showErrorMessage="1" xr:uid="{CD4577D9-C171-4C4C-BCBD-9DDF732DBFEF}">
          <x14:formula1>
            <xm:f>'Data Regularization'!$F$2:$F$1048576</xm:f>
          </x14:formula1>
          <xm:sqref>O2:O4 O18:O1048576 O8:O16 O6</xm:sqref>
        </x14:dataValidation>
        <x14:dataValidation type="list" allowBlank="1" showInputMessage="1" showErrorMessage="1" xr:uid="{281D2E34-3ACE-4DC7-8DEB-5F140C42F358}">
          <x14:formula1>
            <xm:f>'Data Regularization'!$G$2:$G$1048576</xm:f>
          </x14:formula1>
          <xm:sqref>R2:R4 R18:R1048576 R8:R16 R6</xm:sqref>
        </x14:dataValidation>
        <x14:dataValidation type="list" allowBlank="1" showInputMessage="1" showErrorMessage="1" xr:uid="{E58C8269-85C1-4954-94AF-53AEB6BB3AF2}">
          <x14:formula1>
            <xm:f>'Data Regularization'!$K$2:$K$1048576</xm:f>
          </x14:formula1>
          <xm:sqref>W2:W4 Y2:Y4 Y6 W6 Y8:Y16 W8:W16 Y18:Y1048576 W18:W1048576</xm:sqref>
        </x14:dataValidation>
        <x14:dataValidation type="list" allowBlank="1" showInputMessage="1" showErrorMessage="1" xr:uid="{1551F1B6-52BD-424E-BAE3-B6C43C345BE1}">
          <x14:formula1>
            <xm:f>'Data Regularization'!$L$2:$L$1048576</xm:f>
          </x14:formula1>
          <xm:sqref>Z2:Z4 Z6 Z8:Z16 Z18:Z1048576</xm:sqref>
        </x14:dataValidation>
        <x14:dataValidation type="list" allowBlank="1" showInputMessage="1" showErrorMessage="1" xr:uid="{A2A165D6-3E6F-4690-8799-A94019E3C6D5}">
          <x14:formula1>
            <xm:f>'Data Regularization'!$M$2:$M$1048576</xm:f>
          </x14:formula1>
          <xm:sqref>AA2:AA4 AA6 AA8:AA16 AA18:AA1048576</xm:sqref>
        </x14:dataValidation>
        <x14:dataValidation type="list" allowBlank="1" showInputMessage="1" showErrorMessage="1" xr:uid="{C2D49E17-5064-4A0C-91D6-C555B2458E2D}">
          <x14:formula1>
            <xm:f>'Data Regularization'!$N$2:$N$1048576</xm:f>
          </x14:formula1>
          <xm:sqref>AB2:AB4 AB6 AB8:AB16 AB18:AB1048576</xm:sqref>
        </x14:dataValidation>
        <x14:dataValidation type="list" allowBlank="1" showInputMessage="1" showErrorMessage="1" xr:uid="{C86CB294-184E-427F-AD99-9FE4540AAE92}">
          <x14:formula1>
            <xm:f>'Data Regularization'!$O$2:$O$1048576</xm:f>
          </x14:formula1>
          <xm:sqref>AD2:AD4 AD6 AD8:AD16 AD18:AD1048576</xm:sqref>
        </x14:dataValidation>
        <x14:dataValidation type="list" allowBlank="1" showInputMessage="1" showErrorMessage="1" xr:uid="{E6D4003E-6DB7-4E6F-87F4-36990610CF3F}">
          <x14:formula1>
            <xm:f>'Data Regularization'!$P$2:$P$1048576</xm:f>
          </x14:formula1>
          <xm:sqref>AE2:AE4 AE6 AE8:AE1048576</xm:sqref>
        </x14:dataValidation>
        <x14:dataValidation type="list" allowBlank="1" showInputMessage="1" showErrorMessage="1" xr:uid="{B5AD62D9-B213-4CA5-A230-16E4ED092956}">
          <x14:formula1>
            <xm:f>'Data Regularization'!$Q$2:$Q$1048576</xm:f>
          </x14:formula1>
          <xm:sqref>AF2:AF4 AF6 AF8:AF1048576</xm:sqref>
        </x14:dataValidation>
        <x14:dataValidation type="list" allowBlank="1" showInputMessage="1" showErrorMessage="1" xr:uid="{2E62E8AD-BAD3-4EB9-AFBF-45839D0B1E9E}">
          <x14:formula1>
            <xm:f>'Data Regularization'!$C$2:$C$29</xm:f>
          </x14:formula1>
          <xm:sqref>H2:H1048576</xm:sqref>
        </x14:dataValidation>
        <x14:dataValidation type="list" allowBlank="1" showInputMessage="1" showErrorMessage="1" xr:uid="{313D895C-DA90-4E1F-BA69-96C849A61552}">
          <x14:formula1>
            <xm:f>'Data Regularization'!$A$2:$A$1048576</xm:f>
          </x14:formula1>
          <xm:sqref>F2:F1048576</xm:sqref>
        </x14:dataValidation>
        <x14:dataValidation type="list" allowBlank="1" showInputMessage="1" showErrorMessage="1" xr:uid="{CF2233FB-2B28-4DCB-AE62-73C026274D66}">
          <x14:formula1>
            <xm:f>'Data Regularization'!$B$2:$B$1048576</xm:f>
          </x14:formula1>
          <xm:sqref>G2:G1048576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1AF3A-D4E0-4E10-9081-3D5DAA9F5B6E}">
  <dimension ref="A1:AI582"/>
  <sheetViews>
    <sheetView workbookViewId="0">
      <pane xSplit="3" ySplit="1" topLeftCell="D2" activePane="bottomRight" state="frozen"/>
      <selection pane="topRight" activeCell="D1" sqref="D1"/>
      <selection pane="bottomLeft" activeCell="A2" sqref="A2"/>
      <selection pane="bottomRight" sqref="A1:XFD1"/>
    </sheetView>
  </sheetViews>
  <sheetFormatPr defaultRowHeight="14.5"/>
  <cols>
    <col min="1" max="1" width="10.1796875" bestFit="1" customWidth="1"/>
    <col min="2" max="3" width="20.81640625" customWidth="1"/>
    <col min="4" max="30" width="8.90625" customWidth="1"/>
    <col min="32" max="32" width="8.90625" customWidth="1"/>
    <col min="34" max="34" width="19.08984375" bestFit="1" customWidth="1"/>
  </cols>
  <sheetData>
    <row r="1" spans="1:35" s="1" customFormat="1">
      <c r="A1" s="1" t="s">
        <v>0</v>
      </c>
      <c r="B1" s="1" t="s">
        <v>5</v>
      </c>
      <c r="C1" s="3" t="s">
        <v>6</v>
      </c>
      <c r="D1" s="1" t="s">
        <v>2181</v>
      </c>
      <c r="E1" s="1" t="s">
        <v>2182</v>
      </c>
      <c r="F1" s="1" t="s">
        <v>2183</v>
      </c>
      <c r="G1" s="1" t="s">
        <v>3</v>
      </c>
      <c r="H1" s="1" t="s">
        <v>2184</v>
      </c>
      <c r="I1" s="1" t="s">
        <v>2185</v>
      </c>
      <c r="J1" s="1" t="s">
        <v>2186</v>
      </c>
      <c r="K1" s="1" t="s">
        <v>2187</v>
      </c>
      <c r="L1" s="1" t="s">
        <v>2146</v>
      </c>
      <c r="M1" s="1" t="s">
        <v>2188</v>
      </c>
      <c r="N1" s="9" t="s">
        <v>2189</v>
      </c>
      <c r="O1" s="1" t="s">
        <v>2147</v>
      </c>
      <c r="P1" s="1" t="s">
        <v>2190</v>
      </c>
      <c r="Q1" s="1" t="s">
        <v>2191</v>
      </c>
      <c r="R1" s="1" t="s">
        <v>2385</v>
      </c>
      <c r="S1" s="1" t="s">
        <v>2386</v>
      </c>
      <c r="T1" s="1" t="s">
        <v>2194</v>
      </c>
      <c r="U1" s="1" t="s">
        <v>2195</v>
      </c>
      <c r="V1" s="1" t="s">
        <v>2196</v>
      </c>
      <c r="W1" s="1" t="s">
        <v>2148</v>
      </c>
      <c r="X1" s="1" t="s">
        <v>2149</v>
      </c>
      <c r="Y1" s="1" t="s">
        <v>2150</v>
      </c>
      <c r="Z1" s="1" t="s">
        <v>2192</v>
      </c>
      <c r="AA1" s="1" t="s">
        <v>2197</v>
      </c>
      <c r="AB1" s="1" t="s">
        <v>2151</v>
      </c>
      <c r="AC1" s="1" t="s">
        <v>2193</v>
      </c>
      <c r="AD1" s="1" t="s">
        <v>2215</v>
      </c>
      <c r="AE1" s="1" t="s">
        <v>2207</v>
      </c>
      <c r="AF1" s="1" t="s">
        <v>2214</v>
      </c>
    </row>
    <row r="2" spans="1:35">
      <c r="A2" t="s">
        <v>37</v>
      </c>
      <c r="B2" s="4" t="s">
        <v>814</v>
      </c>
      <c r="C2" s="4" t="s">
        <v>813</v>
      </c>
      <c r="G2" s="10" t="s">
        <v>2201</v>
      </c>
      <c r="H2" s="10"/>
      <c r="I2" s="10"/>
      <c r="J2" s="10"/>
      <c r="K2" s="10"/>
      <c r="L2" s="10"/>
      <c r="M2" s="10"/>
      <c r="N2" s="11"/>
      <c r="O2" s="10"/>
      <c r="P2" s="10"/>
      <c r="Q2" s="10"/>
      <c r="R2" s="10" t="s">
        <v>2387</v>
      </c>
      <c r="S2" s="10" t="s">
        <v>2387</v>
      </c>
      <c r="T2" s="10"/>
      <c r="U2" s="10"/>
      <c r="V2" s="10"/>
      <c r="W2" s="10"/>
      <c r="X2" s="10"/>
      <c r="Y2" s="10"/>
      <c r="Z2" s="10"/>
      <c r="AA2" s="10"/>
      <c r="AB2" s="10"/>
      <c r="AC2" s="10"/>
      <c r="AD2" t="s">
        <v>19</v>
      </c>
      <c r="AE2" t="s">
        <v>20</v>
      </c>
      <c r="AF2" t="s">
        <v>20</v>
      </c>
      <c r="AG2">
        <v>1</v>
      </c>
    </row>
    <row r="3" spans="1:35">
      <c r="A3" t="s">
        <v>42</v>
      </c>
      <c r="B3" s="4" t="s">
        <v>815</v>
      </c>
      <c r="C3" s="4" t="s">
        <v>816</v>
      </c>
      <c r="G3" s="10" t="s">
        <v>25</v>
      </c>
      <c r="H3" s="10"/>
      <c r="I3" s="10">
        <v>1</v>
      </c>
      <c r="J3" s="10">
        <v>4</v>
      </c>
      <c r="K3" s="10" t="s">
        <v>2219</v>
      </c>
      <c r="L3" s="10" t="s">
        <v>2159</v>
      </c>
      <c r="M3" s="10"/>
      <c r="N3" s="11"/>
      <c r="O3" s="10"/>
      <c r="P3" s="10">
        <v>295</v>
      </c>
      <c r="Q3" s="10"/>
      <c r="R3" s="10" t="s">
        <v>2387</v>
      </c>
      <c r="S3" s="10" t="s">
        <v>2387</v>
      </c>
      <c r="T3" s="10"/>
      <c r="U3" s="10"/>
      <c r="V3" s="10"/>
      <c r="W3" s="10"/>
      <c r="X3" s="10"/>
      <c r="Y3" s="10"/>
      <c r="Z3" s="10"/>
      <c r="AA3" s="10"/>
      <c r="AB3" s="10"/>
      <c r="AC3" s="10"/>
      <c r="AD3" t="s">
        <v>19</v>
      </c>
      <c r="AE3" t="s">
        <v>20</v>
      </c>
      <c r="AF3" t="s">
        <v>20</v>
      </c>
      <c r="AG3">
        <v>1</v>
      </c>
      <c r="AH3" t="s">
        <v>2213</v>
      </c>
      <c r="AI3">
        <f>COUNTIF(AE2:AE119,"Yes") /COUNTA(AE2:AE119)</f>
        <v>0.72033898305084743</v>
      </c>
    </row>
    <row r="4" spans="1:35">
      <c r="A4" t="s">
        <v>56</v>
      </c>
      <c r="B4" s="4" t="s">
        <v>821</v>
      </c>
      <c r="C4" s="4" t="s">
        <v>822</v>
      </c>
      <c r="F4" t="s">
        <v>19</v>
      </c>
      <c r="G4" s="10" t="s">
        <v>24</v>
      </c>
      <c r="H4" s="10"/>
      <c r="I4" s="10">
        <v>1</v>
      </c>
      <c r="J4" s="10">
        <v>8</v>
      </c>
      <c r="K4" s="10" t="s">
        <v>2173</v>
      </c>
      <c r="L4" s="10" t="s">
        <v>2153</v>
      </c>
      <c r="M4" s="10" t="s">
        <v>2231</v>
      </c>
      <c r="N4" s="11" t="s">
        <v>2232</v>
      </c>
      <c r="O4" s="10"/>
      <c r="P4" s="10">
        <v>0</v>
      </c>
      <c r="Q4" s="10"/>
      <c r="R4" s="10" t="s">
        <v>2387</v>
      </c>
      <c r="S4" s="10" t="s">
        <v>2387</v>
      </c>
      <c r="T4" s="10"/>
      <c r="U4" s="10"/>
      <c r="V4" s="10"/>
      <c r="W4" s="10"/>
      <c r="X4" s="10"/>
      <c r="Y4" s="10"/>
      <c r="Z4" s="10"/>
      <c r="AA4" s="10"/>
      <c r="AB4" s="10"/>
      <c r="AC4" s="10"/>
      <c r="AD4" t="s">
        <v>20</v>
      </c>
      <c r="AE4" t="s">
        <v>20</v>
      </c>
      <c r="AF4" t="s">
        <v>20</v>
      </c>
      <c r="AG4">
        <v>0</v>
      </c>
      <c r="AH4" t="s">
        <v>2462</v>
      </c>
      <c r="AI4">
        <f>COUNTIF(AD1:AD572,"Yes")/COUNTA(AD2:AD572)</f>
        <v>0.9054290718038529</v>
      </c>
    </row>
    <row r="5" spans="1:35">
      <c r="A5" t="s">
        <v>57</v>
      </c>
      <c r="B5" s="4" t="s">
        <v>823</v>
      </c>
      <c r="C5" s="4" t="s">
        <v>2224</v>
      </c>
      <c r="G5" s="10" t="s">
        <v>2201</v>
      </c>
      <c r="H5" s="10"/>
      <c r="I5" s="10"/>
      <c r="J5" s="10"/>
      <c r="K5" s="10"/>
      <c r="L5" s="10"/>
      <c r="M5" s="10"/>
      <c r="N5" s="11"/>
      <c r="O5" s="10"/>
      <c r="P5" s="10"/>
      <c r="Q5" s="10"/>
      <c r="R5" s="10" t="s">
        <v>2387</v>
      </c>
      <c r="S5" s="10" t="s">
        <v>2387</v>
      </c>
      <c r="T5" s="10"/>
      <c r="U5" s="10"/>
      <c r="V5" s="10"/>
      <c r="W5" s="10"/>
      <c r="X5" s="10"/>
      <c r="Y5" s="10"/>
      <c r="Z5" s="10"/>
      <c r="AA5" s="10"/>
      <c r="AB5" s="10"/>
      <c r="AC5" s="10"/>
      <c r="AD5" t="s">
        <v>19</v>
      </c>
      <c r="AE5" t="s">
        <v>20</v>
      </c>
      <c r="AF5" t="s">
        <v>20</v>
      </c>
      <c r="AG5">
        <v>1</v>
      </c>
    </row>
    <row r="6" spans="1:35" ht="29">
      <c r="A6" t="s">
        <v>61</v>
      </c>
      <c r="B6" s="4" t="s">
        <v>824</v>
      </c>
      <c r="C6" s="4" t="s">
        <v>825</v>
      </c>
      <c r="G6" s="10" t="s">
        <v>24</v>
      </c>
      <c r="H6" s="10"/>
      <c r="I6" s="10">
        <v>1</v>
      </c>
      <c r="J6" s="10">
        <v>3</v>
      </c>
      <c r="K6" s="10" t="s">
        <v>2168</v>
      </c>
      <c r="L6" s="10" t="s">
        <v>2159</v>
      </c>
      <c r="M6" s="10"/>
      <c r="N6" s="11"/>
      <c r="O6" s="10"/>
      <c r="P6" s="10">
        <v>1701</v>
      </c>
      <c r="Q6" s="10"/>
      <c r="R6" s="10" t="s">
        <v>2387</v>
      </c>
      <c r="S6" s="10" t="s">
        <v>2387</v>
      </c>
      <c r="T6" s="10"/>
      <c r="U6" s="10"/>
      <c r="V6" s="10"/>
      <c r="W6" s="10"/>
      <c r="X6" s="10"/>
      <c r="Y6" s="10"/>
      <c r="Z6" s="10"/>
      <c r="AA6" s="10"/>
      <c r="AB6" s="10"/>
      <c r="AC6" s="10"/>
      <c r="AD6" t="s">
        <v>19</v>
      </c>
      <c r="AE6" t="s">
        <v>19</v>
      </c>
      <c r="AF6" t="s">
        <v>19</v>
      </c>
      <c r="AG6">
        <v>1</v>
      </c>
    </row>
    <row r="7" spans="1:35">
      <c r="A7" t="s">
        <v>67</v>
      </c>
      <c r="B7" s="4" t="s">
        <v>829</v>
      </c>
      <c r="C7" s="4" t="s">
        <v>830</v>
      </c>
      <c r="G7" s="10" t="s">
        <v>2201</v>
      </c>
      <c r="H7" s="10"/>
      <c r="I7" s="10"/>
      <c r="J7" s="10"/>
      <c r="K7" s="10"/>
      <c r="L7" s="10"/>
      <c r="M7" s="10"/>
      <c r="N7" s="11"/>
      <c r="O7" s="10"/>
      <c r="P7" s="10"/>
      <c r="Q7" s="10"/>
      <c r="R7" s="10" t="s">
        <v>2387</v>
      </c>
      <c r="S7" s="10" t="s">
        <v>2387</v>
      </c>
      <c r="T7" s="10"/>
      <c r="U7" s="10"/>
      <c r="V7" s="10"/>
      <c r="W7" s="10"/>
      <c r="X7" s="10"/>
      <c r="Y7" s="10"/>
      <c r="Z7" s="10"/>
      <c r="AA7" s="10"/>
      <c r="AB7" s="10"/>
      <c r="AC7" s="10"/>
      <c r="AD7" t="s">
        <v>19</v>
      </c>
      <c r="AE7" t="s">
        <v>19</v>
      </c>
      <c r="AF7" t="s">
        <v>20</v>
      </c>
      <c r="AG7">
        <v>1</v>
      </c>
    </row>
    <row r="8" spans="1:35">
      <c r="A8" t="s">
        <v>73</v>
      </c>
      <c r="B8" s="4" t="s">
        <v>834</v>
      </c>
      <c r="C8" s="4" t="s">
        <v>833</v>
      </c>
      <c r="G8" s="10" t="s">
        <v>24</v>
      </c>
      <c r="H8" s="10"/>
      <c r="I8" s="10">
        <v>1</v>
      </c>
      <c r="J8" s="10">
        <v>3</v>
      </c>
      <c r="K8" s="10" t="s">
        <v>2158</v>
      </c>
      <c r="L8" s="10" t="s">
        <v>2159</v>
      </c>
      <c r="M8" s="10"/>
      <c r="N8" s="11"/>
      <c r="O8" s="10"/>
      <c r="P8" s="10">
        <v>2475</v>
      </c>
      <c r="Q8" s="10"/>
      <c r="R8" s="10" t="s">
        <v>2387</v>
      </c>
      <c r="S8" s="10" t="s">
        <v>2387</v>
      </c>
      <c r="T8" s="10"/>
      <c r="U8" s="10"/>
      <c r="V8" s="10"/>
      <c r="W8" s="10"/>
      <c r="X8" s="10"/>
      <c r="Y8" s="10"/>
      <c r="Z8" s="10"/>
      <c r="AA8" s="10"/>
      <c r="AB8" s="10"/>
      <c r="AC8" s="10"/>
      <c r="AD8" t="s">
        <v>19</v>
      </c>
      <c r="AE8" t="s">
        <v>20</v>
      </c>
      <c r="AF8" t="s">
        <v>20</v>
      </c>
      <c r="AG8">
        <v>1</v>
      </c>
    </row>
    <row r="9" spans="1:35">
      <c r="A9" t="s">
        <v>73</v>
      </c>
      <c r="B9" s="4" t="s">
        <v>836</v>
      </c>
      <c r="C9" s="4" t="s">
        <v>835</v>
      </c>
      <c r="G9" s="10" t="s">
        <v>2199</v>
      </c>
      <c r="H9" s="10"/>
      <c r="I9" s="10"/>
      <c r="J9" s="10"/>
      <c r="K9" s="10"/>
      <c r="L9" s="10"/>
      <c r="M9" s="10"/>
      <c r="N9" s="11"/>
      <c r="O9" s="10"/>
      <c r="P9" s="10"/>
      <c r="Q9" s="10">
        <v>118</v>
      </c>
      <c r="R9" s="10">
        <v>11</v>
      </c>
      <c r="S9" s="10">
        <v>129</v>
      </c>
      <c r="T9" s="10"/>
      <c r="U9" s="10"/>
      <c r="V9" s="10"/>
      <c r="W9" s="10"/>
      <c r="X9" s="10"/>
      <c r="Y9" s="10"/>
      <c r="Z9" s="10"/>
      <c r="AA9" s="10"/>
      <c r="AB9" s="10"/>
      <c r="AC9" s="10"/>
      <c r="AD9" t="s">
        <v>19</v>
      </c>
      <c r="AE9" t="s">
        <v>20</v>
      </c>
      <c r="AF9" t="s">
        <v>20</v>
      </c>
      <c r="AG9">
        <v>1</v>
      </c>
    </row>
    <row r="10" spans="1:35">
      <c r="A10" t="s">
        <v>75</v>
      </c>
      <c r="B10" s="4" t="s">
        <v>76</v>
      </c>
      <c r="C10" s="4" t="s">
        <v>77</v>
      </c>
      <c r="G10" s="10" t="s">
        <v>2201</v>
      </c>
      <c r="H10" s="10"/>
      <c r="I10" s="10"/>
      <c r="J10" s="10"/>
      <c r="K10" s="10"/>
      <c r="L10" s="10"/>
      <c r="M10" s="10"/>
      <c r="N10" s="11"/>
      <c r="O10" s="10"/>
      <c r="P10" s="10"/>
      <c r="Q10" s="10"/>
      <c r="R10" s="10" t="s">
        <v>2387</v>
      </c>
      <c r="S10" s="10" t="s">
        <v>2387</v>
      </c>
      <c r="T10" s="10"/>
      <c r="U10" s="10"/>
      <c r="V10" s="10"/>
      <c r="W10" s="10"/>
      <c r="X10" s="10"/>
      <c r="Y10" s="10"/>
      <c r="Z10" s="10"/>
      <c r="AA10" s="10"/>
      <c r="AB10" s="10"/>
      <c r="AC10" s="10"/>
      <c r="AD10" t="s">
        <v>20</v>
      </c>
      <c r="AE10" t="s">
        <v>20</v>
      </c>
      <c r="AF10" t="s">
        <v>20</v>
      </c>
      <c r="AG10">
        <v>0</v>
      </c>
    </row>
    <row r="11" spans="1:35">
      <c r="A11" t="s">
        <v>75</v>
      </c>
      <c r="B11" s="4" t="s">
        <v>78</v>
      </c>
      <c r="C11" s="4" t="s">
        <v>79</v>
      </c>
      <c r="G11" s="10" t="s">
        <v>2201</v>
      </c>
      <c r="H11" s="10"/>
      <c r="I11" s="10"/>
      <c r="J11" s="10"/>
      <c r="K11" s="10"/>
      <c r="L11" s="10"/>
      <c r="M11" s="10"/>
      <c r="N11" s="11"/>
      <c r="O11" s="10"/>
      <c r="P11" s="10"/>
      <c r="Q11" s="10"/>
      <c r="R11" s="10" t="s">
        <v>2387</v>
      </c>
      <c r="S11" s="10" t="s">
        <v>2387</v>
      </c>
      <c r="T11" s="10"/>
      <c r="U11" s="10"/>
      <c r="V11" s="10"/>
      <c r="W11" s="10"/>
      <c r="X11" s="10"/>
      <c r="Y11" s="10"/>
      <c r="Z11" s="10"/>
      <c r="AA11" s="10"/>
      <c r="AB11" s="10"/>
      <c r="AC11" s="10"/>
      <c r="AD11" t="s">
        <v>20</v>
      </c>
      <c r="AE11" t="s">
        <v>20</v>
      </c>
      <c r="AF11" t="s">
        <v>20</v>
      </c>
      <c r="AG11">
        <v>0</v>
      </c>
    </row>
    <row r="12" spans="1:35" ht="29">
      <c r="A12" t="s">
        <v>80</v>
      </c>
      <c r="B12" s="4" t="s">
        <v>840</v>
      </c>
      <c r="C12" s="4" t="s">
        <v>839</v>
      </c>
      <c r="G12" s="10" t="s">
        <v>25</v>
      </c>
      <c r="H12" s="10"/>
      <c r="I12" s="10">
        <v>2</v>
      </c>
      <c r="J12" s="10">
        <v>9</v>
      </c>
      <c r="K12" s="10"/>
      <c r="L12" s="10" t="s">
        <v>2159</v>
      </c>
      <c r="M12" s="10"/>
      <c r="N12" s="11"/>
      <c r="O12" s="10"/>
      <c r="P12" s="10">
        <v>1</v>
      </c>
      <c r="Q12" s="10"/>
      <c r="R12" s="10" t="s">
        <v>2387</v>
      </c>
      <c r="S12" s="10" t="s">
        <v>2387</v>
      </c>
      <c r="T12" s="10"/>
      <c r="U12" s="10"/>
      <c r="V12" s="10"/>
      <c r="W12" s="10"/>
      <c r="X12" s="10"/>
      <c r="Y12" s="10"/>
      <c r="Z12" s="10"/>
      <c r="AA12" s="10"/>
      <c r="AB12" s="10"/>
      <c r="AC12" s="10"/>
      <c r="AD12" t="s">
        <v>19</v>
      </c>
      <c r="AE12" t="s">
        <v>19</v>
      </c>
      <c r="AF12" t="s">
        <v>20</v>
      </c>
      <c r="AG12">
        <v>1</v>
      </c>
    </row>
    <row r="13" spans="1:35">
      <c r="A13" t="s">
        <v>87</v>
      </c>
      <c r="B13" s="4" t="s">
        <v>842</v>
      </c>
      <c r="C13" s="4" t="s">
        <v>841</v>
      </c>
      <c r="G13" s="10" t="s">
        <v>24</v>
      </c>
      <c r="H13" s="10"/>
      <c r="I13" s="10">
        <v>1</v>
      </c>
      <c r="J13" s="10">
        <v>1</v>
      </c>
      <c r="K13" s="10" t="s">
        <v>2158</v>
      </c>
      <c r="L13" s="10" t="s">
        <v>2200</v>
      </c>
      <c r="M13" s="10"/>
      <c r="N13" s="11"/>
      <c r="O13" s="10"/>
      <c r="P13" s="10">
        <v>2475</v>
      </c>
      <c r="Q13" s="10"/>
      <c r="R13" s="10" t="s">
        <v>2387</v>
      </c>
      <c r="S13" s="10" t="s">
        <v>2387</v>
      </c>
      <c r="T13" s="10"/>
      <c r="U13" s="10"/>
      <c r="V13" s="10"/>
      <c r="W13" s="10"/>
      <c r="X13" s="10"/>
      <c r="Y13" s="10"/>
      <c r="Z13" s="10"/>
      <c r="AA13" s="10"/>
      <c r="AB13" s="10"/>
      <c r="AC13" s="10"/>
      <c r="AD13" t="s">
        <v>19</v>
      </c>
      <c r="AE13" t="s">
        <v>19</v>
      </c>
      <c r="AF13" t="s">
        <v>19</v>
      </c>
      <c r="AG13">
        <v>1</v>
      </c>
    </row>
    <row r="14" spans="1:35">
      <c r="A14" t="s">
        <v>92</v>
      </c>
      <c r="B14" s="4" t="s">
        <v>845</v>
      </c>
      <c r="C14" s="4" t="s">
        <v>846</v>
      </c>
      <c r="G14" s="10" t="s">
        <v>2201</v>
      </c>
      <c r="H14" s="10"/>
      <c r="I14" s="10"/>
      <c r="J14" s="10"/>
      <c r="K14" s="10"/>
      <c r="L14" s="10"/>
      <c r="M14" s="10"/>
      <c r="N14" s="11"/>
      <c r="O14" s="10"/>
      <c r="P14" s="10"/>
      <c r="Q14" s="10"/>
      <c r="R14" s="10" t="s">
        <v>2387</v>
      </c>
      <c r="S14" s="10" t="s">
        <v>2387</v>
      </c>
      <c r="T14" s="10"/>
      <c r="U14" s="10"/>
      <c r="V14" s="10"/>
      <c r="W14" s="10"/>
      <c r="X14" s="10"/>
      <c r="Y14" s="10"/>
      <c r="Z14" s="10"/>
      <c r="AA14" s="10"/>
      <c r="AB14" s="10"/>
      <c r="AC14" s="10"/>
      <c r="AD14" t="s">
        <v>19</v>
      </c>
      <c r="AE14" t="s">
        <v>20</v>
      </c>
      <c r="AF14" t="s">
        <v>20</v>
      </c>
      <c r="AG14">
        <v>1</v>
      </c>
    </row>
    <row r="15" spans="1:35">
      <c r="A15" t="s">
        <v>102</v>
      </c>
      <c r="B15" s="4" t="s">
        <v>103</v>
      </c>
      <c r="C15" s="4" t="s">
        <v>104</v>
      </c>
      <c r="G15" s="10" t="s">
        <v>2201</v>
      </c>
      <c r="H15" s="10"/>
      <c r="I15" s="10"/>
      <c r="J15" s="10"/>
      <c r="K15" s="10"/>
      <c r="L15" s="10"/>
      <c r="M15" s="10"/>
      <c r="N15" s="11"/>
      <c r="O15" s="10"/>
      <c r="P15" s="10"/>
      <c r="Q15" s="10"/>
      <c r="R15" s="10" t="s">
        <v>2387</v>
      </c>
      <c r="S15" s="10" t="s">
        <v>2387</v>
      </c>
      <c r="T15" s="10"/>
      <c r="U15" s="10"/>
      <c r="V15" s="10"/>
      <c r="W15" s="10"/>
      <c r="X15" s="10"/>
      <c r="Y15" s="10"/>
      <c r="Z15" s="10"/>
      <c r="AA15" s="10"/>
      <c r="AB15" s="10"/>
      <c r="AC15" s="10"/>
      <c r="AD15" t="s">
        <v>20</v>
      </c>
      <c r="AE15" t="s">
        <v>19</v>
      </c>
      <c r="AF15" t="s">
        <v>19</v>
      </c>
      <c r="AG15">
        <v>0</v>
      </c>
    </row>
    <row r="16" spans="1:35">
      <c r="A16" t="s">
        <v>102</v>
      </c>
      <c r="B16" s="4" t="s">
        <v>105</v>
      </c>
      <c r="C16" s="4" t="s">
        <v>106</v>
      </c>
      <c r="G16" s="10" t="s">
        <v>2201</v>
      </c>
      <c r="H16" s="10"/>
      <c r="I16" s="10"/>
      <c r="J16" s="10"/>
      <c r="K16" s="10"/>
      <c r="L16" s="10"/>
      <c r="M16" s="10"/>
      <c r="N16" s="11"/>
      <c r="O16" s="10"/>
      <c r="P16" s="10"/>
      <c r="Q16" s="10"/>
      <c r="R16" s="10" t="s">
        <v>2387</v>
      </c>
      <c r="S16" s="10" t="s">
        <v>2387</v>
      </c>
      <c r="T16" s="10"/>
      <c r="U16" s="10"/>
      <c r="V16" s="10"/>
      <c r="W16" s="10"/>
      <c r="X16" s="10"/>
      <c r="Y16" s="10"/>
      <c r="Z16" s="10"/>
      <c r="AA16" s="10"/>
      <c r="AB16" s="10"/>
      <c r="AC16" s="10"/>
      <c r="AD16" t="s">
        <v>19</v>
      </c>
      <c r="AE16" t="s">
        <v>19</v>
      </c>
      <c r="AF16" t="s">
        <v>19</v>
      </c>
      <c r="AG16">
        <v>1</v>
      </c>
    </row>
    <row r="17" spans="1:34">
      <c r="A17" t="s">
        <v>109</v>
      </c>
      <c r="B17" s="4" t="s">
        <v>860</v>
      </c>
      <c r="C17" s="4" t="s">
        <v>861</v>
      </c>
      <c r="G17" s="10" t="s">
        <v>2201</v>
      </c>
      <c r="H17" s="10"/>
      <c r="I17" s="10"/>
      <c r="J17" s="10"/>
      <c r="K17" s="10"/>
      <c r="L17" s="10"/>
      <c r="M17" s="10"/>
      <c r="N17" s="11"/>
      <c r="O17" s="10"/>
      <c r="P17" s="10"/>
      <c r="Q17" s="10"/>
      <c r="R17" s="10" t="s">
        <v>2387</v>
      </c>
      <c r="S17" s="10" t="s">
        <v>2387</v>
      </c>
      <c r="T17" s="10"/>
      <c r="U17" s="10"/>
      <c r="V17" s="10"/>
      <c r="W17" s="10"/>
      <c r="X17" s="10"/>
      <c r="Y17" s="10"/>
      <c r="Z17" s="10"/>
      <c r="AA17" s="10"/>
      <c r="AB17" s="10"/>
      <c r="AC17" s="10"/>
      <c r="AD17" t="s">
        <v>19</v>
      </c>
      <c r="AE17" t="s">
        <v>19</v>
      </c>
      <c r="AF17" t="s">
        <v>19</v>
      </c>
      <c r="AG17">
        <v>1</v>
      </c>
    </row>
    <row r="18" spans="1:34">
      <c r="A18" t="s">
        <v>111</v>
      </c>
      <c r="B18" s="4" t="s">
        <v>112</v>
      </c>
      <c r="C18" s="4" t="s">
        <v>113</v>
      </c>
      <c r="G18" s="10" t="s">
        <v>2201</v>
      </c>
      <c r="H18" s="10"/>
      <c r="I18" s="10"/>
      <c r="J18" s="10"/>
      <c r="K18" s="10"/>
      <c r="L18" s="10"/>
      <c r="M18" s="10"/>
      <c r="N18" s="11"/>
      <c r="O18" s="10"/>
      <c r="P18" s="10"/>
      <c r="Q18" s="10"/>
      <c r="R18" s="10" t="s">
        <v>2387</v>
      </c>
      <c r="S18" s="10" t="s">
        <v>2387</v>
      </c>
      <c r="T18" s="10"/>
      <c r="U18" s="10"/>
      <c r="V18" s="10"/>
      <c r="W18" s="10"/>
      <c r="X18" s="10"/>
      <c r="Y18" s="10"/>
      <c r="Z18" s="10"/>
      <c r="AA18" s="10"/>
      <c r="AB18" s="10"/>
      <c r="AC18" s="10"/>
      <c r="AD18" t="s">
        <v>19</v>
      </c>
      <c r="AE18" t="s">
        <v>19</v>
      </c>
      <c r="AF18" t="s">
        <v>19</v>
      </c>
      <c r="AG18">
        <v>1</v>
      </c>
    </row>
    <row r="19" spans="1:34">
      <c r="A19" t="s">
        <v>111</v>
      </c>
      <c r="B19" s="4" t="s">
        <v>871</v>
      </c>
      <c r="C19" s="4" t="s">
        <v>872</v>
      </c>
      <c r="G19" s="10" t="s">
        <v>2199</v>
      </c>
      <c r="H19" s="10"/>
      <c r="I19" s="10"/>
      <c r="J19" s="10"/>
      <c r="K19" s="10"/>
      <c r="L19" s="10"/>
      <c r="M19" s="10"/>
      <c r="N19" s="11"/>
      <c r="O19" s="10"/>
      <c r="P19" s="10"/>
      <c r="Q19" s="10">
        <v>-456</v>
      </c>
      <c r="R19" s="10">
        <v>768</v>
      </c>
      <c r="S19" s="10">
        <v>312</v>
      </c>
      <c r="T19" s="10"/>
      <c r="U19" s="10"/>
      <c r="V19" s="10"/>
      <c r="W19" s="10"/>
      <c r="X19" s="10"/>
      <c r="Y19" s="10"/>
      <c r="Z19" s="10"/>
      <c r="AA19" s="10"/>
      <c r="AB19" s="10"/>
      <c r="AC19" s="10"/>
      <c r="AD19" t="s">
        <v>19</v>
      </c>
      <c r="AE19" t="s">
        <v>20</v>
      </c>
      <c r="AF19" t="s">
        <v>19</v>
      </c>
      <c r="AG19">
        <v>1</v>
      </c>
    </row>
    <row r="20" spans="1:34" ht="29">
      <c r="A20" t="s">
        <v>111</v>
      </c>
      <c r="B20" s="4" t="s">
        <v>874</v>
      </c>
      <c r="C20" s="4" t="s">
        <v>873</v>
      </c>
      <c r="F20" t="s">
        <v>19</v>
      </c>
      <c r="G20" s="10" t="s">
        <v>25</v>
      </c>
      <c r="H20" s="10"/>
      <c r="I20" s="10">
        <v>2</v>
      </c>
      <c r="J20" s="10">
        <v>11</v>
      </c>
      <c r="K20" s="10"/>
      <c r="L20" s="10" t="s">
        <v>2153</v>
      </c>
      <c r="M20" s="10" t="s">
        <v>2277</v>
      </c>
      <c r="N20" s="11" t="s">
        <v>2338</v>
      </c>
      <c r="O20" s="10"/>
      <c r="P20" s="10">
        <v>2</v>
      </c>
      <c r="Q20" s="10"/>
      <c r="R20" s="10" t="s">
        <v>2387</v>
      </c>
      <c r="S20" s="10" t="s">
        <v>2387</v>
      </c>
      <c r="T20" s="10"/>
      <c r="U20" s="10"/>
      <c r="V20" s="10"/>
      <c r="W20" s="10"/>
      <c r="X20" s="10"/>
      <c r="Y20" s="10"/>
      <c r="Z20" s="10"/>
      <c r="AA20" s="10"/>
      <c r="AB20" s="10"/>
      <c r="AC20" s="10"/>
      <c r="AD20" t="s">
        <v>20</v>
      </c>
      <c r="AE20" t="s">
        <v>20</v>
      </c>
      <c r="AF20" t="s">
        <v>20</v>
      </c>
      <c r="AG20">
        <v>0</v>
      </c>
    </row>
    <row r="21" spans="1:34" ht="43.5">
      <c r="A21" t="s">
        <v>114</v>
      </c>
      <c r="B21" s="4" t="s">
        <v>875</v>
      </c>
      <c r="C21" s="4" t="s">
        <v>876</v>
      </c>
      <c r="G21" s="10" t="s">
        <v>24</v>
      </c>
      <c r="H21" s="10"/>
      <c r="I21" s="10">
        <v>1</v>
      </c>
      <c r="J21" s="10">
        <v>2</v>
      </c>
      <c r="K21" s="10" t="s">
        <v>2177</v>
      </c>
      <c r="L21" s="10" t="s">
        <v>2200</v>
      </c>
      <c r="M21" s="10"/>
      <c r="N21" s="11"/>
      <c r="O21" s="10"/>
      <c r="P21" s="10">
        <v>613</v>
      </c>
      <c r="Q21" s="10"/>
      <c r="R21" s="10" t="s">
        <v>2387</v>
      </c>
      <c r="S21" s="10" t="s">
        <v>2387</v>
      </c>
      <c r="T21" s="10"/>
      <c r="U21" s="10"/>
      <c r="V21" s="10"/>
      <c r="W21" s="10"/>
      <c r="X21" s="10"/>
      <c r="Y21" s="10"/>
      <c r="Z21" s="10"/>
      <c r="AA21" s="10"/>
      <c r="AB21" s="10"/>
      <c r="AC21" s="10"/>
      <c r="AD21" t="s">
        <v>19</v>
      </c>
      <c r="AE21" t="s">
        <v>20</v>
      </c>
      <c r="AF21" t="s">
        <v>20</v>
      </c>
      <c r="AG21">
        <v>1</v>
      </c>
    </row>
    <row r="22" spans="1:34">
      <c r="A22" t="s">
        <v>115</v>
      </c>
      <c r="B22" s="4" t="s">
        <v>880</v>
      </c>
      <c r="C22" s="4" t="s">
        <v>879</v>
      </c>
      <c r="F22" t="s">
        <v>19</v>
      </c>
      <c r="G22" s="10" t="s">
        <v>2199</v>
      </c>
      <c r="H22" s="10"/>
      <c r="I22" s="10"/>
      <c r="J22" s="10"/>
      <c r="K22" s="10"/>
      <c r="L22" s="10"/>
      <c r="M22" s="10"/>
      <c r="N22" s="11"/>
      <c r="O22" s="10"/>
      <c r="P22" s="10"/>
      <c r="Q22" s="10">
        <v>-830</v>
      </c>
      <c r="R22" s="10">
        <v>830</v>
      </c>
      <c r="S22" s="10">
        <v>0</v>
      </c>
      <c r="T22" s="10"/>
      <c r="U22" s="10"/>
      <c r="V22" s="10"/>
      <c r="W22" s="10"/>
      <c r="X22" s="10"/>
      <c r="Y22" s="10"/>
      <c r="Z22" s="10"/>
      <c r="AA22" s="10"/>
      <c r="AB22" s="10"/>
      <c r="AC22" s="10"/>
      <c r="AD22" t="s">
        <v>20</v>
      </c>
      <c r="AE22" t="s">
        <v>20</v>
      </c>
      <c r="AG22">
        <v>0</v>
      </c>
    </row>
    <row r="23" spans="1:34">
      <c r="A23" t="s">
        <v>122</v>
      </c>
      <c r="B23" s="4" t="s">
        <v>882</v>
      </c>
      <c r="C23" s="4" t="s">
        <v>881</v>
      </c>
      <c r="G23" s="10" t="s">
        <v>2201</v>
      </c>
      <c r="H23" s="10"/>
      <c r="I23" s="10"/>
      <c r="J23" s="10"/>
      <c r="K23" s="10"/>
      <c r="L23" s="10"/>
      <c r="M23" s="10"/>
      <c r="N23" s="11"/>
      <c r="O23" s="10"/>
      <c r="P23" s="10"/>
      <c r="Q23" s="10"/>
      <c r="R23" s="10" t="s">
        <v>2387</v>
      </c>
      <c r="S23" s="10" t="s">
        <v>2387</v>
      </c>
      <c r="T23" s="10"/>
      <c r="U23" s="10"/>
      <c r="V23" s="10"/>
      <c r="W23" s="10"/>
      <c r="X23" s="10"/>
      <c r="Y23" s="10"/>
      <c r="Z23" s="10"/>
      <c r="AA23" s="10"/>
      <c r="AB23" s="10"/>
      <c r="AC23" s="10"/>
      <c r="AD23" t="s">
        <v>19</v>
      </c>
      <c r="AE23" t="s">
        <v>19</v>
      </c>
      <c r="AG23">
        <v>1</v>
      </c>
    </row>
    <row r="24" spans="1:34" ht="87">
      <c r="A24" t="s">
        <v>123</v>
      </c>
      <c r="B24" s="4" t="s">
        <v>886</v>
      </c>
      <c r="C24" s="4" t="s">
        <v>885</v>
      </c>
      <c r="G24" s="10" t="s">
        <v>26</v>
      </c>
      <c r="H24" s="10"/>
      <c r="I24" s="10"/>
      <c r="J24" s="10"/>
      <c r="K24" s="10"/>
      <c r="L24" s="10"/>
      <c r="M24" s="10"/>
      <c r="N24" s="11"/>
      <c r="O24" s="10"/>
      <c r="P24" s="10"/>
      <c r="Q24" s="10"/>
      <c r="R24" s="10" t="s">
        <v>2387</v>
      </c>
      <c r="S24" s="10" t="s">
        <v>2387</v>
      </c>
      <c r="T24" s="10"/>
      <c r="U24" s="10"/>
      <c r="V24" s="10"/>
      <c r="W24" s="10"/>
      <c r="X24" s="10"/>
      <c r="Y24" s="10"/>
      <c r="Z24" s="10"/>
      <c r="AA24" s="10"/>
      <c r="AB24" s="10"/>
      <c r="AC24" s="10"/>
      <c r="AD24" t="s">
        <v>19</v>
      </c>
      <c r="AE24" t="s">
        <v>20</v>
      </c>
      <c r="AG24">
        <v>1</v>
      </c>
    </row>
    <row r="25" spans="1:34">
      <c r="A25" t="s">
        <v>124</v>
      </c>
      <c r="B25" s="4" t="s">
        <v>129</v>
      </c>
      <c r="C25" s="4" t="s">
        <v>130</v>
      </c>
      <c r="G25" s="10" t="s">
        <v>2201</v>
      </c>
      <c r="H25" s="10"/>
      <c r="I25" s="10"/>
      <c r="J25" s="10"/>
      <c r="K25" s="10"/>
      <c r="L25" s="10"/>
      <c r="M25" s="10"/>
      <c r="N25" s="11"/>
      <c r="O25" s="10"/>
      <c r="P25" s="10"/>
      <c r="Q25" s="10"/>
      <c r="R25" s="10" t="s">
        <v>2387</v>
      </c>
      <c r="S25" s="10" t="s">
        <v>2387</v>
      </c>
      <c r="T25" s="10"/>
      <c r="U25" s="10"/>
      <c r="V25" s="10"/>
      <c r="W25" s="10"/>
      <c r="X25" s="10"/>
      <c r="Y25" s="10"/>
      <c r="Z25" s="10"/>
      <c r="AA25" s="10"/>
      <c r="AB25" s="10"/>
      <c r="AC25" s="10"/>
      <c r="AD25" t="s">
        <v>19</v>
      </c>
      <c r="AE25" t="s">
        <v>19</v>
      </c>
      <c r="AG25">
        <v>1</v>
      </c>
    </row>
    <row r="26" spans="1:34" ht="29">
      <c r="A26" t="s">
        <v>124</v>
      </c>
      <c r="B26" s="4" t="s">
        <v>2431</v>
      </c>
      <c r="C26" s="4" t="s">
        <v>2432</v>
      </c>
      <c r="G26" s="10" t="s">
        <v>2201</v>
      </c>
      <c r="H26" s="10"/>
      <c r="I26" s="10"/>
      <c r="J26" s="10"/>
      <c r="K26" s="10"/>
      <c r="L26" s="10"/>
      <c r="M26" s="10"/>
      <c r="N26" s="11"/>
      <c r="O26" s="10"/>
      <c r="P26" s="10"/>
      <c r="Q26" s="10"/>
      <c r="R26" s="10" t="s">
        <v>2387</v>
      </c>
      <c r="S26" s="10" t="s">
        <v>2387</v>
      </c>
      <c r="T26" s="10"/>
      <c r="U26" s="10"/>
      <c r="V26" s="10"/>
      <c r="W26" s="10"/>
      <c r="X26" s="10"/>
      <c r="Y26" s="10"/>
      <c r="Z26" s="10"/>
      <c r="AA26" s="10"/>
      <c r="AB26" s="10"/>
      <c r="AC26" s="10"/>
      <c r="AD26" t="s">
        <v>19</v>
      </c>
      <c r="AE26" t="s">
        <v>20</v>
      </c>
      <c r="AG26">
        <v>1</v>
      </c>
    </row>
    <row r="27" spans="1:34" ht="29">
      <c r="A27" t="s">
        <v>131</v>
      </c>
      <c r="B27" s="4" t="s">
        <v>888</v>
      </c>
      <c r="C27" s="4" t="s">
        <v>887</v>
      </c>
      <c r="G27" s="10" t="s">
        <v>25</v>
      </c>
      <c r="H27" s="10"/>
      <c r="I27" s="10">
        <v>1</v>
      </c>
      <c r="J27" s="10">
        <v>1</v>
      </c>
      <c r="K27" s="10" t="s">
        <v>2158</v>
      </c>
      <c r="L27" s="10" t="s">
        <v>2200</v>
      </c>
      <c r="M27" s="10"/>
      <c r="N27" s="11"/>
      <c r="O27" s="10"/>
      <c r="P27" s="10">
        <v>2475</v>
      </c>
      <c r="Q27" s="10"/>
      <c r="R27" s="10" t="s">
        <v>2387</v>
      </c>
      <c r="S27" s="10" t="s">
        <v>2387</v>
      </c>
      <c r="T27" s="10"/>
      <c r="U27" s="10"/>
      <c r="V27" s="10"/>
      <c r="W27" s="10"/>
      <c r="X27" s="10"/>
      <c r="Y27" s="10"/>
      <c r="Z27" s="10"/>
      <c r="AA27" s="10"/>
      <c r="AB27" s="10"/>
      <c r="AC27" s="10"/>
      <c r="AD27" t="s">
        <v>19</v>
      </c>
      <c r="AE27" t="s">
        <v>19</v>
      </c>
      <c r="AG27">
        <v>1</v>
      </c>
    </row>
    <row r="28" spans="1:34" ht="29">
      <c r="A28" t="s">
        <v>131</v>
      </c>
      <c r="B28" s="4" t="s">
        <v>889</v>
      </c>
      <c r="C28" s="4" t="s">
        <v>890</v>
      </c>
      <c r="G28" s="10" t="s">
        <v>2199</v>
      </c>
      <c r="H28" s="10"/>
      <c r="I28" s="10"/>
      <c r="J28" s="10"/>
      <c r="K28" s="10"/>
      <c r="L28" s="10"/>
      <c r="M28" s="10"/>
      <c r="N28" s="11"/>
      <c r="O28" s="10"/>
      <c r="P28" s="10"/>
      <c r="Q28" s="10">
        <v>118</v>
      </c>
      <c r="R28" s="10">
        <v>132</v>
      </c>
      <c r="S28" s="10">
        <v>250</v>
      </c>
      <c r="T28" s="10"/>
      <c r="U28" s="10"/>
      <c r="V28" s="10"/>
      <c r="W28" s="10"/>
      <c r="X28" s="10"/>
      <c r="Y28" s="10"/>
      <c r="Z28" s="10"/>
      <c r="AA28" s="10"/>
      <c r="AB28" s="10"/>
      <c r="AC28" s="10"/>
      <c r="AD28" t="s">
        <v>19</v>
      </c>
      <c r="AE28" t="s">
        <v>19</v>
      </c>
      <c r="AG28">
        <v>1</v>
      </c>
    </row>
    <row r="29" spans="1:34" ht="29">
      <c r="A29" t="s">
        <v>131</v>
      </c>
      <c r="B29" s="4" t="s">
        <v>891</v>
      </c>
      <c r="C29" s="4" t="s">
        <v>892</v>
      </c>
      <c r="G29" s="10" t="s">
        <v>2199</v>
      </c>
      <c r="H29" s="10"/>
      <c r="I29" s="10"/>
      <c r="J29" s="10"/>
      <c r="K29" s="10"/>
      <c r="L29" s="10"/>
      <c r="M29" s="10"/>
      <c r="N29" s="11"/>
      <c r="O29" s="10"/>
      <c r="P29" s="10"/>
      <c r="Q29" s="10">
        <v>-17</v>
      </c>
      <c r="R29" s="10">
        <v>18</v>
      </c>
      <c r="S29" s="10">
        <v>1</v>
      </c>
      <c r="T29" s="10"/>
      <c r="U29" s="10"/>
      <c r="V29" s="10"/>
      <c r="W29" s="10"/>
      <c r="X29" s="10"/>
      <c r="Y29" s="10"/>
      <c r="Z29" s="10"/>
      <c r="AA29" s="10"/>
      <c r="AB29" s="10"/>
      <c r="AC29" s="10"/>
      <c r="AD29" t="s">
        <v>19</v>
      </c>
      <c r="AE29" t="s">
        <v>19</v>
      </c>
      <c r="AG29">
        <v>1</v>
      </c>
    </row>
    <row r="30" spans="1:34" ht="43.5">
      <c r="A30" t="s">
        <v>134</v>
      </c>
      <c r="B30" s="4" t="s">
        <v>898</v>
      </c>
      <c r="C30" s="4" t="s">
        <v>2437</v>
      </c>
      <c r="G30" s="10" t="s">
        <v>26</v>
      </c>
      <c r="H30" s="10"/>
      <c r="I30" s="10"/>
      <c r="J30" s="10"/>
      <c r="K30" s="10"/>
      <c r="L30" s="10"/>
      <c r="M30" s="10"/>
      <c r="N30" s="11"/>
      <c r="O30" s="10"/>
      <c r="P30" s="10"/>
      <c r="Q30" s="10"/>
      <c r="R30" s="10" t="s">
        <v>2387</v>
      </c>
      <c r="S30" s="10" t="s">
        <v>2387</v>
      </c>
      <c r="T30" s="10"/>
      <c r="U30" s="10"/>
      <c r="V30" s="10"/>
      <c r="W30" s="10"/>
      <c r="X30" s="10"/>
      <c r="Y30" s="10"/>
      <c r="Z30" s="10"/>
      <c r="AA30" s="10"/>
      <c r="AB30" s="10"/>
      <c r="AC30" s="10"/>
      <c r="AD30" t="s">
        <v>19</v>
      </c>
      <c r="AE30" t="s">
        <v>19</v>
      </c>
      <c r="AG30">
        <v>1</v>
      </c>
      <c r="AH30">
        <v>3</v>
      </c>
    </row>
    <row r="31" spans="1:34">
      <c r="A31" t="s">
        <v>135</v>
      </c>
      <c r="B31" s="4" t="s">
        <v>136</v>
      </c>
      <c r="C31" s="4" t="s">
        <v>137</v>
      </c>
      <c r="G31" s="10" t="s">
        <v>2201</v>
      </c>
      <c r="H31" s="10"/>
      <c r="I31" s="10"/>
      <c r="J31" s="10"/>
      <c r="K31" s="10"/>
      <c r="L31" s="10"/>
      <c r="M31" s="10"/>
      <c r="N31" s="11"/>
      <c r="O31" s="10"/>
      <c r="P31" s="10"/>
      <c r="Q31" s="10"/>
      <c r="R31" s="10" t="s">
        <v>2387</v>
      </c>
      <c r="S31" s="10" t="s">
        <v>2387</v>
      </c>
      <c r="T31" s="10"/>
      <c r="U31" s="10"/>
      <c r="V31" s="10"/>
      <c r="W31" s="10"/>
      <c r="X31" s="10"/>
      <c r="Y31" s="10"/>
      <c r="Z31" s="10"/>
      <c r="AA31" s="10"/>
      <c r="AB31" s="10"/>
      <c r="AC31" s="10"/>
      <c r="AD31" t="s">
        <v>19</v>
      </c>
      <c r="AE31" t="s">
        <v>19</v>
      </c>
      <c r="AG31">
        <v>1</v>
      </c>
    </row>
    <row r="32" spans="1:34">
      <c r="A32" t="s">
        <v>138</v>
      </c>
      <c r="B32" s="4" t="s">
        <v>903</v>
      </c>
      <c r="C32" s="4" t="s">
        <v>902</v>
      </c>
      <c r="G32" s="10" t="s">
        <v>2199</v>
      </c>
      <c r="H32" s="10"/>
      <c r="I32" s="10"/>
      <c r="J32" s="10"/>
      <c r="K32" s="10"/>
      <c r="L32" s="10"/>
      <c r="M32" s="10"/>
      <c r="N32" s="11"/>
      <c r="O32" s="10"/>
      <c r="P32" s="10"/>
      <c r="Q32" s="10">
        <v>813</v>
      </c>
      <c r="R32" s="10">
        <v>17</v>
      </c>
      <c r="S32" s="10">
        <v>830</v>
      </c>
      <c r="T32" s="10"/>
      <c r="U32" s="10"/>
      <c r="V32" s="10"/>
      <c r="W32" s="10"/>
      <c r="X32" s="10"/>
      <c r="Y32" s="10"/>
      <c r="Z32" s="10"/>
      <c r="AA32" s="10"/>
      <c r="AB32" s="10"/>
      <c r="AC32" s="10"/>
      <c r="AD32" t="s">
        <v>19</v>
      </c>
      <c r="AE32" t="s">
        <v>19</v>
      </c>
      <c r="AG32">
        <v>1</v>
      </c>
    </row>
    <row r="33" spans="1:33" ht="29">
      <c r="A33" t="s">
        <v>142</v>
      </c>
      <c r="B33" s="4" t="s">
        <v>911</v>
      </c>
      <c r="C33" s="4" t="s">
        <v>910</v>
      </c>
      <c r="G33" s="10" t="s">
        <v>26</v>
      </c>
      <c r="H33" s="10"/>
      <c r="I33" s="10"/>
      <c r="J33" s="10"/>
      <c r="K33" s="10"/>
      <c r="L33" s="10"/>
      <c r="M33" s="10"/>
      <c r="N33" s="11"/>
      <c r="O33" s="10"/>
      <c r="P33" s="10"/>
      <c r="Q33" s="10"/>
      <c r="R33" s="10" t="s">
        <v>2387</v>
      </c>
      <c r="S33" s="10" t="s">
        <v>2387</v>
      </c>
      <c r="T33" s="10"/>
      <c r="U33" s="10"/>
      <c r="V33" s="10"/>
      <c r="W33" s="10"/>
      <c r="X33" s="10"/>
      <c r="Y33" s="10"/>
      <c r="Z33" s="10"/>
      <c r="AA33" s="10"/>
      <c r="AB33" s="10"/>
      <c r="AC33" s="10"/>
      <c r="AD33" t="s">
        <v>19</v>
      </c>
      <c r="AE33" t="s">
        <v>19</v>
      </c>
      <c r="AG33">
        <v>1</v>
      </c>
    </row>
    <row r="34" spans="1:33">
      <c r="A34" t="s">
        <v>143</v>
      </c>
      <c r="B34" s="4" t="s">
        <v>913</v>
      </c>
      <c r="C34" s="4" t="s">
        <v>912</v>
      </c>
      <c r="G34" s="10" t="s">
        <v>2201</v>
      </c>
      <c r="H34" s="10"/>
      <c r="I34" s="10"/>
      <c r="J34" s="10"/>
      <c r="K34" s="10"/>
      <c r="L34" s="10"/>
      <c r="M34" s="10"/>
      <c r="N34" s="11"/>
      <c r="O34" s="10"/>
      <c r="P34" s="10"/>
      <c r="Q34" s="10"/>
      <c r="R34" s="10" t="s">
        <v>2387</v>
      </c>
      <c r="S34" s="10" t="s">
        <v>2387</v>
      </c>
      <c r="T34" s="10"/>
      <c r="U34" s="10"/>
      <c r="V34" s="10"/>
      <c r="W34" s="10"/>
      <c r="X34" s="10"/>
      <c r="Y34" s="10"/>
      <c r="Z34" s="10"/>
      <c r="AA34" s="10"/>
      <c r="AB34" s="10"/>
      <c r="AC34" s="10"/>
      <c r="AD34" t="s">
        <v>19</v>
      </c>
      <c r="AE34" t="s">
        <v>20</v>
      </c>
      <c r="AG34">
        <v>1</v>
      </c>
    </row>
    <row r="35" spans="1:33" ht="29">
      <c r="A35" t="s">
        <v>143</v>
      </c>
      <c r="B35" s="4" t="s">
        <v>914</v>
      </c>
      <c r="C35" s="4" t="s">
        <v>915</v>
      </c>
      <c r="G35" s="10" t="s">
        <v>24</v>
      </c>
      <c r="H35" s="10"/>
      <c r="I35" s="10">
        <v>1</v>
      </c>
      <c r="J35" s="10">
        <v>2</v>
      </c>
      <c r="K35" s="10" t="s">
        <v>2177</v>
      </c>
      <c r="L35" s="10" t="s">
        <v>2200</v>
      </c>
      <c r="M35" s="10"/>
      <c r="N35" s="11"/>
      <c r="O35" s="10"/>
      <c r="P35" s="10">
        <v>613</v>
      </c>
      <c r="Q35" s="10"/>
      <c r="R35" s="10" t="s">
        <v>2387</v>
      </c>
      <c r="S35" s="10" t="s">
        <v>2387</v>
      </c>
      <c r="T35" s="10"/>
      <c r="U35" s="10"/>
      <c r="V35" s="10"/>
      <c r="W35" s="10"/>
      <c r="X35" s="10"/>
      <c r="Y35" s="10"/>
      <c r="Z35" s="10"/>
      <c r="AA35" s="10"/>
      <c r="AB35" s="10"/>
      <c r="AC35" s="10"/>
      <c r="AD35" t="s">
        <v>19</v>
      </c>
      <c r="AE35" t="s">
        <v>19</v>
      </c>
      <c r="AG35">
        <v>1</v>
      </c>
    </row>
    <row r="36" spans="1:33">
      <c r="A36" t="s">
        <v>145</v>
      </c>
      <c r="B36" s="4" t="s">
        <v>918</v>
      </c>
      <c r="C36" s="4" t="s">
        <v>919</v>
      </c>
      <c r="F36" t="s">
        <v>19</v>
      </c>
      <c r="G36" s="10" t="s">
        <v>25</v>
      </c>
      <c r="H36" s="10"/>
      <c r="I36" s="10">
        <v>1</v>
      </c>
      <c r="J36" s="10">
        <v>5</v>
      </c>
      <c r="K36" s="10" t="s">
        <v>2152</v>
      </c>
      <c r="L36" s="10" t="s">
        <v>2159</v>
      </c>
      <c r="M36" s="10"/>
      <c r="N36" s="11"/>
      <c r="O36" s="10"/>
      <c r="P36" s="10">
        <v>8</v>
      </c>
      <c r="Q36" s="10"/>
      <c r="R36" s="10" t="s">
        <v>2387</v>
      </c>
      <c r="S36" s="10" t="s">
        <v>2387</v>
      </c>
      <c r="T36" s="10"/>
      <c r="U36" s="10"/>
      <c r="V36" s="10"/>
      <c r="W36" s="10"/>
      <c r="X36" s="10"/>
      <c r="Y36" s="10"/>
      <c r="Z36" s="10"/>
      <c r="AA36" s="10"/>
      <c r="AB36" s="10"/>
      <c r="AC36" s="10"/>
      <c r="AD36" t="s">
        <v>20</v>
      </c>
      <c r="AE36" t="s">
        <v>20</v>
      </c>
      <c r="AG36">
        <v>0</v>
      </c>
    </row>
    <row r="37" spans="1:33" ht="43.5">
      <c r="A37" t="s">
        <v>147</v>
      </c>
      <c r="B37" s="4" t="s">
        <v>920</v>
      </c>
      <c r="C37" s="4" t="s">
        <v>921</v>
      </c>
      <c r="F37" t="s">
        <v>19</v>
      </c>
      <c r="G37" s="10" t="s">
        <v>24</v>
      </c>
      <c r="H37" s="10"/>
      <c r="I37" s="10">
        <v>2</v>
      </c>
      <c r="J37" s="10">
        <v>11</v>
      </c>
      <c r="K37" s="10"/>
      <c r="L37" s="10" t="s">
        <v>2153</v>
      </c>
      <c r="M37" s="10" t="s">
        <v>2244</v>
      </c>
      <c r="N37" s="11" t="s">
        <v>2245</v>
      </c>
      <c r="O37" s="10"/>
      <c r="P37" s="10">
        <v>98</v>
      </c>
      <c r="Q37" s="10"/>
      <c r="R37" s="10" t="s">
        <v>2387</v>
      </c>
      <c r="S37" s="10" t="s">
        <v>2387</v>
      </c>
      <c r="T37" s="10"/>
      <c r="U37" s="10"/>
      <c r="V37" s="10"/>
      <c r="W37" s="10"/>
      <c r="X37" s="10"/>
      <c r="Y37" s="10"/>
      <c r="Z37" s="10"/>
      <c r="AA37" s="10"/>
      <c r="AB37" s="10"/>
      <c r="AC37" s="10"/>
      <c r="AD37" t="s">
        <v>20</v>
      </c>
      <c r="AE37" t="s">
        <v>20</v>
      </c>
      <c r="AG37">
        <v>0</v>
      </c>
    </row>
    <row r="38" spans="1:33">
      <c r="A38" t="s">
        <v>148</v>
      </c>
      <c r="B38" s="4" t="s">
        <v>923</v>
      </c>
      <c r="C38" s="4" t="s">
        <v>922</v>
      </c>
      <c r="G38" s="10" t="s">
        <v>24</v>
      </c>
      <c r="H38" s="10"/>
      <c r="I38" s="10">
        <v>1</v>
      </c>
      <c r="J38" s="10">
        <v>2</v>
      </c>
      <c r="K38" s="10" t="s">
        <v>2158</v>
      </c>
      <c r="L38" s="10" t="s">
        <v>2200</v>
      </c>
      <c r="M38" s="10"/>
      <c r="N38" s="11"/>
      <c r="O38" s="10"/>
      <c r="P38" s="10">
        <v>2475</v>
      </c>
      <c r="Q38" s="10"/>
      <c r="R38" s="10" t="s">
        <v>2387</v>
      </c>
      <c r="S38" s="10" t="s">
        <v>2387</v>
      </c>
      <c r="T38" s="10"/>
      <c r="U38" s="10"/>
      <c r="V38" s="10"/>
      <c r="W38" s="10"/>
      <c r="X38" s="10"/>
      <c r="Y38" s="10"/>
      <c r="Z38" s="10"/>
      <c r="AA38" s="10"/>
      <c r="AB38" s="10"/>
      <c r="AC38" s="10"/>
      <c r="AD38" t="s">
        <v>19</v>
      </c>
      <c r="AE38" t="s">
        <v>19</v>
      </c>
      <c r="AG38">
        <v>1</v>
      </c>
    </row>
    <row r="39" spans="1:33">
      <c r="A39" t="s">
        <v>149</v>
      </c>
      <c r="B39" s="4" t="s">
        <v>150</v>
      </c>
      <c r="C39" s="4" t="s">
        <v>151</v>
      </c>
      <c r="G39" s="10" t="s">
        <v>2201</v>
      </c>
      <c r="H39" s="10"/>
      <c r="I39" s="10"/>
      <c r="J39" s="10"/>
      <c r="K39" s="10"/>
      <c r="L39" s="10"/>
      <c r="M39" s="10"/>
      <c r="N39" s="11"/>
      <c r="O39" s="10"/>
      <c r="P39" s="10"/>
      <c r="Q39" s="10"/>
      <c r="R39" s="10" t="s">
        <v>2387</v>
      </c>
      <c r="S39" s="10" t="s">
        <v>2387</v>
      </c>
      <c r="T39" s="10"/>
      <c r="U39" s="10"/>
      <c r="V39" s="10"/>
      <c r="W39" s="10"/>
      <c r="X39" s="10"/>
      <c r="Y39" s="10"/>
      <c r="Z39" s="10"/>
      <c r="AA39" s="10"/>
      <c r="AB39" s="10"/>
      <c r="AC39" s="10"/>
      <c r="AD39" t="s">
        <v>19</v>
      </c>
      <c r="AE39" t="s">
        <v>20</v>
      </c>
      <c r="AG39">
        <v>1</v>
      </c>
    </row>
    <row r="40" spans="1:33">
      <c r="A40" t="s">
        <v>149</v>
      </c>
      <c r="B40" s="4" t="s">
        <v>925</v>
      </c>
      <c r="C40" s="4" t="s">
        <v>924</v>
      </c>
      <c r="G40" s="10" t="s">
        <v>25</v>
      </c>
      <c r="H40" s="10"/>
      <c r="I40" s="10">
        <v>1</v>
      </c>
      <c r="J40" s="10">
        <v>3</v>
      </c>
      <c r="K40" s="10" t="s">
        <v>2175</v>
      </c>
      <c r="L40" s="10" t="s">
        <v>2159</v>
      </c>
      <c r="M40" s="10"/>
      <c r="N40" s="11"/>
      <c r="O40" s="10"/>
      <c r="P40" s="10">
        <v>743</v>
      </c>
      <c r="Q40" s="10"/>
      <c r="R40" s="10" t="s">
        <v>2387</v>
      </c>
      <c r="S40" s="10" t="s">
        <v>2387</v>
      </c>
      <c r="T40" s="10"/>
      <c r="U40" s="10"/>
      <c r="V40" s="10"/>
      <c r="W40" s="10"/>
      <c r="X40" s="10"/>
      <c r="Y40" s="10"/>
      <c r="Z40" s="10"/>
      <c r="AA40" s="10"/>
      <c r="AB40" s="10"/>
      <c r="AC40" s="10"/>
      <c r="AD40" t="s">
        <v>19</v>
      </c>
      <c r="AE40" t="s">
        <v>19</v>
      </c>
      <c r="AG40">
        <v>1</v>
      </c>
    </row>
    <row r="41" spans="1:33">
      <c r="A41" t="s">
        <v>152</v>
      </c>
      <c r="B41" s="4" t="s">
        <v>926</v>
      </c>
      <c r="C41" s="4" t="s">
        <v>927</v>
      </c>
      <c r="G41" s="10" t="s">
        <v>2201</v>
      </c>
      <c r="H41" s="10"/>
      <c r="I41" s="10"/>
      <c r="J41" s="10"/>
      <c r="K41" s="10"/>
      <c r="L41" s="10"/>
      <c r="M41" s="10"/>
      <c r="N41" s="11"/>
      <c r="O41" s="10"/>
      <c r="P41" s="10"/>
      <c r="Q41" s="10"/>
      <c r="R41" s="10" t="s">
        <v>2387</v>
      </c>
      <c r="S41" s="10" t="s">
        <v>2387</v>
      </c>
      <c r="T41" s="10"/>
      <c r="U41" s="10"/>
      <c r="V41" s="10"/>
      <c r="W41" s="10"/>
      <c r="X41" s="10"/>
      <c r="Y41" s="10"/>
      <c r="Z41" s="10"/>
      <c r="AA41" s="10"/>
      <c r="AB41" s="10"/>
      <c r="AC41" s="10"/>
      <c r="AD41" t="s">
        <v>19</v>
      </c>
      <c r="AE41" t="s">
        <v>20</v>
      </c>
      <c r="AG41">
        <v>1</v>
      </c>
    </row>
    <row r="42" spans="1:33" ht="29">
      <c r="A42" t="s">
        <v>156</v>
      </c>
      <c r="B42" s="4" t="s">
        <v>928</v>
      </c>
      <c r="C42" s="4" t="s">
        <v>929</v>
      </c>
      <c r="G42" s="10" t="s">
        <v>26</v>
      </c>
      <c r="H42" s="10"/>
      <c r="I42" s="10"/>
      <c r="J42" s="10"/>
      <c r="K42" s="10"/>
      <c r="L42" s="10"/>
      <c r="M42" s="10"/>
      <c r="N42" s="11"/>
      <c r="O42" s="10"/>
      <c r="P42" s="10"/>
      <c r="Q42" s="10"/>
      <c r="R42" s="10" t="s">
        <v>2387</v>
      </c>
      <c r="S42" s="10" t="s">
        <v>2387</v>
      </c>
      <c r="T42" s="10"/>
      <c r="U42" s="10"/>
      <c r="V42" s="10"/>
      <c r="W42" s="10"/>
      <c r="X42" s="10"/>
      <c r="Y42" s="10"/>
      <c r="Z42" s="10"/>
      <c r="AA42" s="10"/>
      <c r="AB42" s="10"/>
      <c r="AC42" s="10"/>
      <c r="AD42" t="s">
        <v>19</v>
      </c>
      <c r="AE42" t="s">
        <v>19</v>
      </c>
      <c r="AG42">
        <v>1</v>
      </c>
    </row>
    <row r="43" spans="1:33">
      <c r="A43" t="s">
        <v>157</v>
      </c>
      <c r="B43" s="4" t="s">
        <v>930</v>
      </c>
      <c r="C43" s="4" t="s">
        <v>931</v>
      </c>
      <c r="G43" s="10" t="s">
        <v>24</v>
      </c>
      <c r="H43" s="10"/>
      <c r="I43" s="10">
        <v>1</v>
      </c>
      <c r="J43" s="10">
        <v>2</v>
      </c>
      <c r="K43" s="10" t="s">
        <v>2158</v>
      </c>
      <c r="L43" s="10" t="s">
        <v>2200</v>
      </c>
      <c r="M43" s="10"/>
      <c r="N43" s="11"/>
      <c r="O43" s="10"/>
      <c r="P43" s="10">
        <v>2475</v>
      </c>
      <c r="Q43" s="10"/>
      <c r="R43" s="10" t="s">
        <v>2387</v>
      </c>
      <c r="S43" s="10" t="s">
        <v>2387</v>
      </c>
      <c r="T43" s="10"/>
      <c r="U43" s="10"/>
      <c r="V43" s="10"/>
      <c r="W43" s="10"/>
      <c r="X43" s="10"/>
      <c r="Y43" s="10"/>
      <c r="Z43" s="10"/>
      <c r="AA43" s="10"/>
      <c r="AB43" s="10"/>
      <c r="AC43" s="10"/>
      <c r="AD43" t="s">
        <v>19</v>
      </c>
      <c r="AE43" t="s">
        <v>19</v>
      </c>
      <c r="AG43">
        <v>1</v>
      </c>
    </row>
    <row r="44" spans="1:33">
      <c r="A44" t="s">
        <v>158</v>
      </c>
      <c r="B44" s="4" t="s">
        <v>933</v>
      </c>
      <c r="C44" s="4" t="s">
        <v>932</v>
      </c>
      <c r="G44" s="10" t="s">
        <v>24</v>
      </c>
      <c r="H44" s="10"/>
      <c r="I44" s="10">
        <v>1</v>
      </c>
      <c r="J44" s="10">
        <v>1</v>
      </c>
      <c r="K44" s="10" t="s">
        <v>2158</v>
      </c>
      <c r="L44" s="10" t="s">
        <v>2200</v>
      </c>
      <c r="M44" s="10"/>
      <c r="N44" s="11"/>
      <c r="O44" s="10"/>
      <c r="P44" s="10">
        <v>2475</v>
      </c>
      <c r="Q44" s="10"/>
      <c r="R44" s="10" t="s">
        <v>2387</v>
      </c>
      <c r="S44" s="10" t="s">
        <v>2387</v>
      </c>
      <c r="T44" s="10"/>
      <c r="U44" s="10"/>
      <c r="V44" s="10"/>
      <c r="W44" s="10"/>
      <c r="X44" s="10"/>
      <c r="Y44" s="10"/>
      <c r="Z44" s="10"/>
      <c r="AA44" s="10"/>
      <c r="AB44" s="10"/>
      <c r="AC44" s="10"/>
      <c r="AD44" t="s">
        <v>19</v>
      </c>
      <c r="AE44" t="s">
        <v>19</v>
      </c>
      <c r="AG44">
        <v>1</v>
      </c>
    </row>
    <row r="45" spans="1:33" ht="29">
      <c r="A45" t="s">
        <v>158</v>
      </c>
      <c r="B45" s="4" t="s">
        <v>935</v>
      </c>
      <c r="C45" s="4" t="s">
        <v>934</v>
      </c>
      <c r="G45" s="10" t="s">
        <v>2199</v>
      </c>
      <c r="H45" s="10"/>
      <c r="I45" s="10"/>
      <c r="J45" s="10"/>
      <c r="K45" s="10"/>
      <c r="L45" s="10"/>
      <c r="M45" s="10"/>
      <c r="N45" s="11"/>
      <c r="O45" s="10"/>
      <c r="P45" s="10"/>
      <c r="Q45" s="10">
        <v>732</v>
      </c>
      <c r="R45" s="10">
        <v>98</v>
      </c>
      <c r="S45" s="10">
        <v>830</v>
      </c>
      <c r="T45" s="10"/>
      <c r="U45" s="10"/>
      <c r="V45" s="10"/>
      <c r="W45" s="10"/>
      <c r="X45" s="10"/>
      <c r="Y45" s="10"/>
      <c r="Z45" s="10"/>
      <c r="AA45" s="10"/>
      <c r="AB45" s="10"/>
      <c r="AC45" s="10"/>
      <c r="AD45" t="s">
        <v>19</v>
      </c>
      <c r="AE45" t="s">
        <v>19</v>
      </c>
      <c r="AG45">
        <v>1</v>
      </c>
    </row>
    <row r="46" spans="1:33">
      <c r="A46" t="s">
        <v>159</v>
      </c>
      <c r="B46" s="4" t="s">
        <v>160</v>
      </c>
      <c r="C46" s="4" t="s">
        <v>161</v>
      </c>
      <c r="G46" s="10" t="s">
        <v>2201</v>
      </c>
      <c r="H46" s="10"/>
      <c r="I46" s="10"/>
      <c r="J46" s="10"/>
      <c r="K46" s="10"/>
      <c r="L46" s="10"/>
      <c r="M46" s="10"/>
      <c r="N46" s="11"/>
      <c r="O46" s="10"/>
      <c r="P46" s="10"/>
      <c r="Q46" s="10"/>
      <c r="R46" s="10" t="s">
        <v>2387</v>
      </c>
      <c r="S46" s="10" t="s">
        <v>2387</v>
      </c>
      <c r="T46" s="10"/>
      <c r="U46" s="10"/>
      <c r="V46" s="10"/>
      <c r="W46" s="10"/>
      <c r="X46" s="10"/>
      <c r="Y46" s="10"/>
      <c r="Z46" s="10"/>
      <c r="AA46" s="10"/>
      <c r="AB46" s="10"/>
      <c r="AC46" s="10"/>
      <c r="AD46" t="s">
        <v>20</v>
      </c>
      <c r="AE46" t="s">
        <v>20</v>
      </c>
      <c r="AG46">
        <v>0</v>
      </c>
    </row>
    <row r="47" spans="1:33">
      <c r="A47" t="s">
        <v>162</v>
      </c>
      <c r="B47" s="4" t="s">
        <v>936</v>
      </c>
      <c r="C47" s="4" t="s">
        <v>937</v>
      </c>
      <c r="F47" t="s">
        <v>19</v>
      </c>
      <c r="G47" s="10" t="s">
        <v>25</v>
      </c>
      <c r="H47" s="10"/>
      <c r="I47" s="10">
        <v>1</v>
      </c>
      <c r="J47" s="10">
        <v>3</v>
      </c>
      <c r="K47" s="10" t="s">
        <v>2158</v>
      </c>
      <c r="L47" s="10" t="s">
        <v>2159</v>
      </c>
      <c r="M47" s="10"/>
      <c r="N47" s="11"/>
      <c r="O47" s="10"/>
      <c r="P47" s="10">
        <v>2475</v>
      </c>
      <c r="Q47" s="10"/>
      <c r="R47" s="10" t="s">
        <v>2387</v>
      </c>
      <c r="S47" s="10" t="s">
        <v>2387</v>
      </c>
      <c r="T47" s="10"/>
      <c r="U47" s="10"/>
      <c r="V47" s="10"/>
      <c r="W47" s="10"/>
      <c r="X47" s="10"/>
      <c r="Y47" s="10"/>
      <c r="Z47" s="10"/>
      <c r="AA47" s="10"/>
      <c r="AB47" s="10"/>
      <c r="AC47" s="10"/>
      <c r="AD47" t="s">
        <v>20</v>
      </c>
      <c r="AE47" t="s">
        <v>20</v>
      </c>
      <c r="AG47">
        <v>0</v>
      </c>
    </row>
    <row r="48" spans="1:33" ht="29">
      <c r="A48" t="s">
        <v>163</v>
      </c>
      <c r="B48" s="4" t="s">
        <v>940</v>
      </c>
      <c r="C48" s="4" t="s">
        <v>941</v>
      </c>
      <c r="F48" t="s">
        <v>19</v>
      </c>
      <c r="G48" s="10" t="s">
        <v>25</v>
      </c>
      <c r="H48" s="10"/>
      <c r="I48" s="10">
        <v>1</v>
      </c>
      <c r="J48" s="10">
        <v>5</v>
      </c>
      <c r="K48" s="10" t="s">
        <v>2152</v>
      </c>
      <c r="L48" s="10" t="s">
        <v>2153</v>
      </c>
      <c r="M48" s="10" t="s">
        <v>2231</v>
      </c>
      <c r="N48" s="11" t="s">
        <v>2230</v>
      </c>
      <c r="O48" s="10"/>
      <c r="P48" s="10">
        <v>266</v>
      </c>
      <c r="Q48" s="10"/>
      <c r="R48" s="10" t="s">
        <v>2387</v>
      </c>
      <c r="S48" s="10" t="s">
        <v>2387</v>
      </c>
      <c r="T48" s="10"/>
      <c r="U48" s="10"/>
      <c r="V48" s="10"/>
      <c r="W48" s="10"/>
      <c r="X48" s="10"/>
      <c r="Y48" s="10"/>
      <c r="Z48" s="10"/>
      <c r="AA48" s="10"/>
      <c r="AB48" s="10"/>
      <c r="AC48" s="10"/>
      <c r="AD48" t="s">
        <v>20</v>
      </c>
      <c r="AE48" t="s">
        <v>20</v>
      </c>
      <c r="AG48">
        <v>0</v>
      </c>
    </row>
    <row r="49" spans="1:33" ht="43.5">
      <c r="A49" t="s">
        <v>164</v>
      </c>
      <c r="B49" s="4" t="s">
        <v>942</v>
      </c>
      <c r="C49" s="4" t="s">
        <v>943</v>
      </c>
      <c r="G49" s="10" t="s">
        <v>26</v>
      </c>
      <c r="H49" s="10"/>
      <c r="I49" s="10"/>
      <c r="J49" s="10"/>
      <c r="K49" s="10"/>
      <c r="L49" s="10"/>
      <c r="M49" s="10"/>
      <c r="N49" s="11"/>
      <c r="O49" s="10"/>
      <c r="P49" s="10"/>
      <c r="Q49" s="10"/>
      <c r="R49" s="10" t="s">
        <v>2387</v>
      </c>
      <c r="S49" s="10" t="s">
        <v>2387</v>
      </c>
      <c r="T49" s="10"/>
      <c r="U49" s="10"/>
      <c r="V49" s="10"/>
      <c r="W49" s="10"/>
      <c r="X49" s="10"/>
      <c r="Y49" s="10"/>
      <c r="Z49" s="10"/>
      <c r="AA49" s="10"/>
      <c r="AB49" s="10"/>
      <c r="AC49" s="10"/>
      <c r="AD49" t="s">
        <v>19</v>
      </c>
      <c r="AE49" t="s">
        <v>19</v>
      </c>
      <c r="AG49">
        <v>1</v>
      </c>
    </row>
    <row r="50" spans="1:33">
      <c r="A50" t="s">
        <v>166</v>
      </c>
      <c r="B50" s="4" t="s">
        <v>167</v>
      </c>
      <c r="C50" s="4" t="s">
        <v>168</v>
      </c>
      <c r="G50" s="10" t="s">
        <v>2201</v>
      </c>
      <c r="H50" s="10"/>
      <c r="I50" s="10"/>
      <c r="J50" s="10"/>
      <c r="K50" s="10"/>
      <c r="L50" s="10"/>
      <c r="M50" s="10"/>
      <c r="N50" s="11"/>
      <c r="O50" s="10"/>
      <c r="P50" s="10"/>
      <c r="Q50" s="10"/>
      <c r="R50" s="10" t="s">
        <v>2387</v>
      </c>
      <c r="S50" s="10" t="s">
        <v>2387</v>
      </c>
      <c r="T50" s="10"/>
      <c r="U50" s="10"/>
      <c r="V50" s="10"/>
      <c r="W50" s="10"/>
      <c r="X50" s="10"/>
      <c r="Y50" s="10"/>
      <c r="Z50" s="10"/>
      <c r="AA50" s="10"/>
      <c r="AB50" s="10"/>
      <c r="AC50" s="10"/>
      <c r="AD50" t="s">
        <v>19</v>
      </c>
      <c r="AE50" t="s">
        <v>19</v>
      </c>
      <c r="AG50">
        <v>1</v>
      </c>
    </row>
    <row r="51" spans="1:33">
      <c r="A51" t="s">
        <v>169</v>
      </c>
      <c r="B51" s="4" t="s">
        <v>949</v>
      </c>
      <c r="C51" s="4" t="s">
        <v>946</v>
      </c>
      <c r="G51" s="10" t="s">
        <v>25</v>
      </c>
      <c r="H51" s="10"/>
      <c r="I51" s="10">
        <v>1</v>
      </c>
      <c r="J51" s="10">
        <v>3</v>
      </c>
      <c r="K51" s="10" t="s">
        <v>2168</v>
      </c>
      <c r="L51" s="10" t="s">
        <v>2159</v>
      </c>
      <c r="M51" s="10"/>
      <c r="N51" s="11"/>
      <c r="O51" s="10"/>
      <c r="P51" s="10">
        <v>1701</v>
      </c>
      <c r="Q51" s="10"/>
      <c r="R51" s="10" t="s">
        <v>2387</v>
      </c>
      <c r="S51" s="10" t="s">
        <v>2387</v>
      </c>
      <c r="T51" s="10"/>
      <c r="U51" s="10"/>
      <c r="V51" s="10"/>
      <c r="W51" s="10"/>
      <c r="X51" s="10"/>
      <c r="Y51" s="10"/>
      <c r="Z51" s="10"/>
      <c r="AA51" s="10"/>
      <c r="AB51" s="10"/>
      <c r="AC51" s="10"/>
      <c r="AD51" t="s">
        <v>19</v>
      </c>
      <c r="AE51" t="s">
        <v>19</v>
      </c>
      <c r="AG51">
        <v>1</v>
      </c>
    </row>
    <row r="52" spans="1:33" ht="43.5">
      <c r="A52" t="s">
        <v>176</v>
      </c>
      <c r="B52" s="4" t="s">
        <v>951</v>
      </c>
      <c r="C52" s="4" t="s">
        <v>950</v>
      </c>
      <c r="G52" s="10" t="s">
        <v>26</v>
      </c>
      <c r="H52" s="10"/>
      <c r="I52" s="10"/>
      <c r="J52" s="10"/>
      <c r="K52" s="10"/>
      <c r="L52" s="10"/>
      <c r="M52" s="10"/>
      <c r="N52" s="11"/>
      <c r="O52" s="10"/>
      <c r="P52" s="10"/>
      <c r="Q52" s="10"/>
      <c r="R52" s="10" t="s">
        <v>2387</v>
      </c>
      <c r="S52" s="10" t="s">
        <v>2387</v>
      </c>
      <c r="T52" s="10"/>
      <c r="U52" s="10"/>
      <c r="V52" s="10"/>
      <c r="W52" s="10"/>
      <c r="X52" s="10"/>
      <c r="Y52" s="10"/>
      <c r="Z52" s="10"/>
      <c r="AA52" s="10"/>
      <c r="AB52" s="10"/>
      <c r="AC52" s="10"/>
      <c r="AD52" t="s">
        <v>19</v>
      </c>
      <c r="AE52" t="s">
        <v>19</v>
      </c>
      <c r="AG52">
        <v>1</v>
      </c>
    </row>
    <row r="53" spans="1:33">
      <c r="A53" t="s">
        <v>178</v>
      </c>
      <c r="B53" s="4" t="s">
        <v>952</v>
      </c>
      <c r="C53" s="4" t="s">
        <v>953</v>
      </c>
      <c r="G53" s="10" t="s">
        <v>2201</v>
      </c>
      <c r="H53" s="10"/>
      <c r="I53" s="10"/>
      <c r="J53" s="10"/>
      <c r="K53" s="10"/>
      <c r="L53" s="10"/>
      <c r="M53" s="10"/>
      <c r="N53" s="11"/>
      <c r="O53" s="10"/>
      <c r="P53" s="10"/>
      <c r="Q53" s="10"/>
      <c r="R53" s="10" t="s">
        <v>2387</v>
      </c>
      <c r="S53" s="10" t="s">
        <v>2387</v>
      </c>
      <c r="T53" s="10"/>
      <c r="U53" s="10"/>
      <c r="V53" s="10"/>
      <c r="W53" s="10"/>
      <c r="X53" s="10"/>
      <c r="Y53" s="10"/>
      <c r="Z53" s="10"/>
      <c r="AA53" s="10"/>
      <c r="AB53" s="10"/>
      <c r="AC53" s="10"/>
      <c r="AD53" t="s">
        <v>19</v>
      </c>
      <c r="AE53" t="s">
        <v>19</v>
      </c>
      <c r="AG53">
        <v>1</v>
      </c>
    </row>
    <row r="54" spans="1:33">
      <c r="A54" t="s">
        <v>178</v>
      </c>
      <c r="B54" s="4" t="s">
        <v>954</v>
      </c>
      <c r="C54" s="4" t="s">
        <v>955</v>
      </c>
      <c r="G54" s="10" t="s">
        <v>2199</v>
      </c>
      <c r="H54" s="10"/>
      <c r="I54" s="10"/>
      <c r="J54" s="10"/>
      <c r="K54" s="10"/>
      <c r="L54" s="10"/>
      <c r="M54" s="10"/>
      <c r="N54" s="11"/>
      <c r="O54" s="10"/>
      <c r="P54" s="10"/>
      <c r="Q54" s="10">
        <v>118</v>
      </c>
      <c r="R54" s="10">
        <v>132</v>
      </c>
      <c r="S54" s="10">
        <v>250</v>
      </c>
      <c r="T54" s="10"/>
      <c r="U54" s="10"/>
      <c r="V54" s="10"/>
      <c r="W54" s="10"/>
      <c r="X54" s="10"/>
      <c r="Y54" s="10"/>
      <c r="Z54" s="10"/>
      <c r="AA54" s="10"/>
      <c r="AB54" s="10"/>
      <c r="AC54" s="10"/>
      <c r="AD54" t="s">
        <v>19</v>
      </c>
      <c r="AE54" t="s">
        <v>20</v>
      </c>
      <c r="AG54">
        <v>1</v>
      </c>
    </row>
    <row r="55" spans="1:33">
      <c r="A55" t="s">
        <v>180</v>
      </c>
      <c r="B55" s="4" t="s">
        <v>960</v>
      </c>
      <c r="C55" s="4" t="s">
        <v>961</v>
      </c>
      <c r="G55" s="10" t="s">
        <v>2199</v>
      </c>
      <c r="H55" s="10"/>
      <c r="I55" s="10"/>
      <c r="J55" s="10"/>
      <c r="K55" s="10"/>
      <c r="L55" s="10"/>
      <c r="M55" s="10"/>
      <c r="N55" s="11"/>
      <c r="O55" s="10"/>
      <c r="P55" s="10"/>
      <c r="Q55" s="10">
        <v>-26</v>
      </c>
      <c r="R55" s="10">
        <v>31</v>
      </c>
      <c r="S55" s="10">
        <v>5</v>
      </c>
      <c r="T55" s="10"/>
      <c r="U55" s="10"/>
      <c r="V55" s="10"/>
      <c r="W55" s="10"/>
      <c r="X55" s="10"/>
      <c r="Y55" s="10"/>
      <c r="Z55" s="10"/>
      <c r="AA55" s="10"/>
      <c r="AB55" s="10"/>
      <c r="AC55" s="10"/>
      <c r="AD55" t="s">
        <v>19</v>
      </c>
      <c r="AE55" t="s">
        <v>19</v>
      </c>
      <c r="AG55">
        <v>1</v>
      </c>
    </row>
    <row r="56" spans="1:33">
      <c r="A56" t="s">
        <v>183</v>
      </c>
      <c r="B56" s="4" t="s">
        <v>962</v>
      </c>
      <c r="C56" s="4" t="s">
        <v>963</v>
      </c>
      <c r="G56" s="10" t="s">
        <v>2199</v>
      </c>
      <c r="H56" s="10"/>
      <c r="I56" s="10"/>
      <c r="J56" s="10"/>
      <c r="K56" s="10"/>
      <c r="L56" s="10"/>
      <c r="M56" s="10"/>
      <c r="N56" s="11"/>
      <c r="O56" s="10"/>
      <c r="P56" s="10"/>
      <c r="Q56" s="10">
        <v>4</v>
      </c>
      <c r="R56" s="10">
        <v>2</v>
      </c>
      <c r="S56" s="10">
        <v>6</v>
      </c>
      <c r="T56" s="10"/>
      <c r="U56" s="10"/>
      <c r="V56" s="10"/>
      <c r="W56" s="10"/>
      <c r="X56" s="10"/>
      <c r="Y56" s="10"/>
      <c r="Z56" s="10"/>
      <c r="AA56" s="10"/>
      <c r="AB56" s="10"/>
      <c r="AC56" s="10"/>
      <c r="AD56" t="s">
        <v>19</v>
      </c>
      <c r="AE56" t="s">
        <v>19</v>
      </c>
      <c r="AG56">
        <v>1</v>
      </c>
    </row>
    <row r="57" spans="1:33">
      <c r="A57" t="s">
        <v>184</v>
      </c>
      <c r="B57" s="4" t="s">
        <v>965</v>
      </c>
      <c r="C57" s="4" t="s">
        <v>964</v>
      </c>
      <c r="G57" s="10" t="s">
        <v>24</v>
      </c>
      <c r="H57" s="10"/>
      <c r="I57" s="10">
        <v>1</v>
      </c>
      <c r="J57" s="10">
        <v>3</v>
      </c>
      <c r="K57" s="10" t="s">
        <v>2168</v>
      </c>
      <c r="L57" s="10" t="s">
        <v>2159</v>
      </c>
      <c r="M57" s="10"/>
      <c r="N57" s="11"/>
      <c r="O57" s="10"/>
      <c r="P57" s="10">
        <v>1701</v>
      </c>
      <c r="Q57" s="10"/>
      <c r="R57" s="10" t="s">
        <v>2387</v>
      </c>
      <c r="S57" s="10" t="s">
        <v>2387</v>
      </c>
      <c r="T57" s="10"/>
      <c r="U57" s="10"/>
      <c r="V57" s="10"/>
      <c r="W57" s="10"/>
      <c r="X57" s="10"/>
      <c r="Y57" s="10"/>
      <c r="Z57" s="10"/>
      <c r="AA57" s="10"/>
      <c r="AB57" s="10"/>
      <c r="AC57" s="10"/>
      <c r="AD57" t="s">
        <v>19</v>
      </c>
      <c r="AE57" t="s">
        <v>19</v>
      </c>
      <c r="AG57">
        <v>1</v>
      </c>
    </row>
    <row r="58" spans="1:33" ht="29">
      <c r="A58" t="s">
        <v>185</v>
      </c>
      <c r="B58" s="4" t="s">
        <v>967</v>
      </c>
      <c r="C58" s="4" t="s">
        <v>966</v>
      </c>
      <c r="G58" s="10" t="s">
        <v>24</v>
      </c>
      <c r="H58" s="10"/>
      <c r="I58" s="10">
        <v>1</v>
      </c>
      <c r="J58" s="10">
        <v>3</v>
      </c>
      <c r="K58" s="10" t="s">
        <v>2168</v>
      </c>
      <c r="L58" s="10" t="s">
        <v>2159</v>
      </c>
      <c r="M58" s="10"/>
      <c r="N58" s="11"/>
      <c r="O58" s="10"/>
      <c r="P58" s="10">
        <v>1701</v>
      </c>
      <c r="Q58" s="10"/>
      <c r="R58" s="10" t="s">
        <v>2387</v>
      </c>
      <c r="S58" s="10" t="s">
        <v>2387</v>
      </c>
      <c r="T58" s="10"/>
      <c r="U58" s="10"/>
      <c r="V58" s="10"/>
      <c r="W58" s="10"/>
      <c r="X58" s="10"/>
      <c r="Y58" s="10"/>
      <c r="Z58" s="10"/>
      <c r="AA58" s="10"/>
      <c r="AB58" s="10"/>
      <c r="AC58" s="10"/>
      <c r="AD58" t="s">
        <v>19</v>
      </c>
      <c r="AE58" t="s">
        <v>19</v>
      </c>
      <c r="AG58">
        <v>1</v>
      </c>
    </row>
    <row r="59" spans="1:33" ht="29">
      <c r="A59" t="s">
        <v>185</v>
      </c>
      <c r="B59" s="4" t="s">
        <v>971</v>
      </c>
      <c r="C59" s="4" t="s">
        <v>968</v>
      </c>
      <c r="G59" s="10" t="s">
        <v>25</v>
      </c>
      <c r="H59" s="10"/>
      <c r="I59" s="10">
        <v>1</v>
      </c>
      <c r="J59" s="10">
        <v>2</v>
      </c>
      <c r="K59" s="10" t="s">
        <v>2177</v>
      </c>
      <c r="L59" s="10" t="s">
        <v>2200</v>
      </c>
      <c r="M59" s="10"/>
      <c r="N59" s="11"/>
      <c r="O59" s="10"/>
      <c r="P59" s="10">
        <v>613</v>
      </c>
      <c r="Q59" s="10"/>
      <c r="R59" s="10" t="s">
        <v>2387</v>
      </c>
      <c r="S59" s="10" t="s">
        <v>2387</v>
      </c>
      <c r="T59" s="10"/>
      <c r="U59" s="10"/>
      <c r="V59" s="10"/>
      <c r="W59" s="10"/>
      <c r="X59" s="10"/>
      <c r="Y59" s="10"/>
      <c r="Z59" s="10"/>
      <c r="AA59" s="10"/>
      <c r="AB59" s="10"/>
      <c r="AC59" s="10"/>
      <c r="AD59" t="s">
        <v>19</v>
      </c>
      <c r="AE59" t="s">
        <v>19</v>
      </c>
      <c r="AG59">
        <v>1</v>
      </c>
    </row>
    <row r="60" spans="1:33">
      <c r="A60" t="s">
        <v>186</v>
      </c>
      <c r="B60" s="4" t="s">
        <v>973</v>
      </c>
      <c r="C60" s="4" t="s">
        <v>972</v>
      </c>
      <c r="G60" s="10" t="s">
        <v>24</v>
      </c>
      <c r="H60" s="10"/>
      <c r="I60" s="10">
        <v>1</v>
      </c>
      <c r="J60" s="10">
        <v>2</v>
      </c>
      <c r="K60" s="10" t="s">
        <v>2164</v>
      </c>
      <c r="L60" s="10" t="s">
        <v>2200</v>
      </c>
      <c r="M60" s="10"/>
      <c r="N60" s="11"/>
      <c r="O60" s="10"/>
      <c r="P60" s="10">
        <v>129</v>
      </c>
      <c r="Q60" s="10"/>
      <c r="R60" s="10" t="s">
        <v>2387</v>
      </c>
      <c r="S60" s="10" t="s">
        <v>2387</v>
      </c>
      <c r="T60" s="10"/>
      <c r="U60" s="10"/>
      <c r="V60" s="10"/>
      <c r="W60" s="10"/>
      <c r="X60" s="10"/>
      <c r="Y60" s="10"/>
      <c r="Z60" s="10"/>
      <c r="AA60" s="10"/>
      <c r="AB60" s="10"/>
      <c r="AC60" s="10"/>
      <c r="AD60" t="s">
        <v>19</v>
      </c>
      <c r="AE60" t="s">
        <v>20</v>
      </c>
      <c r="AG60">
        <v>1</v>
      </c>
    </row>
    <row r="61" spans="1:33">
      <c r="A61" t="s">
        <v>190</v>
      </c>
      <c r="B61" s="4" t="s">
        <v>976</v>
      </c>
      <c r="C61" s="4" t="s">
        <v>977</v>
      </c>
      <c r="G61" s="10" t="s">
        <v>2199</v>
      </c>
      <c r="H61" s="10"/>
      <c r="I61" s="10"/>
      <c r="J61" s="10"/>
      <c r="K61" s="10"/>
      <c r="L61" s="10"/>
      <c r="M61" s="10"/>
      <c r="N61" s="11"/>
      <c r="O61" s="10"/>
      <c r="P61" s="10"/>
      <c r="Q61" s="10">
        <v>-680</v>
      </c>
      <c r="R61" s="10">
        <v>830</v>
      </c>
      <c r="S61" s="10">
        <v>150</v>
      </c>
      <c r="T61" s="10"/>
      <c r="U61" s="10"/>
      <c r="V61" s="10"/>
      <c r="W61" s="10"/>
      <c r="X61" s="10"/>
      <c r="Y61" s="10"/>
      <c r="Z61" s="10"/>
      <c r="AA61" s="10"/>
      <c r="AB61" s="10"/>
      <c r="AC61" s="10"/>
      <c r="AD61" t="s">
        <v>19</v>
      </c>
      <c r="AE61" t="s">
        <v>19</v>
      </c>
      <c r="AG61">
        <v>1</v>
      </c>
    </row>
    <row r="62" spans="1:33" ht="29">
      <c r="A62" t="s">
        <v>195</v>
      </c>
      <c r="B62" s="4" t="s">
        <v>980</v>
      </c>
      <c r="C62" s="4" t="s">
        <v>979</v>
      </c>
      <c r="G62" s="10" t="s">
        <v>24</v>
      </c>
      <c r="H62" s="10"/>
      <c r="I62" s="10">
        <v>1</v>
      </c>
      <c r="J62" s="10">
        <v>2</v>
      </c>
      <c r="K62" s="10" t="s">
        <v>2177</v>
      </c>
      <c r="L62" s="10" t="s">
        <v>2200</v>
      </c>
      <c r="M62" s="10"/>
      <c r="N62" s="11"/>
      <c r="O62" s="10"/>
      <c r="P62" s="10">
        <v>613</v>
      </c>
      <c r="Q62" s="10"/>
      <c r="R62" s="10" t="s">
        <v>2387</v>
      </c>
      <c r="S62" s="10" t="s">
        <v>2387</v>
      </c>
      <c r="T62" s="10"/>
      <c r="U62" s="10"/>
      <c r="V62" s="10"/>
      <c r="W62" s="10"/>
      <c r="X62" s="10"/>
      <c r="Y62" s="10"/>
      <c r="Z62" s="10"/>
      <c r="AA62" s="10"/>
      <c r="AB62" s="10"/>
      <c r="AC62" s="10"/>
      <c r="AD62" t="s">
        <v>19</v>
      </c>
      <c r="AE62" t="s">
        <v>20</v>
      </c>
      <c r="AG62">
        <v>1</v>
      </c>
    </row>
    <row r="63" spans="1:33">
      <c r="A63" t="s">
        <v>196</v>
      </c>
      <c r="B63" s="4" t="s">
        <v>197</v>
      </c>
      <c r="C63" s="4" t="s">
        <v>198</v>
      </c>
      <c r="G63" s="10" t="s">
        <v>2201</v>
      </c>
      <c r="H63" s="10"/>
      <c r="I63" s="10"/>
      <c r="J63" s="10"/>
      <c r="K63" s="10"/>
      <c r="L63" s="10"/>
      <c r="M63" s="10"/>
      <c r="N63" s="11"/>
      <c r="O63" s="10"/>
      <c r="P63" s="10"/>
      <c r="Q63" s="10"/>
      <c r="R63" s="10" t="s">
        <v>2387</v>
      </c>
      <c r="S63" s="10" t="s">
        <v>2387</v>
      </c>
      <c r="T63" s="10"/>
      <c r="U63" s="10"/>
      <c r="V63" s="10"/>
      <c r="W63" s="10"/>
      <c r="X63" s="10"/>
      <c r="Y63" s="10"/>
      <c r="Z63" s="10"/>
      <c r="AA63" s="10"/>
      <c r="AB63" s="10"/>
      <c r="AC63" s="10"/>
      <c r="AD63" t="s">
        <v>19</v>
      </c>
      <c r="AE63" t="s">
        <v>19</v>
      </c>
      <c r="AG63">
        <v>1</v>
      </c>
    </row>
    <row r="64" spans="1:33">
      <c r="A64" t="s">
        <v>199</v>
      </c>
      <c r="B64" s="4" t="s">
        <v>982</v>
      </c>
      <c r="C64" s="4" t="s">
        <v>981</v>
      </c>
      <c r="G64" s="10" t="s">
        <v>2201</v>
      </c>
      <c r="H64" s="10"/>
      <c r="I64" s="10"/>
      <c r="J64" s="10"/>
      <c r="K64" s="10"/>
      <c r="L64" s="10"/>
      <c r="M64" s="10"/>
      <c r="N64" s="11"/>
      <c r="O64" s="10"/>
      <c r="P64" s="10"/>
      <c r="Q64" s="10"/>
      <c r="R64" s="10" t="s">
        <v>2387</v>
      </c>
      <c r="S64" s="10" t="s">
        <v>2387</v>
      </c>
      <c r="T64" s="10"/>
      <c r="U64" s="10"/>
      <c r="V64" s="10"/>
      <c r="W64" s="10"/>
      <c r="X64" s="10"/>
      <c r="Y64" s="10"/>
      <c r="Z64" s="10"/>
      <c r="AA64" s="10"/>
      <c r="AB64" s="10"/>
      <c r="AC64" s="10"/>
      <c r="AD64" t="s">
        <v>19</v>
      </c>
      <c r="AE64" t="s">
        <v>19</v>
      </c>
      <c r="AG64">
        <v>1</v>
      </c>
    </row>
    <row r="65" spans="1:33">
      <c r="A65" t="s">
        <v>200</v>
      </c>
      <c r="B65" s="4" t="s">
        <v>983</v>
      </c>
      <c r="C65" s="4" t="s">
        <v>984</v>
      </c>
      <c r="F65" t="s">
        <v>19</v>
      </c>
      <c r="G65" s="10" t="s">
        <v>25</v>
      </c>
      <c r="H65" s="10"/>
      <c r="I65" s="10">
        <v>1</v>
      </c>
      <c r="J65" s="10">
        <v>3</v>
      </c>
      <c r="K65" s="10" t="s">
        <v>2175</v>
      </c>
      <c r="L65" s="10" t="s">
        <v>2159</v>
      </c>
      <c r="M65" s="10"/>
      <c r="N65" s="11"/>
      <c r="O65" s="10"/>
      <c r="P65" s="10">
        <v>743</v>
      </c>
      <c r="Q65" s="10"/>
      <c r="R65" s="10" t="s">
        <v>2387</v>
      </c>
      <c r="S65" s="10" t="s">
        <v>2387</v>
      </c>
      <c r="T65" s="10"/>
      <c r="U65" s="10"/>
      <c r="V65" s="10"/>
      <c r="W65" s="10"/>
      <c r="X65" s="10"/>
      <c r="Y65" s="10"/>
      <c r="Z65" s="10"/>
      <c r="AA65" s="10"/>
      <c r="AB65" s="10"/>
      <c r="AC65" s="10"/>
      <c r="AD65" t="s">
        <v>20</v>
      </c>
      <c r="AE65" t="s">
        <v>20</v>
      </c>
      <c r="AG65">
        <v>0</v>
      </c>
    </row>
    <row r="66" spans="1:33" ht="43.5">
      <c r="A66" t="s">
        <v>204</v>
      </c>
      <c r="B66" s="4" t="s">
        <v>990</v>
      </c>
      <c r="C66" s="4" t="s">
        <v>989</v>
      </c>
      <c r="G66" s="10" t="s">
        <v>26</v>
      </c>
      <c r="H66" s="10"/>
      <c r="I66" s="10"/>
      <c r="J66" s="10"/>
      <c r="K66" s="10"/>
      <c r="L66" s="10"/>
      <c r="M66" s="10"/>
      <c r="N66" s="11"/>
      <c r="O66" s="10"/>
      <c r="P66" s="10"/>
      <c r="Q66" s="10"/>
      <c r="R66" s="10" t="s">
        <v>2387</v>
      </c>
      <c r="S66" s="10" t="s">
        <v>2387</v>
      </c>
      <c r="T66" s="10"/>
      <c r="U66" s="10"/>
      <c r="V66" s="10"/>
      <c r="W66" s="10"/>
      <c r="X66" s="10"/>
      <c r="Y66" s="10"/>
      <c r="Z66" s="10"/>
      <c r="AA66" s="10"/>
      <c r="AB66" s="10"/>
      <c r="AC66" s="10"/>
      <c r="AD66" t="s">
        <v>19</v>
      </c>
      <c r="AE66" t="s">
        <v>19</v>
      </c>
      <c r="AG66">
        <v>1</v>
      </c>
    </row>
    <row r="67" spans="1:33">
      <c r="A67" t="s">
        <v>209</v>
      </c>
      <c r="B67" s="4" t="s">
        <v>991</v>
      </c>
      <c r="C67" s="4" t="s">
        <v>992</v>
      </c>
      <c r="G67" s="10" t="s">
        <v>25</v>
      </c>
      <c r="H67" s="10"/>
      <c r="I67" s="10">
        <v>1</v>
      </c>
      <c r="J67" s="10">
        <v>2</v>
      </c>
      <c r="K67" s="10" t="s">
        <v>2158</v>
      </c>
      <c r="L67" s="10" t="s">
        <v>2200</v>
      </c>
      <c r="M67" s="10"/>
      <c r="N67" s="11"/>
      <c r="O67" s="10"/>
      <c r="P67" s="10">
        <v>2475</v>
      </c>
      <c r="Q67" s="10"/>
      <c r="R67" s="10" t="s">
        <v>2387</v>
      </c>
      <c r="S67" s="10" t="s">
        <v>2387</v>
      </c>
      <c r="T67" s="10"/>
      <c r="U67" s="10"/>
      <c r="V67" s="10"/>
      <c r="W67" s="10"/>
      <c r="X67" s="10"/>
      <c r="Y67" s="10"/>
      <c r="Z67" s="10"/>
      <c r="AA67" s="10"/>
      <c r="AB67" s="10"/>
      <c r="AC67" s="10"/>
      <c r="AD67" t="s">
        <v>20</v>
      </c>
      <c r="AE67" t="s">
        <v>20</v>
      </c>
      <c r="AG67">
        <v>0</v>
      </c>
    </row>
    <row r="68" spans="1:33">
      <c r="A68" t="s">
        <v>210</v>
      </c>
      <c r="B68" s="4" t="s">
        <v>213</v>
      </c>
      <c r="C68" s="4" t="s">
        <v>214</v>
      </c>
      <c r="G68" s="10" t="s">
        <v>2201</v>
      </c>
      <c r="H68" s="10"/>
      <c r="I68" s="10"/>
      <c r="J68" s="10"/>
      <c r="K68" s="10"/>
      <c r="L68" s="10"/>
      <c r="M68" s="10"/>
      <c r="N68" s="11"/>
      <c r="O68" s="10"/>
      <c r="P68" s="10"/>
      <c r="Q68" s="10"/>
      <c r="R68" s="10" t="s">
        <v>2387</v>
      </c>
      <c r="S68" s="10" t="s">
        <v>2387</v>
      </c>
      <c r="T68" s="10"/>
      <c r="U68" s="10"/>
      <c r="V68" s="10"/>
      <c r="W68" s="10"/>
      <c r="X68" s="10"/>
      <c r="Y68" s="10"/>
      <c r="Z68" s="10"/>
      <c r="AA68" s="10"/>
      <c r="AB68" s="10"/>
      <c r="AC68" s="10"/>
      <c r="AD68" t="s">
        <v>20</v>
      </c>
      <c r="AE68" t="s">
        <v>19</v>
      </c>
      <c r="AG68">
        <v>0</v>
      </c>
    </row>
    <row r="69" spans="1:33">
      <c r="A69" t="s">
        <v>220</v>
      </c>
      <c r="B69" s="4" t="s">
        <v>221</v>
      </c>
      <c r="C69" s="4" t="s">
        <v>222</v>
      </c>
      <c r="G69" s="10" t="s">
        <v>2201</v>
      </c>
      <c r="H69" s="10"/>
      <c r="I69" s="10"/>
      <c r="J69" s="10"/>
      <c r="K69" s="10"/>
      <c r="L69" s="10"/>
      <c r="M69" s="10"/>
      <c r="N69" s="11"/>
      <c r="O69" s="10"/>
      <c r="P69" s="10"/>
      <c r="Q69" s="10"/>
      <c r="R69" s="10" t="s">
        <v>2387</v>
      </c>
      <c r="S69" s="10" t="s">
        <v>2387</v>
      </c>
      <c r="T69" s="10"/>
      <c r="U69" s="10"/>
      <c r="V69" s="10"/>
      <c r="W69" s="10"/>
      <c r="X69" s="10"/>
      <c r="Y69" s="10"/>
      <c r="Z69" s="10"/>
      <c r="AA69" s="10"/>
      <c r="AB69" s="10"/>
      <c r="AC69" s="10"/>
      <c r="AD69" t="s">
        <v>19</v>
      </c>
      <c r="AE69" t="s">
        <v>19</v>
      </c>
      <c r="AG69">
        <v>1</v>
      </c>
    </row>
    <row r="70" spans="1:33">
      <c r="A70" t="s">
        <v>224</v>
      </c>
      <c r="B70" s="4" t="s">
        <v>225</v>
      </c>
      <c r="C70" s="4" t="s">
        <v>226</v>
      </c>
      <c r="G70" s="10" t="s">
        <v>2199</v>
      </c>
      <c r="H70" s="10"/>
      <c r="I70" s="10"/>
      <c r="J70" s="10"/>
      <c r="K70" s="10"/>
      <c r="L70" s="10"/>
      <c r="M70" s="10"/>
      <c r="N70" s="11"/>
      <c r="O70" s="10"/>
      <c r="P70" s="10"/>
      <c r="Q70" s="10">
        <v>2</v>
      </c>
      <c r="R70" s="10">
        <v>0</v>
      </c>
      <c r="S70" s="10">
        <v>2</v>
      </c>
      <c r="T70" s="10"/>
      <c r="U70" s="10"/>
      <c r="V70" s="10"/>
      <c r="W70" s="10"/>
      <c r="X70" s="10"/>
      <c r="Y70" s="10"/>
      <c r="Z70" s="10"/>
      <c r="AA70" s="10"/>
      <c r="AB70" s="10"/>
      <c r="AC70" s="10"/>
      <c r="AD70" t="s">
        <v>20</v>
      </c>
      <c r="AE70" t="s">
        <v>20</v>
      </c>
      <c r="AG70">
        <v>0</v>
      </c>
    </row>
    <row r="71" spans="1:33" ht="58">
      <c r="A71" t="s">
        <v>230</v>
      </c>
      <c r="B71" s="4" t="s">
        <v>995</v>
      </c>
      <c r="C71" s="4" t="s">
        <v>996</v>
      </c>
      <c r="G71" s="10" t="s">
        <v>26</v>
      </c>
      <c r="H71" s="10"/>
      <c r="I71" s="10"/>
      <c r="J71" s="10"/>
      <c r="K71" s="10"/>
      <c r="L71" s="10"/>
      <c r="M71" s="10"/>
      <c r="N71" s="11"/>
      <c r="O71" s="10"/>
      <c r="P71" s="10"/>
      <c r="Q71" s="10"/>
      <c r="R71" s="10" t="s">
        <v>2387</v>
      </c>
      <c r="S71" s="10" t="s">
        <v>2387</v>
      </c>
      <c r="T71" s="10"/>
      <c r="U71" s="10"/>
      <c r="V71" s="10"/>
      <c r="W71" s="10"/>
      <c r="X71" s="10"/>
      <c r="Y71" s="10"/>
      <c r="Z71" s="10"/>
      <c r="AA71" s="10"/>
      <c r="AB71" s="10"/>
      <c r="AC71" s="10"/>
      <c r="AD71" t="s">
        <v>19</v>
      </c>
      <c r="AE71" t="s">
        <v>20</v>
      </c>
      <c r="AG71">
        <v>1</v>
      </c>
    </row>
    <row r="72" spans="1:33" ht="58">
      <c r="A72" t="s">
        <v>230</v>
      </c>
      <c r="B72" s="4" t="s">
        <v>997</v>
      </c>
      <c r="C72" s="4" t="s">
        <v>998</v>
      </c>
      <c r="G72" s="10" t="s">
        <v>26</v>
      </c>
      <c r="H72" s="10"/>
      <c r="I72" s="10"/>
      <c r="J72" s="10"/>
      <c r="K72" s="10"/>
      <c r="L72" s="10"/>
      <c r="M72" s="10"/>
      <c r="N72" s="11"/>
      <c r="O72" s="10"/>
      <c r="P72" s="10"/>
      <c r="Q72" s="10"/>
      <c r="R72" s="10" t="s">
        <v>2387</v>
      </c>
      <c r="S72" s="10" t="s">
        <v>2387</v>
      </c>
      <c r="T72" s="10"/>
      <c r="U72" s="10"/>
      <c r="V72" s="10"/>
      <c r="W72" s="10"/>
      <c r="X72" s="10"/>
      <c r="Y72" s="10"/>
      <c r="Z72" s="10"/>
      <c r="AA72" s="10"/>
      <c r="AB72" s="10"/>
      <c r="AC72" s="10"/>
      <c r="AD72" t="s">
        <v>19</v>
      </c>
      <c r="AE72" t="s">
        <v>19</v>
      </c>
      <c r="AG72">
        <v>1</v>
      </c>
    </row>
    <row r="73" spans="1:33" ht="29">
      <c r="A73" t="s">
        <v>231</v>
      </c>
      <c r="B73" s="4" t="s">
        <v>1004</v>
      </c>
      <c r="C73" s="4" t="s">
        <v>1005</v>
      </c>
      <c r="G73" s="10" t="s">
        <v>26</v>
      </c>
      <c r="H73" s="10"/>
      <c r="I73" s="10"/>
      <c r="J73" s="10"/>
      <c r="K73" s="10"/>
      <c r="L73" s="10"/>
      <c r="M73" s="10"/>
      <c r="N73" s="11"/>
      <c r="O73" s="10"/>
      <c r="P73" s="10"/>
      <c r="Q73" s="10"/>
      <c r="R73" s="10" t="s">
        <v>2387</v>
      </c>
      <c r="S73" s="10" t="s">
        <v>2387</v>
      </c>
      <c r="T73" s="10"/>
      <c r="U73" s="10"/>
      <c r="V73" s="10"/>
      <c r="W73" s="10"/>
      <c r="X73" s="10"/>
      <c r="Y73" s="10"/>
      <c r="Z73" s="10"/>
      <c r="AA73" s="10"/>
      <c r="AB73" s="10"/>
      <c r="AC73" s="10"/>
      <c r="AD73" t="s">
        <v>19</v>
      </c>
      <c r="AE73" t="s">
        <v>19</v>
      </c>
      <c r="AG73">
        <v>1</v>
      </c>
    </row>
    <row r="74" spans="1:33" ht="29">
      <c r="A74" t="s">
        <v>231</v>
      </c>
      <c r="B74" s="4" t="s">
        <v>1003</v>
      </c>
      <c r="C74" s="4" t="s">
        <v>1006</v>
      </c>
      <c r="G74" s="10" t="s">
        <v>24</v>
      </c>
      <c r="H74" s="10"/>
      <c r="I74" s="10">
        <v>1</v>
      </c>
      <c r="J74" s="10">
        <v>3</v>
      </c>
      <c r="K74" s="10" t="s">
        <v>2168</v>
      </c>
      <c r="L74" s="10" t="s">
        <v>2159</v>
      </c>
      <c r="M74" s="10"/>
      <c r="N74" s="11"/>
      <c r="O74" s="10"/>
      <c r="P74" s="10">
        <v>1701</v>
      </c>
      <c r="Q74" s="10"/>
      <c r="R74" s="10" t="s">
        <v>2387</v>
      </c>
      <c r="S74" s="10" t="s">
        <v>2387</v>
      </c>
      <c r="T74" s="10"/>
      <c r="U74" s="10"/>
      <c r="V74" s="10"/>
      <c r="W74" s="10"/>
      <c r="X74" s="10"/>
      <c r="Y74" s="10"/>
      <c r="Z74" s="10"/>
      <c r="AA74" s="10"/>
      <c r="AB74" s="10"/>
      <c r="AC74" s="10"/>
      <c r="AD74" t="s">
        <v>19</v>
      </c>
      <c r="AE74" t="s">
        <v>19</v>
      </c>
      <c r="AG74">
        <v>1</v>
      </c>
    </row>
    <row r="75" spans="1:33" ht="29">
      <c r="A75" t="s">
        <v>232</v>
      </c>
      <c r="B75" s="4" t="s">
        <v>1008</v>
      </c>
      <c r="C75" s="4" t="s">
        <v>1009</v>
      </c>
      <c r="G75" s="10" t="s">
        <v>2199</v>
      </c>
      <c r="H75" s="10"/>
      <c r="I75" s="10"/>
      <c r="J75" s="10"/>
      <c r="K75" s="10"/>
      <c r="L75" s="10"/>
      <c r="M75" s="10"/>
      <c r="N75" s="11"/>
      <c r="O75" s="10"/>
      <c r="P75" s="10"/>
      <c r="Q75" s="10">
        <v>3</v>
      </c>
      <c r="R75" s="10">
        <v>4</v>
      </c>
      <c r="S75" s="10">
        <v>7</v>
      </c>
      <c r="T75" s="10"/>
      <c r="U75" s="10"/>
      <c r="V75" s="10"/>
      <c r="W75" s="10"/>
      <c r="X75" s="10"/>
      <c r="Y75" s="10"/>
      <c r="Z75" s="10"/>
      <c r="AA75" s="10"/>
      <c r="AB75" s="10"/>
      <c r="AC75" s="10"/>
      <c r="AD75" t="s">
        <v>19</v>
      </c>
      <c r="AE75" t="s">
        <v>19</v>
      </c>
      <c r="AG75">
        <v>1</v>
      </c>
    </row>
    <row r="76" spans="1:33" ht="29">
      <c r="A76" t="s">
        <v>232</v>
      </c>
      <c r="B76" s="4" t="s">
        <v>1010</v>
      </c>
      <c r="C76" s="4" t="s">
        <v>1007</v>
      </c>
      <c r="G76" s="10" t="s">
        <v>25</v>
      </c>
      <c r="H76" s="10"/>
      <c r="I76" s="10">
        <v>1</v>
      </c>
      <c r="J76" s="10">
        <v>3</v>
      </c>
      <c r="K76" s="10" t="s">
        <v>2168</v>
      </c>
      <c r="L76" s="10" t="s">
        <v>2153</v>
      </c>
      <c r="M76" s="10" t="s">
        <v>2231</v>
      </c>
      <c r="N76" s="11" t="s">
        <v>2230</v>
      </c>
      <c r="O76" s="10"/>
      <c r="P76" s="10">
        <v>1701</v>
      </c>
      <c r="Q76" s="10"/>
      <c r="R76" s="10" t="s">
        <v>2387</v>
      </c>
      <c r="S76" s="10" t="s">
        <v>2387</v>
      </c>
      <c r="T76" s="10"/>
      <c r="U76" s="10"/>
      <c r="V76" s="10"/>
      <c r="W76" s="10"/>
      <c r="X76" s="10"/>
      <c r="Y76" s="10"/>
      <c r="Z76" s="10"/>
      <c r="AA76" s="10"/>
      <c r="AB76" s="10"/>
      <c r="AC76" s="10"/>
      <c r="AD76" t="s">
        <v>19</v>
      </c>
      <c r="AE76" t="s">
        <v>19</v>
      </c>
      <c r="AG76">
        <v>1</v>
      </c>
    </row>
    <row r="77" spans="1:33" ht="29">
      <c r="A77" t="s">
        <v>232</v>
      </c>
      <c r="B77" s="4" t="s">
        <v>1011</v>
      </c>
      <c r="C77" s="4" t="s">
        <v>1007</v>
      </c>
      <c r="G77" s="10" t="s">
        <v>25</v>
      </c>
      <c r="H77" s="10"/>
      <c r="I77" s="10">
        <v>1</v>
      </c>
      <c r="J77" s="10">
        <v>3</v>
      </c>
      <c r="K77" s="10" t="s">
        <v>2168</v>
      </c>
      <c r="L77" s="10" t="s">
        <v>2153</v>
      </c>
      <c r="M77" s="10" t="s">
        <v>2229</v>
      </c>
      <c r="N77" s="11" t="s">
        <v>2230</v>
      </c>
      <c r="O77" s="10"/>
      <c r="P77" s="10">
        <v>1701</v>
      </c>
      <c r="Q77" s="10"/>
      <c r="R77" s="10" t="s">
        <v>2387</v>
      </c>
      <c r="S77" s="10" t="s">
        <v>2387</v>
      </c>
      <c r="T77" s="10"/>
      <c r="U77" s="10"/>
      <c r="V77" s="10"/>
      <c r="W77" s="10"/>
      <c r="X77" s="10"/>
      <c r="Y77" s="10"/>
      <c r="Z77" s="10"/>
      <c r="AA77" s="10"/>
      <c r="AB77" s="10"/>
      <c r="AC77" s="10"/>
      <c r="AD77" t="s">
        <v>19</v>
      </c>
      <c r="AE77" t="s">
        <v>19</v>
      </c>
      <c r="AG77">
        <v>1</v>
      </c>
    </row>
    <row r="78" spans="1:33" ht="43.5">
      <c r="A78" t="s">
        <v>235</v>
      </c>
      <c r="B78" s="4" t="s">
        <v>1013</v>
      </c>
      <c r="C78" s="4" t="s">
        <v>1014</v>
      </c>
      <c r="G78" s="10" t="s">
        <v>2201</v>
      </c>
      <c r="H78" s="10"/>
      <c r="I78" s="10"/>
      <c r="J78" s="10"/>
      <c r="K78" s="10"/>
      <c r="L78" s="10"/>
      <c r="M78" s="10"/>
      <c r="N78" s="11"/>
      <c r="O78" s="10"/>
      <c r="P78" s="10"/>
      <c r="Q78" s="10"/>
      <c r="R78" s="10" t="s">
        <v>2387</v>
      </c>
      <c r="S78" s="10" t="s">
        <v>2387</v>
      </c>
      <c r="T78" s="10"/>
      <c r="U78" s="10"/>
      <c r="V78" s="10"/>
      <c r="W78" s="10"/>
      <c r="X78" s="10"/>
      <c r="Y78" s="10"/>
      <c r="Z78" s="10"/>
      <c r="AA78" s="10"/>
      <c r="AB78" s="10"/>
      <c r="AC78" s="10"/>
      <c r="AD78" t="s">
        <v>19</v>
      </c>
      <c r="AE78" t="s">
        <v>19</v>
      </c>
      <c r="AG78">
        <v>1</v>
      </c>
    </row>
    <row r="79" spans="1:33" ht="43.5">
      <c r="A79" t="s">
        <v>236</v>
      </c>
      <c r="B79" s="4" t="s">
        <v>1015</v>
      </c>
      <c r="C79" s="4" t="s">
        <v>1012</v>
      </c>
      <c r="G79" s="10" t="s">
        <v>25</v>
      </c>
      <c r="H79" s="10"/>
      <c r="I79" s="10">
        <v>1</v>
      </c>
      <c r="J79" s="10">
        <v>3</v>
      </c>
      <c r="K79" s="10" t="s">
        <v>2168</v>
      </c>
      <c r="L79" s="10" t="s">
        <v>2159</v>
      </c>
      <c r="M79" s="10"/>
      <c r="N79" s="11"/>
      <c r="O79" s="10"/>
      <c r="P79" s="10">
        <v>1701</v>
      </c>
      <c r="Q79" s="10"/>
      <c r="R79" s="10" t="s">
        <v>2387</v>
      </c>
      <c r="S79" s="10" t="s">
        <v>2387</v>
      </c>
      <c r="T79" s="10"/>
      <c r="U79" s="10"/>
      <c r="V79" s="10"/>
      <c r="W79" s="10"/>
      <c r="X79" s="10"/>
      <c r="Y79" s="10"/>
      <c r="Z79" s="10"/>
      <c r="AA79" s="10"/>
      <c r="AB79" s="10"/>
      <c r="AC79" s="10"/>
      <c r="AD79" t="s">
        <v>19</v>
      </c>
      <c r="AE79" t="s">
        <v>19</v>
      </c>
      <c r="AG79">
        <v>1</v>
      </c>
    </row>
    <row r="80" spans="1:33" ht="43.5">
      <c r="A80" t="s">
        <v>236</v>
      </c>
      <c r="B80" s="4" t="s">
        <v>1016</v>
      </c>
      <c r="C80" s="4" t="s">
        <v>1017</v>
      </c>
      <c r="G80" s="10" t="s">
        <v>26</v>
      </c>
      <c r="H80" s="10"/>
      <c r="I80" s="10"/>
      <c r="J80" s="10"/>
      <c r="K80" s="10"/>
      <c r="L80" s="10"/>
      <c r="M80" s="10"/>
      <c r="N80" s="11"/>
      <c r="O80" s="10"/>
      <c r="P80" s="10"/>
      <c r="Q80" s="10"/>
      <c r="R80" s="10" t="s">
        <v>2387</v>
      </c>
      <c r="S80" s="10" t="s">
        <v>2387</v>
      </c>
      <c r="T80" s="10"/>
      <c r="U80" s="10"/>
      <c r="V80" s="10"/>
      <c r="W80" s="10"/>
      <c r="X80" s="10"/>
      <c r="Y80" s="10"/>
      <c r="Z80" s="10"/>
      <c r="AA80" s="10"/>
      <c r="AB80" s="10"/>
      <c r="AC80" s="10"/>
      <c r="AD80" t="s">
        <v>19</v>
      </c>
      <c r="AE80" t="s">
        <v>19</v>
      </c>
      <c r="AG80">
        <v>1</v>
      </c>
    </row>
    <row r="81" spans="1:33">
      <c r="A81" t="s">
        <v>237</v>
      </c>
      <c r="B81" s="4" t="s">
        <v>1018</v>
      </c>
      <c r="C81" s="4" t="s">
        <v>1019</v>
      </c>
      <c r="G81" s="10" t="s">
        <v>2201</v>
      </c>
      <c r="H81" s="10"/>
      <c r="I81" s="10"/>
      <c r="J81" s="10"/>
      <c r="K81" s="10"/>
      <c r="L81" s="10"/>
      <c r="M81" s="10"/>
      <c r="N81" s="11"/>
      <c r="O81" s="10"/>
      <c r="P81" s="10"/>
      <c r="Q81" s="10"/>
      <c r="R81" s="10" t="s">
        <v>2387</v>
      </c>
      <c r="S81" s="10" t="s">
        <v>2387</v>
      </c>
      <c r="T81" s="10"/>
      <c r="U81" s="10"/>
      <c r="V81" s="10"/>
      <c r="W81" s="10"/>
      <c r="X81" s="10"/>
      <c r="Y81" s="10"/>
      <c r="Z81" s="10"/>
      <c r="AA81" s="10"/>
      <c r="AB81" s="10"/>
      <c r="AC81" s="10"/>
      <c r="AD81" t="s">
        <v>19</v>
      </c>
      <c r="AE81" t="s">
        <v>19</v>
      </c>
      <c r="AG81">
        <v>1</v>
      </c>
    </row>
    <row r="82" spans="1:33">
      <c r="A82" t="s">
        <v>237</v>
      </c>
      <c r="B82" s="4" t="s">
        <v>1021</v>
      </c>
      <c r="C82" s="4" t="s">
        <v>1020</v>
      </c>
      <c r="G82" s="10" t="s">
        <v>2201</v>
      </c>
      <c r="H82" s="10"/>
      <c r="I82" s="10"/>
      <c r="J82" s="10"/>
      <c r="K82" s="10"/>
      <c r="L82" s="10"/>
      <c r="M82" s="10"/>
      <c r="N82" s="11"/>
      <c r="O82" s="10"/>
      <c r="P82" s="10"/>
      <c r="Q82" s="10"/>
      <c r="R82" s="10" t="s">
        <v>2387</v>
      </c>
      <c r="S82" s="10" t="s">
        <v>2387</v>
      </c>
      <c r="T82" s="10"/>
      <c r="U82" s="10"/>
      <c r="V82" s="10"/>
      <c r="W82" s="10"/>
      <c r="X82" s="10"/>
      <c r="Y82" s="10"/>
      <c r="Z82" s="10"/>
      <c r="AA82" s="10"/>
      <c r="AB82" s="10"/>
      <c r="AC82" s="10"/>
      <c r="AD82" t="s">
        <v>19</v>
      </c>
      <c r="AE82" t="s">
        <v>19</v>
      </c>
      <c r="AG82">
        <v>1</v>
      </c>
    </row>
    <row r="83" spans="1:33">
      <c r="A83" t="s">
        <v>238</v>
      </c>
      <c r="B83" s="4" t="s">
        <v>1022</v>
      </c>
      <c r="C83" s="4" t="s">
        <v>1023</v>
      </c>
      <c r="G83" s="10" t="s">
        <v>2201</v>
      </c>
      <c r="H83" s="10"/>
      <c r="I83" s="10"/>
      <c r="J83" s="10"/>
      <c r="K83" s="10"/>
      <c r="L83" s="10"/>
      <c r="M83" s="10"/>
      <c r="N83" s="11"/>
      <c r="O83" s="10"/>
      <c r="P83" s="10"/>
      <c r="Q83" s="10"/>
      <c r="R83" s="10" t="s">
        <v>2387</v>
      </c>
      <c r="S83" s="10" t="s">
        <v>2387</v>
      </c>
      <c r="T83" s="10"/>
      <c r="U83" s="10"/>
      <c r="V83" s="10"/>
      <c r="W83" s="10"/>
      <c r="X83" s="10"/>
      <c r="Y83" s="10"/>
      <c r="Z83" s="10"/>
      <c r="AA83" s="10"/>
      <c r="AB83" s="10"/>
      <c r="AC83" s="10"/>
      <c r="AD83" t="s">
        <v>19</v>
      </c>
      <c r="AE83" t="s">
        <v>20</v>
      </c>
      <c r="AG83">
        <v>1</v>
      </c>
    </row>
    <row r="84" spans="1:33">
      <c r="A84" t="s">
        <v>239</v>
      </c>
      <c r="B84" s="4" t="s">
        <v>1025</v>
      </c>
      <c r="C84" s="4" t="s">
        <v>1024</v>
      </c>
      <c r="G84" s="10" t="s">
        <v>2199</v>
      </c>
      <c r="H84" s="10"/>
      <c r="I84" s="10"/>
      <c r="J84" s="10"/>
      <c r="K84" s="10"/>
      <c r="L84" s="10"/>
      <c r="M84" s="10"/>
      <c r="N84" s="11"/>
      <c r="O84" s="10"/>
      <c r="P84" s="10"/>
      <c r="Q84" s="10">
        <v>619</v>
      </c>
      <c r="R84" s="10">
        <v>124</v>
      </c>
      <c r="S84" s="10">
        <v>743</v>
      </c>
      <c r="T84" s="10"/>
      <c r="U84" s="10"/>
      <c r="V84" s="10"/>
      <c r="W84" s="10"/>
      <c r="X84" s="10"/>
      <c r="Y84" s="10"/>
      <c r="Z84" s="10"/>
      <c r="AA84" s="10"/>
      <c r="AB84" s="10"/>
      <c r="AC84" s="10"/>
      <c r="AD84" t="s">
        <v>19</v>
      </c>
      <c r="AE84" t="s">
        <v>19</v>
      </c>
      <c r="AG84">
        <v>1</v>
      </c>
    </row>
    <row r="85" spans="1:33" ht="43.5">
      <c r="A85" t="s">
        <v>239</v>
      </c>
      <c r="B85" s="4" t="s">
        <v>1027</v>
      </c>
      <c r="C85" s="4" t="s">
        <v>1026</v>
      </c>
      <c r="G85" s="10" t="s">
        <v>26</v>
      </c>
      <c r="H85" s="10"/>
      <c r="I85" s="10"/>
      <c r="J85" s="10"/>
      <c r="K85" s="10"/>
      <c r="L85" s="10"/>
      <c r="M85" s="10"/>
      <c r="N85" s="11"/>
      <c r="O85" s="10"/>
      <c r="P85" s="10"/>
      <c r="Q85" s="10"/>
      <c r="R85" s="10" t="s">
        <v>2387</v>
      </c>
      <c r="S85" s="10" t="s">
        <v>2387</v>
      </c>
      <c r="T85" s="10"/>
      <c r="U85" s="10"/>
      <c r="V85" s="10"/>
      <c r="W85" s="10"/>
      <c r="X85" s="10"/>
      <c r="Y85" s="10"/>
      <c r="Z85" s="10"/>
      <c r="AA85" s="10"/>
      <c r="AB85" s="10"/>
      <c r="AC85" s="10"/>
      <c r="AD85" t="s">
        <v>19</v>
      </c>
      <c r="AE85" t="s">
        <v>19</v>
      </c>
      <c r="AG85">
        <v>1</v>
      </c>
    </row>
    <row r="86" spans="1:33" ht="29">
      <c r="A86" t="s">
        <v>242</v>
      </c>
      <c r="B86" s="4" t="s">
        <v>2255</v>
      </c>
      <c r="C86" s="4" t="s">
        <v>2256</v>
      </c>
      <c r="G86" s="10" t="s">
        <v>2199</v>
      </c>
      <c r="H86" s="10"/>
      <c r="I86" s="10"/>
      <c r="J86" s="10"/>
      <c r="K86" s="10"/>
      <c r="L86" s="10"/>
      <c r="M86" s="10"/>
      <c r="N86" s="11"/>
      <c r="O86" s="10"/>
      <c r="P86" s="10"/>
      <c r="Q86" s="10">
        <v>-3</v>
      </c>
      <c r="R86" s="10">
        <v>10</v>
      </c>
      <c r="S86" s="10">
        <v>7</v>
      </c>
      <c r="T86" s="10"/>
      <c r="U86" s="10"/>
      <c r="V86" s="10"/>
      <c r="W86" s="10"/>
      <c r="X86" s="10"/>
      <c r="Y86" s="10"/>
      <c r="Z86" s="10"/>
      <c r="AA86" s="10"/>
      <c r="AB86" s="10"/>
      <c r="AC86" s="10"/>
      <c r="AD86" t="s">
        <v>19</v>
      </c>
      <c r="AE86" t="s">
        <v>19</v>
      </c>
      <c r="AG86">
        <v>1</v>
      </c>
    </row>
    <row r="87" spans="1:33">
      <c r="A87" t="s">
        <v>243</v>
      </c>
      <c r="B87" s="4" t="s">
        <v>1028</v>
      </c>
      <c r="C87" s="4" t="s">
        <v>1029</v>
      </c>
      <c r="G87" s="10" t="s">
        <v>25</v>
      </c>
      <c r="H87" s="10"/>
      <c r="I87" s="10">
        <v>1</v>
      </c>
      <c r="J87" s="10">
        <v>2</v>
      </c>
      <c r="K87" s="10" t="s">
        <v>2177</v>
      </c>
      <c r="L87" s="10" t="s">
        <v>2200</v>
      </c>
      <c r="M87" s="10"/>
      <c r="N87" s="11"/>
      <c r="O87" s="10"/>
      <c r="P87" s="10">
        <v>613</v>
      </c>
      <c r="Q87" s="10"/>
      <c r="R87" s="10" t="s">
        <v>2387</v>
      </c>
      <c r="S87" s="10" t="s">
        <v>2387</v>
      </c>
      <c r="T87" s="10"/>
      <c r="U87" s="10"/>
      <c r="V87" s="10"/>
      <c r="W87" s="10"/>
      <c r="X87" s="10"/>
      <c r="Y87" s="10"/>
      <c r="Z87" s="10"/>
      <c r="AA87" s="10"/>
      <c r="AB87" s="10"/>
      <c r="AC87" s="10"/>
      <c r="AD87" t="s">
        <v>20</v>
      </c>
      <c r="AE87" t="s">
        <v>20</v>
      </c>
      <c r="AG87">
        <v>0</v>
      </c>
    </row>
    <row r="88" spans="1:33" ht="29">
      <c r="A88" t="s">
        <v>244</v>
      </c>
      <c r="B88" s="4" t="s">
        <v>1031</v>
      </c>
      <c r="C88" s="4" t="s">
        <v>1032</v>
      </c>
      <c r="G88" s="10" t="s">
        <v>2201</v>
      </c>
      <c r="H88" s="10"/>
      <c r="I88" s="10"/>
      <c r="J88" s="10"/>
      <c r="K88" s="10"/>
      <c r="L88" s="10"/>
      <c r="M88" s="10"/>
      <c r="N88" s="11"/>
      <c r="O88" s="10"/>
      <c r="P88" s="10"/>
      <c r="Q88" s="10"/>
      <c r="R88" s="10" t="s">
        <v>2387</v>
      </c>
      <c r="S88" s="10" t="s">
        <v>2387</v>
      </c>
      <c r="T88" s="10"/>
      <c r="U88" s="10"/>
      <c r="V88" s="10"/>
      <c r="W88" s="10"/>
      <c r="X88" s="10"/>
      <c r="Y88" s="10"/>
      <c r="Z88" s="10"/>
      <c r="AA88" s="10"/>
      <c r="AB88" s="10"/>
      <c r="AC88" s="10"/>
      <c r="AD88" t="s">
        <v>19</v>
      </c>
      <c r="AE88" t="s">
        <v>19</v>
      </c>
      <c r="AG88">
        <v>1</v>
      </c>
    </row>
    <row r="89" spans="1:33" ht="29">
      <c r="A89" t="s">
        <v>244</v>
      </c>
      <c r="B89" s="4" t="s">
        <v>1030</v>
      </c>
      <c r="C89" s="4" t="s">
        <v>1033</v>
      </c>
      <c r="G89" s="10" t="s">
        <v>24</v>
      </c>
      <c r="H89" s="10"/>
      <c r="I89" s="10">
        <v>1</v>
      </c>
      <c r="J89" s="10">
        <v>2</v>
      </c>
      <c r="K89" s="10" t="s">
        <v>2158</v>
      </c>
      <c r="L89" s="10" t="s">
        <v>2200</v>
      </c>
      <c r="M89" s="10"/>
      <c r="N89" s="11"/>
      <c r="O89" s="10"/>
      <c r="P89" s="10">
        <v>2475</v>
      </c>
      <c r="Q89" s="10"/>
      <c r="R89" s="10" t="s">
        <v>2387</v>
      </c>
      <c r="S89" s="10" t="s">
        <v>2387</v>
      </c>
      <c r="T89" s="10"/>
      <c r="U89" s="10"/>
      <c r="V89" s="10"/>
      <c r="W89" s="10"/>
      <c r="X89" s="10"/>
      <c r="Y89" s="10"/>
      <c r="Z89" s="10"/>
      <c r="AA89" s="10"/>
      <c r="AB89" s="10"/>
      <c r="AC89" s="10"/>
      <c r="AD89" t="s">
        <v>19</v>
      </c>
      <c r="AE89" t="s">
        <v>19</v>
      </c>
      <c r="AG89">
        <v>1</v>
      </c>
    </row>
    <row r="90" spans="1:33">
      <c r="A90" t="s">
        <v>245</v>
      </c>
      <c r="B90" s="4" t="s">
        <v>1035</v>
      </c>
      <c r="C90" s="4" t="s">
        <v>1034</v>
      </c>
      <c r="G90" s="10" t="s">
        <v>24</v>
      </c>
      <c r="H90" s="10"/>
      <c r="I90" s="10">
        <v>1</v>
      </c>
      <c r="J90" s="10">
        <v>2</v>
      </c>
      <c r="K90" s="10" t="s">
        <v>2158</v>
      </c>
      <c r="L90" s="10" t="s">
        <v>2200</v>
      </c>
      <c r="M90" s="10"/>
      <c r="N90" s="11"/>
      <c r="O90" s="10"/>
      <c r="P90" s="10">
        <v>2475</v>
      </c>
      <c r="Q90" s="10"/>
      <c r="R90" s="10" t="s">
        <v>2387</v>
      </c>
      <c r="S90" s="10" t="s">
        <v>2387</v>
      </c>
      <c r="T90" s="10"/>
      <c r="U90" s="10"/>
      <c r="V90" s="10"/>
      <c r="W90" s="10"/>
      <c r="X90" s="10"/>
      <c r="Y90" s="10"/>
      <c r="Z90" s="10"/>
      <c r="AA90" s="10"/>
      <c r="AB90" s="10"/>
      <c r="AC90" s="10"/>
      <c r="AD90" t="s">
        <v>20</v>
      </c>
      <c r="AE90" t="s">
        <v>19</v>
      </c>
      <c r="AG90">
        <v>0</v>
      </c>
    </row>
    <row r="91" spans="1:33" ht="29">
      <c r="A91" t="s">
        <v>246</v>
      </c>
      <c r="B91" s="4" t="s">
        <v>1037</v>
      </c>
      <c r="C91" s="4" t="s">
        <v>1040</v>
      </c>
      <c r="G91" s="10" t="s">
        <v>24</v>
      </c>
      <c r="H91" s="10"/>
      <c r="I91" s="10">
        <v>1</v>
      </c>
      <c r="J91" s="10">
        <v>3</v>
      </c>
      <c r="K91" s="10" t="s">
        <v>2175</v>
      </c>
      <c r="L91" s="10" t="s">
        <v>2159</v>
      </c>
      <c r="M91" s="10"/>
      <c r="N91" s="11"/>
      <c r="O91" s="10"/>
      <c r="P91" s="10">
        <v>312</v>
      </c>
      <c r="Q91" s="10"/>
      <c r="R91" s="10" t="s">
        <v>2387</v>
      </c>
      <c r="S91" s="10" t="s">
        <v>2387</v>
      </c>
      <c r="T91" s="10"/>
      <c r="U91" s="10"/>
      <c r="V91" s="10"/>
      <c r="W91" s="10"/>
      <c r="X91" s="10"/>
      <c r="Y91" s="10"/>
      <c r="Z91" s="10"/>
      <c r="AA91" s="10"/>
      <c r="AB91" s="10"/>
      <c r="AC91" s="10"/>
      <c r="AD91" t="s">
        <v>19</v>
      </c>
      <c r="AE91" t="s">
        <v>19</v>
      </c>
      <c r="AG91">
        <v>1</v>
      </c>
    </row>
    <row r="92" spans="1:33" ht="29">
      <c r="A92" t="s">
        <v>246</v>
      </c>
      <c r="B92" s="4" t="s">
        <v>1041</v>
      </c>
      <c r="C92" s="4" t="s">
        <v>1042</v>
      </c>
      <c r="G92" s="10" t="s">
        <v>2201</v>
      </c>
      <c r="H92" s="10"/>
      <c r="I92" s="10"/>
      <c r="J92" s="10"/>
      <c r="K92" s="10"/>
      <c r="L92" s="10"/>
      <c r="M92" s="10"/>
      <c r="N92" s="11"/>
      <c r="O92" s="10"/>
      <c r="P92" s="10"/>
      <c r="Q92" s="10"/>
      <c r="R92" s="10" t="s">
        <v>2387</v>
      </c>
      <c r="S92" s="10" t="s">
        <v>2387</v>
      </c>
      <c r="T92" s="10"/>
      <c r="U92" s="10"/>
      <c r="V92" s="10"/>
      <c r="W92" s="10"/>
      <c r="X92" s="10"/>
      <c r="Y92" s="10"/>
      <c r="Z92" s="10"/>
      <c r="AA92" s="10"/>
      <c r="AB92" s="10"/>
      <c r="AC92" s="10"/>
      <c r="AD92" t="s">
        <v>19</v>
      </c>
      <c r="AE92" t="s">
        <v>19</v>
      </c>
      <c r="AG92">
        <v>1</v>
      </c>
    </row>
    <row r="93" spans="1:33" ht="43.5">
      <c r="A93" t="s">
        <v>246</v>
      </c>
      <c r="B93" s="4" t="s">
        <v>1043</v>
      </c>
      <c r="C93" s="4" t="s">
        <v>1044</v>
      </c>
      <c r="G93" s="10" t="s">
        <v>24</v>
      </c>
      <c r="H93" s="10"/>
      <c r="I93" s="10">
        <v>3</v>
      </c>
      <c r="J93" s="10">
        <v>13</v>
      </c>
      <c r="K93" s="10"/>
      <c r="L93" s="10" t="s">
        <v>2159</v>
      </c>
      <c r="M93" s="10"/>
      <c r="N93" s="11"/>
      <c r="O93" s="10"/>
      <c r="P93" s="10">
        <v>7</v>
      </c>
      <c r="Q93" s="10"/>
      <c r="R93" s="10" t="s">
        <v>2387</v>
      </c>
      <c r="S93" s="10" t="s">
        <v>2387</v>
      </c>
      <c r="T93" s="10"/>
      <c r="U93" s="10"/>
      <c r="V93" s="10"/>
      <c r="W93" s="10"/>
      <c r="X93" s="10"/>
      <c r="Y93" s="10"/>
      <c r="Z93" s="10"/>
      <c r="AA93" s="10"/>
      <c r="AB93" s="10"/>
      <c r="AC93" s="10"/>
      <c r="AD93" t="s">
        <v>19</v>
      </c>
      <c r="AE93" t="s">
        <v>19</v>
      </c>
      <c r="AG93">
        <v>1</v>
      </c>
    </row>
    <row r="94" spans="1:33">
      <c r="A94" t="s">
        <v>247</v>
      </c>
      <c r="B94" s="4" t="s">
        <v>76</v>
      </c>
      <c r="C94" s="4" t="s">
        <v>248</v>
      </c>
      <c r="G94" s="10" t="s">
        <v>2201</v>
      </c>
      <c r="H94" s="10"/>
      <c r="I94" s="10"/>
      <c r="J94" s="10"/>
      <c r="K94" s="10"/>
      <c r="L94" s="10"/>
      <c r="M94" s="10"/>
      <c r="N94" s="11"/>
      <c r="O94" s="10"/>
      <c r="P94" s="10"/>
      <c r="Q94" s="10"/>
      <c r="R94" s="10" t="s">
        <v>2387</v>
      </c>
      <c r="S94" s="10" t="s">
        <v>2387</v>
      </c>
      <c r="T94" s="10"/>
      <c r="U94" s="10"/>
      <c r="V94" s="10"/>
      <c r="W94" s="10"/>
      <c r="X94" s="10"/>
      <c r="Y94" s="10"/>
      <c r="Z94" s="10"/>
      <c r="AA94" s="10"/>
      <c r="AB94" s="10"/>
      <c r="AC94" s="10"/>
      <c r="AD94" t="s">
        <v>19</v>
      </c>
      <c r="AE94" t="s">
        <v>19</v>
      </c>
      <c r="AG94">
        <v>1</v>
      </c>
    </row>
    <row r="95" spans="1:33">
      <c r="A95" t="s">
        <v>247</v>
      </c>
      <c r="B95" s="4" t="s">
        <v>814</v>
      </c>
      <c r="C95" s="4" t="s">
        <v>1045</v>
      </c>
      <c r="G95" s="10" t="s">
        <v>24</v>
      </c>
      <c r="H95" s="10"/>
      <c r="I95" s="10">
        <v>1</v>
      </c>
      <c r="J95" s="10">
        <v>3</v>
      </c>
      <c r="K95" s="10" t="s">
        <v>2175</v>
      </c>
      <c r="L95" s="10" t="s">
        <v>2159</v>
      </c>
      <c r="M95" s="10"/>
      <c r="N95" s="11"/>
      <c r="O95" s="10"/>
      <c r="P95" s="10">
        <v>743</v>
      </c>
      <c r="Q95" s="10"/>
      <c r="R95" s="10" t="s">
        <v>2387</v>
      </c>
      <c r="S95" s="10" t="s">
        <v>2387</v>
      </c>
      <c r="T95" s="10"/>
      <c r="U95" s="10"/>
      <c r="V95" s="10"/>
      <c r="W95" s="10"/>
      <c r="X95" s="10"/>
      <c r="Y95" s="10"/>
      <c r="Z95" s="10"/>
      <c r="AA95" s="10"/>
      <c r="AB95" s="10"/>
      <c r="AC95" s="10"/>
      <c r="AD95" t="s">
        <v>19</v>
      </c>
      <c r="AE95" t="s">
        <v>19</v>
      </c>
      <c r="AG95">
        <v>1</v>
      </c>
    </row>
    <row r="96" spans="1:33" ht="29">
      <c r="A96" t="s">
        <v>249</v>
      </c>
      <c r="B96" s="4" t="s">
        <v>1047</v>
      </c>
      <c r="C96" s="4" t="s">
        <v>1046</v>
      </c>
      <c r="G96" s="10" t="s">
        <v>2201</v>
      </c>
      <c r="H96" s="10"/>
      <c r="I96" s="10"/>
      <c r="J96" s="10"/>
      <c r="K96" s="10"/>
      <c r="L96" s="10"/>
      <c r="M96" s="10"/>
      <c r="N96" s="11"/>
      <c r="O96" s="10"/>
      <c r="P96" s="10"/>
      <c r="Q96" s="10"/>
      <c r="R96" s="10" t="s">
        <v>2387</v>
      </c>
      <c r="S96" s="10" t="s">
        <v>2387</v>
      </c>
      <c r="T96" s="10"/>
      <c r="U96" s="10"/>
      <c r="V96" s="10"/>
      <c r="W96" s="10"/>
      <c r="X96" s="10"/>
      <c r="Y96" s="10"/>
      <c r="Z96" s="10"/>
      <c r="AA96" s="10"/>
      <c r="AB96" s="10"/>
      <c r="AC96" s="10"/>
      <c r="AD96" t="s">
        <v>19</v>
      </c>
      <c r="AE96" t="s">
        <v>19</v>
      </c>
      <c r="AG96">
        <v>1</v>
      </c>
    </row>
    <row r="97" spans="1:33">
      <c r="A97" t="s">
        <v>250</v>
      </c>
      <c r="B97" s="4" t="s">
        <v>1049</v>
      </c>
      <c r="C97" s="4" t="s">
        <v>1050</v>
      </c>
      <c r="G97" s="10" t="s">
        <v>2201</v>
      </c>
      <c r="H97" s="10"/>
      <c r="I97" s="10"/>
      <c r="J97" s="10"/>
      <c r="K97" s="10"/>
      <c r="L97" s="10"/>
      <c r="M97" s="10"/>
      <c r="N97" s="11"/>
      <c r="O97" s="10"/>
      <c r="P97" s="10"/>
      <c r="Q97" s="10"/>
      <c r="R97" s="10" t="s">
        <v>2387</v>
      </c>
      <c r="S97" s="10" t="s">
        <v>2387</v>
      </c>
      <c r="T97" s="10"/>
      <c r="U97" s="10"/>
      <c r="V97" s="10"/>
      <c r="W97" s="10"/>
      <c r="X97" s="10"/>
      <c r="Y97" s="10"/>
      <c r="Z97" s="10"/>
      <c r="AA97" s="10"/>
      <c r="AB97" s="10"/>
      <c r="AC97" s="10"/>
      <c r="AD97" t="s">
        <v>19</v>
      </c>
      <c r="AE97" t="s">
        <v>19</v>
      </c>
      <c r="AG97">
        <v>1</v>
      </c>
    </row>
    <row r="98" spans="1:33">
      <c r="A98" t="s">
        <v>250</v>
      </c>
      <c r="B98" s="4" t="s">
        <v>1051</v>
      </c>
      <c r="C98" s="4" t="s">
        <v>1048</v>
      </c>
      <c r="G98" s="10" t="s">
        <v>25</v>
      </c>
      <c r="H98" s="10"/>
      <c r="I98" s="10">
        <v>1</v>
      </c>
      <c r="J98" s="10">
        <v>3</v>
      </c>
      <c r="K98" s="10" t="s">
        <v>2158</v>
      </c>
      <c r="L98" s="10" t="s">
        <v>2159</v>
      </c>
      <c r="M98" s="10"/>
      <c r="N98" s="11"/>
      <c r="O98" s="10"/>
      <c r="P98" s="10">
        <v>2475</v>
      </c>
      <c r="Q98" s="10"/>
      <c r="R98" s="10" t="s">
        <v>2387</v>
      </c>
      <c r="S98" s="10" t="s">
        <v>2387</v>
      </c>
      <c r="T98" s="10"/>
      <c r="U98" s="10"/>
      <c r="V98" s="10"/>
      <c r="W98" s="10"/>
      <c r="X98" s="10"/>
      <c r="Y98" s="10"/>
      <c r="Z98" s="10"/>
      <c r="AA98" s="10"/>
      <c r="AB98" s="10"/>
      <c r="AC98" s="10"/>
      <c r="AD98" t="s">
        <v>19</v>
      </c>
      <c r="AE98" t="s">
        <v>19</v>
      </c>
      <c r="AG98">
        <v>1</v>
      </c>
    </row>
    <row r="99" spans="1:33">
      <c r="A99" t="s">
        <v>251</v>
      </c>
      <c r="B99" s="4" t="s">
        <v>1052</v>
      </c>
      <c r="C99" s="4" t="s">
        <v>1053</v>
      </c>
      <c r="G99" s="10" t="s">
        <v>25</v>
      </c>
      <c r="H99" s="10"/>
      <c r="I99" s="10">
        <v>1</v>
      </c>
      <c r="J99" s="10">
        <v>3</v>
      </c>
      <c r="K99" s="10" t="s">
        <v>2177</v>
      </c>
      <c r="L99" s="10" t="s">
        <v>2159</v>
      </c>
      <c r="M99" s="10"/>
      <c r="N99" s="11"/>
      <c r="O99" s="10"/>
      <c r="P99" s="10">
        <v>210</v>
      </c>
      <c r="Q99" s="10"/>
      <c r="R99" s="10" t="s">
        <v>2387</v>
      </c>
      <c r="S99" s="10" t="s">
        <v>2387</v>
      </c>
      <c r="T99" s="10"/>
      <c r="U99" s="10"/>
      <c r="V99" s="10"/>
      <c r="W99" s="10"/>
      <c r="X99" s="10"/>
      <c r="Y99" s="10"/>
      <c r="Z99" s="10"/>
      <c r="AA99" s="10"/>
      <c r="AB99" s="10"/>
      <c r="AC99" s="10"/>
      <c r="AD99" t="s">
        <v>19</v>
      </c>
      <c r="AE99" t="s">
        <v>19</v>
      </c>
      <c r="AG99">
        <v>1</v>
      </c>
    </row>
    <row r="100" spans="1:33" ht="29">
      <c r="A100" t="s">
        <v>252</v>
      </c>
      <c r="B100" s="4" t="s">
        <v>1054</v>
      </c>
      <c r="C100" s="4" t="s">
        <v>1055</v>
      </c>
      <c r="G100" s="10" t="s">
        <v>26</v>
      </c>
      <c r="H100" s="10"/>
      <c r="I100" s="10"/>
      <c r="J100" s="10"/>
      <c r="K100" s="10"/>
      <c r="L100" s="10"/>
      <c r="M100" s="10"/>
      <c r="N100" s="11"/>
      <c r="O100" s="10"/>
      <c r="P100" s="10"/>
      <c r="Q100" s="10"/>
      <c r="R100" s="10" t="s">
        <v>2387</v>
      </c>
      <c r="S100" s="10" t="s">
        <v>2387</v>
      </c>
      <c r="T100" s="10"/>
      <c r="U100" s="10"/>
      <c r="V100" s="10"/>
      <c r="W100" s="10"/>
      <c r="X100" s="10"/>
      <c r="Y100" s="10"/>
      <c r="Z100" s="10"/>
      <c r="AA100" s="10"/>
      <c r="AB100" s="10"/>
      <c r="AC100" s="10"/>
      <c r="AD100" t="s">
        <v>19</v>
      </c>
      <c r="AE100" t="s">
        <v>20</v>
      </c>
      <c r="AG100">
        <v>1</v>
      </c>
    </row>
    <row r="101" spans="1:33">
      <c r="A101" t="s">
        <v>253</v>
      </c>
      <c r="B101" s="4" t="s">
        <v>1059</v>
      </c>
      <c r="C101" s="4" t="s">
        <v>1058</v>
      </c>
      <c r="G101" s="10" t="s">
        <v>2201</v>
      </c>
      <c r="H101" s="10"/>
      <c r="I101" s="10"/>
      <c r="J101" s="10"/>
      <c r="K101" s="10"/>
      <c r="L101" s="10"/>
      <c r="M101" s="10"/>
      <c r="N101" s="11"/>
      <c r="O101" s="10"/>
      <c r="P101" s="10"/>
      <c r="Q101" s="10"/>
      <c r="R101" s="10" t="s">
        <v>2387</v>
      </c>
      <c r="S101" s="10" t="s">
        <v>2387</v>
      </c>
      <c r="T101" s="10"/>
      <c r="U101" s="10"/>
      <c r="V101" s="10"/>
      <c r="W101" s="10"/>
      <c r="X101" s="10"/>
      <c r="Y101" s="10"/>
      <c r="Z101" s="10"/>
      <c r="AA101" s="10"/>
      <c r="AB101" s="10"/>
      <c r="AC101" s="10"/>
      <c r="AD101" t="s">
        <v>19</v>
      </c>
      <c r="AE101" t="s">
        <v>19</v>
      </c>
      <c r="AG101">
        <v>1</v>
      </c>
    </row>
    <row r="102" spans="1:33">
      <c r="A102" t="s">
        <v>257</v>
      </c>
      <c r="B102" s="4" t="s">
        <v>1060</v>
      </c>
      <c r="C102" s="4" t="s">
        <v>1061</v>
      </c>
      <c r="G102" s="10" t="s">
        <v>2201</v>
      </c>
      <c r="H102" s="10"/>
      <c r="I102" s="10"/>
      <c r="J102" s="10"/>
      <c r="K102" s="10"/>
      <c r="L102" s="10"/>
      <c r="M102" s="10"/>
      <c r="N102" s="11"/>
      <c r="O102" s="10"/>
      <c r="P102" s="10"/>
      <c r="Q102" s="10"/>
      <c r="R102" s="10" t="s">
        <v>2387</v>
      </c>
      <c r="S102" s="10" t="s">
        <v>2387</v>
      </c>
      <c r="T102" s="10"/>
      <c r="U102" s="10"/>
      <c r="V102" s="10"/>
      <c r="W102" s="10"/>
      <c r="X102" s="10"/>
      <c r="Y102" s="10"/>
      <c r="Z102" s="10"/>
      <c r="AA102" s="10"/>
      <c r="AB102" s="10"/>
      <c r="AC102" s="10"/>
      <c r="AD102" t="s">
        <v>20</v>
      </c>
      <c r="AE102" t="s">
        <v>19</v>
      </c>
      <c r="AG102">
        <v>0</v>
      </c>
    </row>
    <row r="103" spans="1:33">
      <c r="A103" t="s">
        <v>261</v>
      </c>
      <c r="B103" s="4" t="s">
        <v>1062</v>
      </c>
      <c r="C103" s="4" t="s">
        <v>1065</v>
      </c>
      <c r="G103" s="10" t="s">
        <v>24</v>
      </c>
      <c r="H103" s="10"/>
      <c r="I103" s="10">
        <v>1</v>
      </c>
      <c r="J103" s="10">
        <v>1</v>
      </c>
      <c r="K103" s="10" t="s">
        <v>2158</v>
      </c>
      <c r="L103" s="10" t="s">
        <v>2200</v>
      </c>
      <c r="M103" s="10"/>
      <c r="N103" s="11"/>
      <c r="O103" s="10"/>
      <c r="P103" s="10">
        <v>2475</v>
      </c>
      <c r="Q103" s="10"/>
      <c r="R103" s="10" t="s">
        <v>2387</v>
      </c>
      <c r="S103" s="10" t="s">
        <v>2387</v>
      </c>
      <c r="T103" s="10"/>
      <c r="U103" s="10"/>
      <c r="V103" s="10"/>
      <c r="W103" s="10"/>
      <c r="X103" s="10"/>
      <c r="Y103" s="10"/>
      <c r="Z103" s="10"/>
      <c r="AA103" s="10"/>
      <c r="AB103" s="10"/>
      <c r="AC103" s="10"/>
      <c r="AD103" t="s">
        <v>19</v>
      </c>
      <c r="AE103" t="s">
        <v>19</v>
      </c>
      <c r="AG103">
        <v>1</v>
      </c>
    </row>
    <row r="104" spans="1:33">
      <c r="A104" t="s">
        <v>261</v>
      </c>
      <c r="B104" s="4" t="s">
        <v>1067</v>
      </c>
      <c r="C104" s="4" t="s">
        <v>1066</v>
      </c>
      <c r="G104" s="10" t="s">
        <v>25</v>
      </c>
      <c r="H104" s="10"/>
      <c r="I104" s="10">
        <v>1</v>
      </c>
      <c r="J104" s="10">
        <v>3</v>
      </c>
      <c r="K104" s="10" t="s">
        <v>2158</v>
      </c>
      <c r="L104" s="10" t="s">
        <v>2159</v>
      </c>
      <c r="M104" s="10"/>
      <c r="N104" s="11"/>
      <c r="O104" s="10"/>
      <c r="P104" s="10">
        <v>2475</v>
      </c>
      <c r="Q104" s="10"/>
      <c r="R104" s="10" t="s">
        <v>2387</v>
      </c>
      <c r="S104" s="10" t="s">
        <v>2387</v>
      </c>
      <c r="T104" s="10"/>
      <c r="U104" s="10"/>
      <c r="V104" s="10"/>
      <c r="W104" s="10"/>
      <c r="X104" s="10"/>
      <c r="Y104" s="10"/>
      <c r="Z104" s="10"/>
      <c r="AA104" s="10"/>
      <c r="AB104" s="10"/>
      <c r="AC104" s="10"/>
      <c r="AD104" t="s">
        <v>19</v>
      </c>
      <c r="AE104" t="s">
        <v>19</v>
      </c>
      <c r="AG104">
        <v>1</v>
      </c>
    </row>
    <row r="105" spans="1:33" ht="43.5">
      <c r="A105" t="s">
        <v>264</v>
      </c>
      <c r="B105" s="4" t="s">
        <v>1078</v>
      </c>
      <c r="C105" s="4" t="s">
        <v>1079</v>
      </c>
      <c r="G105" s="10" t="s">
        <v>24</v>
      </c>
      <c r="H105" s="10"/>
      <c r="I105" s="10">
        <v>1</v>
      </c>
      <c r="J105" s="10">
        <v>2</v>
      </c>
      <c r="K105" s="10" t="s">
        <v>2158</v>
      </c>
      <c r="L105" s="10" t="s">
        <v>2200</v>
      </c>
      <c r="M105" s="10"/>
      <c r="N105" s="11"/>
      <c r="O105" s="10"/>
      <c r="P105" s="10">
        <v>2475</v>
      </c>
      <c r="Q105" s="10"/>
      <c r="R105" s="10" t="s">
        <v>2387</v>
      </c>
      <c r="S105" s="10" t="s">
        <v>2387</v>
      </c>
      <c r="T105" s="10"/>
      <c r="U105" s="10"/>
      <c r="V105" s="10"/>
      <c r="W105" s="10"/>
      <c r="X105" s="10"/>
      <c r="Y105" s="10"/>
      <c r="Z105" s="10"/>
      <c r="AA105" s="10"/>
      <c r="AB105" s="10"/>
      <c r="AC105" s="10"/>
      <c r="AD105" t="s">
        <v>19</v>
      </c>
      <c r="AE105" t="s">
        <v>19</v>
      </c>
      <c r="AG105">
        <v>1</v>
      </c>
    </row>
    <row r="106" spans="1:33" ht="43.5">
      <c r="A106" t="s">
        <v>264</v>
      </c>
      <c r="B106" s="4" t="s">
        <v>1082</v>
      </c>
      <c r="C106" s="4" t="s">
        <v>1083</v>
      </c>
      <c r="G106" s="10" t="s">
        <v>26</v>
      </c>
      <c r="H106" s="10"/>
      <c r="I106" s="10"/>
      <c r="J106" s="10"/>
      <c r="K106" s="10"/>
      <c r="L106" s="10"/>
      <c r="M106" s="10"/>
      <c r="N106" s="11"/>
      <c r="O106" s="10"/>
      <c r="P106" s="10"/>
      <c r="Q106" s="10"/>
      <c r="R106" s="10" t="s">
        <v>2387</v>
      </c>
      <c r="S106" s="10" t="s">
        <v>2387</v>
      </c>
      <c r="T106" s="10"/>
      <c r="U106" s="10"/>
      <c r="V106" s="10"/>
      <c r="W106" s="10"/>
      <c r="X106" s="10"/>
      <c r="Y106" s="10"/>
      <c r="Z106" s="10"/>
      <c r="AA106" s="10"/>
      <c r="AB106" s="10"/>
      <c r="AC106" s="10"/>
      <c r="AD106" t="s">
        <v>19</v>
      </c>
      <c r="AE106" t="s">
        <v>19</v>
      </c>
      <c r="AG106">
        <v>1</v>
      </c>
    </row>
    <row r="107" spans="1:33" ht="43.5">
      <c r="A107" t="s">
        <v>264</v>
      </c>
      <c r="B107" s="4" t="s">
        <v>1078</v>
      </c>
      <c r="C107" s="4" t="s">
        <v>1084</v>
      </c>
      <c r="G107" s="10" t="s">
        <v>24</v>
      </c>
      <c r="H107" s="10"/>
      <c r="I107" s="10">
        <v>1</v>
      </c>
      <c r="J107" s="10">
        <v>3</v>
      </c>
      <c r="K107" s="10" t="s">
        <v>2177</v>
      </c>
      <c r="L107" s="10" t="s">
        <v>2159</v>
      </c>
      <c r="M107" s="10"/>
      <c r="N107" s="11"/>
      <c r="O107" s="10"/>
      <c r="P107" s="10">
        <v>10</v>
      </c>
      <c r="Q107" s="10"/>
      <c r="R107" s="10" t="s">
        <v>2387</v>
      </c>
      <c r="S107" s="10" t="s">
        <v>2387</v>
      </c>
      <c r="T107" s="10"/>
      <c r="U107" s="10"/>
      <c r="V107" s="10"/>
      <c r="W107" s="10"/>
      <c r="X107" s="10"/>
      <c r="Y107" s="10"/>
      <c r="Z107" s="10"/>
      <c r="AA107" s="10"/>
      <c r="AB107" s="10"/>
      <c r="AC107" s="10"/>
      <c r="AD107" t="s">
        <v>19</v>
      </c>
      <c r="AE107" t="s">
        <v>19</v>
      </c>
      <c r="AG107">
        <v>1</v>
      </c>
    </row>
    <row r="108" spans="1:33">
      <c r="A108" t="s">
        <v>264</v>
      </c>
      <c r="B108" s="4" t="s">
        <v>1086</v>
      </c>
      <c r="C108" s="4" t="s">
        <v>1085</v>
      </c>
      <c r="G108" s="10" t="s">
        <v>25</v>
      </c>
      <c r="H108" s="10"/>
      <c r="I108" s="10">
        <v>1</v>
      </c>
      <c r="J108" s="10">
        <v>1</v>
      </c>
      <c r="K108" s="10" t="s">
        <v>2158</v>
      </c>
      <c r="L108" s="10" t="s">
        <v>2200</v>
      </c>
      <c r="M108" s="10"/>
      <c r="N108" s="11"/>
      <c r="O108" s="10"/>
      <c r="P108" s="10">
        <v>2475</v>
      </c>
      <c r="Q108" s="10"/>
      <c r="R108" s="10" t="s">
        <v>2387</v>
      </c>
      <c r="S108" s="10" t="s">
        <v>2387</v>
      </c>
      <c r="T108" s="10"/>
      <c r="U108" s="10"/>
      <c r="V108" s="10"/>
      <c r="W108" s="10"/>
      <c r="X108" s="10"/>
      <c r="Y108" s="10"/>
      <c r="Z108" s="10"/>
      <c r="AA108" s="10"/>
      <c r="AB108" s="10"/>
      <c r="AC108" s="10"/>
      <c r="AD108" t="s">
        <v>19</v>
      </c>
      <c r="AE108" t="s">
        <v>19</v>
      </c>
      <c r="AG108">
        <v>1</v>
      </c>
    </row>
    <row r="109" spans="1:33">
      <c r="A109" t="s">
        <v>264</v>
      </c>
      <c r="B109" s="4" t="s">
        <v>1089</v>
      </c>
      <c r="C109" s="4" t="s">
        <v>1090</v>
      </c>
      <c r="G109" s="10" t="s">
        <v>2199</v>
      </c>
      <c r="H109" s="10"/>
      <c r="I109" s="10"/>
      <c r="J109" s="10"/>
      <c r="K109" s="10"/>
      <c r="L109" s="10"/>
      <c r="M109" s="10"/>
      <c r="N109" s="11"/>
      <c r="O109" s="10"/>
      <c r="P109" s="10"/>
      <c r="Q109" s="10">
        <v>-813</v>
      </c>
      <c r="R109" s="10">
        <v>830</v>
      </c>
      <c r="S109" s="10">
        <v>17</v>
      </c>
      <c r="T109" s="10"/>
      <c r="U109" s="10"/>
      <c r="V109" s="10"/>
      <c r="W109" s="10"/>
      <c r="X109" s="10"/>
      <c r="Y109" s="10"/>
      <c r="Z109" s="10"/>
      <c r="AA109" s="10"/>
      <c r="AB109" s="10"/>
      <c r="AC109" s="10"/>
      <c r="AD109" t="s">
        <v>19</v>
      </c>
      <c r="AE109" t="s">
        <v>19</v>
      </c>
      <c r="AG109">
        <v>1</v>
      </c>
    </row>
    <row r="110" spans="1:33">
      <c r="A110" t="s">
        <v>267</v>
      </c>
      <c r="B110" s="4" t="s">
        <v>1091</v>
      </c>
      <c r="C110" s="4" t="s">
        <v>1092</v>
      </c>
      <c r="G110" s="10" t="s">
        <v>25</v>
      </c>
      <c r="H110" s="10"/>
      <c r="I110" s="10">
        <v>1</v>
      </c>
      <c r="J110" s="10">
        <v>3</v>
      </c>
      <c r="K110" s="10" t="s">
        <v>2173</v>
      </c>
      <c r="L110" s="10" t="s">
        <v>2159</v>
      </c>
      <c r="M110" s="10"/>
      <c r="N110" s="11"/>
      <c r="O110" s="10"/>
      <c r="P110" s="10">
        <v>75</v>
      </c>
      <c r="Q110" s="10"/>
      <c r="R110" s="10" t="s">
        <v>2387</v>
      </c>
      <c r="S110" s="10" t="s">
        <v>2387</v>
      </c>
      <c r="T110" s="10"/>
      <c r="U110" s="10"/>
      <c r="V110" s="10"/>
      <c r="W110" s="10"/>
      <c r="X110" s="10"/>
      <c r="Y110" s="10"/>
      <c r="Z110" s="10"/>
      <c r="AA110" s="10"/>
      <c r="AB110" s="10"/>
      <c r="AC110" s="10"/>
      <c r="AD110" t="s">
        <v>19</v>
      </c>
      <c r="AE110" t="s">
        <v>19</v>
      </c>
      <c r="AG110">
        <v>1</v>
      </c>
    </row>
    <row r="111" spans="1:33">
      <c r="A111" t="s">
        <v>267</v>
      </c>
      <c r="B111" s="4" t="s">
        <v>268</v>
      </c>
      <c r="C111" s="4" t="s">
        <v>1093</v>
      </c>
      <c r="G111" s="10" t="s">
        <v>26</v>
      </c>
      <c r="H111" s="10"/>
      <c r="I111" s="10"/>
      <c r="J111" s="10"/>
      <c r="K111" s="10"/>
      <c r="L111" s="10"/>
      <c r="M111" s="10"/>
      <c r="N111" s="11"/>
      <c r="O111" s="10"/>
      <c r="P111" s="10"/>
      <c r="Q111" s="10"/>
      <c r="R111" s="10" t="s">
        <v>2387</v>
      </c>
      <c r="S111" s="10" t="s">
        <v>2387</v>
      </c>
      <c r="T111" s="10"/>
      <c r="U111" s="10"/>
      <c r="V111" s="10"/>
      <c r="W111" s="10"/>
      <c r="X111" s="10"/>
      <c r="Y111" s="10"/>
      <c r="Z111" s="10"/>
      <c r="AA111" s="10"/>
      <c r="AB111" s="10"/>
      <c r="AC111" s="10"/>
      <c r="AD111" t="s">
        <v>19</v>
      </c>
      <c r="AE111" t="s">
        <v>19</v>
      </c>
      <c r="AG111">
        <v>1</v>
      </c>
    </row>
    <row r="112" spans="1:33" ht="29">
      <c r="A112" t="s">
        <v>267</v>
      </c>
      <c r="B112" s="4" t="s">
        <v>1094</v>
      </c>
      <c r="C112" s="4" t="s">
        <v>1095</v>
      </c>
      <c r="G112" s="10" t="s">
        <v>26</v>
      </c>
      <c r="H112" s="10"/>
      <c r="I112" s="10"/>
      <c r="J112" s="10"/>
      <c r="K112" s="10"/>
      <c r="L112" s="10"/>
      <c r="M112" s="10"/>
      <c r="N112" s="11"/>
      <c r="O112" s="10"/>
      <c r="P112" s="10"/>
      <c r="Q112" s="10"/>
      <c r="R112" s="10" t="s">
        <v>2387</v>
      </c>
      <c r="S112" s="10" t="s">
        <v>2387</v>
      </c>
      <c r="T112" s="10"/>
      <c r="U112" s="10"/>
      <c r="V112" s="10"/>
      <c r="W112" s="10"/>
      <c r="X112" s="10"/>
      <c r="Y112" s="10"/>
      <c r="Z112" s="10"/>
      <c r="AA112" s="10"/>
      <c r="AB112" s="10"/>
      <c r="AC112" s="10"/>
      <c r="AD112" t="s">
        <v>19</v>
      </c>
      <c r="AE112" t="s">
        <v>19</v>
      </c>
      <c r="AG112">
        <v>1</v>
      </c>
    </row>
    <row r="113" spans="1:33" ht="29">
      <c r="A113" t="s">
        <v>267</v>
      </c>
      <c r="B113" s="4" t="s">
        <v>1096</v>
      </c>
      <c r="C113" s="4" t="s">
        <v>1097</v>
      </c>
      <c r="G113" s="10" t="s">
        <v>2201</v>
      </c>
      <c r="H113" s="10"/>
      <c r="I113" s="10"/>
      <c r="J113" s="10"/>
      <c r="K113" s="10"/>
      <c r="L113" s="10"/>
      <c r="M113" s="10"/>
      <c r="N113" s="11"/>
      <c r="O113" s="10"/>
      <c r="P113" s="10"/>
      <c r="Q113" s="10"/>
      <c r="R113" s="10" t="s">
        <v>2387</v>
      </c>
      <c r="S113" s="10" t="s">
        <v>2387</v>
      </c>
      <c r="T113" s="10"/>
      <c r="U113" s="10"/>
      <c r="V113" s="10"/>
      <c r="W113" s="10"/>
      <c r="X113" s="10"/>
      <c r="Y113" s="10"/>
      <c r="Z113" s="10"/>
      <c r="AA113" s="10"/>
      <c r="AB113" s="10"/>
      <c r="AC113" s="10"/>
      <c r="AD113" t="s">
        <v>19</v>
      </c>
      <c r="AE113" t="s">
        <v>19</v>
      </c>
      <c r="AG113">
        <v>1</v>
      </c>
    </row>
    <row r="114" spans="1:33">
      <c r="A114" t="s">
        <v>267</v>
      </c>
      <c r="B114" s="4" t="s">
        <v>1098</v>
      </c>
      <c r="C114" s="4" t="s">
        <v>1099</v>
      </c>
      <c r="G114" s="10" t="s">
        <v>24</v>
      </c>
      <c r="H114" s="10"/>
      <c r="I114" s="10">
        <v>1</v>
      </c>
      <c r="J114" s="10">
        <v>3</v>
      </c>
      <c r="K114" s="10" t="s">
        <v>2168</v>
      </c>
      <c r="L114" s="10" t="s">
        <v>2159</v>
      </c>
      <c r="M114" s="10"/>
      <c r="N114" s="11"/>
      <c r="O114" s="10"/>
      <c r="P114" s="10">
        <v>1701</v>
      </c>
      <c r="Q114" s="10"/>
      <c r="R114" s="10" t="s">
        <v>2387</v>
      </c>
      <c r="S114" s="10" t="s">
        <v>2387</v>
      </c>
      <c r="T114" s="10"/>
      <c r="U114" s="10"/>
      <c r="V114" s="10"/>
      <c r="W114" s="10"/>
      <c r="X114" s="10"/>
      <c r="Y114" s="10"/>
      <c r="Z114" s="10"/>
      <c r="AA114" s="10"/>
      <c r="AB114" s="10"/>
      <c r="AC114" s="10"/>
      <c r="AD114" t="s">
        <v>19</v>
      </c>
      <c r="AE114" t="s">
        <v>19</v>
      </c>
      <c r="AG114">
        <v>1</v>
      </c>
    </row>
    <row r="115" spans="1:33" ht="29">
      <c r="A115" t="s">
        <v>269</v>
      </c>
      <c r="B115" s="4" t="s">
        <v>1100</v>
      </c>
      <c r="C115" s="4" t="s">
        <v>1101</v>
      </c>
      <c r="G115" s="10" t="s">
        <v>25</v>
      </c>
      <c r="H115" s="10"/>
      <c r="I115" s="10">
        <v>3</v>
      </c>
      <c r="J115" s="10">
        <v>12</v>
      </c>
      <c r="K115" s="10"/>
      <c r="L115" s="10" t="s">
        <v>2153</v>
      </c>
      <c r="M115" s="10" t="s">
        <v>2244</v>
      </c>
      <c r="N115" s="11" t="s">
        <v>2259</v>
      </c>
      <c r="O115" s="10"/>
      <c r="P115" s="10">
        <v>115</v>
      </c>
      <c r="Q115" s="10"/>
      <c r="R115" s="10" t="s">
        <v>2387</v>
      </c>
      <c r="S115" s="10" t="s">
        <v>2387</v>
      </c>
      <c r="T115" s="10"/>
      <c r="U115" s="10"/>
      <c r="V115" s="10"/>
      <c r="W115" s="10"/>
      <c r="X115" s="10"/>
      <c r="Y115" s="10"/>
      <c r="Z115" s="10"/>
      <c r="AA115" s="10"/>
      <c r="AB115" s="10"/>
      <c r="AC115" s="10"/>
      <c r="AD115" t="s">
        <v>19</v>
      </c>
      <c r="AE115" t="s">
        <v>19</v>
      </c>
      <c r="AG115">
        <v>1</v>
      </c>
    </row>
    <row r="116" spans="1:33" ht="29">
      <c r="A116" t="s">
        <v>270</v>
      </c>
      <c r="B116" s="4" t="s">
        <v>1104</v>
      </c>
      <c r="C116" s="4" t="s">
        <v>1105</v>
      </c>
      <c r="G116" s="10" t="s">
        <v>2201</v>
      </c>
      <c r="H116" s="10"/>
      <c r="I116" s="10"/>
      <c r="J116" s="10"/>
      <c r="K116" s="10"/>
      <c r="L116" s="10"/>
      <c r="M116" s="10"/>
      <c r="N116" s="11"/>
      <c r="O116" s="10"/>
      <c r="P116" s="10"/>
      <c r="Q116" s="10"/>
      <c r="R116" s="10" t="s">
        <v>2387</v>
      </c>
      <c r="S116" s="10" t="s">
        <v>2387</v>
      </c>
      <c r="T116" s="10"/>
      <c r="U116" s="10"/>
      <c r="V116" s="10"/>
      <c r="W116" s="10"/>
      <c r="X116" s="10"/>
      <c r="Y116" s="10"/>
      <c r="Z116" s="10"/>
      <c r="AA116" s="10"/>
      <c r="AB116" s="10"/>
      <c r="AC116" s="10"/>
      <c r="AD116" t="s">
        <v>19</v>
      </c>
      <c r="AE116" t="s">
        <v>19</v>
      </c>
      <c r="AG116">
        <v>1</v>
      </c>
    </row>
    <row r="117" spans="1:33" ht="29">
      <c r="A117" t="s">
        <v>270</v>
      </c>
      <c r="B117" s="4" t="s">
        <v>1102</v>
      </c>
      <c r="C117" s="4" t="s">
        <v>1103</v>
      </c>
      <c r="G117" s="10" t="s">
        <v>24</v>
      </c>
      <c r="H117" s="10"/>
      <c r="I117" s="10">
        <v>1</v>
      </c>
      <c r="J117" s="10">
        <v>3</v>
      </c>
      <c r="K117" s="10" t="s">
        <v>2175</v>
      </c>
      <c r="L117" s="10" t="s">
        <v>2159</v>
      </c>
      <c r="M117" s="10"/>
      <c r="N117" s="11"/>
      <c r="O117" s="10"/>
      <c r="P117" s="10">
        <v>743</v>
      </c>
      <c r="Q117" s="10"/>
      <c r="R117" s="10" t="s">
        <v>2387</v>
      </c>
      <c r="S117" s="10" t="s">
        <v>2387</v>
      </c>
      <c r="T117" s="10"/>
      <c r="U117" s="10"/>
      <c r="V117" s="10"/>
      <c r="W117" s="10"/>
      <c r="X117" s="10"/>
      <c r="Y117" s="10"/>
      <c r="Z117" s="10"/>
      <c r="AA117" s="10"/>
      <c r="AB117" s="10"/>
      <c r="AC117" s="10"/>
      <c r="AD117" t="s">
        <v>19</v>
      </c>
      <c r="AE117" t="s">
        <v>19</v>
      </c>
      <c r="AG117">
        <v>1</v>
      </c>
    </row>
    <row r="118" spans="1:33" ht="43.5">
      <c r="A118" t="s">
        <v>271</v>
      </c>
      <c r="B118" s="4" t="s">
        <v>2260</v>
      </c>
      <c r="C118" s="4" t="s">
        <v>1106</v>
      </c>
      <c r="G118" s="10" t="s">
        <v>25</v>
      </c>
      <c r="H118" s="10"/>
      <c r="I118" s="10">
        <v>1</v>
      </c>
      <c r="J118" s="10">
        <v>3</v>
      </c>
      <c r="K118" s="10" t="s">
        <v>2168</v>
      </c>
      <c r="L118" s="10" t="s">
        <v>2159</v>
      </c>
      <c r="M118" s="10"/>
      <c r="N118" s="11"/>
      <c r="O118" s="10"/>
      <c r="P118" s="10">
        <v>60</v>
      </c>
      <c r="Q118" s="10"/>
      <c r="R118" s="10" t="s">
        <v>2387</v>
      </c>
      <c r="S118" s="10" t="s">
        <v>2387</v>
      </c>
      <c r="T118" s="10"/>
      <c r="U118" s="10"/>
      <c r="V118" s="10"/>
      <c r="W118" s="10"/>
      <c r="X118" s="10"/>
      <c r="Y118" s="10"/>
      <c r="Z118" s="10"/>
      <c r="AA118" s="10"/>
      <c r="AB118" s="10"/>
      <c r="AC118" s="10"/>
      <c r="AD118" t="s">
        <v>19</v>
      </c>
      <c r="AE118" t="s">
        <v>19</v>
      </c>
      <c r="AG118">
        <v>1</v>
      </c>
    </row>
    <row r="119" spans="1:33" ht="43.5">
      <c r="A119" t="s">
        <v>271</v>
      </c>
      <c r="B119" s="4" t="s">
        <v>2261</v>
      </c>
      <c r="C119" s="4" t="s">
        <v>1108</v>
      </c>
      <c r="G119" s="10" t="s">
        <v>2201</v>
      </c>
      <c r="H119" s="10"/>
      <c r="I119" s="10"/>
      <c r="J119" s="10"/>
      <c r="K119" s="10"/>
      <c r="L119" s="10"/>
      <c r="M119" s="10"/>
      <c r="N119" s="11"/>
      <c r="O119" s="10"/>
      <c r="P119" s="10"/>
      <c r="Q119" s="10"/>
      <c r="R119" s="10" t="s">
        <v>2387</v>
      </c>
      <c r="S119" s="10" t="s">
        <v>2387</v>
      </c>
      <c r="T119" s="10"/>
      <c r="U119" s="10"/>
      <c r="V119" s="10"/>
      <c r="W119" s="10"/>
      <c r="X119" s="10"/>
      <c r="Y119" s="10"/>
      <c r="Z119" s="10"/>
      <c r="AA119" s="10"/>
      <c r="AB119" s="10"/>
      <c r="AC119" s="10"/>
      <c r="AD119" t="s">
        <v>19</v>
      </c>
      <c r="AE119" t="s">
        <v>19</v>
      </c>
      <c r="AG119">
        <v>1</v>
      </c>
    </row>
    <row r="120" spans="1:33" ht="43.5">
      <c r="A120" t="s">
        <v>271</v>
      </c>
      <c r="B120" s="4" t="s">
        <v>1109</v>
      </c>
      <c r="C120" s="4" t="s">
        <v>1106</v>
      </c>
      <c r="G120" s="10" t="s">
        <v>25</v>
      </c>
      <c r="H120" s="10"/>
      <c r="I120" s="10">
        <v>1</v>
      </c>
      <c r="J120" s="10">
        <v>3</v>
      </c>
      <c r="K120" s="10" t="s">
        <v>2158</v>
      </c>
      <c r="L120" s="10" t="s">
        <v>2159</v>
      </c>
      <c r="M120" s="10"/>
      <c r="N120" s="11"/>
      <c r="O120" s="10"/>
      <c r="P120" s="10">
        <v>2475</v>
      </c>
      <c r="Q120" s="10"/>
      <c r="R120" s="10" t="s">
        <v>2387</v>
      </c>
      <c r="S120" s="10" t="s">
        <v>2387</v>
      </c>
      <c r="T120" s="10"/>
      <c r="U120" s="10"/>
      <c r="V120" s="10"/>
      <c r="W120" s="10"/>
      <c r="X120" s="10"/>
      <c r="Y120" s="10"/>
      <c r="Z120" s="10"/>
      <c r="AA120" s="10"/>
      <c r="AB120" s="10"/>
      <c r="AC120" s="10"/>
      <c r="AD120" t="s">
        <v>19</v>
      </c>
      <c r="AG120">
        <v>1</v>
      </c>
    </row>
    <row r="121" spans="1:33" ht="43.5">
      <c r="A121" t="s">
        <v>271</v>
      </c>
      <c r="B121" s="4" t="s">
        <v>1107</v>
      </c>
      <c r="C121" s="4" t="s">
        <v>1110</v>
      </c>
      <c r="G121" s="10" t="s">
        <v>24</v>
      </c>
      <c r="H121" s="10"/>
      <c r="I121" s="10">
        <v>2</v>
      </c>
      <c r="J121" s="10">
        <v>7</v>
      </c>
      <c r="K121" s="10"/>
      <c r="L121" s="10" t="s">
        <v>2159</v>
      </c>
      <c r="M121" s="10"/>
      <c r="N121" s="11"/>
      <c r="O121" s="10"/>
      <c r="P121" s="10">
        <v>132</v>
      </c>
      <c r="Q121" s="10"/>
      <c r="R121" s="10" t="s">
        <v>2387</v>
      </c>
      <c r="S121" s="10" t="s">
        <v>2387</v>
      </c>
      <c r="T121" s="10"/>
      <c r="U121" s="10"/>
      <c r="V121" s="10"/>
      <c r="W121" s="10"/>
      <c r="X121" s="10"/>
      <c r="Y121" s="10"/>
      <c r="Z121" s="10"/>
      <c r="AA121" s="10"/>
      <c r="AB121" s="10"/>
      <c r="AC121" s="10"/>
      <c r="AD121" t="s">
        <v>19</v>
      </c>
      <c r="AE121" t="s">
        <v>20</v>
      </c>
      <c r="AG121">
        <v>1</v>
      </c>
    </row>
    <row r="122" spans="1:33">
      <c r="A122" t="s">
        <v>271</v>
      </c>
      <c r="B122" s="4" t="s">
        <v>1112</v>
      </c>
      <c r="C122" s="4" t="s">
        <v>1111</v>
      </c>
      <c r="G122" s="10" t="s">
        <v>24</v>
      </c>
      <c r="H122" s="10"/>
      <c r="I122" s="10">
        <v>1</v>
      </c>
      <c r="J122" s="10">
        <v>3</v>
      </c>
      <c r="K122" s="10" t="s">
        <v>2158</v>
      </c>
      <c r="L122" s="10" t="s">
        <v>2159</v>
      </c>
      <c r="M122" s="10"/>
      <c r="N122" s="11"/>
      <c r="O122" s="10"/>
      <c r="P122" s="10">
        <v>2475</v>
      </c>
      <c r="Q122" s="10"/>
      <c r="R122" s="10" t="s">
        <v>2387</v>
      </c>
      <c r="S122" s="10" t="s">
        <v>2387</v>
      </c>
      <c r="T122" s="10"/>
      <c r="U122" s="10"/>
      <c r="V122" s="10"/>
      <c r="W122" s="10"/>
      <c r="X122" s="10"/>
      <c r="Y122" s="10"/>
      <c r="Z122" s="10"/>
      <c r="AA122" s="10"/>
      <c r="AB122" s="10"/>
      <c r="AC122" s="10"/>
      <c r="AD122" t="s">
        <v>19</v>
      </c>
      <c r="AE122" t="s">
        <v>19</v>
      </c>
      <c r="AG122">
        <v>1</v>
      </c>
    </row>
    <row r="123" spans="1:33" ht="29">
      <c r="A123" t="s">
        <v>271</v>
      </c>
      <c r="B123" s="4" t="s">
        <v>1114</v>
      </c>
      <c r="C123" s="4" t="s">
        <v>1113</v>
      </c>
      <c r="G123" s="10" t="s">
        <v>24</v>
      </c>
      <c r="H123" s="10"/>
      <c r="I123" s="10">
        <v>1</v>
      </c>
      <c r="J123" s="10">
        <v>7</v>
      </c>
      <c r="K123" s="10" t="s">
        <v>2173</v>
      </c>
      <c r="L123" s="10" t="s">
        <v>2153</v>
      </c>
      <c r="M123" s="10" t="s">
        <v>2262</v>
      </c>
      <c r="N123" s="11" t="s">
        <v>2230</v>
      </c>
      <c r="O123" s="10"/>
      <c r="P123" s="10">
        <v>47</v>
      </c>
      <c r="Q123" s="10"/>
      <c r="R123" s="10" t="s">
        <v>2387</v>
      </c>
      <c r="S123" s="10" t="s">
        <v>2387</v>
      </c>
      <c r="T123" s="10"/>
      <c r="U123" s="10"/>
      <c r="V123" s="10"/>
      <c r="W123" s="10"/>
      <c r="X123" s="10"/>
      <c r="Y123" s="10"/>
      <c r="Z123" s="10"/>
      <c r="AA123" s="10"/>
      <c r="AB123" s="10"/>
      <c r="AC123" s="10" t="s">
        <v>19</v>
      </c>
      <c r="AD123" t="s">
        <v>19</v>
      </c>
      <c r="AE123" t="s">
        <v>20</v>
      </c>
      <c r="AG123">
        <v>1</v>
      </c>
    </row>
    <row r="124" spans="1:33">
      <c r="A124" t="s">
        <v>279</v>
      </c>
      <c r="B124" s="4" t="s">
        <v>1119</v>
      </c>
      <c r="C124" s="4" t="s">
        <v>1120</v>
      </c>
      <c r="G124" s="10" t="s">
        <v>2201</v>
      </c>
      <c r="H124" s="10"/>
      <c r="I124" s="10"/>
      <c r="J124" s="10"/>
      <c r="K124" s="10"/>
      <c r="L124" s="10"/>
      <c r="M124" s="10"/>
      <c r="N124" s="11"/>
      <c r="O124" s="10"/>
      <c r="P124" s="10"/>
      <c r="Q124" s="10"/>
      <c r="R124" s="10" t="s">
        <v>2387</v>
      </c>
      <c r="S124" s="10" t="s">
        <v>2387</v>
      </c>
      <c r="T124" s="10"/>
      <c r="U124" s="10"/>
      <c r="V124" s="10"/>
      <c r="W124" s="10"/>
      <c r="X124" s="10"/>
      <c r="Y124" s="10"/>
      <c r="Z124" s="10"/>
      <c r="AA124" s="10"/>
      <c r="AB124" s="10"/>
      <c r="AC124" s="10"/>
      <c r="AD124" t="s">
        <v>19</v>
      </c>
      <c r="AE124" t="s">
        <v>20</v>
      </c>
      <c r="AG124">
        <v>1</v>
      </c>
    </row>
    <row r="125" spans="1:33" ht="29">
      <c r="A125" t="s">
        <v>282</v>
      </c>
      <c r="B125" s="4" t="s">
        <v>1124</v>
      </c>
      <c r="C125" s="4" t="s">
        <v>1123</v>
      </c>
      <c r="G125" s="10" t="s">
        <v>2199</v>
      </c>
      <c r="H125" s="10"/>
      <c r="I125" s="10"/>
      <c r="J125" s="10"/>
      <c r="K125" s="10"/>
      <c r="L125" s="10"/>
      <c r="M125" s="10"/>
      <c r="N125" s="11"/>
      <c r="O125" s="10"/>
      <c r="P125" s="10"/>
      <c r="Q125" s="10">
        <v>-253</v>
      </c>
      <c r="R125" s="10">
        <v>280</v>
      </c>
      <c r="S125" s="10">
        <v>27</v>
      </c>
      <c r="T125" s="10"/>
      <c r="U125" s="10"/>
      <c r="V125" s="10"/>
      <c r="W125" s="10"/>
      <c r="X125" s="10"/>
      <c r="Y125" s="10"/>
      <c r="Z125" s="10"/>
      <c r="AA125" s="10"/>
      <c r="AB125" s="10"/>
      <c r="AC125" s="10"/>
      <c r="AD125" t="s">
        <v>19</v>
      </c>
      <c r="AE125" t="s">
        <v>19</v>
      </c>
      <c r="AG125">
        <v>1</v>
      </c>
    </row>
    <row r="126" spans="1:33" ht="29">
      <c r="A126" t="s">
        <v>285</v>
      </c>
      <c r="B126" s="4" t="s">
        <v>1126</v>
      </c>
      <c r="C126" s="4" t="s">
        <v>1125</v>
      </c>
      <c r="G126" s="10" t="s">
        <v>24</v>
      </c>
      <c r="H126" s="10"/>
      <c r="I126" s="10">
        <v>1</v>
      </c>
      <c r="J126" s="10">
        <v>2</v>
      </c>
      <c r="K126" s="10" t="s">
        <v>2175</v>
      </c>
      <c r="L126" s="10" t="s">
        <v>2200</v>
      </c>
      <c r="M126" s="10"/>
      <c r="N126" s="11"/>
      <c r="O126" s="10" t="s">
        <v>2154</v>
      </c>
      <c r="P126" s="10">
        <v>99</v>
      </c>
      <c r="Q126" s="10"/>
      <c r="R126" s="10" t="s">
        <v>2387</v>
      </c>
      <c r="S126" s="10" t="s">
        <v>2387</v>
      </c>
      <c r="T126" s="10"/>
      <c r="U126" s="10"/>
      <c r="V126" s="10"/>
      <c r="W126" s="10"/>
      <c r="X126" s="10"/>
      <c r="Y126" s="10"/>
      <c r="Z126" s="10"/>
      <c r="AA126" s="10"/>
      <c r="AB126" s="10"/>
      <c r="AC126" s="10"/>
      <c r="AD126" t="s">
        <v>19</v>
      </c>
      <c r="AE126" t="s">
        <v>19</v>
      </c>
      <c r="AG126">
        <v>1</v>
      </c>
    </row>
    <row r="127" spans="1:33">
      <c r="A127" t="s">
        <v>285</v>
      </c>
      <c r="B127" s="4" t="s">
        <v>286</v>
      </c>
      <c r="C127" s="4" t="s">
        <v>287</v>
      </c>
      <c r="G127" s="10" t="s">
        <v>2201</v>
      </c>
      <c r="H127" s="10"/>
      <c r="I127" s="10"/>
      <c r="J127" s="10"/>
      <c r="K127" s="10"/>
      <c r="L127" s="10"/>
      <c r="M127" s="10"/>
      <c r="N127" s="11"/>
      <c r="O127" s="10"/>
      <c r="P127" s="10"/>
      <c r="Q127" s="10"/>
      <c r="R127" s="10" t="s">
        <v>2387</v>
      </c>
      <c r="S127" s="10" t="s">
        <v>2387</v>
      </c>
      <c r="T127" s="10"/>
      <c r="U127" s="10"/>
      <c r="V127" s="10"/>
      <c r="W127" s="10"/>
      <c r="X127" s="10"/>
      <c r="Y127" s="10"/>
      <c r="Z127" s="10"/>
      <c r="AA127" s="10"/>
      <c r="AB127" s="10"/>
      <c r="AC127" s="10"/>
      <c r="AD127" t="s">
        <v>19</v>
      </c>
      <c r="AE127" t="s">
        <v>19</v>
      </c>
      <c r="AG127">
        <v>1</v>
      </c>
    </row>
    <row r="128" spans="1:33">
      <c r="A128" t="s">
        <v>285</v>
      </c>
      <c r="B128" s="4" t="s">
        <v>1127</v>
      </c>
      <c r="C128" s="4" t="s">
        <v>1128</v>
      </c>
      <c r="F128" t="s">
        <v>19</v>
      </c>
      <c r="G128" s="10" t="s">
        <v>25</v>
      </c>
      <c r="H128" s="10"/>
      <c r="I128" s="10">
        <v>1</v>
      </c>
      <c r="J128" s="10">
        <v>2</v>
      </c>
      <c r="K128" s="10" t="s">
        <v>2168</v>
      </c>
      <c r="L128" s="10" t="s">
        <v>2200</v>
      </c>
      <c r="M128" s="10"/>
      <c r="N128" s="11"/>
      <c r="O128" s="10" t="s">
        <v>2154</v>
      </c>
      <c r="P128" s="10">
        <v>129</v>
      </c>
      <c r="Q128" s="10"/>
      <c r="R128" s="10" t="s">
        <v>2387</v>
      </c>
      <c r="S128" s="10" t="s">
        <v>2387</v>
      </c>
      <c r="T128" s="10"/>
      <c r="U128" s="10"/>
      <c r="V128" s="10"/>
      <c r="W128" s="10"/>
      <c r="X128" s="10"/>
      <c r="Y128" s="10"/>
      <c r="Z128" s="10"/>
      <c r="AA128" s="10"/>
      <c r="AB128" s="10"/>
      <c r="AC128" s="10"/>
      <c r="AD128" t="s">
        <v>19</v>
      </c>
      <c r="AE128" t="s">
        <v>20</v>
      </c>
      <c r="AG128">
        <v>1</v>
      </c>
    </row>
    <row r="129" spans="1:33">
      <c r="A129" t="s">
        <v>288</v>
      </c>
      <c r="B129" s="4" t="s">
        <v>1129</v>
      </c>
      <c r="C129" s="4" t="s">
        <v>1130</v>
      </c>
      <c r="G129" s="10" t="s">
        <v>2201</v>
      </c>
      <c r="H129" s="10"/>
      <c r="I129" s="10"/>
      <c r="J129" s="10"/>
      <c r="K129" s="10"/>
      <c r="L129" s="10"/>
      <c r="M129" s="10"/>
      <c r="N129" s="11"/>
      <c r="O129" s="10"/>
      <c r="P129" s="10"/>
      <c r="Q129" s="10"/>
      <c r="R129" s="10" t="s">
        <v>2387</v>
      </c>
      <c r="S129" s="10" t="s">
        <v>2387</v>
      </c>
      <c r="T129" s="10"/>
      <c r="U129" s="10"/>
      <c r="V129" s="10"/>
      <c r="W129" s="10"/>
      <c r="X129" s="10"/>
      <c r="Y129" s="10"/>
      <c r="Z129" s="10"/>
      <c r="AA129" s="10"/>
      <c r="AB129" s="10"/>
      <c r="AC129" s="10"/>
      <c r="AD129" t="s">
        <v>19</v>
      </c>
      <c r="AE129" t="s">
        <v>19</v>
      </c>
      <c r="AG129">
        <v>1</v>
      </c>
    </row>
    <row r="130" spans="1:33">
      <c r="A130" t="s">
        <v>291</v>
      </c>
      <c r="B130" s="4" t="s">
        <v>1131</v>
      </c>
      <c r="C130" s="4" t="s">
        <v>1132</v>
      </c>
      <c r="G130" s="10" t="s">
        <v>2201</v>
      </c>
      <c r="H130" s="10"/>
      <c r="I130" s="10"/>
      <c r="J130" s="10"/>
      <c r="K130" s="10"/>
      <c r="L130" s="10"/>
      <c r="M130" s="10"/>
      <c r="N130" s="11"/>
      <c r="O130" s="10"/>
      <c r="P130" s="10"/>
      <c r="Q130" s="10"/>
      <c r="R130" s="10" t="s">
        <v>2387</v>
      </c>
      <c r="S130" s="10" t="s">
        <v>2387</v>
      </c>
      <c r="T130" s="10"/>
      <c r="U130" s="10"/>
      <c r="V130" s="10"/>
      <c r="W130" s="10"/>
      <c r="X130" s="10"/>
      <c r="Y130" s="10"/>
      <c r="Z130" s="10"/>
      <c r="AA130" s="10"/>
      <c r="AB130" s="10"/>
      <c r="AC130" s="10"/>
      <c r="AD130" t="s">
        <v>19</v>
      </c>
      <c r="AE130" t="s">
        <v>19</v>
      </c>
      <c r="AG130">
        <v>1</v>
      </c>
    </row>
    <row r="131" spans="1:33" ht="29">
      <c r="A131" t="s">
        <v>292</v>
      </c>
      <c r="B131" s="4" t="s">
        <v>1133</v>
      </c>
      <c r="C131" s="4" t="s">
        <v>1134</v>
      </c>
      <c r="G131" s="10" t="s">
        <v>2201</v>
      </c>
      <c r="H131" s="10"/>
      <c r="I131" s="10"/>
      <c r="J131" s="10"/>
      <c r="K131" s="10"/>
      <c r="L131" s="10"/>
      <c r="M131" s="10"/>
      <c r="N131" s="11"/>
      <c r="O131" s="10"/>
      <c r="P131" s="10"/>
      <c r="Q131" s="10"/>
      <c r="R131" s="10" t="s">
        <v>2387</v>
      </c>
      <c r="S131" s="10" t="s">
        <v>2387</v>
      </c>
      <c r="T131" s="10"/>
      <c r="U131" s="10"/>
      <c r="V131" s="10"/>
      <c r="W131" s="10"/>
      <c r="X131" s="10"/>
      <c r="Y131" s="10"/>
      <c r="Z131" s="10"/>
      <c r="AA131" s="10"/>
      <c r="AB131" s="10"/>
      <c r="AC131" s="10"/>
      <c r="AD131" t="s">
        <v>19</v>
      </c>
      <c r="AE131" t="s">
        <v>20</v>
      </c>
      <c r="AG131">
        <v>1</v>
      </c>
    </row>
    <row r="132" spans="1:33">
      <c r="A132" t="s">
        <v>292</v>
      </c>
      <c r="B132" s="4" t="s">
        <v>1135</v>
      </c>
      <c r="C132" s="4" t="s">
        <v>1136</v>
      </c>
      <c r="G132" s="10" t="s">
        <v>2199</v>
      </c>
      <c r="H132" s="10"/>
      <c r="I132" s="10"/>
      <c r="J132" s="10"/>
      <c r="K132" s="10"/>
      <c r="L132" s="10"/>
      <c r="M132" s="10"/>
      <c r="N132" s="11"/>
      <c r="O132" s="10"/>
      <c r="P132" s="10"/>
      <c r="Q132" s="10">
        <v>-431</v>
      </c>
      <c r="R132" s="10">
        <v>743</v>
      </c>
      <c r="S132" s="10">
        <v>312</v>
      </c>
      <c r="T132" s="10"/>
      <c r="U132" s="10"/>
      <c r="V132" s="10"/>
      <c r="W132" s="10"/>
      <c r="X132" s="10"/>
      <c r="Y132" s="10"/>
      <c r="Z132" s="10"/>
      <c r="AA132" s="10"/>
      <c r="AB132" s="10"/>
      <c r="AC132" s="10"/>
      <c r="AD132" t="s">
        <v>19</v>
      </c>
      <c r="AE132" t="s">
        <v>20</v>
      </c>
      <c r="AG132">
        <v>1</v>
      </c>
    </row>
    <row r="133" spans="1:33">
      <c r="A133" t="s">
        <v>292</v>
      </c>
      <c r="B133" s="4" t="s">
        <v>1137</v>
      </c>
      <c r="C133" s="4" t="s">
        <v>1138</v>
      </c>
      <c r="G133" s="10" t="s">
        <v>2201</v>
      </c>
      <c r="H133" s="10"/>
      <c r="I133" s="10"/>
      <c r="J133" s="10"/>
      <c r="K133" s="10"/>
      <c r="L133" s="10"/>
      <c r="M133" s="10"/>
      <c r="N133" s="11"/>
      <c r="O133" s="10"/>
      <c r="P133" s="10"/>
      <c r="Q133" s="10"/>
      <c r="R133" s="10" t="s">
        <v>2387</v>
      </c>
      <c r="S133" s="10" t="s">
        <v>2387</v>
      </c>
      <c r="T133" s="10"/>
      <c r="U133" s="10"/>
      <c r="V133" s="10"/>
      <c r="W133" s="10"/>
      <c r="X133" s="10"/>
      <c r="Y133" s="10"/>
      <c r="Z133" s="10"/>
      <c r="AA133" s="10"/>
      <c r="AB133" s="10"/>
      <c r="AC133" s="10"/>
      <c r="AD133" t="s">
        <v>19</v>
      </c>
      <c r="AE133" t="s">
        <v>20</v>
      </c>
      <c r="AG133">
        <v>1</v>
      </c>
    </row>
    <row r="134" spans="1:33">
      <c r="A134" t="s">
        <v>295</v>
      </c>
      <c r="B134" s="4" t="s">
        <v>296</v>
      </c>
      <c r="C134" s="4" t="s">
        <v>297</v>
      </c>
      <c r="F134" t="s">
        <v>22</v>
      </c>
      <c r="G134" s="10" t="s">
        <v>2201</v>
      </c>
      <c r="H134" s="10"/>
      <c r="I134" s="10"/>
      <c r="J134" s="10"/>
      <c r="K134" s="10"/>
      <c r="L134" s="10"/>
      <c r="M134" s="10"/>
      <c r="N134" s="11"/>
      <c r="O134" s="10"/>
      <c r="P134" s="10"/>
      <c r="Q134" s="10"/>
      <c r="R134" s="10" t="s">
        <v>2387</v>
      </c>
      <c r="S134" s="10" t="s">
        <v>2387</v>
      </c>
      <c r="T134" s="10"/>
      <c r="U134" s="10"/>
      <c r="V134" s="10"/>
      <c r="W134" s="10"/>
      <c r="X134" s="10"/>
      <c r="Y134" s="10"/>
      <c r="Z134" s="10"/>
      <c r="AA134" s="10"/>
      <c r="AB134" s="10"/>
      <c r="AC134" s="10"/>
      <c r="AD134" t="s">
        <v>20</v>
      </c>
      <c r="AE134" t="s">
        <v>20</v>
      </c>
      <c r="AG134">
        <v>0</v>
      </c>
    </row>
    <row r="135" spans="1:33" ht="29">
      <c r="A135" t="s">
        <v>300</v>
      </c>
      <c r="B135" s="4" t="s">
        <v>1141</v>
      </c>
      <c r="C135" s="4" t="s">
        <v>1140</v>
      </c>
      <c r="G135" s="10" t="s">
        <v>24</v>
      </c>
      <c r="H135" s="10"/>
      <c r="I135" s="10">
        <v>1</v>
      </c>
      <c r="J135" s="10">
        <v>3</v>
      </c>
      <c r="K135" s="10" t="s">
        <v>2168</v>
      </c>
      <c r="L135" s="10" t="s">
        <v>2159</v>
      </c>
      <c r="M135" s="10"/>
      <c r="N135" s="11"/>
      <c r="O135" s="10"/>
      <c r="P135" s="10">
        <v>1701</v>
      </c>
      <c r="Q135" s="10"/>
      <c r="R135" s="10" t="s">
        <v>2387</v>
      </c>
      <c r="S135" s="10" t="s">
        <v>2387</v>
      </c>
      <c r="T135" s="10"/>
      <c r="U135" s="10"/>
      <c r="V135" s="10"/>
      <c r="W135" s="10"/>
      <c r="X135" s="10"/>
      <c r="Y135" s="10"/>
      <c r="Z135" s="10"/>
      <c r="AA135" s="10"/>
      <c r="AB135" s="10"/>
      <c r="AC135" s="10"/>
      <c r="AD135" t="s">
        <v>19</v>
      </c>
      <c r="AE135" t="s">
        <v>19</v>
      </c>
      <c r="AG135">
        <v>1</v>
      </c>
    </row>
    <row r="136" spans="1:33">
      <c r="A136" t="s">
        <v>300</v>
      </c>
      <c r="B136" s="4" t="s">
        <v>1143</v>
      </c>
      <c r="C136" s="4" t="s">
        <v>1142</v>
      </c>
      <c r="G136" s="10" t="s">
        <v>25</v>
      </c>
      <c r="H136" s="10"/>
      <c r="I136" s="10">
        <v>1</v>
      </c>
      <c r="J136" s="10">
        <v>3</v>
      </c>
      <c r="K136" s="10" t="s">
        <v>2158</v>
      </c>
      <c r="L136" s="10" t="s">
        <v>2159</v>
      </c>
      <c r="M136" s="10"/>
      <c r="N136" s="11"/>
      <c r="O136" s="10"/>
      <c r="P136" s="10">
        <v>2475</v>
      </c>
      <c r="Q136" s="10"/>
      <c r="R136" s="10" t="s">
        <v>2387</v>
      </c>
      <c r="S136" s="10" t="s">
        <v>2387</v>
      </c>
      <c r="T136" s="10"/>
      <c r="U136" s="10"/>
      <c r="V136" s="10"/>
      <c r="W136" s="10"/>
      <c r="X136" s="10"/>
      <c r="Y136" s="10"/>
      <c r="Z136" s="10"/>
      <c r="AA136" s="10"/>
      <c r="AB136" s="10"/>
      <c r="AC136" s="10"/>
      <c r="AD136" t="s">
        <v>19</v>
      </c>
      <c r="AE136" t="s">
        <v>19</v>
      </c>
      <c r="AG136">
        <v>1</v>
      </c>
    </row>
    <row r="137" spans="1:33" ht="29">
      <c r="A137" t="s">
        <v>300</v>
      </c>
      <c r="B137" s="4" t="s">
        <v>1145</v>
      </c>
      <c r="C137" s="4" t="s">
        <v>1144</v>
      </c>
      <c r="G137" s="10" t="s">
        <v>2199</v>
      </c>
      <c r="H137" s="10"/>
      <c r="I137" s="10"/>
      <c r="J137" s="10"/>
      <c r="K137" s="10"/>
      <c r="L137" s="10"/>
      <c r="M137" s="10"/>
      <c r="N137" s="11"/>
      <c r="O137" s="10"/>
      <c r="P137" s="10"/>
      <c r="Q137" s="10">
        <v>52</v>
      </c>
      <c r="R137" s="10">
        <v>7</v>
      </c>
      <c r="S137" s="10">
        <v>59</v>
      </c>
      <c r="T137" s="10"/>
      <c r="U137" s="10"/>
      <c r="V137" s="10"/>
      <c r="W137" s="10"/>
      <c r="X137" s="10"/>
      <c r="Y137" s="10"/>
      <c r="Z137" s="10"/>
      <c r="AA137" s="10"/>
      <c r="AB137" s="10"/>
      <c r="AC137" s="10"/>
      <c r="AD137" t="s">
        <v>19</v>
      </c>
      <c r="AE137" t="s">
        <v>19</v>
      </c>
      <c r="AG137">
        <v>1</v>
      </c>
    </row>
    <row r="138" spans="1:33">
      <c r="A138" t="s">
        <v>300</v>
      </c>
      <c r="B138" s="4" t="s">
        <v>305</v>
      </c>
      <c r="C138" s="6" t="s">
        <v>306</v>
      </c>
      <c r="D138" t="s">
        <v>32</v>
      </c>
      <c r="G138" s="10" t="s">
        <v>2199</v>
      </c>
      <c r="H138" s="10"/>
      <c r="I138" s="10"/>
      <c r="J138" s="10"/>
      <c r="K138" s="10"/>
      <c r="L138" s="10"/>
      <c r="M138" s="10"/>
      <c r="N138" s="11"/>
      <c r="O138" s="10"/>
      <c r="P138" s="10"/>
      <c r="Q138" s="10">
        <v>37</v>
      </c>
      <c r="R138" s="10">
        <v>2</v>
      </c>
      <c r="S138" s="10">
        <v>39</v>
      </c>
      <c r="T138" s="10"/>
      <c r="U138" s="10"/>
      <c r="V138" s="10"/>
      <c r="W138" s="10"/>
      <c r="X138" s="10"/>
      <c r="Y138" s="10"/>
      <c r="Z138" s="10"/>
      <c r="AA138" s="10"/>
      <c r="AB138" s="10"/>
      <c r="AC138" s="10"/>
      <c r="AD138" t="s">
        <v>19</v>
      </c>
      <c r="AE138" t="s">
        <v>19</v>
      </c>
      <c r="AG138">
        <v>1</v>
      </c>
    </row>
    <row r="139" spans="1:33">
      <c r="A139" t="s">
        <v>300</v>
      </c>
      <c r="B139" s="4" t="s">
        <v>309</v>
      </c>
      <c r="C139" s="4" t="s">
        <v>310</v>
      </c>
      <c r="G139" s="10" t="s">
        <v>2201</v>
      </c>
      <c r="H139" s="10"/>
      <c r="I139" s="10"/>
      <c r="J139" s="10"/>
      <c r="K139" s="10"/>
      <c r="L139" s="10"/>
      <c r="M139" s="10"/>
      <c r="N139" s="11"/>
      <c r="O139" s="10"/>
      <c r="P139" s="10"/>
      <c r="Q139" s="10"/>
      <c r="R139" s="10" t="s">
        <v>2387</v>
      </c>
      <c r="S139" s="10" t="s">
        <v>2387</v>
      </c>
      <c r="T139" s="10"/>
      <c r="U139" s="10"/>
      <c r="V139" s="10"/>
      <c r="W139" s="10"/>
      <c r="X139" s="10"/>
      <c r="Y139" s="10"/>
      <c r="Z139" s="10"/>
      <c r="AA139" s="10"/>
      <c r="AB139" s="10"/>
      <c r="AC139" s="10"/>
      <c r="AD139" t="s">
        <v>19</v>
      </c>
      <c r="AE139" t="s">
        <v>20</v>
      </c>
      <c r="AG139">
        <v>1</v>
      </c>
    </row>
    <row r="140" spans="1:33">
      <c r="A140" t="s">
        <v>300</v>
      </c>
      <c r="B140" s="4" t="s">
        <v>1148</v>
      </c>
      <c r="C140" s="4" t="s">
        <v>1147</v>
      </c>
      <c r="G140" s="10" t="s">
        <v>24</v>
      </c>
      <c r="H140" s="10"/>
      <c r="I140" s="10">
        <v>1</v>
      </c>
      <c r="J140" s="10">
        <v>2</v>
      </c>
      <c r="K140" s="10" t="s">
        <v>2164</v>
      </c>
      <c r="L140" s="10" t="s">
        <v>2200</v>
      </c>
      <c r="M140" s="10"/>
      <c r="N140" s="11"/>
      <c r="O140" s="10"/>
      <c r="P140" s="10">
        <v>129</v>
      </c>
      <c r="Q140" s="10"/>
      <c r="R140" s="10" t="s">
        <v>2387</v>
      </c>
      <c r="S140" s="10" t="s">
        <v>2387</v>
      </c>
      <c r="T140" s="10"/>
      <c r="U140" s="10"/>
      <c r="V140" s="10"/>
      <c r="W140" s="10"/>
      <c r="X140" s="10"/>
      <c r="Y140" s="10"/>
      <c r="Z140" s="10"/>
      <c r="AA140" s="10"/>
      <c r="AB140" s="10"/>
      <c r="AC140" s="10"/>
      <c r="AD140" t="s">
        <v>19</v>
      </c>
      <c r="AE140" t="s">
        <v>19</v>
      </c>
      <c r="AG140">
        <v>1</v>
      </c>
    </row>
    <row r="141" spans="1:33">
      <c r="A141" t="s">
        <v>311</v>
      </c>
      <c r="B141" s="4" t="s">
        <v>1150</v>
      </c>
      <c r="C141" s="4" t="s">
        <v>1149</v>
      </c>
      <c r="G141" s="10" t="s">
        <v>25</v>
      </c>
      <c r="H141" s="10"/>
      <c r="I141" s="10">
        <v>1</v>
      </c>
      <c r="J141" s="10">
        <v>3</v>
      </c>
      <c r="K141" s="10" t="s">
        <v>2158</v>
      </c>
      <c r="L141" s="10" t="s">
        <v>2159</v>
      </c>
      <c r="M141" s="10"/>
      <c r="N141" s="11"/>
      <c r="O141" s="10"/>
      <c r="P141" s="10">
        <v>2475</v>
      </c>
      <c r="Q141" s="10"/>
      <c r="R141" s="10" t="s">
        <v>2387</v>
      </c>
      <c r="S141" s="10" t="s">
        <v>2387</v>
      </c>
      <c r="T141" s="10"/>
      <c r="U141" s="10"/>
      <c r="V141" s="10"/>
      <c r="W141" s="10"/>
      <c r="X141" s="10"/>
      <c r="Y141" s="10"/>
      <c r="Z141" s="10"/>
      <c r="AA141" s="10"/>
      <c r="AB141" s="10"/>
      <c r="AC141" s="10"/>
      <c r="AD141" t="s">
        <v>19</v>
      </c>
      <c r="AE141" t="s">
        <v>19</v>
      </c>
      <c r="AG141">
        <v>1</v>
      </c>
    </row>
    <row r="142" spans="1:33">
      <c r="A142" t="s">
        <v>312</v>
      </c>
      <c r="B142" s="4" t="s">
        <v>313</v>
      </c>
      <c r="C142" s="4" t="s">
        <v>314</v>
      </c>
      <c r="F142" t="s">
        <v>19</v>
      </c>
      <c r="G142" s="10" t="s">
        <v>2201</v>
      </c>
      <c r="H142" s="10"/>
      <c r="I142" s="10"/>
      <c r="J142" s="10"/>
      <c r="K142" s="10"/>
      <c r="L142" s="10"/>
      <c r="M142" s="10"/>
      <c r="N142" s="11"/>
      <c r="O142" s="10"/>
      <c r="P142" s="10"/>
      <c r="Q142" s="10"/>
      <c r="R142" s="10" t="s">
        <v>2387</v>
      </c>
      <c r="S142" s="10" t="s">
        <v>2387</v>
      </c>
      <c r="T142" s="10"/>
      <c r="U142" s="10"/>
      <c r="V142" s="10"/>
      <c r="W142" s="10"/>
      <c r="X142" s="10"/>
      <c r="Y142" s="10"/>
      <c r="Z142" s="10"/>
      <c r="AA142" s="10"/>
      <c r="AB142" s="10"/>
      <c r="AC142" s="10"/>
      <c r="AD142" t="s">
        <v>19</v>
      </c>
      <c r="AE142" t="s">
        <v>20</v>
      </c>
      <c r="AG142">
        <v>1</v>
      </c>
    </row>
    <row r="143" spans="1:33">
      <c r="A143" t="s">
        <v>316</v>
      </c>
      <c r="B143" s="4" t="s">
        <v>1154</v>
      </c>
      <c r="C143" s="4" t="s">
        <v>1155</v>
      </c>
      <c r="G143" s="10" t="s">
        <v>2199</v>
      </c>
      <c r="H143" s="10"/>
      <c r="I143" s="10"/>
      <c r="J143" s="10"/>
      <c r="K143" s="10"/>
      <c r="L143" s="10"/>
      <c r="M143" s="10"/>
      <c r="N143" s="11"/>
      <c r="O143" s="10"/>
      <c r="P143" s="10"/>
      <c r="Q143" s="10">
        <v>-431</v>
      </c>
      <c r="R143" s="10">
        <v>743</v>
      </c>
      <c r="S143" s="10">
        <v>312</v>
      </c>
      <c r="T143" s="10"/>
      <c r="U143" s="10"/>
      <c r="V143" s="10"/>
      <c r="W143" s="10"/>
      <c r="X143" s="10"/>
      <c r="Y143" s="10"/>
      <c r="Z143" s="10"/>
      <c r="AA143" s="10"/>
      <c r="AB143" s="10"/>
      <c r="AC143" s="10"/>
      <c r="AD143" t="s">
        <v>19</v>
      </c>
      <c r="AE143" t="s">
        <v>19</v>
      </c>
      <c r="AG143">
        <v>1</v>
      </c>
    </row>
    <row r="144" spans="1:33" ht="29">
      <c r="A144" t="s">
        <v>316</v>
      </c>
      <c r="B144" s="4" t="s">
        <v>1157</v>
      </c>
      <c r="C144" s="4" t="s">
        <v>1156</v>
      </c>
      <c r="G144" s="10" t="s">
        <v>25</v>
      </c>
      <c r="H144" s="10"/>
      <c r="I144" s="10">
        <v>2</v>
      </c>
      <c r="J144" s="10">
        <v>4</v>
      </c>
      <c r="K144" s="10"/>
      <c r="L144" s="10" t="s">
        <v>2159</v>
      </c>
      <c r="M144" s="10"/>
      <c r="N144" s="11"/>
      <c r="O144" s="10"/>
      <c r="P144" s="10">
        <v>124</v>
      </c>
      <c r="Q144" s="10"/>
      <c r="R144" s="10" t="s">
        <v>2387</v>
      </c>
      <c r="S144" s="10" t="s">
        <v>2387</v>
      </c>
      <c r="T144" s="10"/>
      <c r="U144" s="10"/>
      <c r="V144" s="10"/>
      <c r="W144" s="10"/>
      <c r="X144" s="10"/>
      <c r="Y144" s="10"/>
      <c r="Z144" s="10"/>
      <c r="AA144" s="10"/>
      <c r="AB144" s="10"/>
      <c r="AC144" s="10"/>
      <c r="AD144" t="s">
        <v>19</v>
      </c>
      <c r="AE144" t="s">
        <v>20</v>
      </c>
      <c r="AG144">
        <v>1</v>
      </c>
    </row>
    <row r="145" spans="1:33" ht="29">
      <c r="A145" t="s">
        <v>316</v>
      </c>
      <c r="B145" s="4" t="s">
        <v>1158</v>
      </c>
      <c r="C145" s="4" t="s">
        <v>1159</v>
      </c>
      <c r="G145" s="10" t="s">
        <v>2201</v>
      </c>
      <c r="H145" s="10"/>
      <c r="I145" s="10"/>
      <c r="J145" s="10"/>
      <c r="K145" s="10"/>
      <c r="L145" s="10"/>
      <c r="M145" s="10"/>
      <c r="N145" s="11"/>
      <c r="O145" s="10"/>
      <c r="P145" s="10"/>
      <c r="Q145" s="10"/>
      <c r="R145" s="10" t="s">
        <v>2387</v>
      </c>
      <c r="S145" s="10" t="s">
        <v>2387</v>
      </c>
      <c r="T145" s="10"/>
      <c r="U145" s="10"/>
      <c r="V145" s="10"/>
      <c r="W145" s="10"/>
      <c r="X145" s="10"/>
      <c r="Y145" s="10"/>
      <c r="Z145" s="10"/>
      <c r="AA145" s="10"/>
      <c r="AB145" s="10"/>
      <c r="AC145" s="10"/>
      <c r="AD145" t="s">
        <v>19</v>
      </c>
      <c r="AE145" t="s">
        <v>19</v>
      </c>
      <c r="AG145">
        <v>1</v>
      </c>
    </row>
    <row r="146" spans="1:33">
      <c r="A146" t="s">
        <v>318</v>
      </c>
      <c r="B146" s="4" t="s">
        <v>1160</v>
      </c>
      <c r="C146" s="4" t="s">
        <v>1161</v>
      </c>
      <c r="F146" t="s">
        <v>19</v>
      </c>
      <c r="G146" s="10" t="s">
        <v>2199</v>
      </c>
      <c r="H146" s="10"/>
      <c r="I146" s="10"/>
      <c r="J146" s="10"/>
      <c r="K146" s="10"/>
      <c r="L146" s="10"/>
      <c r="M146" s="10"/>
      <c r="N146" s="11"/>
      <c r="O146" s="10"/>
      <c r="P146" s="10"/>
      <c r="Q146" s="10">
        <v>2</v>
      </c>
      <c r="R146" s="10">
        <v>1</v>
      </c>
      <c r="S146" s="10">
        <v>3</v>
      </c>
      <c r="T146" s="10"/>
      <c r="U146" s="10"/>
      <c r="V146" s="10"/>
      <c r="W146" s="10"/>
      <c r="X146" s="10"/>
      <c r="Y146" s="10"/>
      <c r="Z146" s="10"/>
      <c r="AA146" s="10"/>
      <c r="AB146" s="10"/>
      <c r="AC146" s="10"/>
      <c r="AD146" t="s">
        <v>19</v>
      </c>
      <c r="AE146" t="s">
        <v>20</v>
      </c>
      <c r="AG146">
        <v>1</v>
      </c>
    </row>
    <row r="147" spans="1:33" ht="29">
      <c r="A147" t="s">
        <v>327</v>
      </c>
      <c r="B147" s="4" t="s">
        <v>1163</v>
      </c>
      <c r="C147" s="4" t="s">
        <v>1162</v>
      </c>
      <c r="G147" s="10" t="s">
        <v>24</v>
      </c>
      <c r="H147" s="10"/>
      <c r="I147" s="10">
        <v>1</v>
      </c>
      <c r="J147" s="10">
        <v>3</v>
      </c>
      <c r="K147" s="10" t="s">
        <v>2158</v>
      </c>
      <c r="L147" s="10" t="s">
        <v>2159</v>
      </c>
      <c r="M147" s="10"/>
      <c r="N147" s="11"/>
      <c r="O147" s="10"/>
      <c r="P147" s="10">
        <v>2475</v>
      </c>
      <c r="Q147" s="10"/>
      <c r="R147" s="10" t="s">
        <v>2387</v>
      </c>
      <c r="S147" s="10" t="s">
        <v>2387</v>
      </c>
      <c r="T147" s="10"/>
      <c r="U147" s="10"/>
      <c r="V147" s="10"/>
      <c r="W147" s="10"/>
      <c r="X147" s="10"/>
      <c r="Y147" s="10"/>
      <c r="Z147" s="10"/>
      <c r="AA147" s="10"/>
      <c r="AB147" s="10"/>
      <c r="AC147" s="10"/>
      <c r="AD147" t="s">
        <v>19</v>
      </c>
      <c r="AE147" t="s">
        <v>19</v>
      </c>
      <c r="AG147">
        <v>1</v>
      </c>
    </row>
    <row r="148" spans="1:33">
      <c r="A148" t="s">
        <v>327</v>
      </c>
      <c r="B148" s="4" t="s">
        <v>1164</v>
      </c>
      <c r="C148" s="4" t="s">
        <v>1165</v>
      </c>
      <c r="G148" s="10" t="s">
        <v>2201</v>
      </c>
      <c r="H148" s="10"/>
      <c r="I148" s="10"/>
      <c r="J148" s="10"/>
      <c r="K148" s="10"/>
      <c r="L148" s="10"/>
      <c r="M148" s="10"/>
      <c r="N148" s="11"/>
      <c r="O148" s="10"/>
      <c r="P148" s="10"/>
      <c r="Q148" s="10"/>
      <c r="R148" s="10" t="s">
        <v>2387</v>
      </c>
      <c r="S148" s="10" t="s">
        <v>2387</v>
      </c>
      <c r="T148" s="10"/>
      <c r="U148" s="10"/>
      <c r="V148" s="10"/>
      <c r="W148" s="10"/>
      <c r="X148" s="10"/>
      <c r="Y148" s="10"/>
      <c r="Z148" s="10"/>
      <c r="AA148" s="10"/>
      <c r="AB148" s="10"/>
      <c r="AC148" s="10"/>
      <c r="AD148" t="s">
        <v>19</v>
      </c>
      <c r="AE148" t="s">
        <v>19</v>
      </c>
      <c r="AG148">
        <v>1</v>
      </c>
    </row>
    <row r="149" spans="1:33" ht="43.5">
      <c r="A149" t="s">
        <v>328</v>
      </c>
      <c r="B149" s="4" t="s">
        <v>1169</v>
      </c>
      <c r="C149" s="4" t="s">
        <v>1168</v>
      </c>
      <c r="G149" s="10" t="s">
        <v>2201</v>
      </c>
      <c r="H149" s="10"/>
      <c r="I149" s="10"/>
      <c r="J149" s="10"/>
      <c r="K149" s="10"/>
      <c r="L149" s="10"/>
      <c r="M149" s="10"/>
      <c r="N149" s="11"/>
      <c r="O149" s="10"/>
      <c r="P149" s="10"/>
      <c r="Q149" s="10"/>
      <c r="R149" s="10" t="s">
        <v>2387</v>
      </c>
      <c r="S149" s="10" t="s">
        <v>2387</v>
      </c>
      <c r="T149" s="10"/>
      <c r="U149" s="10"/>
      <c r="V149" s="10"/>
      <c r="W149" s="10"/>
      <c r="X149" s="10"/>
      <c r="Y149" s="10"/>
      <c r="Z149" s="10"/>
      <c r="AA149" s="10"/>
      <c r="AB149" s="10"/>
      <c r="AC149" s="10"/>
      <c r="AD149" t="s">
        <v>19</v>
      </c>
      <c r="AE149" t="s">
        <v>19</v>
      </c>
      <c r="AG149">
        <v>1</v>
      </c>
    </row>
    <row r="150" spans="1:33">
      <c r="A150" t="s">
        <v>332</v>
      </c>
      <c r="B150" s="4" t="s">
        <v>1173</v>
      </c>
      <c r="C150" s="4" t="s">
        <v>1172</v>
      </c>
      <c r="G150" s="10" t="s">
        <v>25</v>
      </c>
      <c r="H150" s="10"/>
      <c r="I150" s="10">
        <v>1</v>
      </c>
      <c r="J150" s="10">
        <v>3</v>
      </c>
      <c r="K150" s="10" t="s">
        <v>2168</v>
      </c>
      <c r="L150" s="10" t="s">
        <v>2159</v>
      </c>
      <c r="M150" s="10"/>
      <c r="N150" s="11"/>
      <c r="O150" s="10"/>
      <c r="P150" s="10">
        <v>1701</v>
      </c>
      <c r="Q150" s="10"/>
      <c r="R150" s="10" t="s">
        <v>2387</v>
      </c>
      <c r="S150" s="10" t="s">
        <v>2387</v>
      </c>
      <c r="T150" s="10"/>
      <c r="U150" s="10"/>
      <c r="V150" s="10"/>
      <c r="W150" s="10"/>
      <c r="X150" s="10"/>
      <c r="Y150" s="10"/>
      <c r="Z150" s="10"/>
      <c r="AA150" s="10"/>
      <c r="AB150" s="10"/>
      <c r="AC150" s="10"/>
      <c r="AD150" t="s">
        <v>19</v>
      </c>
      <c r="AE150" t="s">
        <v>19</v>
      </c>
      <c r="AG150">
        <v>1</v>
      </c>
    </row>
    <row r="151" spans="1:33" ht="29">
      <c r="A151" t="s">
        <v>333</v>
      </c>
      <c r="B151" s="4" t="s">
        <v>1175</v>
      </c>
      <c r="C151" s="4" t="s">
        <v>1174</v>
      </c>
      <c r="G151" s="10" t="s">
        <v>24</v>
      </c>
      <c r="H151" s="10"/>
      <c r="I151" s="10">
        <v>1</v>
      </c>
      <c r="J151" s="10">
        <v>3</v>
      </c>
      <c r="K151" s="10" t="s">
        <v>2168</v>
      </c>
      <c r="L151" s="10" t="s">
        <v>2159</v>
      </c>
      <c r="M151" s="10"/>
      <c r="N151" s="11"/>
      <c r="O151" s="10"/>
      <c r="P151" s="10">
        <v>1701</v>
      </c>
      <c r="Q151" s="10"/>
      <c r="R151" s="10" t="s">
        <v>2387</v>
      </c>
      <c r="S151" s="10" t="s">
        <v>2387</v>
      </c>
      <c r="T151" s="10"/>
      <c r="U151" s="10"/>
      <c r="V151" s="10"/>
      <c r="W151" s="10"/>
      <c r="X151" s="10"/>
      <c r="Y151" s="10"/>
      <c r="Z151" s="10"/>
      <c r="AA151" s="10"/>
      <c r="AB151" s="10"/>
      <c r="AC151" s="10"/>
      <c r="AD151" t="s">
        <v>19</v>
      </c>
      <c r="AE151" t="s">
        <v>19</v>
      </c>
      <c r="AG151">
        <v>1</v>
      </c>
    </row>
    <row r="152" spans="1:33">
      <c r="A152" t="s">
        <v>334</v>
      </c>
      <c r="B152" s="4" t="s">
        <v>1177</v>
      </c>
      <c r="C152" s="4" t="s">
        <v>1176</v>
      </c>
      <c r="G152" s="10" t="s">
        <v>24</v>
      </c>
      <c r="H152" s="10"/>
      <c r="I152" s="10">
        <v>1</v>
      </c>
      <c r="J152" s="10">
        <v>2</v>
      </c>
      <c r="K152" s="10" t="s">
        <v>2168</v>
      </c>
      <c r="L152" s="10" t="s">
        <v>2200</v>
      </c>
      <c r="M152" s="10"/>
      <c r="N152" s="11"/>
      <c r="O152" s="10"/>
      <c r="P152" s="10">
        <v>171</v>
      </c>
      <c r="Q152" s="10"/>
      <c r="R152" s="10" t="s">
        <v>2387</v>
      </c>
      <c r="S152" s="10" t="s">
        <v>2387</v>
      </c>
      <c r="T152" s="10"/>
      <c r="U152" s="10"/>
      <c r="V152" s="10"/>
      <c r="W152" s="10"/>
      <c r="X152" s="10"/>
      <c r="Y152" s="10"/>
      <c r="Z152" s="10"/>
      <c r="AA152" s="10"/>
      <c r="AB152" s="10"/>
      <c r="AC152" s="10"/>
      <c r="AD152" t="s">
        <v>19</v>
      </c>
      <c r="AE152" t="s">
        <v>19</v>
      </c>
      <c r="AG152">
        <v>1</v>
      </c>
    </row>
    <row r="153" spans="1:33">
      <c r="A153" t="s">
        <v>334</v>
      </c>
      <c r="B153" s="4" t="s">
        <v>1179</v>
      </c>
      <c r="C153" s="4" t="s">
        <v>1178</v>
      </c>
      <c r="G153" s="10" t="s">
        <v>25</v>
      </c>
      <c r="H153" s="10"/>
      <c r="I153" s="10">
        <v>1</v>
      </c>
      <c r="J153" s="10">
        <v>1</v>
      </c>
      <c r="K153" s="10" t="s">
        <v>2158</v>
      </c>
      <c r="L153" s="10" t="s">
        <v>2200</v>
      </c>
      <c r="M153" s="10"/>
      <c r="N153" s="11"/>
      <c r="O153" s="10"/>
      <c r="P153" s="10">
        <v>2475</v>
      </c>
      <c r="Q153" s="10"/>
      <c r="R153" s="10" t="s">
        <v>2387</v>
      </c>
      <c r="S153" s="10" t="s">
        <v>2387</v>
      </c>
      <c r="T153" s="10"/>
      <c r="U153" s="10"/>
      <c r="V153" s="10"/>
      <c r="W153" s="10"/>
      <c r="X153" s="10"/>
      <c r="Y153" s="10"/>
      <c r="Z153" s="10"/>
      <c r="AA153" s="10"/>
      <c r="AB153" s="10"/>
      <c r="AC153" s="10"/>
      <c r="AD153" t="s">
        <v>19</v>
      </c>
      <c r="AE153" t="s">
        <v>19</v>
      </c>
      <c r="AG153">
        <v>1</v>
      </c>
    </row>
    <row r="154" spans="1:33">
      <c r="A154" t="s">
        <v>335</v>
      </c>
      <c r="B154" s="4" t="s">
        <v>1181</v>
      </c>
      <c r="C154" s="4" t="s">
        <v>1180</v>
      </c>
      <c r="G154" s="10" t="s">
        <v>25</v>
      </c>
      <c r="H154" s="10"/>
      <c r="I154" s="10">
        <v>1</v>
      </c>
      <c r="J154" s="10">
        <v>2</v>
      </c>
      <c r="K154" s="10" t="s">
        <v>2177</v>
      </c>
      <c r="L154" s="10" t="s">
        <v>2200</v>
      </c>
      <c r="M154" s="10"/>
      <c r="N154" s="11"/>
      <c r="O154" s="10"/>
      <c r="P154" s="10">
        <v>613</v>
      </c>
      <c r="Q154" s="10"/>
      <c r="R154" s="10" t="s">
        <v>2387</v>
      </c>
      <c r="S154" s="10" t="s">
        <v>2387</v>
      </c>
      <c r="T154" s="10"/>
      <c r="U154" s="10"/>
      <c r="V154" s="10"/>
      <c r="W154" s="10"/>
      <c r="X154" s="10"/>
      <c r="Y154" s="10"/>
      <c r="Z154" s="10"/>
      <c r="AA154" s="10"/>
      <c r="AB154" s="10"/>
      <c r="AC154" s="10"/>
      <c r="AD154" t="s">
        <v>19</v>
      </c>
      <c r="AE154" t="s">
        <v>19</v>
      </c>
      <c r="AG154">
        <v>1</v>
      </c>
    </row>
    <row r="155" spans="1:33" ht="29">
      <c r="A155" t="s">
        <v>336</v>
      </c>
      <c r="B155" s="4" t="s">
        <v>1183</v>
      </c>
      <c r="C155" s="4" t="s">
        <v>1182</v>
      </c>
      <c r="G155" s="10" t="s">
        <v>2199</v>
      </c>
      <c r="H155" s="10"/>
      <c r="I155" s="10"/>
      <c r="J155" s="10"/>
      <c r="K155" s="10"/>
      <c r="L155" s="10"/>
      <c r="M155" s="10"/>
      <c r="N155" s="11"/>
      <c r="O155" s="10"/>
      <c r="P155" s="10"/>
      <c r="Q155" s="10">
        <v>-1530</v>
      </c>
      <c r="R155" s="10">
        <v>1701</v>
      </c>
      <c r="S155" s="10">
        <v>171</v>
      </c>
      <c r="T155" s="10"/>
      <c r="U155" s="10"/>
      <c r="V155" s="10"/>
      <c r="W155" s="10"/>
      <c r="X155" s="10"/>
      <c r="Y155" s="10"/>
      <c r="Z155" s="10"/>
      <c r="AA155" s="10"/>
      <c r="AB155" s="10"/>
      <c r="AC155" s="10"/>
      <c r="AD155" t="s">
        <v>19</v>
      </c>
      <c r="AE155" t="s">
        <v>20</v>
      </c>
      <c r="AG155">
        <v>1</v>
      </c>
    </row>
    <row r="156" spans="1:33">
      <c r="A156" t="s">
        <v>336</v>
      </c>
      <c r="B156" s="4" t="s">
        <v>1185</v>
      </c>
      <c r="C156" s="4" t="s">
        <v>1184</v>
      </c>
      <c r="G156" s="10" t="s">
        <v>2201</v>
      </c>
      <c r="H156" s="10"/>
      <c r="I156" s="10"/>
      <c r="J156" s="10"/>
      <c r="K156" s="10"/>
      <c r="L156" s="10"/>
      <c r="M156" s="10"/>
      <c r="N156" s="11"/>
      <c r="O156" s="10"/>
      <c r="P156" s="10"/>
      <c r="Q156" s="10"/>
      <c r="R156" s="10" t="s">
        <v>2387</v>
      </c>
      <c r="S156" s="10" t="s">
        <v>2387</v>
      </c>
      <c r="T156" s="10"/>
      <c r="U156" s="10"/>
      <c r="V156" s="10"/>
      <c r="W156" s="10"/>
      <c r="X156" s="10"/>
      <c r="Y156" s="10"/>
      <c r="Z156" s="10"/>
      <c r="AA156" s="10"/>
      <c r="AB156" s="10"/>
      <c r="AC156" s="10"/>
      <c r="AD156" t="s">
        <v>19</v>
      </c>
      <c r="AE156" t="s">
        <v>19</v>
      </c>
      <c r="AG156">
        <v>1</v>
      </c>
    </row>
    <row r="157" spans="1:33">
      <c r="A157" t="s">
        <v>336</v>
      </c>
      <c r="B157" s="4" t="s">
        <v>1187</v>
      </c>
      <c r="C157" s="4" t="s">
        <v>1186</v>
      </c>
      <c r="G157" s="10" t="s">
        <v>2201</v>
      </c>
      <c r="H157" s="10"/>
      <c r="I157" s="10"/>
      <c r="J157" s="10"/>
      <c r="K157" s="10"/>
      <c r="L157" s="10"/>
      <c r="M157" s="10"/>
      <c r="N157" s="11"/>
      <c r="O157" s="10"/>
      <c r="P157" s="10"/>
      <c r="Q157" s="10"/>
      <c r="R157" s="10" t="s">
        <v>2387</v>
      </c>
      <c r="S157" s="10" t="s">
        <v>2387</v>
      </c>
      <c r="T157" s="10"/>
      <c r="U157" s="10"/>
      <c r="V157" s="10"/>
      <c r="W157" s="10"/>
      <c r="X157" s="10"/>
      <c r="Y157" s="10"/>
      <c r="Z157" s="10"/>
      <c r="AA157" s="10"/>
      <c r="AB157" s="10"/>
      <c r="AC157" s="10"/>
      <c r="AD157" t="s">
        <v>19</v>
      </c>
      <c r="AE157" t="s">
        <v>19</v>
      </c>
      <c r="AG157">
        <v>1</v>
      </c>
    </row>
    <row r="158" spans="1:33">
      <c r="A158" t="s">
        <v>339</v>
      </c>
      <c r="B158" s="4" t="s">
        <v>1189</v>
      </c>
      <c r="C158" s="4" t="s">
        <v>1188</v>
      </c>
      <c r="G158" s="10" t="s">
        <v>2201</v>
      </c>
      <c r="H158" s="10"/>
      <c r="I158" s="10"/>
      <c r="J158" s="10"/>
      <c r="K158" s="10"/>
      <c r="L158" s="10"/>
      <c r="M158" s="10"/>
      <c r="N158" s="11"/>
      <c r="O158" s="10"/>
      <c r="P158" s="10"/>
      <c r="Q158" s="10"/>
      <c r="R158" s="10" t="s">
        <v>2387</v>
      </c>
      <c r="S158" s="10" t="s">
        <v>2387</v>
      </c>
      <c r="T158" s="10"/>
      <c r="U158" s="10"/>
      <c r="V158" s="10"/>
      <c r="W158" s="10"/>
      <c r="X158" s="10"/>
      <c r="Y158" s="10"/>
      <c r="Z158" s="10"/>
      <c r="AA158" s="10"/>
      <c r="AB158" s="10"/>
      <c r="AC158" s="10"/>
      <c r="AD158" t="s">
        <v>19</v>
      </c>
      <c r="AE158" t="s">
        <v>20</v>
      </c>
      <c r="AG158">
        <v>1</v>
      </c>
    </row>
    <row r="159" spans="1:33">
      <c r="A159" t="s">
        <v>342</v>
      </c>
      <c r="B159" s="4" t="s">
        <v>1191</v>
      </c>
      <c r="C159" s="4" t="s">
        <v>1190</v>
      </c>
      <c r="G159" s="10" t="s">
        <v>25</v>
      </c>
      <c r="H159" s="10"/>
      <c r="I159" s="10">
        <v>1</v>
      </c>
      <c r="J159" s="10">
        <v>2</v>
      </c>
      <c r="K159" s="10" t="s">
        <v>2158</v>
      </c>
      <c r="L159" s="10" t="s">
        <v>2200</v>
      </c>
      <c r="M159" s="10"/>
      <c r="N159" s="11"/>
      <c r="O159" s="10"/>
      <c r="P159" s="10">
        <v>2475</v>
      </c>
      <c r="Q159" s="10"/>
      <c r="R159" s="10" t="s">
        <v>2387</v>
      </c>
      <c r="S159" s="10" t="s">
        <v>2387</v>
      </c>
      <c r="T159" s="10"/>
      <c r="U159" s="10"/>
      <c r="V159" s="10"/>
      <c r="W159" s="10"/>
      <c r="X159" s="10"/>
      <c r="Y159" s="10"/>
      <c r="Z159" s="10"/>
      <c r="AA159" s="10"/>
      <c r="AB159" s="10"/>
      <c r="AC159" s="10"/>
      <c r="AD159" t="s">
        <v>19</v>
      </c>
      <c r="AE159" t="s">
        <v>19</v>
      </c>
      <c r="AG159">
        <v>1</v>
      </c>
    </row>
    <row r="160" spans="1:33" ht="29">
      <c r="A160" t="s">
        <v>342</v>
      </c>
      <c r="B160" s="4" t="s">
        <v>1193</v>
      </c>
      <c r="C160" s="4" t="s">
        <v>1192</v>
      </c>
      <c r="G160" s="10" t="s">
        <v>25</v>
      </c>
      <c r="H160" s="10"/>
      <c r="I160" s="10">
        <v>1</v>
      </c>
      <c r="J160" s="10">
        <v>3</v>
      </c>
      <c r="K160" s="10" t="s">
        <v>2168</v>
      </c>
      <c r="L160" s="10" t="s">
        <v>2159</v>
      </c>
      <c r="M160" s="10"/>
      <c r="N160" s="11"/>
      <c r="O160" s="10"/>
      <c r="P160" s="10">
        <v>1701</v>
      </c>
      <c r="Q160" s="10"/>
      <c r="R160" s="10" t="s">
        <v>2387</v>
      </c>
      <c r="S160" s="10" t="s">
        <v>2387</v>
      </c>
      <c r="T160" s="10"/>
      <c r="U160" s="10"/>
      <c r="V160" s="10"/>
      <c r="W160" s="10"/>
      <c r="X160" s="10"/>
      <c r="Y160" s="10"/>
      <c r="Z160" s="10"/>
      <c r="AA160" s="10"/>
      <c r="AB160" s="10"/>
      <c r="AC160" s="10"/>
      <c r="AD160" t="s">
        <v>19</v>
      </c>
      <c r="AE160" t="s">
        <v>19</v>
      </c>
      <c r="AG160">
        <v>1</v>
      </c>
    </row>
    <row r="161" spans="1:33">
      <c r="A161" t="s">
        <v>343</v>
      </c>
      <c r="B161" s="4" t="s">
        <v>1199</v>
      </c>
      <c r="C161" s="4" t="s">
        <v>1198</v>
      </c>
      <c r="G161" s="10" t="s">
        <v>2201</v>
      </c>
      <c r="H161" s="10"/>
      <c r="I161" s="10"/>
      <c r="J161" s="10"/>
      <c r="K161" s="10"/>
      <c r="L161" s="10"/>
      <c r="M161" s="10"/>
      <c r="N161" s="11"/>
      <c r="O161" s="10"/>
      <c r="P161" s="10"/>
      <c r="Q161" s="10"/>
      <c r="R161" s="10" t="s">
        <v>2387</v>
      </c>
      <c r="S161" s="10" t="s">
        <v>2387</v>
      </c>
      <c r="T161" s="10"/>
      <c r="U161" s="10"/>
      <c r="V161" s="10"/>
      <c r="W161" s="10"/>
      <c r="X161" s="10"/>
      <c r="Y161" s="10"/>
      <c r="Z161" s="10"/>
      <c r="AA161" s="10"/>
      <c r="AB161" s="10"/>
      <c r="AC161" s="10"/>
      <c r="AD161" t="s">
        <v>19</v>
      </c>
      <c r="AE161" t="s">
        <v>20</v>
      </c>
      <c r="AG161">
        <v>1</v>
      </c>
    </row>
    <row r="162" spans="1:33" ht="29">
      <c r="A162" t="s">
        <v>344</v>
      </c>
      <c r="B162" s="4" t="s">
        <v>1201</v>
      </c>
      <c r="C162" s="4" t="s">
        <v>1200</v>
      </c>
      <c r="G162" s="10" t="s">
        <v>2199</v>
      </c>
      <c r="H162" s="10"/>
      <c r="I162" s="10"/>
      <c r="J162" s="10"/>
      <c r="K162" s="10"/>
      <c r="L162" s="10"/>
      <c r="M162" s="10"/>
      <c r="N162" s="11"/>
      <c r="O162" s="10"/>
      <c r="P162" s="10"/>
      <c r="Q162" s="10">
        <v>4</v>
      </c>
      <c r="R162" s="10">
        <v>1</v>
      </c>
      <c r="S162" s="10">
        <v>5</v>
      </c>
      <c r="T162" s="10"/>
      <c r="U162" s="10"/>
      <c r="V162" s="10"/>
      <c r="W162" s="10"/>
      <c r="X162" s="10"/>
      <c r="Y162" s="10"/>
      <c r="Z162" s="10"/>
      <c r="AA162" s="10"/>
      <c r="AB162" s="10"/>
      <c r="AC162" s="10"/>
      <c r="AD162" t="s">
        <v>19</v>
      </c>
      <c r="AE162" t="s">
        <v>19</v>
      </c>
      <c r="AG162">
        <v>1</v>
      </c>
    </row>
    <row r="163" spans="1:33" ht="29">
      <c r="A163" t="s">
        <v>344</v>
      </c>
      <c r="B163" s="4" t="s">
        <v>1203</v>
      </c>
      <c r="C163" s="4" t="s">
        <v>1202</v>
      </c>
      <c r="G163" s="10" t="s">
        <v>24</v>
      </c>
      <c r="H163" s="10"/>
      <c r="I163" s="10">
        <v>1</v>
      </c>
      <c r="J163" s="10">
        <v>3</v>
      </c>
      <c r="K163" s="10" t="s">
        <v>2168</v>
      </c>
      <c r="L163" s="10" t="s">
        <v>2159</v>
      </c>
      <c r="M163" s="10"/>
      <c r="N163" s="11"/>
      <c r="O163" s="10"/>
      <c r="P163" s="10">
        <v>1701</v>
      </c>
      <c r="Q163" s="10"/>
      <c r="R163" s="10" t="s">
        <v>2387</v>
      </c>
      <c r="S163" s="10" t="s">
        <v>2387</v>
      </c>
      <c r="T163" s="10"/>
      <c r="U163" s="10"/>
      <c r="V163" s="10"/>
      <c r="W163" s="10"/>
      <c r="X163" s="10"/>
      <c r="Y163" s="10"/>
      <c r="Z163" s="10"/>
      <c r="AA163" s="10"/>
      <c r="AB163" s="10"/>
      <c r="AC163" s="10"/>
      <c r="AD163" t="s">
        <v>19</v>
      </c>
      <c r="AE163" t="s">
        <v>19</v>
      </c>
      <c r="AG163">
        <v>1</v>
      </c>
    </row>
    <row r="164" spans="1:33">
      <c r="A164" t="s">
        <v>350</v>
      </c>
      <c r="B164" s="4" t="s">
        <v>1208</v>
      </c>
      <c r="C164" s="4" t="s">
        <v>1207</v>
      </c>
      <c r="G164" s="10" t="s">
        <v>25</v>
      </c>
      <c r="H164" s="10"/>
      <c r="I164" s="10">
        <v>1</v>
      </c>
      <c r="J164" s="10">
        <v>3</v>
      </c>
      <c r="K164" s="10" t="s">
        <v>2158</v>
      </c>
      <c r="L164" s="10" t="s">
        <v>2159</v>
      </c>
      <c r="M164" s="10"/>
      <c r="N164" s="11"/>
      <c r="O164" s="10"/>
      <c r="P164" s="10">
        <v>2475</v>
      </c>
      <c r="Q164" s="10"/>
      <c r="R164" s="10" t="s">
        <v>2387</v>
      </c>
      <c r="S164" s="10" t="s">
        <v>2387</v>
      </c>
      <c r="T164" s="10"/>
      <c r="U164" s="10"/>
      <c r="V164" s="10"/>
      <c r="W164" s="10"/>
      <c r="X164" s="10"/>
      <c r="Y164" s="10"/>
      <c r="Z164" s="10"/>
      <c r="AA164" s="10"/>
      <c r="AB164" s="10"/>
      <c r="AC164" s="10"/>
      <c r="AD164" t="s">
        <v>19</v>
      </c>
      <c r="AE164" t="s">
        <v>20</v>
      </c>
      <c r="AG164">
        <v>1</v>
      </c>
    </row>
    <row r="165" spans="1:33" ht="43.5">
      <c r="A165" t="s">
        <v>352</v>
      </c>
      <c r="B165" s="4" t="s">
        <v>1209</v>
      </c>
      <c r="C165" s="4" t="s">
        <v>1210</v>
      </c>
      <c r="G165" s="10" t="s">
        <v>25</v>
      </c>
      <c r="H165" s="10"/>
      <c r="I165" s="10">
        <v>1</v>
      </c>
      <c r="J165" s="10">
        <v>3</v>
      </c>
      <c r="K165" s="10" t="s">
        <v>2173</v>
      </c>
      <c r="L165" s="10" t="s">
        <v>2159</v>
      </c>
      <c r="M165" s="10"/>
      <c r="N165" s="11"/>
      <c r="O165" s="10"/>
      <c r="P165" s="10">
        <v>52</v>
      </c>
      <c r="Q165" s="10"/>
      <c r="R165" s="10" t="s">
        <v>2387</v>
      </c>
      <c r="S165" s="10" t="s">
        <v>2387</v>
      </c>
      <c r="T165" s="10"/>
      <c r="U165" s="10"/>
      <c r="V165" s="10"/>
      <c r="W165" s="10"/>
      <c r="X165" s="10"/>
      <c r="Y165" s="10"/>
      <c r="Z165" s="10"/>
      <c r="AA165" s="10"/>
      <c r="AB165" s="10"/>
      <c r="AC165" s="10"/>
      <c r="AD165" t="s">
        <v>19</v>
      </c>
      <c r="AE165" t="s">
        <v>19</v>
      </c>
      <c r="AG165">
        <v>1</v>
      </c>
    </row>
    <row r="166" spans="1:33">
      <c r="A166" t="s">
        <v>356</v>
      </c>
      <c r="B166" s="4" t="s">
        <v>1212</v>
      </c>
      <c r="C166" s="4" t="s">
        <v>1211</v>
      </c>
      <c r="G166" s="10" t="s">
        <v>24</v>
      </c>
      <c r="H166" s="10"/>
      <c r="I166" s="10">
        <v>1</v>
      </c>
      <c r="J166" s="10">
        <v>3</v>
      </c>
      <c r="K166" s="10" t="s">
        <v>2175</v>
      </c>
      <c r="L166" s="10" t="s">
        <v>2159</v>
      </c>
      <c r="M166" s="10"/>
      <c r="N166" s="11"/>
      <c r="O166" s="10"/>
      <c r="P166" s="10">
        <v>743</v>
      </c>
      <c r="Q166" s="10"/>
      <c r="R166" s="10" t="s">
        <v>2387</v>
      </c>
      <c r="S166" s="10" t="s">
        <v>2387</v>
      </c>
      <c r="T166" s="10"/>
      <c r="U166" s="10"/>
      <c r="V166" s="10"/>
      <c r="W166" s="10"/>
      <c r="X166" s="10"/>
      <c r="Y166" s="10"/>
      <c r="Z166" s="10"/>
      <c r="AA166" s="10"/>
      <c r="AB166" s="10"/>
      <c r="AC166" s="10"/>
      <c r="AD166" t="s">
        <v>19</v>
      </c>
      <c r="AE166" t="s">
        <v>19</v>
      </c>
      <c r="AG166">
        <v>1</v>
      </c>
    </row>
    <row r="167" spans="1:33">
      <c r="A167" t="s">
        <v>356</v>
      </c>
      <c r="B167" s="4" t="s">
        <v>1213</v>
      </c>
      <c r="C167" s="4" t="s">
        <v>1214</v>
      </c>
      <c r="G167" s="10" t="s">
        <v>25</v>
      </c>
      <c r="H167" s="10"/>
      <c r="I167" s="10">
        <v>1</v>
      </c>
      <c r="J167" s="10">
        <v>1</v>
      </c>
      <c r="K167" s="10" t="s">
        <v>2158</v>
      </c>
      <c r="L167" s="10" t="s">
        <v>2200</v>
      </c>
      <c r="M167" s="10"/>
      <c r="N167" s="11"/>
      <c r="O167" s="10"/>
      <c r="P167" s="10">
        <v>2475</v>
      </c>
      <c r="Q167" s="10"/>
      <c r="R167" s="10" t="s">
        <v>2387</v>
      </c>
      <c r="S167" s="10" t="s">
        <v>2387</v>
      </c>
      <c r="T167" s="10"/>
      <c r="U167" s="10"/>
      <c r="V167" s="10"/>
      <c r="W167" s="10"/>
      <c r="X167" s="10"/>
      <c r="Y167" s="10"/>
      <c r="Z167" s="10"/>
      <c r="AA167" s="10"/>
      <c r="AB167" s="10"/>
      <c r="AC167" s="10"/>
      <c r="AD167" t="s">
        <v>19</v>
      </c>
      <c r="AE167" t="s">
        <v>20</v>
      </c>
      <c r="AG167">
        <v>1</v>
      </c>
    </row>
    <row r="168" spans="1:33">
      <c r="A168" t="s">
        <v>356</v>
      </c>
      <c r="B168" s="4" t="s">
        <v>1216</v>
      </c>
      <c r="C168" s="4" t="s">
        <v>1215</v>
      </c>
      <c r="G168" s="10" t="s">
        <v>2201</v>
      </c>
      <c r="H168" s="10"/>
      <c r="I168" s="10"/>
      <c r="J168" s="10"/>
      <c r="K168" s="10"/>
      <c r="L168" s="10"/>
      <c r="M168" s="10"/>
      <c r="N168" s="11"/>
      <c r="O168" s="10"/>
      <c r="P168" s="10"/>
      <c r="Q168" s="10"/>
      <c r="R168" s="10" t="s">
        <v>2387</v>
      </c>
      <c r="S168" s="10" t="s">
        <v>2387</v>
      </c>
      <c r="T168" s="10"/>
      <c r="U168" s="10"/>
      <c r="V168" s="10"/>
      <c r="W168" s="10"/>
      <c r="X168" s="10"/>
      <c r="Y168" s="10"/>
      <c r="Z168" s="10"/>
      <c r="AA168" s="10"/>
      <c r="AB168" s="10"/>
      <c r="AC168" s="10"/>
      <c r="AD168" t="s">
        <v>19</v>
      </c>
      <c r="AE168" t="s">
        <v>19</v>
      </c>
      <c r="AG168">
        <v>1</v>
      </c>
    </row>
    <row r="169" spans="1:33">
      <c r="A169" t="s">
        <v>356</v>
      </c>
      <c r="B169" s="4" t="s">
        <v>1217</v>
      </c>
      <c r="C169" s="4" t="s">
        <v>1218</v>
      </c>
      <c r="G169" s="10" t="s">
        <v>25</v>
      </c>
      <c r="H169" s="10"/>
      <c r="I169" s="10">
        <v>1</v>
      </c>
      <c r="J169" s="10">
        <v>2</v>
      </c>
      <c r="K169" s="10" t="s">
        <v>2158</v>
      </c>
      <c r="L169" s="10" t="s">
        <v>2200</v>
      </c>
      <c r="M169" s="10"/>
      <c r="N169" s="11"/>
      <c r="O169" s="10"/>
      <c r="P169" s="10">
        <v>2475</v>
      </c>
      <c r="Q169" s="10"/>
      <c r="R169" s="10" t="s">
        <v>2387</v>
      </c>
      <c r="S169" s="10" t="s">
        <v>2387</v>
      </c>
      <c r="T169" s="10"/>
      <c r="U169" s="10"/>
      <c r="V169" s="10"/>
      <c r="W169" s="10"/>
      <c r="X169" s="10"/>
      <c r="Y169" s="10"/>
      <c r="Z169" s="10"/>
      <c r="AA169" s="10"/>
      <c r="AB169" s="10"/>
      <c r="AC169" s="10"/>
      <c r="AD169" t="s">
        <v>19</v>
      </c>
      <c r="AE169" t="s">
        <v>19</v>
      </c>
      <c r="AG169">
        <v>1</v>
      </c>
    </row>
    <row r="170" spans="1:33">
      <c r="A170" t="s">
        <v>356</v>
      </c>
      <c r="B170" s="4" t="s">
        <v>1220</v>
      </c>
      <c r="C170" s="4" t="s">
        <v>1219</v>
      </c>
      <c r="G170" s="10" t="s">
        <v>2201</v>
      </c>
      <c r="H170" s="10"/>
      <c r="I170" s="10"/>
      <c r="J170" s="10"/>
      <c r="K170" s="10"/>
      <c r="L170" s="10"/>
      <c r="M170" s="10"/>
      <c r="N170" s="11"/>
      <c r="O170" s="10"/>
      <c r="P170" s="10"/>
      <c r="Q170" s="10"/>
      <c r="R170" s="10" t="s">
        <v>2387</v>
      </c>
      <c r="S170" s="10" t="s">
        <v>2387</v>
      </c>
      <c r="T170" s="10"/>
      <c r="U170" s="10"/>
      <c r="V170" s="10"/>
      <c r="W170" s="10"/>
      <c r="X170" s="10"/>
      <c r="Y170" s="10"/>
      <c r="Z170" s="10"/>
      <c r="AA170" s="10"/>
      <c r="AB170" s="10"/>
      <c r="AC170" s="10"/>
      <c r="AD170" t="s">
        <v>19</v>
      </c>
      <c r="AE170" t="s">
        <v>19</v>
      </c>
      <c r="AG170">
        <v>1</v>
      </c>
    </row>
    <row r="171" spans="1:33">
      <c r="A171" t="s">
        <v>356</v>
      </c>
      <c r="B171" s="4" t="s">
        <v>1222</v>
      </c>
      <c r="C171" s="4" t="s">
        <v>1221</v>
      </c>
      <c r="G171" s="10" t="s">
        <v>2199</v>
      </c>
      <c r="H171" s="10"/>
      <c r="I171" s="10"/>
      <c r="J171" s="10"/>
      <c r="K171" s="10"/>
      <c r="L171" s="10"/>
      <c r="M171" s="10"/>
      <c r="N171" s="11"/>
      <c r="O171" s="10"/>
      <c r="P171" s="10"/>
      <c r="Q171" s="10">
        <v>-1664</v>
      </c>
      <c r="R171" s="10">
        <v>1701</v>
      </c>
      <c r="S171" s="10">
        <v>37</v>
      </c>
      <c r="T171" s="10"/>
      <c r="U171" s="10"/>
      <c r="V171" s="10"/>
      <c r="W171" s="10"/>
      <c r="X171" s="10"/>
      <c r="Y171" s="10"/>
      <c r="Z171" s="10"/>
      <c r="AA171" s="10"/>
      <c r="AB171" s="10"/>
      <c r="AC171" s="10"/>
      <c r="AD171" t="s">
        <v>19</v>
      </c>
      <c r="AE171" t="s">
        <v>19</v>
      </c>
      <c r="AG171">
        <v>1</v>
      </c>
    </row>
    <row r="172" spans="1:33">
      <c r="A172" t="s">
        <v>357</v>
      </c>
      <c r="B172" s="4" t="s">
        <v>1224</v>
      </c>
      <c r="C172" s="4" t="s">
        <v>1223</v>
      </c>
      <c r="G172" s="10" t="s">
        <v>25</v>
      </c>
      <c r="H172" s="10"/>
      <c r="I172" s="10">
        <v>1</v>
      </c>
      <c r="J172" s="10">
        <v>3</v>
      </c>
      <c r="K172" s="10" t="s">
        <v>2175</v>
      </c>
      <c r="L172" s="10" t="s">
        <v>2159</v>
      </c>
      <c r="M172" s="10"/>
      <c r="N172" s="11"/>
      <c r="O172" s="10"/>
      <c r="P172" s="10">
        <v>743</v>
      </c>
      <c r="Q172" s="10"/>
      <c r="R172" s="10" t="s">
        <v>2387</v>
      </c>
      <c r="S172" s="10" t="s">
        <v>2387</v>
      </c>
      <c r="T172" s="10"/>
      <c r="U172" s="10"/>
      <c r="V172" s="10"/>
      <c r="W172" s="10"/>
      <c r="X172" s="10"/>
      <c r="Y172" s="10"/>
      <c r="Z172" s="10"/>
      <c r="AA172" s="10"/>
      <c r="AB172" s="10"/>
      <c r="AC172" s="10"/>
      <c r="AD172" t="s">
        <v>19</v>
      </c>
      <c r="AE172" t="s">
        <v>19</v>
      </c>
      <c r="AG172">
        <v>1</v>
      </c>
    </row>
    <row r="173" spans="1:33">
      <c r="A173" t="s">
        <v>358</v>
      </c>
      <c r="B173" s="4" t="s">
        <v>1226</v>
      </c>
      <c r="C173" s="4" t="s">
        <v>1225</v>
      </c>
      <c r="G173" s="10" t="s">
        <v>25</v>
      </c>
      <c r="H173" s="10"/>
      <c r="I173" s="10">
        <v>1</v>
      </c>
      <c r="J173" s="10">
        <v>3</v>
      </c>
      <c r="K173" s="10" t="s">
        <v>2175</v>
      </c>
      <c r="L173" s="10" t="s">
        <v>2159</v>
      </c>
      <c r="M173" s="10"/>
      <c r="N173" s="11"/>
      <c r="O173" s="10"/>
      <c r="P173" s="10">
        <v>743</v>
      </c>
      <c r="Q173" s="10"/>
      <c r="R173" s="10" t="s">
        <v>2387</v>
      </c>
      <c r="S173" s="10" t="s">
        <v>2387</v>
      </c>
      <c r="T173" s="10"/>
      <c r="U173" s="10"/>
      <c r="V173" s="10"/>
      <c r="W173" s="10"/>
      <c r="X173" s="10"/>
      <c r="Y173" s="10"/>
      <c r="Z173" s="10"/>
      <c r="AA173" s="10"/>
      <c r="AB173" s="10"/>
      <c r="AC173" s="10"/>
      <c r="AD173" t="s">
        <v>19</v>
      </c>
      <c r="AE173" t="s">
        <v>19</v>
      </c>
      <c r="AG173">
        <v>1</v>
      </c>
    </row>
    <row r="174" spans="1:33">
      <c r="A174" t="s">
        <v>359</v>
      </c>
      <c r="B174" s="4" t="s">
        <v>1227</v>
      </c>
      <c r="C174" s="4" t="s">
        <v>361</v>
      </c>
      <c r="G174" s="10" t="s">
        <v>2199</v>
      </c>
      <c r="H174" s="10"/>
      <c r="I174" s="10"/>
      <c r="J174" s="10"/>
      <c r="K174" s="10"/>
      <c r="L174" s="10"/>
      <c r="M174" s="10"/>
      <c r="N174" s="11"/>
      <c r="O174" s="10"/>
      <c r="P174" s="10"/>
      <c r="Q174" s="10">
        <v>-1</v>
      </c>
      <c r="R174" s="10">
        <v>2</v>
      </c>
      <c r="S174" s="10">
        <v>1</v>
      </c>
      <c r="T174" s="10"/>
      <c r="U174" s="10"/>
      <c r="V174" s="10"/>
      <c r="W174" s="10"/>
      <c r="X174" s="10"/>
      <c r="Y174" s="10"/>
      <c r="Z174" s="10"/>
      <c r="AA174" s="10"/>
      <c r="AB174" s="10"/>
      <c r="AC174" s="10"/>
      <c r="AD174" t="s">
        <v>19</v>
      </c>
      <c r="AE174" t="s">
        <v>20</v>
      </c>
      <c r="AG174">
        <v>1</v>
      </c>
    </row>
    <row r="175" spans="1:33" ht="29">
      <c r="A175" t="s">
        <v>362</v>
      </c>
      <c r="B175" s="4" t="s">
        <v>1228</v>
      </c>
      <c r="C175" s="4" t="s">
        <v>2266</v>
      </c>
      <c r="G175" s="10" t="s">
        <v>24</v>
      </c>
      <c r="H175" s="10"/>
      <c r="I175" s="10">
        <v>1</v>
      </c>
      <c r="J175" s="10">
        <v>2</v>
      </c>
      <c r="K175" s="10" t="s">
        <v>2158</v>
      </c>
      <c r="L175" s="10" t="s">
        <v>2200</v>
      </c>
      <c r="M175" s="10"/>
      <c r="N175" s="11"/>
      <c r="O175" s="10"/>
      <c r="P175" s="10">
        <v>2475</v>
      </c>
      <c r="Q175" s="10"/>
      <c r="R175" s="10" t="s">
        <v>2387</v>
      </c>
      <c r="S175" s="10" t="s">
        <v>2387</v>
      </c>
      <c r="T175" s="10"/>
      <c r="U175" s="10"/>
      <c r="V175" s="10"/>
      <c r="W175" s="10"/>
      <c r="X175" s="10"/>
      <c r="Y175" s="10"/>
      <c r="Z175" s="10"/>
      <c r="AA175" s="10"/>
      <c r="AB175" s="10"/>
      <c r="AC175" s="10"/>
      <c r="AD175" t="s">
        <v>19</v>
      </c>
      <c r="AE175" t="s">
        <v>19</v>
      </c>
      <c r="AG175">
        <v>1</v>
      </c>
    </row>
    <row r="176" spans="1:33" ht="43.5">
      <c r="A176" t="s">
        <v>363</v>
      </c>
      <c r="B176" s="4" t="s">
        <v>1230</v>
      </c>
      <c r="C176" s="4" t="s">
        <v>1229</v>
      </c>
      <c r="G176" s="10" t="s">
        <v>26</v>
      </c>
      <c r="H176" s="10"/>
      <c r="I176" s="10"/>
      <c r="J176" s="10"/>
      <c r="K176" s="10"/>
      <c r="L176" s="10"/>
      <c r="M176" s="10"/>
      <c r="N176" s="11"/>
      <c r="O176" s="10"/>
      <c r="P176" s="10"/>
      <c r="Q176" s="10"/>
      <c r="R176" s="10" t="s">
        <v>2387</v>
      </c>
      <c r="S176" s="10" t="s">
        <v>2387</v>
      </c>
      <c r="T176" s="10"/>
      <c r="U176" s="10"/>
      <c r="V176" s="10"/>
      <c r="W176" s="10"/>
      <c r="X176" s="10"/>
      <c r="Y176" s="10"/>
      <c r="Z176" s="10"/>
      <c r="AA176" s="10"/>
      <c r="AB176" s="10"/>
      <c r="AC176" s="10"/>
      <c r="AD176" t="s">
        <v>19</v>
      </c>
      <c r="AE176" t="s">
        <v>19</v>
      </c>
      <c r="AG176">
        <v>1</v>
      </c>
    </row>
    <row r="177" spans="1:33">
      <c r="A177" t="s">
        <v>364</v>
      </c>
      <c r="B177" s="4" t="s">
        <v>1232</v>
      </c>
      <c r="C177" s="4" t="s">
        <v>1231</v>
      </c>
      <c r="G177" s="10" t="s">
        <v>2199</v>
      </c>
      <c r="H177" s="10"/>
      <c r="I177" s="10"/>
      <c r="J177" s="10"/>
      <c r="K177" s="10"/>
      <c r="L177" s="10"/>
      <c r="M177" s="10"/>
      <c r="N177" s="11"/>
      <c r="O177" s="10"/>
      <c r="P177" s="10"/>
      <c r="Q177" s="10">
        <v>-2195</v>
      </c>
      <c r="R177" s="10">
        <v>2475</v>
      </c>
      <c r="S177" s="10">
        <v>280</v>
      </c>
      <c r="T177" s="10"/>
      <c r="U177" s="10"/>
      <c r="V177" s="10"/>
      <c r="W177" s="10"/>
      <c r="X177" s="10"/>
      <c r="Y177" s="10"/>
      <c r="Z177" s="10"/>
      <c r="AA177" s="10"/>
      <c r="AB177" s="10"/>
      <c r="AC177" s="10"/>
      <c r="AD177" t="s">
        <v>19</v>
      </c>
      <c r="AE177" t="s">
        <v>20</v>
      </c>
      <c r="AG177">
        <v>1</v>
      </c>
    </row>
    <row r="178" spans="1:33">
      <c r="A178" t="s">
        <v>364</v>
      </c>
      <c r="B178" s="4" t="s">
        <v>1233</v>
      </c>
      <c r="C178" s="4" t="s">
        <v>1234</v>
      </c>
      <c r="F178" t="s">
        <v>19</v>
      </c>
      <c r="G178" s="10" t="s">
        <v>24</v>
      </c>
      <c r="H178" s="10"/>
      <c r="I178" s="10">
        <v>1</v>
      </c>
      <c r="J178" s="10">
        <v>5</v>
      </c>
      <c r="K178" s="10" t="s">
        <v>2175</v>
      </c>
      <c r="L178" s="10" t="s">
        <v>2159</v>
      </c>
      <c r="M178" s="10"/>
      <c r="N178" s="11"/>
      <c r="O178" s="10"/>
      <c r="P178" s="10">
        <v>830</v>
      </c>
      <c r="Q178" s="10"/>
      <c r="R178" s="10" t="s">
        <v>2387</v>
      </c>
      <c r="S178" s="10" t="s">
        <v>2387</v>
      </c>
      <c r="T178" s="10"/>
      <c r="U178" s="10"/>
      <c r="V178" s="10"/>
      <c r="W178" s="10"/>
      <c r="X178" s="10"/>
      <c r="Y178" s="10"/>
      <c r="Z178" s="10"/>
      <c r="AA178" s="10"/>
      <c r="AB178" s="10"/>
      <c r="AC178" s="10"/>
      <c r="AD178" t="s">
        <v>20</v>
      </c>
      <c r="AE178" t="s">
        <v>20</v>
      </c>
      <c r="AG178">
        <v>0</v>
      </c>
    </row>
    <row r="179" spans="1:33">
      <c r="A179" t="s">
        <v>365</v>
      </c>
      <c r="B179" s="4" t="s">
        <v>368</v>
      </c>
      <c r="C179" s="4" t="s">
        <v>369</v>
      </c>
      <c r="G179" s="10" t="s">
        <v>2201</v>
      </c>
      <c r="H179" s="10"/>
      <c r="I179" s="10"/>
      <c r="J179" s="10"/>
      <c r="K179" s="10"/>
      <c r="L179" s="10"/>
      <c r="M179" s="10"/>
      <c r="N179" s="11"/>
      <c r="O179" s="10"/>
      <c r="P179" s="10"/>
      <c r="Q179" s="10"/>
      <c r="R179" s="10" t="s">
        <v>2387</v>
      </c>
      <c r="S179" s="10" t="s">
        <v>2387</v>
      </c>
      <c r="T179" s="10"/>
      <c r="U179" s="10"/>
      <c r="V179" s="10"/>
      <c r="W179" s="10"/>
      <c r="X179" s="10"/>
      <c r="Y179" s="10"/>
      <c r="Z179" s="10"/>
      <c r="AA179" s="10"/>
      <c r="AB179" s="10"/>
      <c r="AC179" s="10"/>
      <c r="AD179" t="s">
        <v>19</v>
      </c>
      <c r="AE179" t="s">
        <v>19</v>
      </c>
      <c r="AG179">
        <v>1</v>
      </c>
    </row>
    <row r="180" spans="1:33">
      <c r="A180" t="s">
        <v>365</v>
      </c>
      <c r="B180" s="4" t="s">
        <v>1236</v>
      </c>
      <c r="C180" s="4" t="s">
        <v>1235</v>
      </c>
      <c r="G180" s="10" t="s">
        <v>2199</v>
      </c>
      <c r="H180" s="10"/>
      <c r="I180" s="10"/>
      <c r="J180" s="10"/>
      <c r="K180" s="10"/>
      <c r="L180" s="10"/>
      <c r="M180" s="10"/>
      <c r="N180" s="11"/>
      <c r="O180" s="10"/>
      <c r="P180" s="10"/>
      <c r="Q180" s="10">
        <v>26</v>
      </c>
      <c r="R180" s="10">
        <v>79</v>
      </c>
      <c r="S180" s="10">
        <v>105</v>
      </c>
      <c r="T180" s="10"/>
      <c r="U180" s="10"/>
      <c r="V180" s="10"/>
      <c r="W180" s="10"/>
      <c r="X180" s="10"/>
      <c r="Y180" s="10"/>
      <c r="Z180" s="10"/>
      <c r="AA180" s="10"/>
      <c r="AB180" s="10"/>
      <c r="AC180" s="10"/>
      <c r="AD180" t="s">
        <v>19</v>
      </c>
      <c r="AE180" t="s">
        <v>19</v>
      </c>
      <c r="AG180">
        <v>1</v>
      </c>
    </row>
    <row r="181" spans="1:33">
      <c r="A181" t="s">
        <v>365</v>
      </c>
      <c r="B181" s="4" t="s">
        <v>370</v>
      </c>
      <c r="C181" s="4" t="s">
        <v>371</v>
      </c>
      <c r="G181" s="10" t="s">
        <v>2199</v>
      </c>
      <c r="H181" s="10"/>
      <c r="I181" s="10"/>
      <c r="J181" s="10"/>
      <c r="K181" s="10"/>
      <c r="L181" s="10"/>
      <c r="M181" s="10"/>
      <c r="N181" s="11"/>
      <c r="O181" s="10"/>
      <c r="P181" s="10"/>
      <c r="Q181" s="10">
        <v>1</v>
      </c>
      <c r="R181" s="10">
        <v>1</v>
      </c>
      <c r="S181" s="10">
        <v>2</v>
      </c>
      <c r="T181" s="10"/>
      <c r="U181" s="10"/>
      <c r="V181" s="10"/>
      <c r="W181" s="10"/>
      <c r="X181" s="10"/>
      <c r="Y181" s="10"/>
      <c r="Z181" s="10"/>
      <c r="AA181" s="10"/>
      <c r="AB181" s="10"/>
      <c r="AC181" s="10"/>
      <c r="AD181" t="s">
        <v>19</v>
      </c>
      <c r="AE181" t="s">
        <v>19</v>
      </c>
      <c r="AG181">
        <v>1</v>
      </c>
    </row>
    <row r="182" spans="1:33">
      <c r="A182" t="s">
        <v>365</v>
      </c>
      <c r="B182" s="4" t="s">
        <v>1238</v>
      </c>
      <c r="C182" s="4" t="s">
        <v>1237</v>
      </c>
      <c r="G182" s="10" t="s">
        <v>24</v>
      </c>
      <c r="H182" s="10"/>
      <c r="I182" s="10">
        <v>1</v>
      </c>
      <c r="J182" s="10">
        <v>3</v>
      </c>
      <c r="K182" s="10" t="s">
        <v>2158</v>
      </c>
      <c r="L182" s="10" t="s">
        <v>2159</v>
      </c>
      <c r="M182" s="10"/>
      <c r="N182" s="11"/>
      <c r="O182" s="10"/>
      <c r="P182" s="10">
        <v>2475</v>
      </c>
      <c r="Q182" s="10"/>
      <c r="R182" s="10" t="s">
        <v>2387</v>
      </c>
      <c r="S182" s="10" t="s">
        <v>2387</v>
      </c>
      <c r="T182" s="10"/>
      <c r="U182" s="10"/>
      <c r="V182" s="10"/>
      <c r="W182" s="10"/>
      <c r="X182" s="10"/>
      <c r="Y182" s="10"/>
      <c r="Z182" s="10"/>
      <c r="AA182" s="10"/>
      <c r="AB182" s="10"/>
      <c r="AC182" s="10"/>
      <c r="AD182" t="s">
        <v>19</v>
      </c>
      <c r="AE182" t="s">
        <v>19</v>
      </c>
      <c r="AG182">
        <v>1</v>
      </c>
    </row>
    <row r="183" spans="1:33">
      <c r="A183" t="s">
        <v>365</v>
      </c>
      <c r="B183" s="4" t="s">
        <v>1242</v>
      </c>
      <c r="C183" s="4" t="s">
        <v>1241</v>
      </c>
      <c r="G183" s="10" t="s">
        <v>2199</v>
      </c>
      <c r="H183" s="10"/>
      <c r="I183" s="10"/>
      <c r="J183" s="10"/>
      <c r="K183" s="10"/>
      <c r="L183" s="10"/>
      <c r="M183" s="10"/>
      <c r="N183" s="11"/>
      <c r="O183" s="10"/>
      <c r="P183" s="10"/>
      <c r="Q183" s="10">
        <v>67</v>
      </c>
      <c r="R183" s="10">
        <v>99</v>
      </c>
      <c r="S183" s="10">
        <v>166</v>
      </c>
      <c r="T183" s="10"/>
      <c r="U183" s="10"/>
      <c r="V183" s="10"/>
      <c r="W183" s="10"/>
      <c r="X183" s="10"/>
      <c r="Y183" s="10"/>
      <c r="Z183" s="10"/>
      <c r="AA183" s="10"/>
      <c r="AB183" s="10"/>
      <c r="AC183" s="10"/>
      <c r="AD183" t="s">
        <v>19</v>
      </c>
      <c r="AG183">
        <v>1</v>
      </c>
    </row>
    <row r="184" spans="1:33">
      <c r="A184" t="s">
        <v>365</v>
      </c>
      <c r="B184" s="4" t="s">
        <v>1243</v>
      </c>
      <c r="C184" s="4" t="s">
        <v>1244</v>
      </c>
      <c r="G184" s="10" t="s">
        <v>2201</v>
      </c>
      <c r="H184" s="10"/>
      <c r="I184" s="10"/>
      <c r="J184" s="10"/>
      <c r="K184" s="10"/>
      <c r="L184" s="10"/>
      <c r="M184" s="10"/>
      <c r="N184" s="11"/>
      <c r="O184" s="10"/>
      <c r="P184" s="10"/>
      <c r="Q184" s="10"/>
      <c r="R184" s="10" t="s">
        <v>2387</v>
      </c>
      <c r="S184" s="10" t="s">
        <v>2387</v>
      </c>
      <c r="T184" s="10"/>
      <c r="U184" s="10"/>
      <c r="V184" s="10"/>
      <c r="W184" s="10"/>
      <c r="X184" s="10"/>
      <c r="Y184" s="10"/>
      <c r="Z184" s="10"/>
      <c r="AA184" s="10"/>
      <c r="AB184" s="10"/>
      <c r="AC184" s="10"/>
      <c r="AD184" t="s">
        <v>19</v>
      </c>
      <c r="AG184">
        <v>1</v>
      </c>
    </row>
    <row r="185" spans="1:33" ht="29">
      <c r="A185" t="s">
        <v>374</v>
      </c>
      <c r="B185" s="4" t="s">
        <v>1246</v>
      </c>
      <c r="C185" s="4" t="s">
        <v>1247</v>
      </c>
      <c r="G185" s="10" t="s">
        <v>26</v>
      </c>
      <c r="H185" s="10"/>
      <c r="I185" s="10"/>
      <c r="J185" s="10"/>
      <c r="K185" s="10"/>
      <c r="L185" s="10"/>
      <c r="M185" s="10"/>
      <c r="N185" s="11"/>
      <c r="O185" s="10"/>
      <c r="P185" s="10"/>
      <c r="Q185" s="10"/>
      <c r="R185" s="10" t="s">
        <v>2387</v>
      </c>
      <c r="S185" s="10" t="s">
        <v>2387</v>
      </c>
      <c r="T185" s="10"/>
      <c r="U185" s="10"/>
      <c r="V185" s="10"/>
      <c r="W185" s="10"/>
      <c r="X185" s="10"/>
      <c r="Y185" s="10"/>
      <c r="Z185" s="10"/>
      <c r="AA185" s="10"/>
      <c r="AB185" s="10"/>
      <c r="AC185" s="10"/>
      <c r="AD185" t="s">
        <v>19</v>
      </c>
      <c r="AE185" t="s">
        <v>19</v>
      </c>
      <c r="AG185">
        <v>1</v>
      </c>
    </row>
    <row r="186" spans="1:33" ht="29">
      <c r="A186" t="s">
        <v>374</v>
      </c>
      <c r="B186" s="4" t="s">
        <v>1248</v>
      </c>
      <c r="C186" s="4" t="s">
        <v>1245</v>
      </c>
      <c r="G186" s="10" t="s">
        <v>25</v>
      </c>
      <c r="H186" s="10"/>
      <c r="I186" s="10">
        <v>1</v>
      </c>
      <c r="J186" s="10">
        <v>2</v>
      </c>
      <c r="K186" s="10" t="s">
        <v>2158</v>
      </c>
      <c r="L186" s="10" t="s">
        <v>2200</v>
      </c>
      <c r="M186" s="10"/>
      <c r="N186" s="11"/>
      <c r="O186" s="10"/>
      <c r="P186" s="10">
        <v>2475</v>
      </c>
      <c r="Q186" s="10"/>
      <c r="R186" s="10" t="s">
        <v>2387</v>
      </c>
      <c r="S186" s="10" t="s">
        <v>2387</v>
      </c>
      <c r="T186" s="10"/>
      <c r="U186" s="10"/>
      <c r="V186" s="10"/>
      <c r="W186" s="10"/>
      <c r="X186" s="10"/>
      <c r="Y186" s="10"/>
      <c r="Z186" s="10"/>
      <c r="AA186" s="10"/>
      <c r="AB186" s="10"/>
      <c r="AC186" s="10"/>
      <c r="AD186" t="s">
        <v>19</v>
      </c>
      <c r="AE186" t="s">
        <v>19</v>
      </c>
      <c r="AG186">
        <v>1</v>
      </c>
    </row>
    <row r="187" spans="1:33" ht="29">
      <c r="A187" t="s">
        <v>374</v>
      </c>
      <c r="B187" s="4" t="s">
        <v>1249</v>
      </c>
      <c r="C187" s="4" t="s">
        <v>1245</v>
      </c>
      <c r="G187" s="10" t="s">
        <v>25</v>
      </c>
      <c r="H187" s="10"/>
      <c r="I187" s="10">
        <v>1</v>
      </c>
      <c r="J187" s="10">
        <v>2</v>
      </c>
      <c r="K187" s="10" t="s">
        <v>2158</v>
      </c>
      <c r="L187" s="10" t="s">
        <v>2200</v>
      </c>
      <c r="M187" s="10"/>
      <c r="N187" s="11"/>
      <c r="O187" s="10"/>
      <c r="P187" s="10">
        <v>2475</v>
      </c>
      <c r="Q187" s="10"/>
      <c r="R187" s="10" t="s">
        <v>2387</v>
      </c>
      <c r="S187" s="10" t="s">
        <v>2387</v>
      </c>
      <c r="T187" s="10"/>
      <c r="U187" s="10"/>
      <c r="V187" s="10"/>
      <c r="W187" s="10"/>
      <c r="X187" s="10"/>
      <c r="Y187" s="10"/>
      <c r="Z187" s="10"/>
      <c r="AA187" s="10"/>
      <c r="AB187" s="10"/>
      <c r="AC187" s="10"/>
      <c r="AD187" t="s">
        <v>19</v>
      </c>
      <c r="AE187" t="s">
        <v>19</v>
      </c>
      <c r="AG187">
        <v>1</v>
      </c>
    </row>
    <row r="188" spans="1:33">
      <c r="A188" t="s">
        <v>375</v>
      </c>
      <c r="B188" s="4" t="s">
        <v>376</v>
      </c>
      <c r="C188" s="4" t="s">
        <v>377</v>
      </c>
      <c r="G188" s="10" t="s">
        <v>2199</v>
      </c>
      <c r="H188" s="10"/>
      <c r="I188" s="10"/>
      <c r="J188" s="10"/>
      <c r="K188" s="10"/>
      <c r="L188" s="10"/>
      <c r="M188" s="10"/>
      <c r="N188" s="11"/>
      <c r="O188" s="10"/>
      <c r="P188" s="10"/>
      <c r="Q188" s="10">
        <v>8</v>
      </c>
      <c r="R188" s="10">
        <v>2</v>
      </c>
      <c r="S188" s="10">
        <v>10</v>
      </c>
      <c r="T188" s="10"/>
      <c r="U188" s="10"/>
      <c r="V188" s="10"/>
      <c r="W188" s="10"/>
      <c r="X188" s="10"/>
      <c r="Y188" s="10"/>
      <c r="Z188" s="10"/>
      <c r="AA188" s="10"/>
      <c r="AB188" s="10"/>
      <c r="AC188" s="10"/>
      <c r="AD188" t="s">
        <v>19</v>
      </c>
      <c r="AE188" t="s">
        <v>20</v>
      </c>
      <c r="AG188">
        <v>1</v>
      </c>
    </row>
    <row r="189" spans="1:33">
      <c r="A189" t="s">
        <v>378</v>
      </c>
      <c r="B189" s="4" t="s">
        <v>1250</v>
      </c>
      <c r="C189" s="4" t="s">
        <v>1251</v>
      </c>
      <c r="G189" s="10" t="s">
        <v>24</v>
      </c>
      <c r="H189" s="10"/>
      <c r="I189" s="10">
        <v>1</v>
      </c>
      <c r="J189" s="10">
        <v>2</v>
      </c>
      <c r="K189" s="10" t="s">
        <v>2177</v>
      </c>
      <c r="L189" s="10" t="s">
        <v>2200</v>
      </c>
      <c r="M189" s="10"/>
      <c r="N189" s="11"/>
      <c r="O189" s="10"/>
      <c r="P189" s="10">
        <v>613</v>
      </c>
      <c r="Q189" s="10"/>
      <c r="R189" s="10" t="s">
        <v>2387</v>
      </c>
      <c r="S189" s="10" t="s">
        <v>2387</v>
      </c>
      <c r="T189" s="10"/>
      <c r="U189" s="10"/>
      <c r="V189" s="10"/>
      <c r="W189" s="10"/>
      <c r="X189" s="10"/>
      <c r="Y189" s="10"/>
      <c r="Z189" s="10"/>
      <c r="AA189" s="10"/>
      <c r="AB189" s="10"/>
      <c r="AC189" s="10"/>
      <c r="AD189" t="s">
        <v>19</v>
      </c>
      <c r="AE189" t="s">
        <v>20</v>
      </c>
      <c r="AG189">
        <v>1</v>
      </c>
    </row>
    <row r="190" spans="1:33" ht="29">
      <c r="A190" t="s">
        <v>378</v>
      </c>
      <c r="B190" s="4" t="s">
        <v>1252</v>
      </c>
      <c r="C190" s="4" t="s">
        <v>1253</v>
      </c>
      <c r="G190" s="10" t="s">
        <v>25</v>
      </c>
      <c r="H190" s="10"/>
      <c r="I190" s="10">
        <v>1</v>
      </c>
      <c r="J190" s="10">
        <v>2</v>
      </c>
      <c r="K190" s="10" t="s">
        <v>2177</v>
      </c>
      <c r="L190" s="10" t="s">
        <v>2200</v>
      </c>
      <c r="M190" s="10"/>
      <c r="N190" s="11"/>
      <c r="O190" s="10"/>
      <c r="P190" s="10">
        <v>79</v>
      </c>
      <c r="Q190" s="10"/>
      <c r="R190" s="10" t="s">
        <v>2387</v>
      </c>
      <c r="S190" s="10" t="s">
        <v>2387</v>
      </c>
      <c r="T190" s="10"/>
      <c r="U190" s="10"/>
      <c r="V190" s="10"/>
      <c r="W190" s="10"/>
      <c r="X190" s="10"/>
      <c r="Y190" s="10"/>
      <c r="Z190" s="10"/>
      <c r="AA190" s="10"/>
      <c r="AB190" s="10"/>
      <c r="AC190" s="10"/>
      <c r="AD190" t="s">
        <v>19</v>
      </c>
      <c r="AE190" t="s">
        <v>19</v>
      </c>
      <c r="AG190">
        <v>1</v>
      </c>
    </row>
    <row r="191" spans="1:33" ht="29">
      <c r="A191" t="s">
        <v>381</v>
      </c>
      <c r="B191" s="4" t="s">
        <v>1260</v>
      </c>
      <c r="C191" s="4" t="s">
        <v>1259</v>
      </c>
      <c r="G191" s="10" t="s">
        <v>2201</v>
      </c>
      <c r="H191" s="10"/>
      <c r="I191" s="10"/>
      <c r="J191" s="10"/>
      <c r="K191" s="10"/>
      <c r="L191" s="10"/>
      <c r="M191" s="10"/>
      <c r="N191" s="11"/>
      <c r="O191" s="10"/>
      <c r="P191" s="10"/>
      <c r="Q191" s="10"/>
      <c r="R191" s="10" t="s">
        <v>2387</v>
      </c>
      <c r="S191" s="10" t="s">
        <v>2387</v>
      </c>
      <c r="T191" s="10"/>
      <c r="U191" s="10"/>
      <c r="V191" s="10"/>
      <c r="W191" s="10"/>
      <c r="X191" s="10"/>
      <c r="Y191" s="10"/>
      <c r="Z191" s="10"/>
      <c r="AA191" s="10"/>
      <c r="AB191" s="10"/>
      <c r="AC191" s="10"/>
      <c r="AD191" t="s">
        <v>19</v>
      </c>
      <c r="AE191" t="s">
        <v>19</v>
      </c>
      <c r="AG191">
        <v>1</v>
      </c>
    </row>
    <row r="192" spans="1:33" ht="29">
      <c r="A192" t="s">
        <v>381</v>
      </c>
      <c r="B192" s="4" t="s">
        <v>1264</v>
      </c>
      <c r="C192" s="4" t="s">
        <v>1263</v>
      </c>
      <c r="G192" s="10" t="s">
        <v>26</v>
      </c>
      <c r="H192" s="10"/>
      <c r="I192" s="10"/>
      <c r="J192" s="10"/>
      <c r="K192" s="10"/>
      <c r="L192" s="10"/>
      <c r="M192" s="10"/>
      <c r="N192" s="11"/>
      <c r="O192" s="10"/>
      <c r="P192" s="10"/>
      <c r="Q192" s="10"/>
      <c r="R192" s="10" t="s">
        <v>2387</v>
      </c>
      <c r="S192" s="10" t="s">
        <v>2387</v>
      </c>
      <c r="T192" s="10"/>
      <c r="U192" s="10"/>
      <c r="V192" s="10"/>
      <c r="W192" s="10"/>
      <c r="X192" s="10"/>
      <c r="Y192" s="10"/>
      <c r="Z192" s="10"/>
      <c r="AA192" s="10"/>
      <c r="AB192" s="10"/>
      <c r="AC192" s="10"/>
      <c r="AD192" t="s">
        <v>19</v>
      </c>
      <c r="AE192" t="s">
        <v>19</v>
      </c>
      <c r="AG192">
        <v>1</v>
      </c>
    </row>
    <row r="193" spans="1:33" ht="29">
      <c r="A193" t="s">
        <v>381</v>
      </c>
      <c r="B193" s="4" t="s">
        <v>1266</v>
      </c>
      <c r="C193" s="4" t="s">
        <v>1267</v>
      </c>
      <c r="G193" s="10" t="s">
        <v>2201</v>
      </c>
      <c r="H193" s="10"/>
      <c r="I193" s="10"/>
      <c r="J193" s="10"/>
      <c r="K193" s="10"/>
      <c r="L193" s="10"/>
      <c r="M193" s="10"/>
      <c r="N193" s="11"/>
      <c r="O193" s="10"/>
      <c r="P193" s="10"/>
      <c r="Q193" s="10"/>
      <c r="R193" s="10" t="s">
        <v>2387</v>
      </c>
      <c r="S193" s="10" t="s">
        <v>2387</v>
      </c>
      <c r="T193" s="10"/>
      <c r="U193" s="10"/>
      <c r="V193" s="10"/>
      <c r="W193" s="10"/>
      <c r="X193" s="10"/>
      <c r="Y193" s="10"/>
      <c r="Z193" s="10"/>
      <c r="AA193" s="10"/>
      <c r="AB193" s="10"/>
      <c r="AC193" s="10"/>
      <c r="AD193" t="s">
        <v>19</v>
      </c>
      <c r="AE193" t="s">
        <v>19</v>
      </c>
      <c r="AG193">
        <v>1</v>
      </c>
    </row>
    <row r="194" spans="1:33" ht="29">
      <c r="A194" t="s">
        <v>381</v>
      </c>
      <c r="B194" s="4" t="s">
        <v>1268</v>
      </c>
      <c r="C194" s="4" t="s">
        <v>1265</v>
      </c>
      <c r="G194" s="10" t="s">
        <v>25</v>
      </c>
      <c r="H194" s="10"/>
      <c r="I194" s="10">
        <v>2</v>
      </c>
      <c r="J194" s="10">
        <v>6</v>
      </c>
      <c r="K194" s="10"/>
      <c r="L194" s="10" t="s">
        <v>2159</v>
      </c>
      <c r="M194" s="10"/>
      <c r="N194" s="11"/>
      <c r="O194" s="10"/>
      <c r="P194" s="10">
        <v>2</v>
      </c>
      <c r="Q194" s="10"/>
      <c r="R194" s="10" t="s">
        <v>2387</v>
      </c>
      <c r="S194" s="10" t="s">
        <v>2387</v>
      </c>
      <c r="T194" s="10"/>
      <c r="U194" s="10"/>
      <c r="V194" s="10"/>
      <c r="W194" s="10"/>
      <c r="X194" s="10"/>
      <c r="Y194" s="10"/>
      <c r="Z194" s="10"/>
      <c r="AA194" s="10"/>
      <c r="AB194" s="10"/>
      <c r="AC194" s="10"/>
      <c r="AD194" t="s">
        <v>19</v>
      </c>
      <c r="AE194" t="s">
        <v>20</v>
      </c>
      <c r="AG194">
        <v>1</v>
      </c>
    </row>
    <row r="195" spans="1:33">
      <c r="A195" t="s">
        <v>384</v>
      </c>
      <c r="B195" s="4" t="s">
        <v>1270</v>
      </c>
      <c r="C195" s="4" t="s">
        <v>1271</v>
      </c>
      <c r="G195" s="10" t="s">
        <v>2199</v>
      </c>
      <c r="H195" s="10"/>
      <c r="I195" s="10"/>
      <c r="J195" s="10"/>
      <c r="K195" s="10"/>
      <c r="L195" s="10"/>
      <c r="M195" s="10"/>
      <c r="N195" s="11"/>
      <c r="O195" s="10"/>
      <c r="P195" s="10"/>
      <c r="Q195" s="10">
        <v>-7</v>
      </c>
      <c r="R195" s="10">
        <v>7</v>
      </c>
      <c r="S195" s="10">
        <v>0</v>
      </c>
      <c r="T195" s="10"/>
      <c r="U195" s="10"/>
      <c r="V195" s="10"/>
      <c r="W195" s="10"/>
      <c r="X195" s="10"/>
      <c r="Y195" s="10"/>
      <c r="Z195" s="10"/>
      <c r="AA195" s="10"/>
      <c r="AB195" s="10"/>
      <c r="AC195" s="10"/>
      <c r="AD195" t="s">
        <v>19</v>
      </c>
      <c r="AE195" t="s">
        <v>19</v>
      </c>
      <c r="AG195">
        <v>1</v>
      </c>
    </row>
    <row r="196" spans="1:33">
      <c r="A196" t="s">
        <v>387</v>
      </c>
      <c r="B196" s="4" t="s">
        <v>1273</v>
      </c>
      <c r="C196" s="4" t="s">
        <v>1272</v>
      </c>
      <c r="G196" s="10" t="s">
        <v>24</v>
      </c>
      <c r="H196" s="10"/>
      <c r="I196" s="10">
        <v>1</v>
      </c>
      <c r="J196" s="10">
        <v>3</v>
      </c>
      <c r="K196" s="10" t="s">
        <v>2168</v>
      </c>
      <c r="L196" s="10" t="s">
        <v>2159</v>
      </c>
      <c r="M196" s="10"/>
      <c r="N196" s="11"/>
      <c r="O196" s="10"/>
      <c r="P196" s="10">
        <v>2475</v>
      </c>
      <c r="Q196" s="10"/>
      <c r="R196" s="10" t="s">
        <v>2387</v>
      </c>
      <c r="S196" s="10" t="s">
        <v>2387</v>
      </c>
      <c r="T196" s="10"/>
      <c r="U196" s="10"/>
      <c r="V196" s="10"/>
      <c r="W196" s="10"/>
      <c r="X196" s="10"/>
      <c r="Y196" s="10"/>
      <c r="Z196" s="10"/>
      <c r="AA196" s="10"/>
      <c r="AB196" s="10"/>
      <c r="AC196" s="10"/>
      <c r="AD196" t="s">
        <v>19</v>
      </c>
      <c r="AE196" t="s">
        <v>19</v>
      </c>
      <c r="AG196">
        <v>1</v>
      </c>
    </row>
    <row r="197" spans="1:33" ht="29">
      <c r="A197" t="s">
        <v>387</v>
      </c>
      <c r="B197" s="4" t="s">
        <v>1274</v>
      </c>
      <c r="C197" s="4" t="s">
        <v>1275</v>
      </c>
      <c r="G197" s="10" t="s">
        <v>26</v>
      </c>
      <c r="H197" s="10"/>
      <c r="I197" s="10"/>
      <c r="J197" s="10"/>
      <c r="K197" s="10"/>
      <c r="L197" s="10"/>
      <c r="M197" s="10"/>
      <c r="N197" s="11"/>
      <c r="O197" s="10"/>
      <c r="P197" s="10"/>
      <c r="Q197" s="10"/>
      <c r="R197" s="10" t="s">
        <v>2387</v>
      </c>
      <c r="S197" s="10" t="s">
        <v>2387</v>
      </c>
      <c r="T197" s="10"/>
      <c r="U197" s="10"/>
      <c r="V197" s="10"/>
      <c r="W197" s="10"/>
      <c r="X197" s="10"/>
      <c r="Y197" s="10"/>
      <c r="Z197" s="10"/>
      <c r="AA197" s="10"/>
      <c r="AB197" s="10"/>
      <c r="AC197" s="10"/>
      <c r="AD197" t="s">
        <v>19</v>
      </c>
      <c r="AE197" t="s">
        <v>19</v>
      </c>
      <c r="AG197">
        <v>1</v>
      </c>
    </row>
    <row r="198" spans="1:33">
      <c r="A198" t="s">
        <v>393</v>
      </c>
      <c r="B198" s="4" t="s">
        <v>394</v>
      </c>
      <c r="C198" s="4" t="s">
        <v>395</v>
      </c>
      <c r="G198" s="10" t="s">
        <v>2201</v>
      </c>
      <c r="H198" s="10"/>
      <c r="I198" s="10"/>
      <c r="J198" s="10"/>
      <c r="K198" s="10"/>
      <c r="L198" s="10"/>
      <c r="M198" s="10"/>
      <c r="N198" s="11"/>
      <c r="O198" s="10"/>
      <c r="P198" s="10"/>
      <c r="Q198" s="10"/>
      <c r="R198" s="10" t="s">
        <v>2387</v>
      </c>
      <c r="S198" s="10" t="s">
        <v>2387</v>
      </c>
      <c r="T198" s="10"/>
      <c r="U198" s="10"/>
      <c r="V198" s="10"/>
      <c r="W198" s="10"/>
      <c r="X198" s="10"/>
      <c r="Y198" s="10"/>
      <c r="Z198" s="10"/>
      <c r="AA198" s="10"/>
      <c r="AB198" s="10"/>
      <c r="AC198" s="10"/>
      <c r="AD198" t="s">
        <v>19</v>
      </c>
      <c r="AE198" t="s">
        <v>19</v>
      </c>
      <c r="AG198">
        <v>1</v>
      </c>
    </row>
    <row r="199" spans="1:33">
      <c r="A199" t="s">
        <v>396</v>
      </c>
      <c r="B199" s="4" t="s">
        <v>1278</v>
      </c>
      <c r="C199" s="4" t="s">
        <v>1279</v>
      </c>
      <c r="G199" s="10" t="s">
        <v>2199</v>
      </c>
      <c r="H199" s="10"/>
      <c r="I199" s="10"/>
      <c r="J199" s="10"/>
      <c r="K199" s="10"/>
      <c r="L199" s="10"/>
      <c r="M199" s="10"/>
      <c r="N199" s="11"/>
      <c r="O199" s="10"/>
      <c r="P199" s="10"/>
      <c r="Q199" s="10">
        <v>249</v>
      </c>
      <c r="R199" s="10">
        <v>31</v>
      </c>
      <c r="S199" s="10">
        <v>280</v>
      </c>
      <c r="T199" s="10"/>
      <c r="U199" s="10"/>
      <c r="V199" s="10"/>
      <c r="W199" s="10"/>
      <c r="X199" s="10"/>
      <c r="Y199" s="10"/>
      <c r="Z199" s="10"/>
      <c r="AA199" s="10"/>
      <c r="AB199" s="10"/>
      <c r="AC199" s="10"/>
      <c r="AD199" t="s">
        <v>19</v>
      </c>
      <c r="AE199" t="s">
        <v>19</v>
      </c>
      <c r="AG199">
        <v>1</v>
      </c>
    </row>
    <row r="200" spans="1:33">
      <c r="A200" t="s">
        <v>396</v>
      </c>
      <c r="B200" s="4" t="s">
        <v>1281</v>
      </c>
      <c r="C200" s="4" t="s">
        <v>1280</v>
      </c>
      <c r="G200" s="10" t="s">
        <v>2199</v>
      </c>
      <c r="H200" s="10"/>
      <c r="I200" s="10"/>
      <c r="J200" s="10"/>
      <c r="K200" s="10"/>
      <c r="L200" s="10"/>
      <c r="M200" s="10"/>
      <c r="N200" s="11"/>
      <c r="O200" s="10"/>
      <c r="P200" s="10"/>
      <c r="Q200" s="10">
        <v>-603</v>
      </c>
      <c r="R200" s="10">
        <v>613</v>
      </c>
      <c r="S200" s="10">
        <v>10</v>
      </c>
      <c r="T200" s="10"/>
      <c r="U200" s="10"/>
      <c r="V200" s="10"/>
      <c r="W200" s="10"/>
      <c r="X200" s="10"/>
      <c r="Y200" s="10"/>
      <c r="Z200" s="10"/>
      <c r="AA200" s="10"/>
      <c r="AB200" s="10"/>
      <c r="AC200" s="10"/>
      <c r="AD200" t="s">
        <v>19</v>
      </c>
      <c r="AE200" t="s">
        <v>19</v>
      </c>
      <c r="AG200">
        <v>1</v>
      </c>
    </row>
    <row r="201" spans="1:33">
      <c r="A201" t="s">
        <v>397</v>
      </c>
      <c r="B201" s="4" t="s">
        <v>1282</v>
      </c>
      <c r="C201" s="4" t="s">
        <v>1283</v>
      </c>
      <c r="G201" s="10" t="s">
        <v>2199</v>
      </c>
      <c r="H201" s="10"/>
      <c r="I201" s="10"/>
      <c r="J201" s="10"/>
      <c r="K201" s="10"/>
      <c r="L201" s="10"/>
      <c r="M201" s="10"/>
      <c r="N201" s="11"/>
      <c r="O201" s="10"/>
      <c r="P201" s="10"/>
      <c r="Q201" s="10">
        <v>-1</v>
      </c>
      <c r="R201" s="10">
        <v>1</v>
      </c>
      <c r="S201" s="10">
        <v>0</v>
      </c>
      <c r="T201" s="10"/>
      <c r="U201" s="10"/>
      <c r="V201" s="10"/>
      <c r="W201" s="10"/>
      <c r="X201" s="10"/>
      <c r="Y201" s="10"/>
      <c r="Z201" s="10"/>
      <c r="AA201" s="10"/>
      <c r="AB201" s="10"/>
      <c r="AC201" s="10"/>
      <c r="AD201" t="s">
        <v>19</v>
      </c>
      <c r="AE201" t="s">
        <v>19</v>
      </c>
      <c r="AG201">
        <v>1</v>
      </c>
    </row>
    <row r="202" spans="1:33">
      <c r="A202" t="s">
        <v>398</v>
      </c>
      <c r="B202" s="4" t="s">
        <v>399</v>
      </c>
      <c r="C202" s="4" t="s">
        <v>1284</v>
      </c>
      <c r="G202" s="10" t="s">
        <v>2201</v>
      </c>
      <c r="H202" s="10"/>
      <c r="I202" s="10"/>
      <c r="J202" s="10"/>
      <c r="K202" s="10"/>
      <c r="L202" s="10"/>
      <c r="M202" s="10"/>
      <c r="N202" s="11"/>
      <c r="O202" s="10"/>
      <c r="P202" s="10"/>
      <c r="Q202" s="10"/>
      <c r="R202" s="10" t="s">
        <v>2387</v>
      </c>
      <c r="S202" s="10" t="s">
        <v>2387</v>
      </c>
      <c r="T202" s="10"/>
      <c r="U202" s="10"/>
      <c r="V202" s="10"/>
      <c r="W202" s="10"/>
      <c r="X202" s="10"/>
      <c r="Y202" s="10"/>
      <c r="Z202" s="10"/>
      <c r="AA202" s="10"/>
      <c r="AB202" s="10"/>
      <c r="AC202" s="10"/>
      <c r="AD202" t="s">
        <v>20</v>
      </c>
      <c r="AE202" t="s">
        <v>19</v>
      </c>
      <c r="AG202">
        <v>0</v>
      </c>
    </row>
    <row r="203" spans="1:33" ht="29">
      <c r="A203" t="s">
        <v>402</v>
      </c>
      <c r="B203" s="4" t="s">
        <v>2272</v>
      </c>
      <c r="C203" s="4" t="s">
        <v>2273</v>
      </c>
      <c r="G203" s="10" t="s">
        <v>24</v>
      </c>
      <c r="H203" s="10"/>
      <c r="I203" s="10">
        <v>1</v>
      </c>
      <c r="J203" s="10">
        <v>3</v>
      </c>
      <c r="K203" s="10" t="s">
        <v>2168</v>
      </c>
      <c r="L203" s="10" t="s">
        <v>2159</v>
      </c>
      <c r="M203" s="10"/>
      <c r="N203" s="11"/>
      <c r="O203" s="10"/>
      <c r="P203" s="10">
        <v>1701</v>
      </c>
      <c r="Q203" s="10"/>
      <c r="R203" s="10" t="s">
        <v>2387</v>
      </c>
      <c r="S203" s="10" t="s">
        <v>2387</v>
      </c>
      <c r="T203" s="10"/>
      <c r="U203" s="10"/>
      <c r="V203" s="10"/>
      <c r="W203" s="10"/>
      <c r="X203" s="10"/>
      <c r="Y203" s="10"/>
      <c r="Z203" s="10"/>
      <c r="AA203" s="10"/>
      <c r="AB203" s="10"/>
      <c r="AC203" s="10"/>
      <c r="AD203" t="s">
        <v>19</v>
      </c>
      <c r="AE203" t="s">
        <v>20</v>
      </c>
      <c r="AG203">
        <v>1</v>
      </c>
    </row>
    <row r="204" spans="1:33">
      <c r="A204" t="s">
        <v>402</v>
      </c>
      <c r="B204" s="4" t="s">
        <v>1292</v>
      </c>
      <c r="C204" s="4" t="s">
        <v>1291</v>
      </c>
      <c r="G204" s="10" t="s">
        <v>2199</v>
      </c>
      <c r="H204" s="10"/>
      <c r="I204" s="10"/>
      <c r="J204" s="10"/>
      <c r="K204" s="10"/>
      <c r="L204" s="10"/>
      <c r="M204" s="10"/>
      <c r="N204" s="11"/>
      <c r="O204" s="10"/>
      <c r="P204" s="10"/>
      <c r="Q204" s="10">
        <v>4</v>
      </c>
      <c r="R204" s="10">
        <v>1</v>
      </c>
      <c r="S204" s="10">
        <v>5</v>
      </c>
      <c r="T204" s="10"/>
      <c r="U204" s="10"/>
      <c r="V204" s="10"/>
      <c r="W204" s="10"/>
      <c r="X204" s="10"/>
      <c r="Y204" s="10"/>
      <c r="Z204" s="10"/>
      <c r="AA204" s="10"/>
      <c r="AB204" s="10"/>
      <c r="AC204" s="10"/>
      <c r="AD204" t="s">
        <v>19</v>
      </c>
      <c r="AE204" t="s">
        <v>19</v>
      </c>
      <c r="AG204">
        <v>1</v>
      </c>
    </row>
    <row r="205" spans="1:33" ht="43.5">
      <c r="A205" t="s">
        <v>402</v>
      </c>
      <c r="B205" s="4" t="s">
        <v>1293</v>
      </c>
      <c r="C205" s="4" t="s">
        <v>1294</v>
      </c>
      <c r="G205" s="10" t="s">
        <v>2199</v>
      </c>
      <c r="H205" s="10"/>
      <c r="I205" s="10"/>
      <c r="J205" s="10"/>
      <c r="K205" s="10"/>
      <c r="L205" s="10"/>
      <c r="M205" s="10"/>
      <c r="N205" s="11"/>
      <c r="O205" s="10"/>
      <c r="P205" s="10"/>
      <c r="Q205" s="10">
        <v>-1</v>
      </c>
      <c r="R205" s="10">
        <v>1</v>
      </c>
      <c r="S205" s="10">
        <v>0</v>
      </c>
      <c r="T205" s="10"/>
      <c r="U205" s="10"/>
      <c r="V205" s="10"/>
      <c r="W205" s="10"/>
      <c r="X205" s="10"/>
      <c r="Y205" s="10"/>
      <c r="Z205" s="10"/>
      <c r="AA205" s="10"/>
      <c r="AB205" s="10"/>
      <c r="AC205" s="10"/>
      <c r="AD205" t="s">
        <v>19</v>
      </c>
      <c r="AE205" t="s">
        <v>19</v>
      </c>
      <c r="AG205">
        <v>1</v>
      </c>
    </row>
    <row r="206" spans="1:33" ht="43.5">
      <c r="A206" t="s">
        <v>402</v>
      </c>
      <c r="B206" s="4" t="s">
        <v>1295</v>
      </c>
      <c r="C206" s="4" t="s">
        <v>1296</v>
      </c>
      <c r="G206" s="10" t="s">
        <v>26</v>
      </c>
      <c r="H206" s="10"/>
      <c r="I206" s="10"/>
      <c r="J206" s="10"/>
      <c r="K206" s="10"/>
      <c r="L206" s="10"/>
      <c r="M206" s="10"/>
      <c r="N206" s="11"/>
      <c r="O206" s="10"/>
      <c r="P206" s="10"/>
      <c r="Q206" s="10"/>
      <c r="R206" s="10" t="s">
        <v>2387</v>
      </c>
      <c r="S206" s="10" t="s">
        <v>2387</v>
      </c>
      <c r="T206" s="10"/>
      <c r="U206" s="10"/>
      <c r="V206" s="10"/>
      <c r="W206" s="10"/>
      <c r="X206" s="10"/>
      <c r="Y206" s="10"/>
      <c r="Z206" s="10"/>
      <c r="AA206" s="10"/>
      <c r="AB206" s="10"/>
      <c r="AC206" s="10"/>
      <c r="AD206" t="s">
        <v>19</v>
      </c>
      <c r="AE206" t="s">
        <v>19</v>
      </c>
      <c r="AG206">
        <v>1</v>
      </c>
    </row>
    <row r="207" spans="1:33">
      <c r="A207" t="s">
        <v>405</v>
      </c>
      <c r="B207" s="4" t="s">
        <v>406</v>
      </c>
      <c r="C207" s="4" t="s">
        <v>407</v>
      </c>
      <c r="G207" s="10" t="s">
        <v>2201</v>
      </c>
      <c r="H207" s="10"/>
      <c r="I207" s="10"/>
      <c r="J207" s="10"/>
      <c r="K207" s="10"/>
      <c r="L207" s="10"/>
      <c r="M207" s="10"/>
      <c r="N207" s="11"/>
      <c r="O207" s="10"/>
      <c r="P207" s="10"/>
      <c r="Q207" s="10"/>
      <c r="R207" s="10" t="s">
        <v>2387</v>
      </c>
      <c r="S207" s="10" t="s">
        <v>2387</v>
      </c>
      <c r="T207" s="10"/>
      <c r="U207" s="10"/>
      <c r="V207" s="10"/>
      <c r="W207" s="10"/>
      <c r="X207" s="10"/>
      <c r="Y207" s="10"/>
      <c r="Z207" s="10"/>
      <c r="AA207" s="10"/>
      <c r="AB207" s="10"/>
      <c r="AC207" s="10"/>
      <c r="AD207" t="s">
        <v>19</v>
      </c>
      <c r="AE207" t="s">
        <v>20</v>
      </c>
      <c r="AG207">
        <v>1</v>
      </c>
    </row>
    <row r="208" spans="1:33">
      <c r="A208" t="s">
        <v>405</v>
      </c>
      <c r="B208" s="4" t="s">
        <v>1298</v>
      </c>
      <c r="C208" s="4" t="s">
        <v>1297</v>
      </c>
      <c r="G208" s="10" t="s">
        <v>2199</v>
      </c>
      <c r="H208" s="10"/>
      <c r="I208" s="10"/>
      <c r="J208" s="10"/>
      <c r="K208" s="10"/>
      <c r="L208" s="10"/>
      <c r="M208" s="10"/>
      <c r="N208" s="11"/>
      <c r="O208" s="10"/>
      <c r="P208" s="10"/>
      <c r="Q208" s="10">
        <v>-61</v>
      </c>
      <c r="R208" s="10">
        <v>166</v>
      </c>
      <c r="S208" s="10">
        <v>105</v>
      </c>
      <c r="T208" s="10"/>
      <c r="U208" s="10"/>
      <c r="V208" s="10"/>
      <c r="W208" s="10"/>
      <c r="X208" s="10"/>
      <c r="Y208" s="10"/>
      <c r="Z208" s="10"/>
      <c r="AA208" s="10"/>
      <c r="AB208" s="10"/>
      <c r="AC208" s="10"/>
      <c r="AD208" t="s">
        <v>19</v>
      </c>
      <c r="AE208" t="s">
        <v>19</v>
      </c>
      <c r="AG208">
        <v>1</v>
      </c>
    </row>
    <row r="209" spans="1:33" ht="29">
      <c r="A209" t="s">
        <v>405</v>
      </c>
      <c r="B209" s="4" t="s">
        <v>1301</v>
      </c>
      <c r="C209" s="4" t="s">
        <v>1302</v>
      </c>
      <c r="G209" s="10" t="s">
        <v>2199</v>
      </c>
      <c r="H209" s="10"/>
      <c r="I209" s="10"/>
      <c r="J209" s="10"/>
      <c r="K209" s="10"/>
      <c r="L209" s="10"/>
      <c r="M209" s="10"/>
      <c r="N209" s="11"/>
      <c r="O209" s="10"/>
      <c r="P209" s="10"/>
      <c r="Q209" s="10">
        <v>-67</v>
      </c>
      <c r="R209" s="10">
        <v>166</v>
      </c>
      <c r="S209" s="10">
        <v>99</v>
      </c>
      <c r="T209" s="10"/>
      <c r="U209" s="10"/>
      <c r="V209" s="10"/>
      <c r="W209" s="10"/>
      <c r="X209" s="10"/>
      <c r="Y209" s="10"/>
      <c r="Z209" s="10"/>
      <c r="AA209" s="10"/>
      <c r="AB209" s="10"/>
      <c r="AC209" s="10"/>
      <c r="AD209" t="s">
        <v>19</v>
      </c>
      <c r="AE209" t="s">
        <v>19</v>
      </c>
      <c r="AG209">
        <v>1</v>
      </c>
    </row>
    <row r="210" spans="1:33" ht="29">
      <c r="A210" t="s">
        <v>408</v>
      </c>
      <c r="B210" s="4" t="s">
        <v>1304</v>
      </c>
      <c r="C210" s="4" t="s">
        <v>1303</v>
      </c>
      <c r="G210" s="10" t="s">
        <v>24</v>
      </c>
      <c r="H210" s="10"/>
      <c r="I210" s="10">
        <v>1</v>
      </c>
      <c r="J210" s="10">
        <v>3</v>
      </c>
      <c r="K210" s="10" t="s">
        <v>2175</v>
      </c>
      <c r="L210" s="10" t="s">
        <v>2159</v>
      </c>
      <c r="M210" s="10"/>
      <c r="N210" s="11"/>
      <c r="O210" s="10"/>
      <c r="P210" s="10">
        <v>743</v>
      </c>
      <c r="Q210" s="10"/>
      <c r="R210" s="10" t="s">
        <v>2387</v>
      </c>
      <c r="S210" s="10" t="s">
        <v>2387</v>
      </c>
      <c r="T210" s="10"/>
      <c r="U210" s="10"/>
      <c r="V210" s="10"/>
      <c r="W210" s="10"/>
      <c r="X210" s="10"/>
      <c r="Y210" s="10"/>
      <c r="Z210" s="10"/>
      <c r="AA210" s="10"/>
      <c r="AB210" s="10"/>
      <c r="AC210" s="10"/>
      <c r="AD210" t="s">
        <v>19</v>
      </c>
      <c r="AE210" t="s">
        <v>19</v>
      </c>
      <c r="AG210">
        <v>1</v>
      </c>
    </row>
    <row r="211" spans="1:33">
      <c r="A211" t="s">
        <v>412</v>
      </c>
      <c r="B211" s="4" t="s">
        <v>1308</v>
      </c>
      <c r="C211" s="4" t="s">
        <v>1307</v>
      </c>
      <c r="G211" s="10" t="s">
        <v>25</v>
      </c>
      <c r="H211" s="10"/>
      <c r="I211" s="10">
        <v>1</v>
      </c>
      <c r="J211" s="10">
        <v>3</v>
      </c>
      <c r="K211" s="10" t="s">
        <v>2177</v>
      </c>
      <c r="L211" s="10" t="s">
        <v>2159</v>
      </c>
      <c r="M211" s="10"/>
      <c r="N211" s="11"/>
      <c r="O211" s="10"/>
      <c r="P211" s="10">
        <v>10</v>
      </c>
      <c r="Q211" s="10"/>
      <c r="R211" s="10" t="s">
        <v>2387</v>
      </c>
      <c r="S211" s="10" t="s">
        <v>2387</v>
      </c>
      <c r="T211" s="10"/>
      <c r="U211" s="10"/>
      <c r="V211" s="10"/>
      <c r="W211" s="10"/>
      <c r="X211" s="10"/>
      <c r="Y211" s="10"/>
      <c r="Z211" s="10"/>
      <c r="AA211" s="10"/>
      <c r="AB211" s="10"/>
      <c r="AC211" s="10"/>
      <c r="AD211" t="s">
        <v>19</v>
      </c>
      <c r="AE211" t="s">
        <v>19</v>
      </c>
      <c r="AG211">
        <v>1</v>
      </c>
    </row>
    <row r="212" spans="1:33">
      <c r="A212" t="s">
        <v>413</v>
      </c>
      <c r="B212" s="4" t="s">
        <v>1309</v>
      </c>
      <c r="C212" s="4" t="s">
        <v>1312</v>
      </c>
      <c r="G212" s="10" t="s">
        <v>24</v>
      </c>
      <c r="H212" s="10"/>
      <c r="I212" s="10">
        <v>1</v>
      </c>
      <c r="J212" s="10">
        <v>3</v>
      </c>
      <c r="K212" s="10" t="s">
        <v>2168</v>
      </c>
      <c r="L212" s="10" t="s">
        <v>2159</v>
      </c>
      <c r="M212" s="10"/>
      <c r="N212" s="11"/>
      <c r="O212" s="10"/>
      <c r="P212" s="10">
        <v>1701</v>
      </c>
      <c r="Q212" s="10"/>
      <c r="R212" s="10" t="s">
        <v>2387</v>
      </c>
      <c r="S212" s="10" t="s">
        <v>2387</v>
      </c>
      <c r="T212" s="10"/>
      <c r="U212" s="10"/>
      <c r="V212" s="10"/>
      <c r="W212" s="10"/>
      <c r="X212" s="10"/>
      <c r="Y212" s="10"/>
      <c r="Z212" s="10"/>
      <c r="AA212" s="10"/>
      <c r="AB212" s="10"/>
      <c r="AC212" s="10"/>
      <c r="AD212" t="s">
        <v>19</v>
      </c>
      <c r="AE212" t="s">
        <v>20</v>
      </c>
      <c r="AG212">
        <v>1</v>
      </c>
    </row>
    <row r="213" spans="1:33">
      <c r="A213" t="s">
        <v>413</v>
      </c>
      <c r="B213" s="4" t="s">
        <v>1313</v>
      </c>
      <c r="C213" s="4" t="s">
        <v>1314</v>
      </c>
      <c r="G213" s="10" t="s">
        <v>2201</v>
      </c>
      <c r="H213" s="10"/>
      <c r="I213" s="10"/>
      <c r="J213" s="10"/>
      <c r="K213" s="10"/>
      <c r="L213" s="10"/>
      <c r="M213" s="10"/>
      <c r="N213" s="11"/>
      <c r="O213" s="10"/>
      <c r="P213" s="10"/>
      <c r="Q213" s="10"/>
      <c r="R213" s="10" t="s">
        <v>2387</v>
      </c>
      <c r="S213" s="10" t="s">
        <v>2387</v>
      </c>
      <c r="T213" s="10"/>
      <c r="U213" s="10"/>
      <c r="V213" s="10"/>
      <c r="W213" s="10"/>
      <c r="X213" s="10"/>
      <c r="Y213" s="10"/>
      <c r="Z213" s="10"/>
      <c r="AA213" s="10"/>
      <c r="AB213" s="10"/>
      <c r="AC213" s="10"/>
      <c r="AD213" t="s">
        <v>20</v>
      </c>
      <c r="AE213" t="s">
        <v>20</v>
      </c>
      <c r="AG213">
        <v>0</v>
      </c>
    </row>
    <row r="214" spans="1:33">
      <c r="A214" t="s">
        <v>414</v>
      </c>
      <c r="B214" s="4" t="s">
        <v>1315</v>
      </c>
      <c r="C214" s="4" t="s">
        <v>1316</v>
      </c>
      <c r="G214" s="10" t="s">
        <v>2199</v>
      </c>
      <c r="H214" s="10"/>
      <c r="I214" s="10"/>
      <c r="J214" s="10"/>
      <c r="K214" s="10"/>
      <c r="L214" s="10"/>
      <c r="M214" s="10"/>
      <c r="N214" s="11"/>
      <c r="O214" s="10"/>
      <c r="P214" s="10"/>
      <c r="Q214" s="10">
        <v>-67</v>
      </c>
      <c r="R214" s="10">
        <v>166</v>
      </c>
      <c r="S214" s="10">
        <v>99</v>
      </c>
      <c r="T214" s="10"/>
      <c r="U214" s="10"/>
      <c r="V214" s="10"/>
      <c r="W214" s="10"/>
      <c r="X214" s="10"/>
      <c r="Y214" s="10"/>
      <c r="Z214" s="10"/>
      <c r="AA214" s="10"/>
      <c r="AB214" s="10"/>
      <c r="AC214" s="10"/>
      <c r="AD214" t="s">
        <v>19</v>
      </c>
      <c r="AE214" t="s">
        <v>20</v>
      </c>
      <c r="AG214">
        <v>1</v>
      </c>
    </row>
    <row r="215" spans="1:33" ht="43.5">
      <c r="A215" t="s">
        <v>415</v>
      </c>
      <c r="B215" s="4" t="s">
        <v>1317</v>
      </c>
      <c r="C215" s="4" t="s">
        <v>1318</v>
      </c>
      <c r="G215" s="10" t="s">
        <v>24</v>
      </c>
      <c r="H215" s="10"/>
      <c r="I215" s="10">
        <v>2</v>
      </c>
      <c r="J215" s="10">
        <v>21</v>
      </c>
      <c r="K215" s="10"/>
      <c r="L215" s="10" t="s">
        <v>2153</v>
      </c>
      <c r="M215" s="10" t="s">
        <v>2274</v>
      </c>
      <c r="N215" s="11" t="s">
        <v>2275</v>
      </c>
      <c r="O215" s="10"/>
      <c r="P215" s="10">
        <v>11</v>
      </c>
      <c r="Q215" s="10"/>
      <c r="R215" s="10" t="s">
        <v>2387</v>
      </c>
      <c r="S215" s="10" t="s">
        <v>2387</v>
      </c>
      <c r="T215" s="10"/>
      <c r="U215" s="10"/>
      <c r="V215" s="10"/>
      <c r="W215" s="10"/>
      <c r="X215" s="10"/>
      <c r="Y215" s="10"/>
      <c r="Z215" s="10"/>
      <c r="AA215" s="10"/>
      <c r="AB215" s="10"/>
      <c r="AC215" s="10"/>
      <c r="AD215" t="s">
        <v>19</v>
      </c>
      <c r="AE215" t="s">
        <v>20</v>
      </c>
      <c r="AG215">
        <v>1</v>
      </c>
    </row>
    <row r="216" spans="1:33" ht="43.5">
      <c r="A216" t="s">
        <v>415</v>
      </c>
      <c r="B216" s="4" t="s">
        <v>1319</v>
      </c>
      <c r="C216" s="4" t="s">
        <v>1320</v>
      </c>
      <c r="G216" s="10" t="s">
        <v>24</v>
      </c>
      <c r="H216" s="10"/>
      <c r="I216" s="10">
        <v>1</v>
      </c>
      <c r="J216" s="10">
        <v>12</v>
      </c>
      <c r="K216" s="10" t="s">
        <v>2219</v>
      </c>
      <c r="L216" s="10" t="s">
        <v>2153</v>
      </c>
      <c r="M216" s="10" t="s">
        <v>2229</v>
      </c>
      <c r="N216" s="11" t="s">
        <v>2276</v>
      </c>
      <c r="O216" s="10" t="s">
        <v>2154</v>
      </c>
      <c r="P216" s="10">
        <v>11</v>
      </c>
      <c r="Q216" s="10"/>
      <c r="R216" s="10" t="s">
        <v>2387</v>
      </c>
      <c r="S216" s="10" t="s">
        <v>2387</v>
      </c>
      <c r="T216" s="10"/>
      <c r="U216" s="10"/>
      <c r="V216" s="10"/>
      <c r="W216" s="10"/>
      <c r="X216" s="10"/>
      <c r="Y216" s="10"/>
      <c r="Z216" s="10"/>
      <c r="AA216" s="10"/>
      <c r="AB216" s="10"/>
      <c r="AC216" s="10"/>
      <c r="AD216" t="s">
        <v>20</v>
      </c>
      <c r="AE216" t="s">
        <v>20</v>
      </c>
      <c r="AG216">
        <v>0</v>
      </c>
    </row>
    <row r="217" spans="1:33">
      <c r="A217" t="s">
        <v>416</v>
      </c>
      <c r="B217" s="4" t="s">
        <v>1321</v>
      </c>
      <c r="C217" s="4" t="s">
        <v>1322</v>
      </c>
      <c r="G217" s="10" t="s">
        <v>24</v>
      </c>
      <c r="H217" s="10"/>
      <c r="I217" s="10">
        <v>1</v>
      </c>
      <c r="J217" s="10">
        <v>2</v>
      </c>
      <c r="K217" s="10" t="s">
        <v>2158</v>
      </c>
      <c r="L217" s="10" t="s">
        <v>2200</v>
      </c>
      <c r="M217" s="10"/>
      <c r="N217" s="11"/>
      <c r="O217" s="10"/>
      <c r="P217" s="10">
        <v>2475</v>
      </c>
      <c r="Q217" s="10"/>
      <c r="R217" s="10" t="s">
        <v>2387</v>
      </c>
      <c r="S217" s="10" t="s">
        <v>2387</v>
      </c>
      <c r="T217" s="10"/>
      <c r="U217" s="10"/>
      <c r="V217" s="10"/>
      <c r="W217" s="10"/>
      <c r="X217" s="10"/>
      <c r="Y217" s="10"/>
      <c r="Z217" s="10"/>
      <c r="AA217" s="10"/>
      <c r="AB217" s="10"/>
      <c r="AC217" s="10"/>
      <c r="AD217" t="s">
        <v>19</v>
      </c>
      <c r="AE217" t="s">
        <v>19</v>
      </c>
      <c r="AG217">
        <v>1</v>
      </c>
    </row>
    <row r="218" spans="1:33">
      <c r="A218" t="s">
        <v>416</v>
      </c>
      <c r="B218" s="4" t="s">
        <v>1325</v>
      </c>
      <c r="C218" s="4" t="s">
        <v>1326</v>
      </c>
      <c r="G218" s="10" t="s">
        <v>2199</v>
      </c>
      <c r="H218" s="10"/>
      <c r="I218" s="10"/>
      <c r="J218" s="10"/>
      <c r="K218" s="10"/>
      <c r="L218" s="10"/>
      <c r="M218" s="10"/>
      <c r="N218" s="11"/>
      <c r="O218" s="10"/>
      <c r="P218" s="10"/>
      <c r="Q218" s="10">
        <v>-1</v>
      </c>
      <c r="R218" s="10">
        <v>1</v>
      </c>
      <c r="S218" s="10">
        <v>0</v>
      </c>
      <c r="T218" s="10"/>
      <c r="U218" s="10"/>
      <c r="V218" s="10"/>
      <c r="W218" s="10"/>
      <c r="X218" s="10"/>
      <c r="Y218" s="10"/>
      <c r="Z218" s="10"/>
      <c r="AA218" s="10"/>
      <c r="AB218" s="10"/>
      <c r="AC218" s="10"/>
      <c r="AD218" t="s">
        <v>19</v>
      </c>
      <c r="AE218" t="s">
        <v>20</v>
      </c>
      <c r="AG218">
        <v>1</v>
      </c>
    </row>
    <row r="219" spans="1:33">
      <c r="A219" t="s">
        <v>417</v>
      </c>
      <c r="B219" s="4" t="s">
        <v>418</v>
      </c>
      <c r="C219" s="4" t="s">
        <v>419</v>
      </c>
      <c r="G219" s="10" t="s">
        <v>2201</v>
      </c>
      <c r="H219" s="10"/>
      <c r="I219" s="10"/>
      <c r="J219" s="10"/>
      <c r="K219" s="10"/>
      <c r="L219" s="10"/>
      <c r="M219" s="10"/>
      <c r="N219" s="11"/>
      <c r="O219" s="10"/>
      <c r="P219" s="10"/>
      <c r="Q219" s="10"/>
      <c r="R219" s="10" t="s">
        <v>2387</v>
      </c>
      <c r="S219" s="10" t="s">
        <v>2387</v>
      </c>
      <c r="T219" s="10"/>
      <c r="U219" s="10"/>
      <c r="V219" s="10"/>
      <c r="W219" s="10"/>
      <c r="X219" s="10"/>
      <c r="Y219" s="10"/>
      <c r="Z219" s="10"/>
      <c r="AA219" s="10"/>
      <c r="AB219" s="10"/>
      <c r="AC219" s="10"/>
      <c r="AD219" t="s">
        <v>19</v>
      </c>
      <c r="AE219" t="s">
        <v>19</v>
      </c>
      <c r="AG219">
        <v>1</v>
      </c>
    </row>
    <row r="220" spans="1:33" ht="58">
      <c r="A220" t="s">
        <v>422</v>
      </c>
      <c r="B220" s="4" t="s">
        <v>1332</v>
      </c>
      <c r="C220" s="4" t="s">
        <v>1331</v>
      </c>
      <c r="G220" s="10" t="s">
        <v>25</v>
      </c>
      <c r="H220" s="10"/>
      <c r="I220" s="10">
        <v>5</v>
      </c>
      <c r="J220" s="10">
        <v>27</v>
      </c>
      <c r="K220" s="10"/>
      <c r="L220" s="10" t="s">
        <v>2153</v>
      </c>
      <c r="M220" s="10" t="s">
        <v>2277</v>
      </c>
      <c r="N220" s="11" t="s">
        <v>2278</v>
      </c>
      <c r="O220" s="10"/>
      <c r="P220" s="10">
        <v>3</v>
      </c>
      <c r="Q220" s="10"/>
      <c r="R220" s="10" t="s">
        <v>2387</v>
      </c>
      <c r="S220" s="10" t="s">
        <v>2387</v>
      </c>
      <c r="T220" s="10"/>
      <c r="U220" s="10"/>
      <c r="V220" s="10"/>
      <c r="W220" s="10"/>
      <c r="X220" s="10"/>
      <c r="Y220" s="10"/>
      <c r="Z220" s="10"/>
      <c r="AA220" s="10"/>
      <c r="AB220" s="10"/>
      <c r="AC220" s="10" t="s">
        <v>19</v>
      </c>
      <c r="AD220" t="s">
        <v>19</v>
      </c>
      <c r="AE220" t="s">
        <v>20</v>
      </c>
      <c r="AG220">
        <v>1</v>
      </c>
    </row>
    <row r="221" spans="1:33" ht="58">
      <c r="A221" t="s">
        <v>422</v>
      </c>
      <c r="B221" s="4" t="s">
        <v>1330</v>
      </c>
      <c r="C221" s="4" t="s">
        <v>1333</v>
      </c>
      <c r="F221" t="s">
        <v>19</v>
      </c>
      <c r="G221" s="10" t="s">
        <v>24</v>
      </c>
      <c r="H221" s="10"/>
      <c r="I221" s="10">
        <v>1</v>
      </c>
      <c r="J221" s="10">
        <v>1</v>
      </c>
      <c r="K221" s="10" t="s">
        <v>2168</v>
      </c>
      <c r="L221" s="10" t="s">
        <v>2200</v>
      </c>
      <c r="M221" s="10"/>
      <c r="N221" s="11"/>
      <c r="O221" s="10"/>
      <c r="P221" s="10">
        <v>171</v>
      </c>
      <c r="Q221" s="10"/>
      <c r="R221" s="10" t="s">
        <v>2387</v>
      </c>
      <c r="S221" s="10" t="s">
        <v>2387</v>
      </c>
      <c r="T221" s="10"/>
      <c r="U221" s="10"/>
      <c r="V221" s="10"/>
      <c r="W221" s="10"/>
      <c r="X221" s="10"/>
      <c r="Y221" s="10"/>
      <c r="Z221" s="10"/>
      <c r="AA221" s="10"/>
      <c r="AB221" s="10"/>
      <c r="AC221" s="10"/>
      <c r="AD221" t="s">
        <v>20</v>
      </c>
      <c r="AE221" t="s">
        <v>20</v>
      </c>
      <c r="AG221">
        <v>0</v>
      </c>
    </row>
    <row r="222" spans="1:33">
      <c r="A222" t="s">
        <v>422</v>
      </c>
      <c r="B222" s="4" t="s">
        <v>423</v>
      </c>
      <c r="C222" s="4" t="s">
        <v>424</v>
      </c>
      <c r="G222" s="10" t="s">
        <v>2201</v>
      </c>
      <c r="H222" s="10"/>
      <c r="I222" s="10"/>
      <c r="J222" s="10"/>
      <c r="K222" s="10"/>
      <c r="L222" s="10"/>
      <c r="M222" s="10"/>
      <c r="N222" s="11"/>
      <c r="O222" s="10"/>
      <c r="P222" s="10"/>
      <c r="Q222" s="10"/>
      <c r="R222" s="10" t="s">
        <v>2387</v>
      </c>
      <c r="S222" s="10" t="s">
        <v>2387</v>
      </c>
      <c r="T222" s="10"/>
      <c r="U222" s="10"/>
      <c r="V222" s="10"/>
      <c r="W222" s="10"/>
      <c r="X222" s="10"/>
      <c r="Y222" s="10"/>
      <c r="Z222" s="10"/>
      <c r="AA222" s="10"/>
      <c r="AB222" s="10"/>
      <c r="AC222" s="10"/>
      <c r="AD222" t="s">
        <v>19</v>
      </c>
      <c r="AE222" t="s">
        <v>19</v>
      </c>
      <c r="AG222">
        <v>1</v>
      </c>
    </row>
    <row r="223" spans="1:33">
      <c r="A223" t="s">
        <v>425</v>
      </c>
      <c r="B223" s="4" t="s">
        <v>426</v>
      </c>
      <c r="C223" s="4" t="s">
        <v>427</v>
      </c>
      <c r="G223" s="10" t="s">
        <v>2201</v>
      </c>
      <c r="H223" s="10"/>
      <c r="I223" s="10"/>
      <c r="J223" s="10"/>
      <c r="K223" s="10"/>
      <c r="L223" s="10"/>
      <c r="M223" s="10"/>
      <c r="N223" s="11"/>
      <c r="O223" s="10"/>
      <c r="P223" s="10"/>
      <c r="Q223" s="10"/>
      <c r="R223" s="10" t="s">
        <v>2387</v>
      </c>
      <c r="S223" s="10" t="s">
        <v>2387</v>
      </c>
      <c r="T223" s="10"/>
      <c r="U223" s="10"/>
      <c r="V223" s="10"/>
      <c r="W223" s="10"/>
      <c r="X223" s="10"/>
      <c r="Y223" s="10"/>
      <c r="Z223" s="10"/>
      <c r="AA223" s="10"/>
      <c r="AB223" s="10"/>
      <c r="AC223" s="10"/>
      <c r="AD223" t="s">
        <v>19</v>
      </c>
      <c r="AE223" t="s">
        <v>19</v>
      </c>
      <c r="AG223">
        <v>1</v>
      </c>
    </row>
    <row r="224" spans="1:33">
      <c r="A224" t="s">
        <v>428</v>
      </c>
      <c r="B224" s="4" t="s">
        <v>429</v>
      </c>
      <c r="C224" s="4" t="s">
        <v>146</v>
      </c>
      <c r="G224" s="10" t="s">
        <v>2201</v>
      </c>
      <c r="H224" s="10"/>
      <c r="I224" s="10"/>
      <c r="J224" s="10"/>
      <c r="K224" s="10"/>
      <c r="L224" s="10"/>
      <c r="M224" s="10"/>
      <c r="N224" s="11"/>
      <c r="O224" s="10"/>
      <c r="P224" s="10"/>
      <c r="Q224" s="10"/>
      <c r="R224" s="10" t="s">
        <v>2387</v>
      </c>
      <c r="S224" s="10" t="s">
        <v>2387</v>
      </c>
      <c r="T224" s="10"/>
      <c r="U224" s="10"/>
      <c r="V224" s="10"/>
      <c r="W224" s="10"/>
      <c r="X224" s="10"/>
      <c r="Y224" s="10"/>
      <c r="Z224" s="10"/>
      <c r="AA224" s="10"/>
      <c r="AB224" s="10"/>
      <c r="AC224" s="10"/>
      <c r="AD224" t="s">
        <v>19</v>
      </c>
      <c r="AE224" t="s">
        <v>19</v>
      </c>
      <c r="AG224">
        <v>1</v>
      </c>
    </row>
    <row r="225" spans="1:33">
      <c r="A225" t="s">
        <v>437</v>
      </c>
      <c r="B225" s="4" t="s">
        <v>1339</v>
      </c>
      <c r="C225" s="4" t="s">
        <v>1338</v>
      </c>
      <c r="G225" s="10" t="s">
        <v>24</v>
      </c>
      <c r="H225" s="10"/>
      <c r="I225" s="10">
        <v>1</v>
      </c>
      <c r="J225" s="10">
        <v>3</v>
      </c>
      <c r="K225" s="10" t="s">
        <v>2158</v>
      </c>
      <c r="L225" s="10" t="s">
        <v>2159</v>
      </c>
      <c r="M225" s="10"/>
      <c r="N225" s="11"/>
      <c r="O225" s="10"/>
      <c r="P225" s="10">
        <v>2475</v>
      </c>
      <c r="Q225" s="10"/>
      <c r="R225" s="10" t="s">
        <v>2387</v>
      </c>
      <c r="S225" s="10" t="s">
        <v>2387</v>
      </c>
      <c r="T225" s="10"/>
      <c r="U225" s="10"/>
      <c r="V225" s="10"/>
      <c r="W225" s="10"/>
      <c r="X225" s="10"/>
      <c r="Y225" s="10"/>
      <c r="Z225" s="10"/>
      <c r="AA225" s="10"/>
      <c r="AB225" s="10"/>
      <c r="AC225" s="10"/>
      <c r="AD225" t="s">
        <v>19</v>
      </c>
      <c r="AE225" t="s">
        <v>19</v>
      </c>
      <c r="AG225">
        <v>1</v>
      </c>
    </row>
    <row r="226" spans="1:33">
      <c r="A226" t="s">
        <v>441</v>
      </c>
      <c r="B226" s="4" t="s">
        <v>1340</v>
      </c>
      <c r="C226" s="4" t="s">
        <v>1342</v>
      </c>
      <c r="F226" t="s">
        <v>19</v>
      </c>
      <c r="G226" s="10" t="s">
        <v>2201</v>
      </c>
      <c r="H226" s="10"/>
      <c r="I226" s="10"/>
      <c r="J226" s="10"/>
      <c r="K226" s="10"/>
      <c r="L226" s="10"/>
      <c r="M226" s="10"/>
      <c r="N226" s="11"/>
      <c r="O226" s="10"/>
      <c r="P226" s="10"/>
      <c r="Q226" s="10"/>
      <c r="R226" s="10" t="s">
        <v>2387</v>
      </c>
      <c r="S226" s="10" t="s">
        <v>2387</v>
      </c>
      <c r="T226" s="10"/>
      <c r="U226" s="10"/>
      <c r="V226" s="10"/>
      <c r="W226" s="10"/>
      <c r="X226" s="10"/>
      <c r="Y226" s="10"/>
      <c r="Z226" s="10"/>
      <c r="AA226" s="10"/>
      <c r="AB226" s="10"/>
      <c r="AC226" s="10"/>
      <c r="AD226" t="s">
        <v>20</v>
      </c>
      <c r="AE226" t="s">
        <v>20</v>
      </c>
      <c r="AG226">
        <v>0</v>
      </c>
    </row>
    <row r="227" spans="1:33">
      <c r="A227" t="s">
        <v>441</v>
      </c>
      <c r="B227" s="4" t="s">
        <v>1345</v>
      </c>
      <c r="C227" s="4" t="s">
        <v>1346</v>
      </c>
      <c r="G227" s="10" t="s">
        <v>2201</v>
      </c>
      <c r="H227" s="10"/>
      <c r="I227" s="10"/>
      <c r="J227" s="10"/>
      <c r="K227" s="10"/>
      <c r="L227" s="10"/>
      <c r="M227" s="10"/>
      <c r="N227" s="11"/>
      <c r="O227" s="10"/>
      <c r="P227" s="10"/>
      <c r="Q227" s="10"/>
      <c r="R227" s="10" t="s">
        <v>2387</v>
      </c>
      <c r="S227" s="10" t="s">
        <v>2387</v>
      </c>
      <c r="T227" s="10"/>
      <c r="U227" s="10"/>
      <c r="V227" s="10"/>
      <c r="W227" s="10"/>
      <c r="X227" s="10"/>
      <c r="Y227" s="10"/>
      <c r="Z227" s="10"/>
      <c r="AA227" s="10"/>
      <c r="AB227" s="10"/>
      <c r="AC227" s="10"/>
      <c r="AD227" t="s">
        <v>19</v>
      </c>
      <c r="AE227" t="s">
        <v>20</v>
      </c>
      <c r="AG227">
        <v>1</v>
      </c>
    </row>
    <row r="228" spans="1:33" ht="29">
      <c r="A228" t="s">
        <v>442</v>
      </c>
      <c r="B228" s="4" t="s">
        <v>1347</v>
      </c>
      <c r="C228" s="4" t="s">
        <v>1348</v>
      </c>
      <c r="G228" s="10" t="s">
        <v>24</v>
      </c>
      <c r="H228" s="10"/>
      <c r="I228" s="10">
        <v>1</v>
      </c>
      <c r="J228" s="10">
        <v>3</v>
      </c>
      <c r="K228" s="10" t="s">
        <v>2158</v>
      </c>
      <c r="L228" s="10" t="s">
        <v>2153</v>
      </c>
      <c r="M228" s="10" t="s">
        <v>2229</v>
      </c>
      <c r="N228" s="11" t="s">
        <v>2230</v>
      </c>
      <c r="O228" s="10"/>
      <c r="P228" s="10">
        <v>2475</v>
      </c>
      <c r="Q228" s="10"/>
      <c r="R228" s="10" t="s">
        <v>2387</v>
      </c>
      <c r="S228" s="10" t="s">
        <v>2387</v>
      </c>
      <c r="T228" s="10"/>
      <c r="U228" s="10"/>
      <c r="V228" s="10"/>
      <c r="W228" s="10"/>
      <c r="X228" s="10"/>
      <c r="Y228" s="10"/>
      <c r="Z228" s="10"/>
      <c r="AA228" s="10"/>
      <c r="AB228" s="10"/>
      <c r="AC228" s="10"/>
      <c r="AD228" t="s">
        <v>20</v>
      </c>
      <c r="AE228" t="s">
        <v>20</v>
      </c>
      <c r="AG228">
        <v>0</v>
      </c>
    </row>
    <row r="229" spans="1:33" ht="29">
      <c r="A229" t="s">
        <v>442</v>
      </c>
      <c r="B229" s="4" t="s">
        <v>1349</v>
      </c>
      <c r="C229" s="4" t="s">
        <v>1350</v>
      </c>
      <c r="G229" s="10" t="s">
        <v>24</v>
      </c>
      <c r="H229" s="10"/>
      <c r="I229" s="10">
        <v>1</v>
      </c>
      <c r="J229" s="10">
        <v>2</v>
      </c>
      <c r="K229" s="10" t="s">
        <v>2158</v>
      </c>
      <c r="L229" s="10" t="s">
        <v>2200</v>
      </c>
      <c r="M229" s="10"/>
      <c r="N229" s="11"/>
      <c r="O229" s="10"/>
      <c r="P229" s="10">
        <v>2475</v>
      </c>
      <c r="Q229" s="10"/>
      <c r="R229" s="10" t="s">
        <v>2387</v>
      </c>
      <c r="S229" s="10" t="s">
        <v>2387</v>
      </c>
      <c r="T229" s="10"/>
      <c r="U229" s="10"/>
      <c r="V229" s="10"/>
      <c r="W229" s="10"/>
      <c r="X229" s="10"/>
      <c r="Y229" s="10"/>
      <c r="Z229" s="10"/>
      <c r="AA229" s="10"/>
      <c r="AB229" s="10"/>
      <c r="AC229" s="10"/>
      <c r="AD229" t="s">
        <v>19</v>
      </c>
      <c r="AE229" t="s">
        <v>19</v>
      </c>
      <c r="AG229">
        <v>1</v>
      </c>
    </row>
    <row r="230" spans="1:33" ht="29">
      <c r="A230" t="s">
        <v>442</v>
      </c>
      <c r="B230" s="4" t="s">
        <v>1349</v>
      </c>
      <c r="C230" s="4" t="s">
        <v>1351</v>
      </c>
      <c r="G230" s="10" t="s">
        <v>24</v>
      </c>
      <c r="H230" s="10"/>
      <c r="I230" s="10">
        <v>1</v>
      </c>
      <c r="J230" s="10">
        <v>3</v>
      </c>
      <c r="K230" s="10" t="s">
        <v>2158</v>
      </c>
      <c r="L230" s="10" t="s">
        <v>2159</v>
      </c>
      <c r="M230" s="10"/>
      <c r="N230" s="11"/>
      <c r="O230" s="10"/>
      <c r="P230" s="10">
        <v>2475</v>
      </c>
      <c r="Q230" s="10"/>
      <c r="R230" s="10" t="s">
        <v>2387</v>
      </c>
      <c r="S230" s="10" t="s">
        <v>2387</v>
      </c>
      <c r="T230" s="10"/>
      <c r="U230" s="10"/>
      <c r="V230" s="10"/>
      <c r="W230" s="10"/>
      <c r="X230" s="10"/>
      <c r="Y230" s="10"/>
      <c r="Z230" s="10"/>
      <c r="AA230" s="10"/>
      <c r="AB230" s="10"/>
      <c r="AC230" s="10"/>
      <c r="AD230" t="s">
        <v>19</v>
      </c>
      <c r="AE230" t="s">
        <v>19</v>
      </c>
      <c r="AG230">
        <v>1</v>
      </c>
    </row>
    <row r="231" spans="1:33" ht="29">
      <c r="A231" t="s">
        <v>443</v>
      </c>
      <c r="B231" s="4" t="s">
        <v>1353</v>
      </c>
      <c r="C231" s="4" t="s">
        <v>1352</v>
      </c>
      <c r="G231" s="10" t="s">
        <v>26</v>
      </c>
      <c r="H231" s="10"/>
      <c r="I231" s="10"/>
      <c r="J231" s="10"/>
      <c r="K231" s="10"/>
      <c r="L231" s="10"/>
      <c r="M231" s="10"/>
      <c r="N231" s="11"/>
      <c r="O231" s="10"/>
      <c r="P231" s="10"/>
      <c r="Q231" s="10"/>
      <c r="R231" s="10" t="s">
        <v>2387</v>
      </c>
      <c r="S231" s="10" t="s">
        <v>2387</v>
      </c>
      <c r="T231" s="10"/>
      <c r="U231" s="10"/>
      <c r="V231" s="10"/>
      <c r="W231" s="10"/>
      <c r="X231" s="10"/>
      <c r="Y231" s="10"/>
      <c r="Z231" s="10"/>
      <c r="AA231" s="10"/>
      <c r="AB231" s="10"/>
      <c r="AC231" s="10"/>
      <c r="AD231" t="s">
        <v>19</v>
      </c>
      <c r="AE231" t="s">
        <v>19</v>
      </c>
      <c r="AG231">
        <v>1</v>
      </c>
    </row>
    <row r="232" spans="1:33" ht="29">
      <c r="A232" t="s">
        <v>443</v>
      </c>
      <c r="B232" s="4" t="s">
        <v>1358</v>
      </c>
      <c r="C232" s="4" t="s">
        <v>1359</v>
      </c>
      <c r="G232" s="10" t="s">
        <v>2201</v>
      </c>
      <c r="H232" s="10"/>
      <c r="I232" s="10"/>
      <c r="J232" s="10"/>
      <c r="K232" s="10"/>
      <c r="L232" s="10"/>
      <c r="M232" s="10"/>
      <c r="N232" s="11"/>
      <c r="O232" s="10"/>
      <c r="P232" s="10"/>
      <c r="Q232" s="10"/>
      <c r="R232" s="10" t="s">
        <v>2387</v>
      </c>
      <c r="S232" s="10" t="s">
        <v>2387</v>
      </c>
      <c r="T232" s="10"/>
      <c r="U232" s="10"/>
      <c r="V232" s="10"/>
      <c r="W232" s="10"/>
      <c r="X232" s="10"/>
      <c r="Y232" s="10"/>
      <c r="Z232" s="10"/>
      <c r="AA232" s="10"/>
      <c r="AB232" s="10"/>
      <c r="AC232" s="10"/>
      <c r="AD232" t="s">
        <v>19</v>
      </c>
      <c r="AE232" t="s">
        <v>19</v>
      </c>
      <c r="AG232">
        <v>1</v>
      </c>
    </row>
    <row r="233" spans="1:33">
      <c r="A233" t="s">
        <v>445</v>
      </c>
      <c r="B233" s="4" t="s">
        <v>1360</v>
      </c>
      <c r="C233" s="4" t="s">
        <v>1361</v>
      </c>
      <c r="G233" s="10" t="s">
        <v>2201</v>
      </c>
      <c r="H233" s="10"/>
      <c r="I233" s="10"/>
      <c r="J233" s="10"/>
      <c r="K233" s="10"/>
      <c r="L233" s="10"/>
      <c r="M233" s="10"/>
      <c r="N233" s="11"/>
      <c r="O233" s="10"/>
      <c r="P233" s="10"/>
      <c r="Q233" s="10"/>
      <c r="R233" s="10" t="s">
        <v>2387</v>
      </c>
      <c r="S233" s="10" t="s">
        <v>2387</v>
      </c>
      <c r="T233" s="10"/>
      <c r="U233" s="10"/>
      <c r="V233" s="10"/>
      <c r="W233" s="10"/>
      <c r="X233" s="10"/>
      <c r="Y233" s="10"/>
      <c r="Z233" s="10"/>
      <c r="AA233" s="10"/>
      <c r="AB233" s="10"/>
      <c r="AC233" s="10"/>
      <c r="AD233" t="s">
        <v>19</v>
      </c>
      <c r="AE233" t="s">
        <v>20</v>
      </c>
      <c r="AG233">
        <v>1</v>
      </c>
    </row>
    <row r="234" spans="1:33" ht="29">
      <c r="A234" t="s">
        <v>445</v>
      </c>
      <c r="B234" s="4" t="s">
        <v>1363</v>
      </c>
      <c r="C234" s="4" t="s">
        <v>1362</v>
      </c>
      <c r="G234" s="10" t="s">
        <v>2199</v>
      </c>
      <c r="H234" s="10"/>
      <c r="I234" s="10"/>
      <c r="J234" s="10"/>
      <c r="K234" s="10"/>
      <c r="L234" s="10"/>
      <c r="M234" s="10"/>
      <c r="N234" s="11"/>
      <c r="O234" s="10"/>
      <c r="P234" s="10"/>
      <c r="Q234" s="10">
        <v>2</v>
      </c>
      <c r="R234" s="10">
        <v>1</v>
      </c>
      <c r="S234" s="10">
        <v>3</v>
      </c>
      <c r="T234" s="10"/>
      <c r="U234" s="10"/>
      <c r="V234" s="10"/>
      <c r="W234" s="10"/>
      <c r="X234" s="10"/>
      <c r="Y234" s="10"/>
      <c r="Z234" s="10"/>
      <c r="AA234" s="10"/>
      <c r="AB234" s="10"/>
      <c r="AC234" s="10"/>
      <c r="AD234" t="s">
        <v>19</v>
      </c>
      <c r="AE234" t="s">
        <v>19</v>
      </c>
      <c r="AG234">
        <v>1</v>
      </c>
    </row>
    <row r="235" spans="1:33">
      <c r="A235" t="s">
        <v>446</v>
      </c>
      <c r="B235" s="4" t="s">
        <v>1365</v>
      </c>
      <c r="C235" s="4" t="s">
        <v>1364</v>
      </c>
      <c r="G235" s="10" t="s">
        <v>24</v>
      </c>
      <c r="H235" s="10"/>
      <c r="I235" s="10">
        <v>1</v>
      </c>
      <c r="J235" s="10">
        <v>3</v>
      </c>
      <c r="K235" s="10" t="s">
        <v>2158</v>
      </c>
      <c r="L235" s="10" t="s">
        <v>2159</v>
      </c>
      <c r="M235" s="10"/>
      <c r="N235" s="11"/>
      <c r="O235" s="10"/>
      <c r="P235" s="10">
        <v>2475</v>
      </c>
      <c r="Q235" s="10"/>
      <c r="R235" s="10" t="s">
        <v>2387</v>
      </c>
      <c r="S235" s="10" t="s">
        <v>2387</v>
      </c>
      <c r="T235" s="10"/>
      <c r="U235" s="10"/>
      <c r="V235" s="10"/>
      <c r="W235" s="10"/>
      <c r="X235" s="10"/>
      <c r="Y235" s="10"/>
      <c r="Z235" s="10"/>
      <c r="AA235" s="10"/>
      <c r="AB235" s="10"/>
      <c r="AC235" s="10"/>
      <c r="AD235" t="s">
        <v>20</v>
      </c>
      <c r="AE235" t="s">
        <v>20</v>
      </c>
      <c r="AG235">
        <v>0</v>
      </c>
    </row>
    <row r="236" spans="1:33" ht="29">
      <c r="A236" t="s">
        <v>447</v>
      </c>
      <c r="B236" s="4" t="s">
        <v>1367</v>
      </c>
      <c r="C236" s="4" t="s">
        <v>1368</v>
      </c>
      <c r="G236" s="10" t="s">
        <v>2199</v>
      </c>
      <c r="H236" s="10"/>
      <c r="I236" s="10"/>
      <c r="J236" s="10"/>
      <c r="K236" s="10"/>
      <c r="L236" s="10"/>
      <c r="M236" s="10"/>
      <c r="N236" s="11"/>
      <c r="O236" s="10"/>
      <c r="P236" s="10"/>
      <c r="Q236" s="10">
        <v>-2</v>
      </c>
      <c r="R236" s="10">
        <v>3</v>
      </c>
      <c r="S236" s="10">
        <v>1</v>
      </c>
      <c r="T236" s="10"/>
      <c r="U236" s="10"/>
      <c r="V236" s="10"/>
      <c r="W236" s="10"/>
      <c r="X236" s="10"/>
      <c r="Y236" s="10"/>
      <c r="Z236" s="10"/>
      <c r="AA236" s="10"/>
      <c r="AB236" s="10"/>
      <c r="AC236" s="10" t="s">
        <v>19</v>
      </c>
      <c r="AD236" t="s">
        <v>19</v>
      </c>
      <c r="AE236" t="s">
        <v>19</v>
      </c>
      <c r="AG236">
        <v>1</v>
      </c>
    </row>
    <row r="237" spans="1:33" ht="29">
      <c r="A237" t="s">
        <v>449</v>
      </c>
      <c r="B237" s="4" t="s">
        <v>1372</v>
      </c>
      <c r="C237" s="4" t="s">
        <v>1373</v>
      </c>
      <c r="G237" s="10" t="s">
        <v>24</v>
      </c>
      <c r="H237" s="10"/>
      <c r="I237" s="10">
        <v>1</v>
      </c>
      <c r="J237" s="10">
        <v>2</v>
      </c>
      <c r="K237" s="10" t="s">
        <v>2168</v>
      </c>
      <c r="L237" s="10" t="s">
        <v>2200</v>
      </c>
      <c r="M237" s="10"/>
      <c r="N237" s="11"/>
      <c r="O237" s="10"/>
      <c r="P237" s="10">
        <v>171</v>
      </c>
      <c r="Q237" s="10"/>
      <c r="R237" s="10" t="s">
        <v>2387</v>
      </c>
      <c r="S237" s="10" t="s">
        <v>2387</v>
      </c>
      <c r="T237" s="10"/>
      <c r="U237" s="10"/>
      <c r="V237" s="10"/>
      <c r="W237" s="10"/>
      <c r="X237" s="10"/>
      <c r="Y237" s="10"/>
      <c r="Z237" s="10"/>
      <c r="AA237" s="10"/>
      <c r="AB237" s="10"/>
      <c r="AC237" s="10"/>
      <c r="AD237" t="s">
        <v>19</v>
      </c>
      <c r="AE237" t="s">
        <v>19</v>
      </c>
      <c r="AG237">
        <v>1</v>
      </c>
    </row>
    <row r="238" spans="1:33">
      <c r="A238" t="s">
        <v>450</v>
      </c>
      <c r="B238" s="4" t="s">
        <v>1376</v>
      </c>
      <c r="C238" s="4" t="s">
        <v>1377</v>
      </c>
      <c r="G238" s="10" t="s">
        <v>2201</v>
      </c>
      <c r="H238" s="10"/>
      <c r="I238" s="10"/>
      <c r="J238" s="10"/>
      <c r="K238" s="10"/>
      <c r="L238" s="10"/>
      <c r="M238" s="10"/>
      <c r="N238" s="11"/>
      <c r="O238" s="10"/>
      <c r="P238" s="10"/>
      <c r="Q238" s="10"/>
      <c r="R238" s="10" t="s">
        <v>2387</v>
      </c>
      <c r="S238" s="10" t="s">
        <v>2387</v>
      </c>
      <c r="T238" s="10"/>
      <c r="U238" s="10"/>
      <c r="V238" s="10"/>
      <c r="W238" s="10"/>
      <c r="X238" s="10"/>
      <c r="Y238" s="10"/>
      <c r="Z238" s="10"/>
      <c r="AA238" s="10"/>
      <c r="AB238" s="10"/>
      <c r="AC238" s="10"/>
      <c r="AD238" t="s">
        <v>19</v>
      </c>
      <c r="AE238" t="s">
        <v>19</v>
      </c>
      <c r="AG238">
        <v>1</v>
      </c>
    </row>
    <row r="239" spans="1:33" ht="43.5">
      <c r="A239" t="s">
        <v>451</v>
      </c>
      <c r="B239" s="4" t="s">
        <v>2439</v>
      </c>
      <c r="C239" s="4" t="s">
        <v>1378</v>
      </c>
      <c r="G239" s="10" t="s">
        <v>25</v>
      </c>
      <c r="H239" s="10"/>
      <c r="I239" s="10">
        <v>5</v>
      </c>
      <c r="J239" s="10">
        <v>27</v>
      </c>
      <c r="K239" s="10"/>
      <c r="L239" s="10" t="s">
        <v>2159</v>
      </c>
      <c r="M239" s="10"/>
      <c r="N239" s="11"/>
      <c r="O239" s="10"/>
      <c r="P239" s="10">
        <v>18</v>
      </c>
      <c r="Q239" s="10"/>
      <c r="R239" s="10" t="s">
        <v>2387</v>
      </c>
      <c r="S239" s="10" t="s">
        <v>2387</v>
      </c>
      <c r="T239" s="10"/>
      <c r="U239" s="10"/>
      <c r="V239" s="10"/>
      <c r="W239" s="10"/>
      <c r="X239" s="10"/>
      <c r="Y239" s="10"/>
      <c r="Z239" s="10"/>
      <c r="AA239" s="10"/>
      <c r="AB239" s="10"/>
      <c r="AC239" s="10"/>
      <c r="AD239" t="s">
        <v>19</v>
      </c>
      <c r="AE239" t="s">
        <v>20</v>
      </c>
      <c r="AG239">
        <v>1</v>
      </c>
    </row>
    <row r="240" spans="1:33" ht="29">
      <c r="A240" t="s">
        <v>454</v>
      </c>
      <c r="B240" s="4" t="s">
        <v>1383</v>
      </c>
      <c r="C240" s="4" t="s">
        <v>1384</v>
      </c>
      <c r="F240" t="s">
        <v>22</v>
      </c>
      <c r="G240" s="10" t="s">
        <v>2199</v>
      </c>
      <c r="H240" s="10"/>
      <c r="I240" s="10"/>
      <c r="J240" s="10"/>
      <c r="K240" s="10"/>
      <c r="L240" s="10"/>
      <c r="M240" s="10"/>
      <c r="N240" s="11"/>
      <c r="O240" s="10"/>
      <c r="P240" s="10"/>
      <c r="Q240" s="10">
        <v>9</v>
      </c>
      <c r="R240" s="10">
        <v>7</v>
      </c>
      <c r="S240" s="10">
        <v>16</v>
      </c>
      <c r="T240" s="10"/>
      <c r="U240" s="10"/>
      <c r="V240" s="10"/>
      <c r="W240" s="10"/>
      <c r="X240" s="10"/>
      <c r="Y240" s="10"/>
      <c r="Z240" s="10"/>
      <c r="AA240" s="10"/>
      <c r="AB240" s="10"/>
      <c r="AC240" s="10"/>
      <c r="AD240" t="s">
        <v>19</v>
      </c>
      <c r="AG240">
        <v>1</v>
      </c>
    </row>
    <row r="241" spans="1:33">
      <c r="A241" t="s">
        <v>455</v>
      </c>
      <c r="B241" s="4" t="s">
        <v>2282</v>
      </c>
      <c r="C241" s="4" t="s">
        <v>2283</v>
      </c>
      <c r="F241" t="s">
        <v>19</v>
      </c>
      <c r="G241" s="10" t="s">
        <v>24</v>
      </c>
      <c r="H241" s="10"/>
      <c r="I241" s="10">
        <v>1</v>
      </c>
      <c r="J241" s="10">
        <v>1</v>
      </c>
      <c r="K241" s="10" t="s">
        <v>2152</v>
      </c>
      <c r="L241" s="10" t="s">
        <v>2200</v>
      </c>
      <c r="M241" s="10"/>
      <c r="N241" s="11"/>
      <c r="O241" s="10"/>
      <c r="P241" s="10">
        <v>9</v>
      </c>
      <c r="Q241" s="10"/>
      <c r="R241" s="10" t="s">
        <v>2387</v>
      </c>
      <c r="S241" s="10" t="s">
        <v>2387</v>
      </c>
      <c r="T241" s="10"/>
      <c r="U241" s="10"/>
      <c r="V241" s="10"/>
      <c r="W241" s="10"/>
      <c r="X241" s="10"/>
      <c r="Y241" s="10"/>
      <c r="Z241" s="10"/>
      <c r="AA241" s="10"/>
      <c r="AB241" s="10"/>
      <c r="AC241" s="10"/>
      <c r="AD241" t="s">
        <v>20</v>
      </c>
      <c r="AE241" t="s">
        <v>20</v>
      </c>
      <c r="AG241">
        <v>0</v>
      </c>
    </row>
    <row r="242" spans="1:33">
      <c r="A242" t="s">
        <v>456</v>
      </c>
      <c r="B242" s="4" t="s">
        <v>457</v>
      </c>
      <c r="C242" s="4" t="s">
        <v>458</v>
      </c>
      <c r="G242" s="10" t="s">
        <v>2201</v>
      </c>
      <c r="H242" s="10"/>
      <c r="I242" s="10"/>
      <c r="J242" s="10"/>
      <c r="K242" s="10"/>
      <c r="L242" s="10"/>
      <c r="M242" s="10"/>
      <c r="N242" s="11"/>
      <c r="O242" s="10"/>
      <c r="P242" s="10"/>
      <c r="Q242" s="10"/>
      <c r="R242" s="10" t="s">
        <v>2387</v>
      </c>
      <c r="S242" s="10" t="s">
        <v>2387</v>
      </c>
      <c r="T242" s="10"/>
      <c r="U242" s="10"/>
      <c r="V242" s="10"/>
      <c r="W242" s="10"/>
      <c r="X242" s="10"/>
      <c r="Y242" s="10"/>
      <c r="Z242" s="10"/>
      <c r="AA242" s="10"/>
      <c r="AB242" s="10"/>
      <c r="AC242" s="10"/>
      <c r="AD242" t="s">
        <v>20</v>
      </c>
      <c r="AE242" t="s">
        <v>20</v>
      </c>
      <c r="AG242">
        <v>0</v>
      </c>
    </row>
    <row r="243" spans="1:33">
      <c r="A243" t="s">
        <v>459</v>
      </c>
      <c r="B243" s="4" t="s">
        <v>1386</v>
      </c>
      <c r="C243" s="4" t="s">
        <v>1387</v>
      </c>
      <c r="G243" s="10" t="s">
        <v>24</v>
      </c>
      <c r="H243" s="10"/>
      <c r="I243" s="10">
        <v>1</v>
      </c>
      <c r="J243" s="10">
        <v>2</v>
      </c>
      <c r="K243" s="10" t="s">
        <v>2168</v>
      </c>
      <c r="L243" s="10" t="s">
        <v>2200</v>
      </c>
      <c r="M243" s="10"/>
      <c r="N243" s="11"/>
      <c r="O243" s="10"/>
      <c r="P243" s="10">
        <v>129</v>
      </c>
      <c r="Q243" s="10"/>
      <c r="R243" s="10" t="s">
        <v>2387</v>
      </c>
      <c r="S243" s="10" t="s">
        <v>2387</v>
      </c>
      <c r="T243" s="10"/>
      <c r="U243" s="10"/>
      <c r="V243" s="10"/>
      <c r="W243" s="10"/>
      <c r="X243" s="10"/>
      <c r="Y243" s="10"/>
      <c r="Z243" s="10"/>
      <c r="AA243" s="10"/>
      <c r="AB243" s="10"/>
      <c r="AC243" s="10"/>
      <c r="AD243" t="s">
        <v>20</v>
      </c>
      <c r="AE243" t="s">
        <v>20</v>
      </c>
      <c r="AG243">
        <v>0</v>
      </c>
    </row>
    <row r="244" spans="1:33" ht="29">
      <c r="A244" t="s">
        <v>463</v>
      </c>
      <c r="B244" s="4" t="s">
        <v>1390</v>
      </c>
      <c r="C244" s="4" t="s">
        <v>1391</v>
      </c>
      <c r="G244" s="10" t="s">
        <v>26</v>
      </c>
      <c r="H244" s="10"/>
      <c r="I244" s="10"/>
      <c r="J244" s="10"/>
      <c r="K244" s="10"/>
      <c r="L244" s="10"/>
      <c r="M244" s="10"/>
      <c r="N244" s="11"/>
      <c r="O244" s="10"/>
      <c r="P244" s="10"/>
      <c r="Q244" s="10"/>
      <c r="R244" s="10" t="s">
        <v>2387</v>
      </c>
      <c r="S244" s="10" t="s">
        <v>2387</v>
      </c>
      <c r="T244" s="10"/>
      <c r="U244" s="10"/>
      <c r="V244" s="10"/>
      <c r="W244" s="10"/>
      <c r="X244" s="10"/>
      <c r="Y244" s="10"/>
      <c r="Z244" s="10"/>
      <c r="AA244" s="10"/>
      <c r="AB244" s="10"/>
      <c r="AC244" s="10"/>
      <c r="AD244" t="s">
        <v>19</v>
      </c>
      <c r="AE244" t="s">
        <v>19</v>
      </c>
      <c r="AG244">
        <v>1</v>
      </c>
    </row>
    <row r="245" spans="1:33" ht="43.5">
      <c r="A245" t="s">
        <v>466</v>
      </c>
      <c r="B245" s="4" t="s">
        <v>2284</v>
      </c>
      <c r="C245" s="4" t="s">
        <v>2285</v>
      </c>
      <c r="G245" s="10" t="s">
        <v>26</v>
      </c>
      <c r="H245" s="10"/>
      <c r="I245" s="10"/>
      <c r="J245" s="10"/>
      <c r="K245" s="10"/>
      <c r="L245" s="10"/>
      <c r="M245" s="10"/>
      <c r="N245" s="11"/>
      <c r="O245" s="10"/>
      <c r="P245" s="10"/>
      <c r="Q245" s="10"/>
      <c r="R245" s="10" t="s">
        <v>2387</v>
      </c>
      <c r="S245" s="10" t="s">
        <v>2387</v>
      </c>
      <c r="T245" s="10"/>
      <c r="U245" s="10"/>
      <c r="V245" s="10"/>
      <c r="W245" s="10"/>
      <c r="X245" s="10"/>
      <c r="Y245" s="10"/>
      <c r="Z245" s="10"/>
      <c r="AA245" s="10"/>
      <c r="AB245" s="10"/>
      <c r="AC245" s="10"/>
      <c r="AD245" t="s">
        <v>19</v>
      </c>
      <c r="AE245" t="s">
        <v>19</v>
      </c>
      <c r="AG245">
        <v>1</v>
      </c>
    </row>
    <row r="246" spans="1:33">
      <c r="A246" t="s">
        <v>467</v>
      </c>
      <c r="B246" s="4" t="s">
        <v>1392</v>
      </c>
      <c r="C246" s="4" t="s">
        <v>1393</v>
      </c>
      <c r="G246" s="10" t="s">
        <v>2199</v>
      </c>
      <c r="H246" s="10"/>
      <c r="I246" s="10"/>
      <c r="J246" s="10"/>
      <c r="K246" s="10"/>
      <c r="L246" s="10"/>
      <c r="M246" s="10"/>
      <c r="N246" s="11"/>
      <c r="O246" s="10"/>
      <c r="P246" s="10"/>
      <c r="Q246" s="10">
        <v>15</v>
      </c>
      <c r="R246" s="10">
        <v>171</v>
      </c>
      <c r="S246" s="10">
        <v>186</v>
      </c>
      <c r="T246" s="10"/>
      <c r="U246" s="10"/>
      <c r="V246" s="10"/>
      <c r="W246" s="10"/>
      <c r="X246" s="10"/>
      <c r="Y246" s="10"/>
      <c r="Z246" s="10"/>
      <c r="AA246" s="10"/>
      <c r="AB246" s="10"/>
      <c r="AC246" s="10"/>
      <c r="AD246" t="s">
        <v>19</v>
      </c>
      <c r="AE246" t="s">
        <v>20</v>
      </c>
      <c r="AG246">
        <v>1</v>
      </c>
    </row>
    <row r="247" spans="1:33">
      <c r="A247" t="s">
        <v>469</v>
      </c>
      <c r="B247" s="4" t="s">
        <v>1399</v>
      </c>
      <c r="C247" s="4" t="s">
        <v>1398</v>
      </c>
      <c r="G247" s="10" t="s">
        <v>2199</v>
      </c>
      <c r="H247" s="10"/>
      <c r="I247" s="10"/>
      <c r="J247" s="10"/>
      <c r="K247" s="10"/>
      <c r="L247" s="10"/>
      <c r="M247" s="10"/>
      <c r="N247" s="11"/>
      <c r="O247" s="10"/>
      <c r="P247" s="10"/>
      <c r="Q247" s="10">
        <v>2376</v>
      </c>
      <c r="R247" s="10">
        <v>99</v>
      </c>
      <c r="S247" s="10">
        <v>2475</v>
      </c>
      <c r="T247" s="10"/>
      <c r="U247" s="10"/>
      <c r="V247" s="10"/>
      <c r="W247" s="10"/>
      <c r="X247" s="10"/>
      <c r="Y247" s="10"/>
      <c r="Z247" s="10"/>
      <c r="AA247" s="10"/>
      <c r="AB247" s="10"/>
      <c r="AC247" s="10"/>
      <c r="AD247" t="s">
        <v>19</v>
      </c>
      <c r="AE247" t="s">
        <v>19</v>
      </c>
      <c r="AG247">
        <v>1</v>
      </c>
    </row>
    <row r="248" spans="1:33">
      <c r="A248" t="s">
        <v>469</v>
      </c>
      <c r="B248" s="4" t="s">
        <v>1401</v>
      </c>
      <c r="C248" s="4" t="s">
        <v>1400</v>
      </c>
      <c r="G248" s="10" t="s">
        <v>24</v>
      </c>
      <c r="H248" s="10"/>
      <c r="I248" s="10">
        <v>1</v>
      </c>
      <c r="J248" s="10">
        <v>2</v>
      </c>
      <c r="K248" s="10" t="s">
        <v>2158</v>
      </c>
      <c r="L248" s="10" t="s">
        <v>2200</v>
      </c>
      <c r="M248" s="10"/>
      <c r="N248" s="11"/>
      <c r="O248" s="10"/>
      <c r="P248" s="10">
        <v>2475</v>
      </c>
      <c r="Q248" s="10"/>
      <c r="R248" s="10" t="s">
        <v>2387</v>
      </c>
      <c r="S248" s="10" t="s">
        <v>2387</v>
      </c>
      <c r="T248" s="10"/>
      <c r="U248" s="10"/>
      <c r="V248" s="10"/>
      <c r="W248" s="10"/>
      <c r="X248" s="10"/>
      <c r="Y248" s="10"/>
      <c r="Z248" s="10"/>
      <c r="AA248" s="10"/>
      <c r="AB248" s="10"/>
      <c r="AC248" s="10"/>
      <c r="AD248" t="s">
        <v>19</v>
      </c>
      <c r="AE248" t="s">
        <v>19</v>
      </c>
      <c r="AG248">
        <v>1</v>
      </c>
    </row>
    <row r="249" spans="1:33">
      <c r="A249" t="s">
        <v>470</v>
      </c>
      <c r="B249" s="4" t="s">
        <v>1403</v>
      </c>
      <c r="C249" s="4" t="s">
        <v>1402</v>
      </c>
      <c r="G249" s="10" t="s">
        <v>2199</v>
      </c>
      <c r="H249" s="10"/>
      <c r="I249" s="10"/>
      <c r="J249" s="10"/>
      <c r="K249" s="10"/>
      <c r="L249" s="10"/>
      <c r="M249" s="10"/>
      <c r="N249" s="11"/>
      <c r="O249" s="10"/>
      <c r="P249" s="10"/>
      <c r="Q249" s="10">
        <v>111</v>
      </c>
      <c r="R249" s="10">
        <v>99</v>
      </c>
      <c r="S249" s="10">
        <v>210</v>
      </c>
      <c r="T249" s="10"/>
      <c r="U249" s="10"/>
      <c r="V249" s="10"/>
      <c r="W249" s="10"/>
      <c r="X249" s="10"/>
      <c r="Y249" s="10"/>
      <c r="Z249" s="10"/>
      <c r="AA249" s="10"/>
      <c r="AB249" s="10"/>
      <c r="AC249" s="10"/>
      <c r="AD249" t="s">
        <v>19</v>
      </c>
      <c r="AE249" t="s">
        <v>19</v>
      </c>
      <c r="AG249">
        <v>1</v>
      </c>
    </row>
    <row r="250" spans="1:33" ht="43.5">
      <c r="A250" t="s">
        <v>474</v>
      </c>
      <c r="B250" s="4" t="s">
        <v>1406</v>
      </c>
      <c r="C250" s="4" t="s">
        <v>1407</v>
      </c>
      <c r="G250" s="10" t="s">
        <v>26</v>
      </c>
      <c r="H250" s="10"/>
      <c r="I250" s="10"/>
      <c r="J250" s="10"/>
      <c r="K250" s="10"/>
      <c r="L250" s="10"/>
      <c r="M250" s="10"/>
      <c r="N250" s="11"/>
      <c r="O250" s="10"/>
      <c r="P250" s="10"/>
      <c r="Q250" s="10"/>
      <c r="R250" s="10" t="s">
        <v>2387</v>
      </c>
      <c r="S250" s="10" t="s">
        <v>2387</v>
      </c>
      <c r="T250" s="10"/>
      <c r="U250" s="10"/>
      <c r="V250" s="10"/>
      <c r="W250" s="10"/>
      <c r="X250" s="10"/>
      <c r="Y250" s="10"/>
      <c r="Z250" s="10"/>
      <c r="AA250" s="10"/>
      <c r="AB250" s="10"/>
      <c r="AC250" s="10"/>
      <c r="AD250" t="s">
        <v>19</v>
      </c>
      <c r="AE250" t="s">
        <v>19</v>
      </c>
      <c r="AG250">
        <v>1</v>
      </c>
    </row>
    <row r="251" spans="1:33" ht="29">
      <c r="A251" t="s">
        <v>475</v>
      </c>
      <c r="B251" s="4" t="s">
        <v>1408</v>
      </c>
      <c r="C251" s="4" t="s">
        <v>1409</v>
      </c>
      <c r="G251" s="10" t="s">
        <v>2199</v>
      </c>
      <c r="H251" s="10"/>
      <c r="I251" s="10"/>
      <c r="J251" s="10"/>
      <c r="K251" s="10"/>
      <c r="L251" s="10"/>
      <c r="M251" s="10"/>
      <c r="N251" s="11"/>
      <c r="O251" s="10"/>
      <c r="P251" s="10"/>
      <c r="Q251" s="10">
        <v>-575</v>
      </c>
      <c r="R251" s="10">
        <v>743</v>
      </c>
      <c r="S251" s="10">
        <v>168</v>
      </c>
      <c r="T251" s="10"/>
      <c r="U251" s="10"/>
      <c r="V251" s="10"/>
      <c r="W251" s="10"/>
      <c r="X251" s="10"/>
      <c r="Y251" s="10"/>
      <c r="Z251" s="10"/>
      <c r="AA251" s="10"/>
      <c r="AB251" s="10"/>
      <c r="AC251" s="10"/>
      <c r="AD251" t="s">
        <v>19</v>
      </c>
      <c r="AE251" t="s">
        <v>19</v>
      </c>
      <c r="AG251">
        <v>1</v>
      </c>
    </row>
    <row r="252" spans="1:33" ht="29">
      <c r="A252" t="s">
        <v>475</v>
      </c>
      <c r="B252" s="4" t="s">
        <v>1411</v>
      </c>
      <c r="C252" s="4" t="s">
        <v>1410</v>
      </c>
      <c r="G252" s="10" t="s">
        <v>2199</v>
      </c>
      <c r="H252" s="10"/>
      <c r="I252" s="10"/>
      <c r="J252" s="10"/>
      <c r="K252" s="10"/>
      <c r="L252" s="10"/>
      <c r="M252" s="10"/>
      <c r="N252" s="11"/>
      <c r="O252" s="10"/>
      <c r="P252" s="10"/>
      <c r="Q252" s="10">
        <v>597</v>
      </c>
      <c r="R252" s="10">
        <v>146</v>
      </c>
      <c r="S252" s="10">
        <v>743</v>
      </c>
      <c r="T252" s="10"/>
      <c r="U252" s="10"/>
      <c r="V252" s="10"/>
      <c r="W252" s="10"/>
      <c r="X252" s="10"/>
      <c r="Y252" s="10"/>
      <c r="Z252" s="10"/>
      <c r="AA252" s="10"/>
      <c r="AB252" s="10"/>
      <c r="AC252" s="10"/>
      <c r="AD252" t="s">
        <v>19</v>
      </c>
      <c r="AE252" t="s">
        <v>19</v>
      </c>
      <c r="AG252">
        <v>1</v>
      </c>
    </row>
    <row r="253" spans="1:33" ht="29">
      <c r="A253" t="s">
        <v>475</v>
      </c>
      <c r="B253" s="4" t="s">
        <v>1413</v>
      </c>
      <c r="C253" s="4" t="s">
        <v>1412</v>
      </c>
      <c r="G253" s="10" t="s">
        <v>24</v>
      </c>
      <c r="H253" s="10"/>
      <c r="I253" s="10">
        <v>1</v>
      </c>
      <c r="J253" s="10">
        <v>5</v>
      </c>
      <c r="K253" s="10" t="s">
        <v>2152</v>
      </c>
      <c r="L253" s="10" t="s">
        <v>2159</v>
      </c>
      <c r="M253" s="10"/>
      <c r="N253" s="11"/>
      <c r="O253" s="10"/>
      <c r="P253" s="10">
        <v>266</v>
      </c>
      <c r="Q253" s="10"/>
      <c r="R253" s="10" t="s">
        <v>2387</v>
      </c>
      <c r="S253" s="10" t="s">
        <v>2387</v>
      </c>
      <c r="T253" s="10"/>
      <c r="U253" s="10"/>
      <c r="V253" s="10"/>
      <c r="W253" s="10"/>
      <c r="X253" s="10"/>
      <c r="Y253" s="10"/>
      <c r="Z253" s="10"/>
      <c r="AA253" s="10"/>
      <c r="AB253" s="10"/>
      <c r="AC253" s="10"/>
      <c r="AD253" t="s">
        <v>19</v>
      </c>
      <c r="AE253" t="s">
        <v>19</v>
      </c>
      <c r="AG253">
        <v>1</v>
      </c>
    </row>
    <row r="254" spans="1:33" ht="29">
      <c r="A254" t="s">
        <v>475</v>
      </c>
      <c r="B254" s="4" t="s">
        <v>1415</v>
      </c>
      <c r="C254" s="4" t="s">
        <v>1416</v>
      </c>
      <c r="G254" s="10" t="s">
        <v>2201</v>
      </c>
      <c r="H254" s="10"/>
      <c r="I254" s="10"/>
      <c r="J254" s="10"/>
      <c r="K254" s="10"/>
      <c r="L254" s="10"/>
      <c r="M254" s="10"/>
      <c r="N254" s="11"/>
      <c r="O254" s="10"/>
      <c r="P254" s="10"/>
      <c r="Q254" s="10"/>
      <c r="R254" s="10" t="s">
        <v>2387</v>
      </c>
      <c r="S254" s="10" t="s">
        <v>2387</v>
      </c>
      <c r="T254" s="10"/>
      <c r="U254" s="10"/>
      <c r="V254" s="10"/>
      <c r="W254" s="10"/>
      <c r="X254" s="10"/>
      <c r="Y254" s="10"/>
      <c r="Z254" s="10"/>
      <c r="AA254" s="10"/>
      <c r="AB254" s="10"/>
      <c r="AC254" s="10"/>
      <c r="AD254" t="s">
        <v>19</v>
      </c>
      <c r="AE254" t="s">
        <v>19</v>
      </c>
      <c r="AG254">
        <v>1</v>
      </c>
    </row>
    <row r="255" spans="1:33" ht="29">
      <c r="A255" t="s">
        <v>475</v>
      </c>
      <c r="B255" s="4" t="s">
        <v>1417</v>
      </c>
      <c r="C255" s="4" t="s">
        <v>1414</v>
      </c>
      <c r="G255" s="10" t="s">
        <v>25</v>
      </c>
      <c r="H255" s="10"/>
      <c r="I255" s="10">
        <v>1</v>
      </c>
      <c r="J255" s="10">
        <v>2</v>
      </c>
      <c r="K255" s="10" t="s">
        <v>2173</v>
      </c>
      <c r="L255" s="10" t="s">
        <v>2200</v>
      </c>
      <c r="M255" s="10"/>
      <c r="N255" s="11"/>
      <c r="O255" s="10"/>
      <c r="P255" s="10">
        <v>250</v>
      </c>
      <c r="Q255" s="10"/>
      <c r="R255" s="10" t="s">
        <v>2387</v>
      </c>
      <c r="S255" s="10" t="s">
        <v>2387</v>
      </c>
      <c r="T255" s="10"/>
      <c r="U255" s="10"/>
      <c r="V255" s="10"/>
      <c r="W255" s="10"/>
      <c r="X255" s="10"/>
      <c r="Y255" s="10"/>
      <c r="Z255" s="10"/>
      <c r="AA255" s="10"/>
      <c r="AB255" s="10"/>
      <c r="AC255" s="10"/>
      <c r="AD255" t="s">
        <v>19</v>
      </c>
      <c r="AE255" t="s">
        <v>19</v>
      </c>
      <c r="AG255">
        <v>1</v>
      </c>
    </row>
    <row r="256" spans="1:33">
      <c r="A256" t="s">
        <v>476</v>
      </c>
      <c r="B256" s="4" t="s">
        <v>1418</v>
      </c>
      <c r="C256" s="4" t="s">
        <v>1419</v>
      </c>
      <c r="G256" s="10" t="s">
        <v>2199</v>
      </c>
      <c r="H256" s="10"/>
      <c r="I256" s="10"/>
      <c r="J256" s="10"/>
      <c r="K256" s="10"/>
      <c r="L256" s="10"/>
      <c r="M256" s="10"/>
      <c r="N256" s="11"/>
      <c r="O256" s="10"/>
      <c r="P256" s="10"/>
      <c r="Q256" s="10">
        <v>-37</v>
      </c>
      <c r="R256" s="10">
        <v>37</v>
      </c>
      <c r="S256" s="10">
        <v>0</v>
      </c>
      <c r="T256" s="10"/>
      <c r="U256" s="10"/>
      <c r="V256" s="10"/>
      <c r="W256" s="10"/>
      <c r="X256" s="10"/>
      <c r="Y256" s="10"/>
      <c r="Z256" s="10"/>
      <c r="AA256" s="10"/>
      <c r="AB256" s="10"/>
      <c r="AC256" s="10"/>
      <c r="AD256" t="s">
        <v>19</v>
      </c>
      <c r="AE256" t="s">
        <v>19</v>
      </c>
      <c r="AG256">
        <v>1</v>
      </c>
    </row>
    <row r="257" spans="1:33">
      <c r="A257" t="s">
        <v>479</v>
      </c>
      <c r="B257" s="4" t="s">
        <v>1422</v>
      </c>
      <c r="C257" s="4" t="s">
        <v>1423</v>
      </c>
      <c r="G257" s="10" t="s">
        <v>2201</v>
      </c>
      <c r="H257" s="10"/>
      <c r="I257" s="10"/>
      <c r="J257" s="10"/>
      <c r="K257" s="10"/>
      <c r="L257" s="10"/>
      <c r="M257" s="10"/>
      <c r="N257" s="11"/>
      <c r="O257" s="10"/>
      <c r="P257" s="10"/>
      <c r="Q257" s="10"/>
      <c r="R257" s="10" t="s">
        <v>2387</v>
      </c>
      <c r="S257" s="10" t="s">
        <v>2387</v>
      </c>
      <c r="T257" s="10"/>
      <c r="U257" s="10"/>
      <c r="V257" s="10"/>
      <c r="W257" s="10"/>
      <c r="X257" s="10"/>
      <c r="Y257" s="10"/>
      <c r="Z257" s="10" t="s">
        <v>2345</v>
      </c>
      <c r="AA257" s="10"/>
      <c r="AB257" s="10"/>
      <c r="AC257" s="10"/>
      <c r="AD257" t="s">
        <v>19</v>
      </c>
      <c r="AE257" t="s">
        <v>19</v>
      </c>
      <c r="AG257">
        <v>1</v>
      </c>
    </row>
    <row r="258" spans="1:33" ht="29">
      <c r="A258" t="s">
        <v>479</v>
      </c>
      <c r="B258" s="4" t="s">
        <v>1425</v>
      </c>
      <c r="C258" s="4" t="s">
        <v>1424</v>
      </c>
      <c r="G258" s="10" t="s">
        <v>24</v>
      </c>
      <c r="H258" s="10"/>
      <c r="I258" s="10">
        <v>1</v>
      </c>
      <c r="J258" s="10">
        <v>3</v>
      </c>
      <c r="K258" s="10" t="s">
        <v>2168</v>
      </c>
      <c r="L258" s="10" t="s">
        <v>2159</v>
      </c>
      <c r="M258" s="10"/>
      <c r="N258" s="11"/>
      <c r="O258" s="10"/>
      <c r="P258" s="10">
        <v>1701</v>
      </c>
      <c r="Q258" s="10"/>
      <c r="R258" s="10" t="s">
        <v>2387</v>
      </c>
      <c r="S258" s="10" t="s">
        <v>2387</v>
      </c>
      <c r="T258" s="10"/>
      <c r="U258" s="10"/>
      <c r="V258" s="10"/>
      <c r="W258" s="10"/>
      <c r="X258" s="10"/>
      <c r="Y258" s="10"/>
      <c r="Z258" s="10"/>
      <c r="AA258" s="10"/>
      <c r="AB258" s="10"/>
      <c r="AC258" s="10"/>
      <c r="AD258" t="s">
        <v>19</v>
      </c>
      <c r="AE258" t="s">
        <v>19</v>
      </c>
      <c r="AG258">
        <v>1</v>
      </c>
    </row>
    <row r="259" spans="1:33">
      <c r="A259" t="s">
        <v>479</v>
      </c>
      <c r="B259" s="4" t="s">
        <v>480</v>
      </c>
      <c r="C259" s="4" t="s">
        <v>481</v>
      </c>
      <c r="G259" s="10" t="s">
        <v>2201</v>
      </c>
      <c r="H259" s="10"/>
      <c r="I259" s="10"/>
      <c r="J259" s="10"/>
      <c r="K259" s="10"/>
      <c r="L259" s="10"/>
      <c r="M259" s="10"/>
      <c r="N259" s="11"/>
      <c r="O259" s="10"/>
      <c r="P259" s="10"/>
      <c r="Q259" s="10"/>
      <c r="R259" s="10" t="s">
        <v>2387</v>
      </c>
      <c r="S259" s="10" t="s">
        <v>2387</v>
      </c>
      <c r="T259" s="10"/>
      <c r="U259" s="10"/>
      <c r="V259" s="10"/>
      <c r="W259" s="10"/>
      <c r="X259" s="10"/>
      <c r="Y259" s="10"/>
      <c r="Z259" s="10"/>
      <c r="AA259" s="10"/>
      <c r="AB259" s="10"/>
      <c r="AC259" s="10"/>
      <c r="AD259" t="s">
        <v>19</v>
      </c>
      <c r="AE259" t="s">
        <v>19</v>
      </c>
      <c r="AG259">
        <v>1</v>
      </c>
    </row>
    <row r="260" spans="1:33">
      <c r="A260" t="s">
        <v>482</v>
      </c>
      <c r="B260" s="4" t="s">
        <v>483</v>
      </c>
      <c r="C260" s="4" t="s">
        <v>484</v>
      </c>
      <c r="G260" s="10" t="s">
        <v>2199</v>
      </c>
      <c r="H260" s="10"/>
      <c r="I260" s="10"/>
      <c r="J260" s="10"/>
      <c r="K260" s="10"/>
      <c r="L260" s="10"/>
      <c r="M260" s="10"/>
      <c r="N260" s="11"/>
      <c r="O260" s="10"/>
      <c r="P260" s="10"/>
      <c r="Q260" s="10">
        <v>3</v>
      </c>
      <c r="R260" s="10">
        <v>4</v>
      </c>
      <c r="S260" s="10">
        <v>7</v>
      </c>
      <c r="T260" s="10"/>
      <c r="U260" s="10"/>
      <c r="V260" s="10"/>
      <c r="W260" s="10"/>
      <c r="X260" s="10"/>
      <c r="Y260" s="10"/>
      <c r="Z260" s="10"/>
      <c r="AA260" s="10"/>
      <c r="AB260" s="10"/>
      <c r="AC260" s="10"/>
      <c r="AD260" t="s">
        <v>19</v>
      </c>
      <c r="AE260" t="s">
        <v>19</v>
      </c>
      <c r="AG260">
        <v>1</v>
      </c>
    </row>
    <row r="261" spans="1:33" ht="29">
      <c r="A261" t="s">
        <v>485</v>
      </c>
      <c r="B261" s="4" t="s">
        <v>1429</v>
      </c>
      <c r="C261" s="4" t="s">
        <v>1428</v>
      </c>
      <c r="G261" s="10" t="s">
        <v>2201</v>
      </c>
      <c r="H261" s="10"/>
      <c r="I261" s="10"/>
      <c r="J261" s="10"/>
      <c r="K261" s="10"/>
      <c r="L261" s="10"/>
      <c r="M261" s="10"/>
      <c r="N261" s="11"/>
      <c r="O261" s="10"/>
      <c r="P261" s="10"/>
      <c r="Q261" s="10"/>
      <c r="R261" s="10" t="s">
        <v>2387</v>
      </c>
      <c r="S261" s="10" t="s">
        <v>2387</v>
      </c>
      <c r="T261" s="10"/>
      <c r="U261" s="10"/>
      <c r="V261" s="10"/>
      <c r="W261" s="10"/>
      <c r="X261" s="10"/>
      <c r="Y261" s="10"/>
      <c r="Z261" s="10"/>
      <c r="AA261" s="10"/>
      <c r="AB261" s="10"/>
      <c r="AC261" s="10"/>
      <c r="AD261" t="s">
        <v>19</v>
      </c>
      <c r="AE261" t="s">
        <v>19</v>
      </c>
      <c r="AG261">
        <v>1</v>
      </c>
    </row>
    <row r="262" spans="1:33" ht="29">
      <c r="A262" t="s">
        <v>485</v>
      </c>
      <c r="B262" s="4" t="s">
        <v>1431</v>
      </c>
      <c r="C262" s="4" t="s">
        <v>1432</v>
      </c>
      <c r="G262" s="10" t="s">
        <v>26</v>
      </c>
      <c r="H262" s="10"/>
      <c r="I262" s="10"/>
      <c r="J262" s="10"/>
      <c r="K262" s="10"/>
      <c r="L262" s="10"/>
      <c r="M262" s="10"/>
      <c r="N262" s="11"/>
      <c r="O262" s="10"/>
      <c r="P262" s="10"/>
      <c r="Q262" s="10"/>
      <c r="R262" s="10" t="s">
        <v>2387</v>
      </c>
      <c r="S262" s="10" t="s">
        <v>2387</v>
      </c>
      <c r="T262" s="10"/>
      <c r="U262" s="10"/>
      <c r="V262" s="10"/>
      <c r="W262" s="10"/>
      <c r="X262" s="10"/>
      <c r="Y262" s="10"/>
      <c r="Z262" s="10"/>
      <c r="AA262" s="10"/>
      <c r="AB262" s="10"/>
      <c r="AC262" s="10"/>
      <c r="AD262" t="s">
        <v>19</v>
      </c>
      <c r="AE262" t="s">
        <v>19</v>
      </c>
      <c r="AG262">
        <v>1</v>
      </c>
    </row>
    <row r="263" spans="1:33" ht="29">
      <c r="A263" t="s">
        <v>485</v>
      </c>
      <c r="B263" s="4" t="s">
        <v>1430</v>
      </c>
      <c r="C263" s="4" t="s">
        <v>1433</v>
      </c>
      <c r="G263" s="10" t="s">
        <v>24</v>
      </c>
      <c r="H263" s="10"/>
      <c r="I263" s="10">
        <v>1</v>
      </c>
      <c r="J263" s="10">
        <v>1</v>
      </c>
      <c r="K263" s="10" t="s">
        <v>2158</v>
      </c>
      <c r="L263" s="10" t="s">
        <v>2200</v>
      </c>
      <c r="M263" s="10"/>
      <c r="N263" s="11"/>
      <c r="O263" s="10" t="s">
        <v>2154</v>
      </c>
      <c r="P263" s="10">
        <v>2475</v>
      </c>
      <c r="Q263" s="10"/>
      <c r="R263" s="10" t="s">
        <v>2387</v>
      </c>
      <c r="S263" s="10" t="s">
        <v>2387</v>
      </c>
      <c r="T263" s="10"/>
      <c r="U263" s="10"/>
      <c r="V263" s="10"/>
      <c r="W263" s="10"/>
      <c r="X263" s="10"/>
      <c r="Y263" s="10"/>
      <c r="Z263" s="10"/>
      <c r="AA263" s="10"/>
      <c r="AB263" s="10"/>
      <c r="AC263" s="10"/>
      <c r="AD263" t="s">
        <v>19</v>
      </c>
      <c r="AE263" t="s">
        <v>20</v>
      </c>
      <c r="AG263">
        <v>1</v>
      </c>
    </row>
    <row r="264" spans="1:33" ht="29">
      <c r="A264" t="s">
        <v>486</v>
      </c>
      <c r="B264" s="4" t="s">
        <v>1436</v>
      </c>
      <c r="C264" s="4" t="s">
        <v>1437</v>
      </c>
      <c r="G264" s="10" t="s">
        <v>2199</v>
      </c>
      <c r="H264" s="10"/>
      <c r="I264" s="10"/>
      <c r="J264" s="10"/>
      <c r="K264" s="10"/>
      <c r="L264" s="10"/>
      <c r="M264" s="10"/>
      <c r="N264" s="11"/>
      <c r="O264" s="10"/>
      <c r="P264" s="10"/>
      <c r="Q264" s="10">
        <v>447</v>
      </c>
      <c r="R264" s="10">
        <v>166</v>
      </c>
      <c r="S264" s="10">
        <v>613</v>
      </c>
      <c r="T264" s="10"/>
      <c r="U264" s="10"/>
      <c r="V264" s="10"/>
      <c r="W264" s="10"/>
      <c r="X264" s="10"/>
      <c r="Y264" s="10"/>
      <c r="Z264" s="10"/>
      <c r="AA264" s="10"/>
      <c r="AB264" s="10"/>
      <c r="AC264" s="10"/>
      <c r="AD264" t="s">
        <v>19</v>
      </c>
      <c r="AE264" t="s">
        <v>19</v>
      </c>
      <c r="AG264">
        <v>1</v>
      </c>
    </row>
    <row r="265" spans="1:33">
      <c r="A265" t="s">
        <v>487</v>
      </c>
      <c r="B265" s="4" t="s">
        <v>1438</v>
      </c>
      <c r="C265" s="4" t="s">
        <v>1439</v>
      </c>
      <c r="G265" s="10" t="s">
        <v>25</v>
      </c>
      <c r="H265" s="10"/>
      <c r="I265" s="10">
        <v>1</v>
      </c>
      <c r="J265" s="10">
        <v>1</v>
      </c>
      <c r="K265" s="10" t="s">
        <v>2158</v>
      </c>
      <c r="L265" s="10" t="s">
        <v>2200</v>
      </c>
      <c r="M265" s="10"/>
      <c r="N265" s="11"/>
      <c r="O265" s="10" t="s">
        <v>2154</v>
      </c>
      <c r="P265" s="10">
        <v>2475</v>
      </c>
      <c r="Q265" s="10"/>
      <c r="R265" s="10" t="s">
        <v>2387</v>
      </c>
      <c r="S265" s="10" t="s">
        <v>2387</v>
      </c>
      <c r="T265" s="10"/>
      <c r="U265" s="10"/>
      <c r="V265" s="10"/>
      <c r="W265" s="10"/>
      <c r="X265" s="10"/>
      <c r="Y265" s="10"/>
      <c r="Z265" s="10"/>
      <c r="AA265" s="10"/>
      <c r="AB265" s="10"/>
      <c r="AC265" s="10"/>
      <c r="AD265" t="s">
        <v>19</v>
      </c>
      <c r="AE265" t="s">
        <v>19</v>
      </c>
      <c r="AG265">
        <v>1</v>
      </c>
    </row>
    <row r="266" spans="1:33">
      <c r="A266" t="s">
        <v>488</v>
      </c>
      <c r="B266" s="4" t="s">
        <v>1440</v>
      </c>
      <c r="C266" s="4" t="s">
        <v>2287</v>
      </c>
      <c r="G266" s="10" t="s">
        <v>2201</v>
      </c>
      <c r="H266" s="10"/>
      <c r="I266" s="10"/>
      <c r="J266" s="10"/>
      <c r="K266" s="10"/>
      <c r="L266" s="10"/>
      <c r="M266" s="10"/>
      <c r="N266" s="11"/>
      <c r="O266" s="10"/>
      <c r="P266" s="10"/>
      <c r="Q266" s="10"/>
      <c r="R266" s="10" t="s">
        <v>2387</v>
      </c>
      <c r="S266" s="10" t="s">
        <v>2387</v>
      </c>
      <c r="T266" s="10"/>
      <c r="U266" s="10"/>
      <c r="V266" s="10"/>
      <c r="W266" s="10"/>
      <c r="X266" s="10"/>
      <c r="Y266" s="10"/>
      <c r="Z266" s="10"/>
      <c r="AA266" s="10"/>
      <c r="AB266" s="10"/>
      <c r="AC266" s="10"/>
      <c r="AD266" t="s">
        <v>19</v>
      </c>
      <c r="AE266" t="s">
        <v>19</v>
      </c>
      <c r="AG266">
        <v>1</v>
      </c>
    </row>
    <row r="267" spans="1:33">
      <c r="A267" t="s">
        <v>489</v>
      </c>
      <c r="B267" s="4" t="s">
        <v>1444</v>
      </c>
      <c r="C267" s="4" t="s">
        <v>1443</v>
      </c>
      <c r="G267" s="10" t="s">
        <v>2199</v>
      </c>
      <c r="H267" s="10"/>
      <c r="I267" s="10"/>
      <c r="J267" s="10"/>
      <c r="K267" s="10"/>
      <c r="L267" s="10"/>
      <c r="M267" s="10"/>
      <c r="N267" s="11"/>
      <c r="O267" s="10"/>
      <c r="P267" s="10"/>
      <c r="Q267" s="10">
        <v>111</v>
      </c>
      <c r="R267" s="10">
        <v>99</v>
      </c>
      <c r="S267" s="10">
        <v>210</v>
      </c>
      <c r="T267" s="10"/>
      <c r="U267" s="10"/>
      <c r="V267" s="10"/>
      <c r="W267" s="10"/>
      <c r="X267" s="10"/>
      <c r="Y267" s="10"/>
      <c r="Z267" s="10"/>
      <c r="AA267" s="10"/>
      <c r="AB267" s="10"/>
      <c r="AC267" s="10"/>
      <c r="AD267" t="s">
        <v>19</v>
      </c>
      <c r="AE267" t="s">
        <v>19</v>
      </c>
      <c r="AG267">
        <v>1</v>
      </c>
    </row>
    <row r="268" spans="1:33">
      <c r="A268" t="s">
        <v>490</v>
      </c>
      <c r="B268" s="4" t="s">
        <v>1445</v>
      </c>
      <c r="C268" s="4" t="s">
        <v>1446</v>
      </c>
      <c r="G268" s="10" t="s">
        <v>2201</v>
      </c>
      <c r="H268" s="10"/>
      <c r="I268" s="10"/>
      <c r="J268" s="10"/>
      <c r="K268" s="10"/>
      <c r="L268" s="10"/>
      <c r="M268" s="10"/>
      <c r="N268" s="11"/>
      <c r="O268" s="10"/>
      <c r="P268" s="10"/>
      <c r="Q268" s="10"/>
      <c r="R268" s="10" t="s">
        <v>2387</v>
      </c>
      <c r="S268" s="10" t="s">
        <v>2387</v>
      </c>
      <c r="T268" s="10"/>
      <c r="U268" s="10"/>
      <c r="V268" s="10"/>
      <c r="W268" s="10"/>
      <c r="X268" s="10"/>
      <c r="Y268" s="10"/>
      <c r="Z268" s="10"/>
      <c r="AA268" s="10"/>
      <c r="AB268" s="10"/>
      <c r="AC268" s="10"/>
      <c r="AD268" t="s">
        <v>19</v>
      </c>
      <c r="AE268" t="s">
        <v>20</v>
      </c>
      <c r="AG268">
        <v>1</v>
      </c>
    </row>
    <row r="269" spans="1:33" ht="29">
      <c r="A269" t="s">
        <v>491</v>
      </c>
      <c r="B269" s="4" t="s">
        <v>1448</v>
      </c>
      <c r="C269" s="4" t="s">
        <v>2289</v>
      </c>
      <c r="G269" s="10" t="s">
        <v>2201</v>
      </c>
      <c r="H269" s="10"/>
      <c r="I269" s="10"/>
      <c r="J269" s="10"/>
      <c r="K269" s="10"/>
      <c r="L269" s="10"/>
      <c r="M269" s="10"/>
      <c r="N269" s="11"/>
      <c r="O269" s="10"/>
      <c r="P269" s="10"/>
      <c r="Q269" s="10"/>
      <c r="R269" s="10" t="s">
        <v>2387</v>
      </c>
      <c r="S269" s="10" t="s">
        <v>2387</v>
      </c>
      <c r="T269" s="10"/>
      <c r="U269" s="10"/>
      <c r="V269" s="10"/>
      <c r="W269" s="10"/>
      <c r="X269" s="10"/>
      <c r="Y269" s="10"/>
      <c r="Z269" s="10"/>
      <c r="AA269" s="10"/>
      <c r="AB269" s="10"/>
      <c r="AC269" s="10"/>
      <c r="AD269" t="s">
        <v>19</v>
      </c>
      <c r="AE269" t="s">
        <v>19</v>
      </c>
      <c r="AG269">
        <v>1</v>
      </c>
    </row>
    <row r="270" spans="1:33" ht="29">
      <c r="A270" t="s">
        <v>491</v>
      </c>
      <c r="B270" s="4" t="s">
        <v>1447</v>
      </c>
      <c r="C270" s="4" t="s">
        <v>1449</v>
      </c>
      <c r="G270" s="10" t="s">
        <v>24</v>
      </c>
      <c r="H270" s="10"/>
      <c r="I270" s="10">
        <v>1</v>
      </c>
      <c r="J270" s="10">
        <v>3</v>
      </c>
      <c r="K270" s="10" t="s">
        <v>2158</v>
      </c>
      <c r="L270" s="10" t="s">
        <v>2159</v>
      </c>
      <c r="M270" s="10"/>
      <c r="N270" s="11"/>
      <c r="O270" s="10"/>
      <c r="P270" s="10">
        <v>2475</v>
      </c>
      <c r="Q270" s="10"/>
      <c r="R270" s="10" t="s">
        <v>2387</v>
      </c>
      <c r="S270" s="10" t="s">
        <v>2387</v>
      </c>
      <c r="T270" s="10"/>
      <c r="U270" s="10"/>
      <c r="V270" s="10"/>
      <c r="W270" s="10"/>
      <c r="X270" s="10"/>
      <c r="Y270" s="10"/>
      <c r="Z270" s="10"/>
      <c r="AA270" s="10"/>
      <c r="AB270" s="10"/>
      <c r="AC270" s="10"/>
      <c r="AD270" t="s">
        <v>19</v>
      </c>
      <c r="AE270" t="s">
        <v>19</v>
      </c>
      <c r="AG270">
        <v>1</v>
      </c>
    </row>
    <row r="271" spans="1:33" ht="29">
      <c r="A271" t="s">
        <v>491</v>
      </c>
      <c r="B271" s="4" t="s">
        <v>1447</v>
      </c>
      <c r="C271" s="4" t="s">
        <v>1450</v>
      </c>
      <c r="G271" s="10" t="s">
        <v>24</v>
      </c>
      <c r="H271" s="10"/>
      <c r="I271" s="10">
        <v>1</v>
      </c>
      <c r="J271" s="10">
        <v>3</v>
      </c>
      <c r="K271" s="10" t="s">
        <v>2158</v>
      </c>
      <c r="L271" s="10" t="s">
        <v>2159</v>
      </c>
      <c r="M271" s="10"/>
      <c r="N271" s="11"/>
      <c r="O271" s="10"/>
      <c r="P271" s="10">
        <v>2475</v>
      </c>
      <c r="Q271" s="10"/>
      <c r="R271" s="10" t="s">
        <v>2387</v>
      </c>
      <c r="S271" s="10" t="s">
        <v>2387</v>
      </c>
      <c r="T271" s="10"/>
      <c r="U271" s="10"/>
      <c r="V271" s="10"/>
      <c r="W271" s="10"/>
      <c r="X271" s="10"/>
      <c r="Y271" s="10"/>
      <c r="Z271" s="10"/>
      <c r="AA271" s="10"/>
      <c r="AB271" s="10"/>
      <c r="AC271" s="10"/>
      <c r="AD271" t="s">
        <v>20</v>
      </c>
      <c r="AE271" t="s">
        <v>19</v>
      </c>
      <c r="AG271">
        <v>0</v>
      </c>
    </row>
    <row r="272" spans="1:33" ht="29">
      <c r="A272" t="s">
        <v>492</v>
      </c>
      <c r="B272" s="4" t="s">
        <v>1451</v>
      </c>
      <c r="C272" s="4" t="s">
        <v>1452</v>
      </c>
      <c r="G272" s="10" t="s">
        <v>2199</v>
      </c>
      <c r="H272" s="10"/>
      <c r="I272" s="10"/>
      <c r="J272" s="10"/>
      <c r="K272" s="10"/>
      <c r="L272" s="10"/>
      <c r="M272" s="10"/>
      <c r="N272" s="11"/>
      <c r="O272" s="10"/>
      <c r="P272" s="10"/>
      <c r="Q272" s="10">
        <v>181</v>
      </c>
      <c r="R272" s="10">
        <v>5</v>
      </c>
      <c r="S272" s="10">
        <v>186</v>
      </c>
      <c r="T272" s="10"/>
      <c r="U272" s="10"/>
      <c r="V272" s="10"/>
      <c r="W272" s="10"/>
      <c r="X272" s="10"/>
      <c r="Y272" s="10"/>
      <c r="Z272" s="10"/>
      <c r="AA272" s="10"/>
      <c r="AB272" s="10"/>
      <c r="AC272" s="10"/>
      <c r="AD272" t="s">
        <v>19</v>
      </c>
      <c r="AE272" t="s">
        <v>19</v>
      </c>
      <c r="AG272">
        <v>1</v>
      </c>
    </row>
    <row r="273" spans="1:33">
      <c r="A273" t="s">
        <v>492</v>
      </c>
      <c r="B273" s="4" t="s">
        <v>1453</v>
      </c>
      <c r="C273" s="4" t="s">
        <v>1454</v>
      </c>
      <c r="G273" s="10" t="s">
        <v>2201</v>
      </c>
      <c r="H273" s="10"/>
      <c r="I273" s="10"/>
      <c r="J273" s="10"/>
      <c r="K273" s="10"/>
      <c r="L273" s="10"/>
      <c r="M273" s="10"/>
      <c r="N273" s="11"/>
      <c r="O273" s="10"/>
      <c r="P273" s="10"/>
      <c r="Q273" s="10"/>
      <c r="R273" s="10" t="s">
        <v>2387</v>
      </c>
      <c r="S273" s="10" t="s">
        <v>2387</v>
      </c>
      <c r="T273" s="10"/>
      <c r="U273" s="10"/>
      <c r="V273" s="10"/>
      <c r="W273" s="10"/>
      <c r="X273" s="10"/>
      <c r="Y273" s="10"/>
      <c r="Z273" s="10"/>
      <c r="AA273" s="10"/>
      <c r="AB273" s="10"/>
      <c r="AC273" s="10"/>
      <c r="AD273" t="s">
        <v>19</v>
      </c>
      <c r="AE273" t="s">
        <v>19</v>
      </c>
      <c r="AG273">
        <v>1</v>
      </c>
    </row>
    <row r="274" spans="1:33">
      <c r="A274" t="s">
        <v>492</v>
      </c>
      <c r="B274" s="4" t="s">
        <v>1455</v>
      </c>
      <c r="C274" s="4" t="s">
        <v>1456</v>
      </c>
      <c r="G274" s="10" t="s">
        <v>2199</v>
      </c>
      <c r="H274" s="10"/>
      <c r="I274" s="10"/>
      <c r="J274" s="10"/>
      <c r="K274" s="10"/>
      <c r="L274" s="10"/>
      <c r="M274" s="10"/>
      <c r="N274" s="11"/>
      <c r="O274" s="10"/>
      <c r="P274" s="10"/>
      <c r="Q274" s="10">
        <v>-24</v>
      </c>
      <c r="R274" s="10">
        <v>31</v>
      </c>
      <c r="S274" s="10">
        <v>7</v>
      </c>
      <c r="T274" s="10"/>
      <c r="U274" s="10"/>
      <c r="V274" s="10"/>
      <c r="W274" s="10"/>
      <c r="X274" s="10"/>
      <c r="Y274" s="10"/>
      <c r="Z274" s="10"/>
      <c r="AA274" s="10"/>
      <c r="AB274" s="10"/>
      <c r="AC274" s="10"/>
      <c r="AD274" t="s">
        <v>19</v>
      </c>
      <c r="AE274" t="s">
        <v>19</v>
      </c>
      <c r="AG274">
        <v>1</v>
      </c>
    </row>
    <row r="275" spans="1:33">
      <c r="A275" t="s">
        <v>492</v>
      </c>
      <c r="B275" s="4" t="s">
        <v>1458</v>
      </c>
      <c r="C275" s="4" t="s">
        <v>1457</v>
      </c>
      <c r="G275" s="10" t="s">
        <v>2201</v>
      </c>
      <c r="H275" s="10"/>
      <c r="I275" s="10"/>
      <c r="J275" s="10"/>
      <c r="K275" s="10"/>
      <c r="L275" s="10"/>
      <c r="M275" s="10"/>
      <c r="N275" s="11"/>
      <c r="O275" s="10"/>
      <c r="P275" s="10"/>
      <c r="Q275" s="10"/>
      <c r="R275" s="10" t="s">
        <v>2387</v>
      </c>
      <c r="S275" s="10" t="s">
        <v>2387</v>
      </c>
      <c r="T275" s="10"/>
      <c r="U275" s="10"/>
      <c r="V275" s="10"/>
      <c r="W275" s="10"/>
      <c r="X275" s="10"/>
      <c r="Y275" s="10"/>
      <c r="Z275" s="10"/>
      <c r="AA275" s="10"/>
      <c r="AB275" s="10"/>
      <c r="AC275" s="10"/>
      <c r="AD275" t="s">
        <v>19</v>
      </c>
      <c r="AE275" t="s">
        <v>19</v>
      </c>
      <c r="AG275">
        <v>1</v>
      </c>
    </row>
    <row r="276" spans="1:33" ht="29">
      <c r="A276" t="s">
        <v>493</v>
      </c>
      <c r="B276" s="4" t="s">
        <v>1459</v>
      </c>
      <c r="C276" s="4" t="s">
        <v>1460</v>
      </c>
      <c r="G276" s="10" t="s">
        <v>25</v>
      </c>
      <c r="H276" s="10"/>
      <c r="I276" s="10">
        <v>2</v>
      </c>
      <c r="J276" s="10">
        <v>8</v>
      </c>
      <c r="K276" s="10"/>
      <c r="L276" s="10" t="s">
        <v>2159</v>
      </c>
      <c r="M276" s="10"/>
      <c r="N276" s="11"/>
      <c r="O276" s="10"/>
      <c r="P276" s="10">
        <v>116</v>
      </c>
      <c r="Q276" s="10"/>
      <c r="R276" s="10" t="s">
        <v>2387</v>
      </c>
      <c r="S276" s="10" t="s">
        <v>2387</v>
      </c>
      <c r="T276" s="10"/>
      <c r="U276" s="10"/>
      <c r="V276" s="10"/>
      <c r="W276" s="10"/>
      <c r="X276" s="10"/>
      <c r="Y276" s="10"/>
      <c r="Z276" s="10"/>
      <c r="AA276" s="10"/>
      <c r="AB276" s="10"/>
      <c r="AC276" s="10"/>
      <c r="AD276" t="s">
        <v>19</v>
      </c>
      <c r="AE276" t="s">
        <v>19</v>
      </c>
      <c r="AG276">
        <v>1</v>
      </c>
    </row>
    <row r="277" spans="1:33">
      <c r="A277" t="s">
        <v>493</v>
      </c>
      <c r="B277" s="4" t="s">
        <v>1464</v>
      </c>
      <c r="C277" s="4" t="s">
        <v>1461</v>
      </c>
      <c r="G277" s="10" t="s">
        <v>25</v>
      </c>
      <c r="H277" s="10"/>
      <c r="I277" s="10">
        <v>1</v>
      </c>
      <c r="J277" s="10">
        <v>3</v>
      </c>
      <c r="K277" s="10" t="s">
        <v>2168</v>
      </c>
      <c r="L277" s="10" t="s">
        <v>2153</v>
      </c>
      <c r="M277" s="10" t="s">
        <v>2231</v>
      </c>
      <c r="N277" s="11" t="s">
        <v>2230</v>
      </c>
      <c r="O277" s="10"/>
      <c r="P277" s="10">
        <v>1701</v>
      </c>
      <c r="Q277" s="10"/>
      <c r="R277" s="10" t="s">
        <v>2387</v>
      </c>
      <c r="S277" s="10" t="s">
        <v>2387</v>
      </c>
      <c r="T277" s="10"/>
      <c r="U277" s="10"/>
      <c r="V277" s="10"/>
      <c r="W277" s="10"/>
      <c r="X277" s="10"/>
      <c r="Y277" s="10"/>
      <c r="Z277" s="10"/>
      <c r="AA277" s="10"/>
      <c r="AB277" s="10"/>
      <c r="AC277" s="10"/>
      <c r="AD277" t="s">
        <v>19</v>
      </c>
      <c r="AE277" t="s">
        <v>19</v>
      </c>
      <c r="AG277">
        <v>1</v>
      </c>
    </row>
    <row r="278" spans="1:33" ht="29">
      <c r="A278" t="s">
        <v>494</v>
      </c>
      <c r="B278" s="4" t="s">
        <v>1465</v>
      </c>
      <c r="C278" s="4" t="s">
        <v>1466</v>
      </c>
      <c r="F278" t="s">
        <v>19</v>
      </c>
      <c r="G278" s="10" t="s">
        <v>24</v>
      </c>
      <c r="H278" s="10"/>
      <c r="I278" s="10">
        <v>1</v>
      </c>
      <c r="J278" s="10">
        <v>6</v>
      </c>
      <c r="K278" s="10" t="s">
        <v>2173</v>
      </c>
      <c r="L278" s="10" t="s">
        <v>2159</v>
      </c>
      <c r="M278" s="10"/>
      <c r="N278" s="11"/>
      <c r="O278" s="10"/>
      <c r="P278" s="10">
        <v>250</v>
      </c>
      <c r="Q278" s="10"/>
      <c r="R278" s="10" t="s">
        <v>2387</v>
      </c>
      <c r="S278" s="10" t="s">
        <v>2387</v>
      </c>
      <c r="T278" s="10"/>
      <c r="U278" s="10"/>
      <c r="V278" s="10"/>
      <c r="W278" s="10"/>
      <c r="X278" s="10"/>
      <c r="Y278" s="10"/>
      <c r="Z278" s="10"/>
      <c r="AA278" s="10"/>
      <c r="AB278" s="10"/>
      <c r="AC278" s="10"/>
      <c r="AD278" t="s">
        <v>20</v>
      </c>
      <c r="AE278" t="s">
        <v>20</v>
      </c>
      <c r="AG278">
        <v>0</v>
      </c>
    </row>
    <row r="279" spans="1:33" ht="29">
      <c r="A279" t="s">
        <v>494</v>
      </c>
      <c r="B279" s="4" t="s">
        <v>1472</v>
      </c>
      <c r="C279" s="4" t="s">
        <v>1473</v>
      </c>
      <c r="G279" s="10" t="s">
        <v>2199</v>
      </c>
      <c r="H279" s="10"/>
      <c r="I279" s="10"/>
      <c r="J279" s="10"/>
      <c r="K279" s="10"/>
      <c r="L279" s="10"/>
      <c r="M279" s="10"/>
      <c r="N279" s="11"/>
      <c r="O279" s="10"/>
      <c r="P279" s="10"/>
      <c r="Q279" s="10">
        <v>-1684</v>
      </c>
      <c r="R279" s="10">
        <v>1701</v>
      </c>
      <c r="S279" s="10">
        <v>17</v>
      </c>
      <c r="T279" s="10"/>
      <c r="U279" s="10"/>
      <c r="V279" s="10"/>
      <c r="W279" s="10"/>
      <c r="X279" s="10"/>
      <c r="Y279" s="10"/>
      <c r="Z279" s="10"/>
      <c r="AA279" s="10"/>
      <c r="AB279" s="10"/>
      <c r="AC279" s="10"/>
      <c r="AD279" t="s">
        <v>19</v>
      </c>
      <c r="AE279" t="s">
        <v>19</v>
      </c>
      <c r="AG279">
        <v>1</v>
      </c>
    </row>
    <row r="280" spans="1:33" ht="29">
      <c r="A280" t="s">
        <v>495</v>
      </c>
      <c r="B280" s="4" t="s">
        <v>1479</v>
      </c>
      <c r="C280" s="4" t="s">
        <v>1476</v>
      </c>
      <c r="G280" s="10" t="s">
        <v>25</v>
      </c>
      <c r="H280" s="10"/>
      <c r="I280" s="10">
        <v>1</v>
      </c>
      <c r="J280" s="10">
        <v>3</v>
      </c>
      <c r="K280" s="10" t="s">
        <v>2168</v>
      </c>
      <c r="L280" s="10" t="s">
        <v>2153</v>
      </c>
      <c r="M280" s="10" t="s">
        <v>2229</v>
      </c>
      <c r="N280" s="11" t="s">
        <v>2230</v>
      </c>
      <c r="O280" s="10"/>
      <c r="P280" s="10">
        <v>1701</v>
      </c>
      <c r="Q280" s="10"/>
      <c r="R280" s="10" t="s">
        <v>2387</v>
      </c>
      <c r="S280" s="10" t="s">
        <v>2387</v>
      </c>
      <c r="T280" s="10"/>
      <c r="U280" s="10"/>
      <c r="V280" s="10"/>
      <c r="W280" s="10"/>
      <c r="X280" s="10"/>
      <c r="Y280" s="10"/>
      <c r="Z280" s="10"/>
      <c r="AA280" s="10"/>
      <c r="AB280" s="10"/>
      <c r="AC280" s="10"/>
      <c r="AD280" t="s">
        <v>19</v>
      </c>
      <c r="AE280" t="s">
        <v>19</v>
      </c>
      <c r="AG280">
        <v>1</v>
      </c>
    </row>
    <row r="281" spans="1:33">
      <c r="A281" t="s">
        <v>495</v>
      </c>
      <c r="B281" s="4" t="s">
        <v>496</v>
      </c>
      <c r="C281" s="4" t="s">
        <v>497</v>
      </c>
      <c r="G281" s="10" t="s">
        <v>2201</v>
      </c>
      <c r="H281" s="10"/>
      <c r="I281" s="10"/>
      <c r="J281" s="10"/>
      <c r="K281" s="10"/>
      <c r="L281" s="10"/>
      <c r="M281" s="10"/>
      <c r="N281" s="11"/>
      <c r="O281" s="10"/>
      <c r="P281" s="10"/>
      <c r="Q281" s="10"/>
      <c r="R281" s="10" t="s">
        <v>2387</v>
      </c>
      <c r="S281" s="10" t="s">
        <v>2387</v>
      </c>
      <c r="T281" s="10"/>
      <c r="U281" s="10"/>
      <c r="V281" s="10"/>
      <c r="W281" s="10"/>
      <c r="X281" s="10"/>
      <c r="Y281" s="10"/>
      <c r="Z281" s="10"/>
      <c r="AA281" s="10"/>
      <c r="AB281" s="10"/>
      <c r="AC281" s="10"/>
      <c r="AD281" t="s">
        <v>19</v>
      </c>
      <c r="AE281" t="s">
        <v>19</v>
      </c>
      <c r="AG281">
        <v>1</v>
      </c>
    </row>
    <row r="282" spans="1:33">
      <c r="A282" t="s">
        <v>495</v>
      </c>
      <c r="B282" s="4" t="s">
        <v>1481</v>
      </c>
      <c r="C282" s="4" t="s">
        <v>1480</v>
      </c>
      <c r="G282" s="10" t="s">
        <v>25</v>
      </c>
      <c r="H282" s="10"/>
      <c r="I282" s="10">
        <v>1</v>
      </c>
      <c r="J282" s="10">
        <v>2</v>
      </c>
      <c r="K282" s="10" t="s">
        <v>2158</v>
      </c>
      <c r="L282" s="10" t="s">
        <v>2200</v>
      </c>
      <c r="M282" s="10"/>
      <c r="N282" s="11"/>
      <c r="O282" s="10"/>
      <c r="P282" s="10">
        <v>2475</v>
      </c>
      <c r="Q282" s="10"/>
      <c r="R282" s="10" t="s">
        <v>2387</v>
      </c>
      <c r="S282" s="10" t="s">
        <v>2387</v>
      </c>
      <c r="T282" s="10"/>
      <c r="U282" s="10"/>
      <c r="V282" s="10"/>
      <c r="W282" s="10"/>
      <c r="X282" s="10"/>
      <c r="Y282" s="10"/>
      <c r="Z282" s="10"/>
      <c r="AA282" s="10"/>
      <c r="AB282" s="10"/>
      <c r="AC282" s="10"/>
      <c r="AD282" t="s">
        <v>19</v>
      </c>
      <c r="AE282" t="s">
        <v>19</v>
      </c>
      <c r="AG282">
        <v>1</v>
      </c>
    </row>
    <row r="283" spans="1:33" ht="29">
      <c r="A283" t="s">
        <v>498</v>
      </c>
      <c r="B283" s="4" t="s">
        <v>1482</v>
      </c>
      <c r="C283" s="4" t="s">
        <v>1483</v>
      </c>
      <c r="G283" s="10" t="s">
        <v>24</v>
      </c>
      <c r="H283" s="10"/>
      <c r="I283" s="10">
        <v>1</v>
      </c>
      <c r="J283" s="10">
        <v>3</v>
      </c>
      <c r="K283" s="10" t="s">
        <v>2158</v>
      </c>
      <c r="L283" s="10" t="s">
        <v>2159</v>
      </c>
      <c r="M283" s="10"/>
      <c r="N283" s="11"/>
      <c r="O283" s="10"/>
      <c r="P283" s="10">
        <v>2475</v>
      </c>
      <c r="Q283" s="10"/>
      <c r="R283" s="10" t="s">
        <v>2387</v>
      </c>
      <c r="S283" s="10" t="s">
        <v>2387</v>
      </c>
      <c r="T283" s="10"/>
      <c r="U283" s="10"/>
      <c r="V283" s="10"/>
      <c r="W283" s="10"/>
      <c r="X283" s="10"/>
      <c r="Y283" s="10"/>
      <c r="Z283" s="10"/>
      <c r="AA283" s="10"/>
      <c r="AB283" s="10"/>
      <c r="AC283" s="10"/>
      <c r="AD283" t="s">
        <v>19</v>
      </c>
      <c r="AE283" t="s">
        <v>19</v>
      </c>
      <c r="AG283">
        <v>1</v>
      </c>
    </row>
    <row r="284" spans="1:33" ht="29">
      <c r="A284" t="s">
        <v>498</v>
      </c>
      <c r="B284" s="4" t="s">
        <v>1482</v>
      </c>
      <c r="C284" s="4" t="s">
        <v>1484</v>
      </c>
      <c r="G284" s="10" t="s">
        <v>24</v>
      </c>
      <c r="H284" s="10"/>
      <c r="I284" s="10">
        <v>1</v>
      </c>
      <c r="J284" s="10">
        <v>3</v>
      </c>
      <c r="K284" s="10" t="s">
        <v>2158</v>
      </c>
      <c r="L284" s="10" t="s">
        <v>2159</v>
      </c>
      <c r="M284" s="10"/>
      <c r="N284" s="11"/>
      <c r="O284" s="10"/>
      <c r="P284" s="10">
        <v>2475</v>
      </c>
      <c r="Q284" s="10"/>
      <c r="R284" s="10" t="s">
        <v>2387</v>
      </c>
      <c r="S284" s="10" t="s">
        <v>2387</v>
      </c>
      <c r="T284" s="10"/>
      <c r="U284" s="10"/>
      <c r="V284" s="10"/>
      <c r="W284" s="10"/>
      <c r="X284" s="10"/>
      <c r="Y284" s="10"/>
      <c r="Z284" s="10"/>
      <c r="AA284" s="10"/>
      <c r="AB284" s="10"/>
      <c r="AC284" s="10"/>
      <c r="AD284" t="s">
        <v>19</v>
      </c>
      <c r="AE284" t="s">
        <v>20</v>
      </c>
      <c r="AG284">
        <v>1</v>
      </c>
    </row>
    <row r="285" spans="1:33">
      <c r="A285" t="s">
        <v>504</v>
      </c>
      <c r="B285" s="4" t="s">
        <v>1486</v>
      </c>
      <c r="C285" s="4" t="s">
        <v>1485</v>
      </c>
      <c r="G285" s="10" t="s">
        <v>2201</v>
      </c>
      <c r="H285" s="10"/>
      <c r="I285" s="10"/>
      <c r="J285" s="10"/>
      <c r="K285" s="10"/>
      <c r="L285" s="10"/>
      <c r="M285" s="10"/>
      <c r="N285" s="11"/>
      <c r="O285" s="10"/>
      <c r="P285" s="10"/>
      <c r="Q285" s="10"/>
      <c r="R285" s="10" t="s">
        <v>2387</v>
      </c>
      <c r="S285" s="10" t="s">
        <v>2387</v>
      </c>
      <c r="T285" s="10"/>
      <c r="U285" s="10"/>
      <c r="V285" s="10"/>
      <c r="W285" s="10"/>
      <c r="X285" s="10"/>
      <c r="Y285" s="10"/>
      <c r="Z285" s="10"/>
      <c r="AA285" s="10"/>
      <c r="AB285" s="10"/>
      <c r="AC285" s="10"/>
      <c r="AD285" t="s">
        <v>19</v>
      </c>
      <c r="AE285" t="s">
        <v>19</v>
      </c>
      <c r="AG285">
        <v>1</v>
      </c>
    </row>
    <row r="286" spans="1:33" ht="29">
      <c r="A286" t="s">
        <v>507</v>
      </c>
      <c r="B286" s="4" t="s">
        <v>1487</v>
      </c>
      <c r="C286" s="4" t="s">
        <v>1488</v>
      </c>
      <c r="G286" s="10" t="s">
        <v>25</v>
      </c>
      <c r="H286" s="10"/>
      <c r="I286" s="10">
        <v>1</v>
      </c>
      <c r="J286" s="10">
        <v>2</v>
      </c>
      <c r="K286" s="10" t="s">
        <v>2168</v>
      </c>
      <c r="L286" s="10" t="s">
        <v>2200</v>
      </c>
      <c r="M286" s="10"/>
      <c r="N286" s="11"/>
      <c r="O286" s="10"/>
      <c r="P286" s="10">
        <v>171</v>
      </c>
      <c r="Q286" s="10"/>
      <c r="R286" s="10" t="s">
        <v>2387</v>
      </c>
      <c r="S286" s="10" t="s">
        <v>2387</v>
      </c>
      <c r="T286" s="10"/>
      <c r="U286" s="10"/>
      <c r="V286" s="10"/>
      <c r="W286" s="10"/>
      <c r="X286" s="10"/>
      <c r="Y286" s="10"/>
      <c r="Z286" s="10"/>
      <c r="AA286" s="10"/>
      <c r="AB286" s="10"/>
      <c r="AC286" s="10"/>
      <c r="AD286" t="s">
        <v>19</v>
      </c>
      <c r="AE286" t="s">
        <v>19</v>
      </c>
      <c r="AG286">
        <v>1</v>
      </c>
    </row>
    <row r="287" spans="1:33">
      <c r="A287" t="s">
        <v>508</v>
      </c>
      <c r="B287" s="4" t="s">
        <v>1490</v>
      </c>
      <c r="C287" s="4" t="s">
        <v>1489</v>
      </c>
      <c r="G287" s="10" t="s">
        <v>25</v>
      </c>
      <c r="H287" s="10"/>
      <c r="I287" s="10">
        <v>1</v>
      </c>
      <c r="J287" s="10">
        <v>3</v>
      </c>
      <c r="K287" s="10" t="s">
        <v>2168</v>
      </c>
      <c r="L287" s="10" t="s">
        <v>2159</v>
      </c>
      <c r="M287" s="10"/>
      <c r="N287" s="11"/>
      <c r="O287" s="10"/>
      <c r="P287" s="10">
        <v>86</v>
      </c>
      <c r="Q287" s="10"/>
      <c r="R287" s="10" t="s">
        <v>2387</v>
      </c>
      <c r="S287" s="10" t="s">
        <v>2387</v>
      </c>
      <c r="T287" s="10"/>
      <c r="U287" s="10"/>
      <c r="V287" s="10"/>
      <c r="W287" s="10"/>
      <c r="X287" s="10"/>
      <c r="Y287" s="10"/>
      <c r="Z287" s="10"/>
      <c r="AA287" s="10"/>
      <c r="AB287" s="10"/>
      <c r="AC287" s="10"/>
      <c r="AD287" t="s">
        <v>19</v>
      </c>
      <c r="AE287" t="s">
        <v>19</v>
      </c>
      <c r="AG287">
        <v>1</v>
      </c>
    </row>
    <row r="288" spans="1:33">
      <c r="A288" t="s">
        <v>508</v>
      </c>
      <c r="B288" s="4" t="s">
        <v>1492</v>
      </c>
      <c r="C288" s="4" t="s">
        <v>1491</v>
      </c>
      <c r="G288" s="10" t="s">
        <v>24</v>
      </c>
      <c r="H288" s="10"/>
      <c r="I288" s="10">
        <v>1</v>
      </c>
      <c r="J288" s="10">
        <v>2</v>
      </c>
      <c r="K288" s="10" t="s">
        <v>2177</v>
      </c>
      <c r="L288" s="10" t="s">
        <v>2200</v>
      </c>
      <c r="M288" s="10"/>
      <c r="N288" s="11"/>
      <c r="O288" s="10"/>
      <c r="P288" s="10">
        <v>112</v>
      </c>
      <c r="Q288" s="10"/>
      <c r="R288" s="10" t="s">
        <v>2387</v>
      </c>
      <c r="S288" s="10" t="s">
        <v>2387</v>
      </c>
      <c r="T288" s="10"/>
      <c r="U288" s="10"/>
      <c r="V288" s="10"/>
      <c r="W288" s="10"/>
      <c r="X288" s="10"/>
      <c r="Y288" s="10"/>
      <c r="Z288" s="10"/>
      <c r="AA288" s="10"/>
      <c r="AB288" s="10"/>
      <c r="AC288" s="10"/>
      <c r="AD288" t="s">
        <v>19</v>
      </c>
      <c r="AE288" t="s">
        <v>19</v>
      </c>
      <c r="AG288">
        <v>1</v>
      </c>
    </row>
    <row r="289" spans="1:33">
      <c r="A289" t="s">
        <v>509</v>
      </c>
      <c r="B289" s="4" t="s">
        <v>1494</v>
      </c>
      <c r="C289" s="4" t="s">
        <v>1493</v>
      </c>
      <c r="G289" s="10" t="s">
        <v>2201</v>
      </c>
      <c r="H289" s="10"/>
      <c r="I289" s="10"/>
      <c r="J289" s="10"/>
      <c r="K289" s="10"/>
      <c r="L289" s="10"/>
      <c r="M289" s="10"/>
      <c r="N289" s="11"/>
      <c r="O289" s="10"/>
      <c r="P289" s="10"/>
      <c r="Q289" s="10"/>
      <c r="R289" s="10" t="s">
        <v>2387</v>
      </c>
      <c r="S289" s="10" t="s">
        <v>2387</v>
      </c>
      <c r="T289" s="10"/>
      <c r="U289" s="10"/>
      <c r="V289" s="10"/>
      <c r="W289" s="10"/>
      <c r="X289" s="10"/>
      <c r="Y289" s="10"/>
      <c r="Z289" s="10"/>
      <c r="AA289" s="10"/>
      <c r="AB289" s="10"/>
      <c r="AC289" s="10"/>
      <c r="AD289" t="s">
        <v>19</v>
      </c>
      <c r="AE289" t="s">
        <v>19</v>
      </c>
      <c r="AG289">
        <v>1</v>
      </c>
    </row>
    <row r="290" spans="1:33" ht="72.5">
      <c r="A290" t="s">
        <v>510</v>
      </c>
      <c r="B290" s="4" t="s">
        <v>2290</v>
      </c>
      <c r="C290" s="4" t="s">
        <v>1495</v>
      </c>
      <c r="G290" s="10" t="s">
        <v>25</v>
      </c>
      <c r="H290" s="10"/>
      <c r="I290" s="10">
        <v>8</v>
      </c>
      <c r="J290" s="10">
        <v>41</v>
      </c>
      <c r="K290" s="10"/>
      <c r="L290" s="10" t="s">
        <v>2159</v>
      </c>
      <c r="M290" s="10"/>
      <c r="N290" s="11"/>
      <c r="O290" s="10"/>
      <c r="P290" s="10">
        <v>1</v>
      </c>
      <c r="Q290" s="10"/>
      <c r="R290" s="10" t="s">
        <v>2387</v>
      </c>
      <c r="S290" s="10" t="s">
        <v>2387</v>
      </c>
      <c r="T290" s="10"/>
      <c r="U290" s="10"/>
      <c r="V290" s="10"/>
      <c r="W290" s="10"/>
      <c r="X290" s="10"/>
      <c r="Y290" s="10"/>
      <c r="Z290" s="10"/>
      <c r="AA290" s="10"/>
      <c r="AB290" s="10"/>
      <c r="AC290" s="10"/>
      <c r="AD290" t="s">
        <v>19</v>
      </c>
      <c r="AE290" t="s">
        <v>19</v>
      </c>
      <c r="AG290">
        <v>1</v>
      </c>
    </row>
    <row r="291" spans="1:33" ht="58">
      <c r="A291" t="s">
        <v>511</v>
      </c>
      <c r="B291" s="4" t="s">
        <v>1497</v>
      </c>
      <c r="C291" s="4" t="s">
        <v>1498</v>
      </c>
      <c r="G291" s="10" t="s">
        <v>2199</v>
      </c>
      <c r="H291" s="10"/>
      <c r="I291" s="10"/>
      <c r="J291" s="10"/>
      <c r="K291" s="10"/>
      <c r="L291" s="10"/>
      <c r="M291" s="10"/>
      <c r="N291" s="11"/>
      <c r="O291" s="10"/>
      <c r="P291" s="10"/>
      <c r="Q291" s="10">
        <v>-1699</v>
      </c>
      <c r="R291" s="10">
        <v>1701</v>
      </c>
      <c r="S291" s="10">
        <v>2</v>
      </c>
      <c r="T291" s="10"/>
      <c r="U291" s="10"/>
      <c r="V291" s="10"/>
      <c r="W291" s="10"/>
      <c r="X291" s="10"/>
      <c r="Y291" s="10"/>
      <c r="Z291" s="10"/>
      <c r="AA291" s="10"/>
      <c r="AB291" s="10"/>
      <c r="AC291" s="10"/>
      <c r="AD291" t="s">
        <v>19</v>
      </c>
      <c r="AE291" t="s">
        <v>19</v>
      </c>
      <c r="AG291">
        <v>1</v>
      </c>
    </row>
    <row r="292" spans="1:33" ht="29">
      <c r="A292" t="s">
        <v>512</v>
      </c>
      <c r="B292" s="4" t="s">
        <v>1500</v>
      </c>
      <c r="C292" s="4" t="s">
        <v>1499</v>
      </c>
      <c r="G292" s="10" t="s">
        <v>25</v>
      </c>
      <c r="H292" s="10"/>
      <c r="I292" s="10">
        <v>1</v>
      </c>
      <c r="J292" s="10">
        <v>3</v>
      </c>
      <c r="K292" s="10" t="s">
        <v>2168</v>
      </c>
      <c r="L292" s="10" t="s">
        <v>2159</v>
      </c>
      <c r="M292" s="10"/>
      <c r="N292" s="11"/>
      <c r="O292" s="10"/>
      <c r="P292" s="10">
        <v>280</v>
      </c>
      <c r="Q292" s="10"/>
      <c r="R292" s="10" t="s">
        <v>2387</v>
      </c>
      <c r="S292" s="10" t="s">
        <v>2387</v>
      </c>
      <c r="T292" s="10"/>
      <c r="U292" s="10"/>
      <c r="V292" s="10"/>
      <c r="W292" s="10"/>
      <c r="X292" s="10"/>
      <c r="Y292" s="10"/>
      <c r="Z292" s="10"/>
      <c r="AA292" s="10"/>
      <c r="AB292" s="10"/>
      <c r="AC292" s="10"/>
      <c r="AD292" t="s">
        <v>19</v>
      </c>
      <c r="AE292" t="s">
        <v>19</v>
      </c>
      <c r="AG292">
        <v>1</v>
      </c>
    </row>
    <row r="293" spans="1:33" ht="29">
      <c r="A293" t="s">
        <v>512</v>
      </c>
      <c r="B293" s="4" t="s">
        <v>1501</v>
      </c>
      <c r="C293" s="4" t="s">
        <v>1502</v>
      </c>
      <c r="G293" s="10" t="s">
        <v>2199</v>
      </c>
      <c r="H293" s="10"/>
      <c r="I293" s="10"/>
      <c r="J293" s="10"/>
      <c r="K293" s="10"/>
      <c r="L293" s="10"/>
      <c r="M293" s="10"/>
      <c r="N293" s="11"/>
      <c r="O293" s="10"/>
      <c r="P293" s="10"/>
      <c r="Q293" s="10">
        <v>26</v>
      </c>
      <c r="R293" s="10">
        <v>5</v>
      </c>
      <c r="S293" s="10">
        <v>31</v>
      </c>
      <c r="T293" s="10"/>
      <c r="U293" s="10"/>
      <c r="V293" s="10"/>
      <c r="W293" s="10"/>
      <c r="X293" s="10"/>
      <c r="Y293" s="10"/>
      <c r="Z293" s="10"/>
      <c r="AA293" s="10"/>
      <c r="AB293" s="10"/>
      <c r="AC293" s="10"/>
      <c r="AD293" t="s">
        <v>19</v>
      </c>
      <c r="AE293" t="s">
        <v>19</v>
      </c>
      <c r="AG293">
        <v>1</v>
      </c>
    </row>
    <row r="294" spans="1:33">
      <c r="A294" t="s">
        <v>512</v>
      </c>
      <c r="B294" s="4" t="s">
        <v>513</v>
      </c>
      <c r="C294" s="4" t="s">
        <v>514</v>
      </c>
      <c r="G294" s="10" t="s">
        <v>2199</v>
      </c>
      <c r="H294" s="10"/>
      <c r="I294" s="10"/>
      <c r="J294" s="10"/>
      <c r="K294" s="10"/>
      <c r="L294" s="10"/>
      <c r="M294" s="10"/>
      <c r="N294" s="11"/>
      <c r="O294" s="10"/>
      <c r="P294" s="10"/>
      <c r="Q294" s="10">
        <v>-3</v>
      </c>
      <c r="R294" s="10">
        <v>4</v>
      </c>
      <c r="S294" s="10">
        <v>1</v>
      </c>
      <c r="T294" s="10"/>
      <c r="U294" s="10"/>
      <c r="V294" s="10"/>
      <c r="W294" s="10"/>
      <c r="X294" s="10"/>
      <c r="Y294" s="10"/>
      <c r="Z294" s="10"/>
      <c r="AA294" s="10"/>
      <c r="AB294" s="10"/>
      <c r="AC294" s="10"/>
      <c r="AD294" t="s">
        <v>19</v>
      </c>
      <c r="AE294" t="s">
        <v>19</v>
      </c>
      <c r="AG294">
        <v>1</v>
      </c>
    </row>
    <row r="295" spans="1:33" ht="29">
      <c r="A295" t="s">
        <v>512</v>
      </c>
      <c r="B295" s="4" t="s">
        <v>1503</v>
      </c>
      <c r="C295" s="4" t="s">
        <v>1504</v>
      </c>
      <c r="F295" t="s">
        <v>19</v>
      </c>
      <c r="G295" s="10" t="s">
        <v>2199</v>
      </c>
      <c r="H295" s="10"/>
      <c r="I295" s="10"/>
      <c r="J295" s="10"/>
      <c r="K295" s="10"/>
      <c r="L295" s="10"/>
      <c r="M295" s="10"/>
      <c r="N295" s="11"/>
      <c r="O295" s="10"/>
      <c r="P295" s="10"/>
      <c r="Q295" s="10">
        <v>-39</v>
      </c>
      <c r="R295" s="10">
        <v>41</v>
      </c>
      <c r="S295" s="10">
        <v>2</v>
      </c>
      <c r="T295" s="10"/>
      <c r="U295" s="10"/>
      <c r="V295" s="10"/>
      <c r="W295" s="10"/>
      <c r="X295" s="10"/>
      <c r="Y295" s="10"/>
      <c r="Z295" s="10"/>
      <c r="AA295" s="10"/>
      <c r="AB295" s="10"/>
      <c r="AC295" s="10"/>
      <c r="AD295" t="s">
        <v>20</v>
      </c>
      <c r="AE295" t="s">
        <v>19</v>
      </c>
      <c r="AG295">
        <v>0</v>
      </c>
    </row>
    <row r="296" spans="1:33" ht="29">
      <c r="A296" t="s">
        <v>512</v>
      </c>
      <c r="B296" s="4" t="s">
        <v>1505</v>
      </c>
      <c r="C296" s="4" t="s">
        <v>1506</v>
      </c>
      <c r="G296" s="10" t="s">
        <v>2199</v>
      </c>
      <c r="H296" s="10"/>
      <c r="I296" s="10"/>
      <c r="J296" s="10"/>
      <c r="K296" s="10"/>
      <c r="L296" s="10"/>
      <c r="M296" s="10"/>
      <c r="N296" s="11"/>
      <c r="O296" s="10"/>
      <c r="P296" s="10"/>
      <c r="Q296" s="10">
        <v>447</v>
      </c>
      <c r="R296" s="10">
        <v>166</v>
      </c>
      <c r="S296" s="10">
        <v>613</v>
      </c>
      <c r="T296" s="10"/>
      <c r="U296" s="10"/>
      <c r="V296" s="10"/>
      <c r="W296" s="10"/>
      <c r="X296" s="10"/>
      <c r="Y296" s="10"/>
      <c r="Z296" s="10"/>
      <c r="AA296" s="10"/>
      <c r="AB296" s="10"/>
      <c r="AC296" s="10"/>
      <c r="AD296" t="s">
        <v>19</v>
      </c>
      <c r="AE296" t="s">
        <v>19</v>
      </c>
      <c r="AG296">
        <v>1</v>
      </c>
    </row>
    <row r="297" spans="1:33">
      <c r="A297" t="s">
        <v>515</v>
      </c>
      <c r="B297" s="4" t="s">
        <v>76</v>
      </c>
      <c r="C297" s="4" t="s">
        <v>77</v>
      </c>
      <c r="G297" s="10" t="s">
        <v>2201</v>
      </c>
      <c r="H297" s="10"/>
      <c r="I297" s="10"/>
      <c r="J297" s="10"/>
      <c r="K297" s="10"/>
      <c r="L297" s="10"/>
      <c r="M297" s="10"/>
      <c r="N297" s="11"/>
      <c r="O297" s="10"/>
      <c r="P297" s="10"/>
      <c r="Q297" s="10"/>
      <c r="R297" s="10" t="s">
        <v>2387</v>
      </c>
      <c r="S297" s="10" t="s">
        <v>2387</v>
      </c>
      <c r="T297" s="10"/>
      <c r="U297" s="10"/>
      <c r="V297" s="10"/>
      <c r="W297" s="10"/>
      <c r="X297" s="10"/>
      <c r="Y297" s="10"/>
      <c r="Z297" s="10"/>
      <c r="AA297" s="10"/>
      <c r="AB297" s="10"/>
      <c r="AC297" s="10"/>
      <c r="AD297" t="s">
        <v>19</v>
      </c>
      <c r="AE297" t="s">
        <v>20</v>
      </c>
      <c r="AG297">
        <v>1</v>
      </c>
    </row>
    <row r="298" spans="1:33">
      <c r="A298" t="s">
        <v>517</v>
      </c>
      <c r="B298" s="4" t="s">
        <v>1511</v>
      </c>
      <c r="C298" s="4" t="s">
        <v>1512</v>
      </c>
      <c r="G298" s="10" t="s">
        <v>2199</v>
      </c>
      <c r="H298" s="10"/>
      <c r="I298" s="10"/>
      <c r="J298" s="10"/>
      <c r="K298" s="10"/>
      <c r="L298" s="10"/>
      <c r="M298" s="10"/>
      <c r="N298" s="11"/>
      <c r="O298" s="10"/>
      <c r="P298" s="10"/>
      <c r="Q298" s="10">
        <v>-813</v>
      </c>
      <c r="R298" s="10">
        <v>830</v>
      </c>
      <c r="S298" s="10">
        <v>17</v>
      </c>
      <c r="T298" s="10"/>
      <c r="U298" s="10"/>
      <c r="V298" s="10"/>
      <c r="W298" s="10"/>
      <c r="X298" s="10"/>
      <c r="Y298" s="10"/>
      <c r="Z298" s="10"/>
      <c r="AA298" s="10"/>
      <c r="AB298" s="10"/>
      <c r="AC298" s="10"/>
      <c r="AD298" t="s">
        <v>19</v>
      </c>
      <c r="AE298" t="s">
        <v>19</v>
      </c>
      <c r="AG298">
        <v>1</v>
      </c>
    </row>
    <row r="299" spans="1:33" ht="29">
      <c r="A299" t="s">
        <v>517</v>
      </c>
      <c r="B299" s="4" t="s">
        <v>1513</v>
      </c>
      <c r="C299" s="4" t="s">
        <v>1514</v>
      </c>
      <c r="G299" s="10" t="s">
        <v>25</v>
      </c>
      <c r="H299" s="10"/>
      <c r="I299" s="10">
        <v>1</v>
      </c>
      <c r="J299" s="10">
        <v>3</v>
      </c>
      <c r="K299" s="10" t="s">
        <v>2168</v>
      </c>
      <c r="L299" s="10" t="s">
        <v>2159</v>
      </c>
      <c r="M299" s="10"/>
      <c r="N299" s="11"/>
      <c r="O299" s="10"/>
      <c r="P299" s="10">
        <v>1701</v>
      </c>
      <c r="Q299" s="10"/>
      <c r="R299" s="10" t="s">
        <v>2387</v>
      </c>
      <c r="S299" s="10" t="s">
        <v>2387</v>
      </c>
      <c r="T299" s="10"/>
      <c r="U299" s="10"/>
      <c r="V299" s="10"/>
      <c r="W299" s="10"/>
      <c r="X299" s="10"/>
      <c r="Y299" s="10"/>
      <c r="Z299" s="10"/>
      <c r="AA299" s="10"/>
      <c r="AB299" s="10"/>
      <c r="AC299" s="10"/>
      <c r="AD299" t="s">
        <v>19</v>
      </c>
      <c r="AE299" t="s">
        <v>19</v>
      </c>
      <c r="AG299">
        <v>1</v>
      </c>
    </row>
    <row r="300" spans="1:33">
      <c r="A300" t="s">
        <v>523</v>
      </c>
      <c r="B300" s="4" t="s">
        <v>1519</v>
      </c>
      <c r="C300" s="4" t="s">
        <v>1520</v>
      </c>
      <c r="G300" s="10" t="s">
        <v>2201</v>
      </c>
      <c r="H300" s="10"/>
      <c r="I300" s="10"/>
      <c r="J300" s="10"/>
      <c r="K300" s="10"/>
      <c r="L300" s="10"/>
      <c r="M300" s="10"/>
      <c r="N300" s="11"/>
      <c r="O300" s="10"/>
      <c r="P300" s="10"/>
      <c r="Q300" s="10"/>
      <c r="R300" s="10" t="s">
        <v>2387</v>
      </c>
      <c r="S300" s="10" t="s">
        <v>2387</v>
      </c>
      <c r="T300" s="10"/>
      <c r="U300" s="10"/>
      <c r="V300" s="10"/>
      <c r="W300" s="10"/>
      <c r="X300" s="10"/>
      <c r="Y300" s="10"/>
      <c r="Z300" s="10"/>
      <c r="AA300" s="10"/>
      <c r="AB300" s="10"/>
      <c r="AC300" s="10"/>
      <c r="AD300" t="s">
        <v>19</v>
      </c>
      <c r="AE300" t="s">
        <v>19</v>
      </c>
      <c r="AG300">
        <v>1</v>
      </c>
    </row>
    <row r="301" spans="1:33">
      <c r="A301" t="s">
        <v>523</v>
      </c>
      <c r="B301" s="4" t="s">
        <v>1522</v>
      </c>
      <c r="C301" s="4" t="s">
        <v>1521</v>
      </c>
      <c r="G301" s="10" t="s">
        <v>24</v>
      </c>
      <c r="H301" s="10"/>
      <c r="I301" s="10">
        <v>1</v>
      </c>
      <c r="J301" s="10">
        <v>3</v>
      </c>
      <c r="K301" s="10" t="s">
        <v>2158</v>
      </c>
      <c r="L301" s="10" t="s">
        <v>2159</v>
      </c>
      <c r="M301" s="10"/>
      <c r="N301" s="11"/>
      <c r="O301" s="10"/>
      <c r="P301" s="10">
        <v>2475</v>
      </c>
      <c r="Q301" s="10"/>
      <c r="R301" s="10" t="s">
        <v>2387</v>
      </c>
      <c r="S301" s="10" t="s">
        <v>2387</v>
      </c>
      <c r="T301" s="10"/>
      <c r="U301" s="10"/>
      <c r="V301" s="10"/>
      <c r="W301" s="10"/>
      <c r="X301" s="10"/>
      <c r="Y301" s="10"/>
      <c r="Z301" s="10"/>
      <c r="AA301" s="10"/>
      <c r="AB301" s="10"/>
      <c r="AC301" s="10"/>
      <c r="AD301" t="s">
        <v>19</v>
      </c>
      <c r="AE301" t="s">
        <v>19</v>
      </c>
      <c r="AG301">
        <v>1</v>
      </c>
    </row>
    <row r="302" spans="1:33">
      <c r="A302" t="s">
        <v>523</v>
      </c>
      <c r="B302" t="s">
        <v>1523</v>
      </c>
      <c r="C302" t="s">
        <v>1524</v>
      </c>
      <c r="G302" s="10" t="s">
        <v>24</v>
      </c>
      <c r="H302" s="10"/>
      <c r="I302" s="10">
        <v>1</v>
      </c>
      <c r="J302" s="10">
        <v>3</v>
      </c>
      <c r="K302" s="10" t="s">
        <v>2158</v>
      </c>
      <c r="L302" s="10" t="s">
        <v>2159</v>
      </c>
      <c r="M302" s="10"/>
      <c r="N302" s="11"/>
      <c r="O302" s="10"/>
      <c r="P302" s="10">
        <v>2475</v>
      </c>
      <c r="Q302" s="10"/>
      <c r="R302" s="10" t="s">
        <v>2387</v>
      </c>
      <c r="S302" s="10" t="s">
        <v>2387</v>
      </c>
      <c r="T302" s="10"/>
      <c r="U302" s="10"/>
      <c r="V302" s="10"/>
      <c r="W302" s="10"/>
      <c r="X302" s="10"/>
      <c r="Y302" s="10"/>
      <c r="Z302" s="10"/>
      <c r="AA302" s="10"/>
      <c r="AB302" s="10"/>
      <c r="AC302" s="10"/>
      <c r="AD302" t="s">
        <v>19</v>
      </c>
      <c r="AE302" t="s">
        <v>19</v>
      </c>
      <c r="AG302">
        <v>1</v>
      </c>
    </row>
    <row r="303" spans="1:33">
      <c r="A303" t="s">
        <v>523</v>
      </c>
      <c r="B303" s="4" t="s">
        <v>1525</v>
      </c>
      <c r="C303" s="4" t="s">
        <v>1526</v>
      </c>
      <c r="G303" s="10" t="s">
        <v>25</v>
      </c>
      <c r="H303" s="10"/>
      <c r="I303" s="10">
        <v>1</v>
      </c>
      <c r="J303" s="10">
        <v>2</v>
      </c>
      <c r="K303" s="10" t="s">
        <v>2158</v>
      </c>
      <c r="L303" s="10" t="s">
        <v>2200</v>
      </c>
      <c r="M303" s="10"/>
      <c r="N303" s="11"/>
      <c r="O303" s="10"/>
      <c r="P303" s="10">
        <v>2475</v>
      </c>
      <c r="Q303" s="10"/>
      <c r="R303" s="10" t="s">
        <v>2387</v>
      </c>
      <c r="S303" s="10" t="s">
        <v>2387</v>
      </c>
      <c r="T303" s="10"/>
      <c r="U303" s="10"/>
      <c r="V303" s="10"/>
      <c r="W303" s="10"/>
      <c r="X303" s="10"/>
      <c r="Y303" s="10"/>
      <c r="Z303" s="10"/>
      <c r="AA303" s="10"/>
      <c r="AB303" s="10"/>
      <c r="AC303" s="10"/>
      <c r="AD303" t="s">
        <v>19</v>
      </c>
      <c r="AE303" t="s">
        <v>20</v>
      </c>
      <c r="AG303">
        <v>1</v>
      </c>
    </row>
    <row r="304" spans="1:33">
      <c r="A304" t="s">
        <v>524</v>
      </c>
      <c r="B304" s="4" t="s">
        <v>1528</v>
      </c>
      <c r="C304" s="4" t="s">
        <v>1527</v>
      </c>
      <c r="G304" s="10" t="s">
        <v>25</v>
      </c>
      <c r="H304" s="10"/>
      <c r="I304" s="10">
        <v>1</v>
      </c>
      <c r="J304" s="10">
        <v>1</v>
      </c>
      <c r="K304" s="10" t="s">
        <v>2158</v>
      </c>
      <c r="L304" s="10" t="s">
        <v>2200</v>
      </c>
      <c r="M304" s="10"/>
      <c r="N304" s="11"/>
      <c r="O304" s="10" t="s">
        <v>2154</v>
      </c>
      <c r="P304" s="10">
        <v>2475</v>
      </c>
      <c r="Q304" s="10"/>
      <c r="R304" s="10" t="s">
        <v>2387</v>
      </c>
      <c r="S304" s="10" t="s">
        <v>2387</v>
      </c>
      <c r="T304" s="10"/>
      <c r="U304" s="10"/>
      <c r="V304" s="10"/>
      <c r="W304" s="10"/>
      <c r="X304" s="10"/>
      <c r="Y304" s="10"/>
      <c r="Z304" s="10"/>
      <c r="AA304" s="10"/>
      <c r="AB304" s="10"/>
      <c r="AC304" s="10"/>
      <c r="AD304" t="s">
        <v>19</v>
      </c>
      <c r="AE304" t="s">
        <v>19</v>
      </c>
      <c r="AG304">
        <v>1</v>
      </c>
    </row>
    <row r="305" spans="1:33">
      <c r="A305" t="s">
        <v>525</v>
      </c>
      <c r="B305" s="4" t="s">
        <v>1530</v>
      </c>
      <c r="C305" s="4" t="s">
        <v>1529</v>
      </c>
      <c r="G305" s="10" t="s">
        <v>25</v>
      </c>
      <c r="H305" s="10"/>
      <c r="I305" s="10">
        <v>1</v>
      </c>
      <c r="J305" s="10">
        <v>3</v>
      </c>
      <c r="K305" s="10" t="s">
        <v>2168</v>
      </c>
      <c r="L305" s="10" t="s">
        <v>2159</v>
      </c>
      <c r="M305" s="10"/>
      <c r="N305" s="11"/>
      <c r="O305" s="10"/>
      <c r="P305" s="10">
        <v>186</v>
      </c>
      <c r="Q305" s="10"/>
      <c r="R305" s="10" t="s">
        <v>2387</v>
      </c>
      <c r="S305" s="10" t="s">
        <v>2387</v>
      </c>
      <c r="T305" s="10"/>
      <c r="U305" s="10"/>
      <c r="V305" s="10"/>
      <c r="W305" s="10"/>
      <c r="X305" s="10"/>
      <c r="Y305" s="10"/>
      <c r="Z305" s="10"/>
      <c r="AA305" s="10"/>
      <c r="AB305" s="10"/>
      <c r="AC305" s="10"/>
      <c r="AD305" t="s">
        <v>19</v>
      </c>
      <c r="AE305" t="s">
        <v>19</v>
      </c>
      <c r="AG305">
        <v>1</v>
      </c>
    </row>
    <row r="306" spans="1:33">
      <c r="A306" t="s">
        <v>525</v>
      </c>
      <c r="B306" s="4" t="s">
        <v>1533</v>
      </c>
      <c r="C306" s="4" t="s">
        <v>1534</v>
      </c>
      <c r="G306" s="10" t="s">
        <v>2201</v>
      </c>
      <c r="H306" s="10"/>
      <c r="I306" s="10"/>
      <c r="J306" s="10"/>
      <c r="K306" s="10"/>
      <c r="L306" s="10"/>
      <c r="M306" s="10"/>
      <c r="N306" s="11"/>
      <c r="O306" s="10"/>
      <c r="P306" s="10"/>
      <c r="Q306" s="10"/>
      <c r="R306" s="10" t="s">
        <v>2387</v>
      </c>
      <c r="S306" s="10" t="s">
        <v>2387</v>
      </c>
      <c r="T306" s="10"/>
      <c r="U306" s="10"/>
      <c r="V306" s="10"/>
      <c r="W306" s="10"/>
      <c r="X306" s="10"/>
      <c r="Y306" s="10"/>
      <c r="Z306" s="10"/>
      <c r="AA306" s="10"/>
      <c r="AB306" s="10"/>
      <c r="AC306" s="10"/>
      <c r="AD306" t="s">
        <v>19</v>
      </c>
      <c r="AE306" t="s">
        <v>19</v>
      </c>
      <c r="AG306">
        <v>1</v>
      </c>
    </row>
    <row r="307" spans="1:33" ht="29">
      <c r="A307" t="s">
        <v>526</v>
      </c>
      <c r="B307" s="4" t="s">
        <v>1537</v>
      </c>
      <c r="C307" s="4" t="s">
        <v>1538</v>
      </c>
      <c r="G307" s="10" t="s">
        <v>2199</v>
      </c>
      <c r="H307" s="10"/>
      <c r="I307" s="10"/>
      <c r="J307" s="10"/>
      <c r="K307" s="10"/>
      <c r="L307" s="10"/>
      <c r="M307" s="10"/>
      <c r="N307" s="11"/>
      <c r="O307" s="10"/>
      <c r="P307" s="10"/>
      <c r="Q307" s="10">
        <v>-24</v>
      </c>
      <c r="R307" s="10">
        <v>29</v>
      </c>
      <c r="S307" s="10">
        <v>5</v>
      </c>
      <c r="T307" s="10"/>
      <c r="U307" s="10"/>
      <c r="V307" s="10"/>
      <c r="W307" s="10"/>
      <c r="X307" s="10"/>
      <c r="Y307" s="10"/>
      <c r="Z307" s="10"/>
      <c r="AA307" s="10"/>
      <c r="AB307" s="10"/>
      <c r="AC307" s="10"/>
      <c r="AD307" t="s">
        <v>19</v>
      </c>
      <c r="AE307" t="s">
        <v>20</v>
      </c>
      <c r="AG307">
        <v>1</v>
      </c>
    </row>
    <row r="308" spans="1:33">
      <c r="A308" t="s">
        <v>527</v>
      </c>
      <c r="B308" s="4" t="s">
        <v>1540</v>
      </c>
      <c r="C308" s="4" t="s">
        <v>1539</v>
      </c>
      <c r="G308" s="10" t="s">
        <v>24</v>
      </c>
      <c r="H308" s="10"/>
      <c r="I308" s="10">
        <v>1</v>
      </c>
      <c r="J308" s="10">
        <v>3</v>
      </c>
      <c r="K308" s="10" t="s">
        <v>2175</v>
      </c>
      <c r="L308" s="10" t="s">
        <v>2159</v>
      </c>
      <c r="M308" s="10"/>
      <c r="N308" s="11"/>
      <c r="O308" s="10"/>
      <c r="P308" s="10">
        <v>743</v>
      </c>
      <c r="Q308" s="10"/>
      <c r="R308" s="10" t="s">
        <v>2387</v>
      </c>
      <c r="S308" s="10" t="s">
        <v>2387</v>
      </c>
      <c r="T308" s="10"/>
      <c r="U308" s="10"/>
      <c r="V308" s="10"/>
      <c r="W308" s="10"/>
      <c r="X308" s="10"/>
      <c r="Y308" s="10"/>
      <c r="Z308" s="10"/>
      <c r="AA308" s="10"/>
      <c r="AB308" s="10"/>
      <c r="AC308" s="10"/>
      <c r="AD308" t="s">
        <v>19</v>
      </c>
      <c r="AE308" t="s">
        <v>19</v>
      </c>
      <c r="AG308">
        <v>1</v>
      </c>
    </row>
    <row r="309" spans="1:33">
      <c r="A309" t="s">
        <v>528</v>
      </c>
      <c r="B309" s="4" t="s">
        <v>1543</v>
      </c>
      <c r="C309" s="4" t="s">
        <v>1544</v>
      </c>
      <c r="G309" s="10" t="s">
        <v>2199</v>
      </c>
      <c r="H309" s="10"/>
      <c r="I309" s="10"/>
      <c r="J309" s="10"/>
      <c r="K309" s="10"/>
      <c r="L309" s="10"/>
      <c r="M309" s="10"/>
      <c r="N309" s="11"/>
      <c r="O309" s="10"/>
      <c r="P309" s="10"/>
      <c r="Q309" s="10">
        <v>-1</v>
      </c>
      <c r="R309" s="10">
        <v>14</v>
      </c>
      <c r="S309" s="10">
        <v>13</v>
      </c>
      <c r="T309" s="10"/>
      <c r="U309" s="10"/>
      <c r="V309" s="10"/>
      <c r="W309" s="10"/>
      <c r="X309" s="10"/>
      <c r="Y309" s="10"/>
      <c r="Z309" s="10"/>
      <c r="AA309" s="10"/>
      <c r="AB309" s="10"/>
      <c r="AC309" s="10"/>
      <c r="AD309" t="s">
        <v>19</v>
      </c>
      <c r="AE309" t="s">
        <v>19</v>
      </c>
      <c r="AG309">
        <v>1</v>
      </c>
    </row>
    <row r="310" spans="1:33">
      <c r="A310" t="s">
        <v>529</v>
      </c>
      <c r="B310" s="4" t="s">
        <v>1545</v>
      </c>
      <c r="C310" s="4" t="s">
        <v>1546</v>
      </c>
      <c r="G310" s="10" t="s">
        <v>2199</v>
      </c>
      <c r="H310" s="10"/>
      <c r="I310" s="10"/>
      <c r="J310" s="10"/>
      <c r="K310" s="10"/>
      <c r="L310" s="10"/>
      <c r="M310" s="10"/>
      <c r="N310" s="11"/>
      <c r="O310" s="10"/>
      <c r="P310" s="10"/>
      <c r="Q310" s="10">
        <v>-121</v>
      </c>
      <c r="R310" s="10">
        <v>129</v>
      </c>
      <c r="S310" s="10">
        <v>8</v>
      </c>
      <c r="T310" s="10"/>
      <c r="U310" s="10"/>
      <c r="V310" s="10"/>
      <c r="W310" s="10"/>
      <c r="X310" s="10"/>
      <c r="Y310" s="10"/>
      <c r="Z310" s="10"/>
      <c r="AA310" s="10"/>
      <c r="AB310" s="10"/>
      <c r="AC310" s="10"/>
      <c r="AD310" t="s">
        <v>19</v>
      </c>
      <c r="AE310" t="s">
        <v>20</v>
      </c>
      <c r="AG310">
        <v>1</v>
      </c>
    </row>
    <row r="311" spans="1:33" ht="43.5">
      <c r="A311" t="s">
        <v>534</v>
      </c>
      <c r="B311" s="4" t="s">
        <v>1554</v>
      </c>
      <c r="C311" s="4" t="s">
        <v>1553</v>
      </c>
      <c r="G311" s="10" t="s">
        <v>26</v>
      </c>
      <c r="H311" s="10"/>
      <c r="I311" s="10"/>
      <c r="J311" s="10"/>
      <c r="K311" s="10"/>
      <c r="L311" s="10"/>
      <c r="M311" s="10"/>
      <c r="N311" s="11"/>
      <c r="O311" s="10"/>
      <c r="P311" s="10"/>
      <c r="Q311" s="10"/>
      <c r="R311" s="10" t="s">
        <v>2387</v>
      </c>
      <c r="S311" s="10" t="s">
        <v>2387</v>
      </c>
      <c r="T311" s="10"/>
      <c r="U311" s="10"/>
      <c r="V311" s="10"/>
      <c r="W311" s="10"/>
      <c r="X311" s="10"/>
      <c r="Y311" s="10"/>
      <c r="Z311" s="10"/>
      <c r="AA311" s="10"/>
      <c r="AB311" s="10"/>
      <c r="AC311" s="10"/>
      <c r="AD311" t="s">
        <v>19</v>
      </c>
      <c r="AE311" t="s">
        <v>19</v>
      </c>
      <c r="AG311">
        <v>1</v>
      </c>
    </row>
    <row r="312" spans="1:33">
      <c r="A312" t="s">
        <v>537</v>
      </c>
      <c r="B312" s="4" t="s">
        <v>1556</v>
      </c>
      <c r="C312" s="4" t="s">
        <v>1555</v>
      </c>
      <c r="G312" s="10" t="s">
        <v>25</v>
      </c>
      <c r="H312" s="10"/>
      <c r="I312" s="10">
        <v>1</v>
      </c>
      <c r="J312" s="10">
        <v>3</v>
      </c>
      <c r="K312" s="10" t="s">
        <v>2168</v>
      </c>
      <c r="L312" s="10" t="s">
        <v>2159</v>
      </c>
      <c r="M312" s="10"/>
      <c r="N312" s="11"/>
      <c r="O312" s="10"/>
      <c r="P312" s="10">
        <v>1701</v>
      </c>
      <c r="Q312" s="10"/>
      <c r="R312" s="10" t="s">
        <v>2387</v>
      </c>
      <c r="S312" s="10" t="s">
        <v>2387</v>
      </c>
      <c r="T312" s="10"/>
      <c r="U312" s="10"/>
      <c r="V312" s="10"/>
      <c r="W312" s="10"/>
      <c r="X312" s="10"/>
      <c r="Y312" s="10"/>
      <c r="Z312" s="10"/>
      <c r="AA312" s="10"/>
      <c r="AB312" s="10"/>
      <c r="AC312" s="10"/>
      <c r="AD312" t="s">
        <v>19</v>
      </c>
      <c r="AE312" t="s">
        <v>19</v>
      </c>
      <c r="AG312">
        <v>1</v>
      </c>
    </row>
    <row r="313" spans="1:33">
      <c r="A313" t="s">
        <v>537</v>
      </c>
      <c r="B313" s="4" t="s">
        <v>1558</v>
      </c>
      <c r="C313" s="4" t="s">
        <v>1557</v>
      </c>
      <c r="G313" s="10" t="s">
        <v>2199</v>
      </c>
      <c r="H313" s="10"/>
      <c r="I313" s="10"/>
      <c r="J313" s="10"/>
      <c r="K313" s="10"/>
      <c r="L313" s="10"/>
      <c r="M313" s="10"/>
      <c r="N313" s="11"/>
      <c r="O313" s="10"/>
      <c r="P313" s="10"/>
      <c r="Q313" s="10">
        <v>-63</v>
      </c>
      <c r="R313" s="10">
        <v>129</v>
      </c>
      <c r="S313" s="10">
        <v>66</v>
      </c>
      <c r="T313" s="10"/>
      <c r="U313" s="10"/>
      <c r="V313" s="10"/>
      <c r="W313" s="10"/>
      <c r="X313" s="10"/>
      <c r="Y313" s="10"/>
      <c r="Z313" s="10"/>
      <c r="AA313" s="10"/>
      <c r="AB313" s="10"/>
      <c r="AC313" s="10"/>
      <c r="AD313" t="s">
        <v>19</v>
      </c>
      <c r="AE313" t="s">
        <v>19</v>
      </c>
      <c r="AG313">
        <v>1</v>
      </c>
    </row>
    <row r="314" spans="1:33" ht="29">
      <c r="A314" t="s">
        <v>537</v>
      </c>
      <c r="B314" s="4" t="s">
        <v>1559</v>
      </c>
      <c r="C314" s="4" t="s">
        <v>1560</v>
      </c>
      <c r="G314" s="10" t="s">
        <v>2199</v>
      </c>
      <c r="H314" s="10"/>
      <c r="I314" s="10"/>
      <c r="J314" s="10"/>
      <c r="K314" s="10"/>
      <c r="L314" s="10"/>
      <c r="M314" s="10"/>
      <c r="N314" s="11"/>
      <c r="O314" s="10"/>
      <c r="P314" s="10"/>
      <c r="Q314" s="10">
        <v>1</v>
      </c>
      <c r="R314" s="10">
        <v>0</v>
      </c>
      <c r="S314" s="10">
        <v>1</v>
      </c>
      <c r="T314" s="10"/>
      <c r="U314" s="10"/>
      <c r="V314" s="10"/>
      <c r="W314" s="10"/>
      <c r="X314" s="10"/>
      <c r="Y314" s="10"/>
      <c r="Z314" s="10"/>
      <c r="AA314" s="10"/>
      <c r="AB314" s="10"/>
      <c r="AC314" s="10"/>
      <c r="AD314" t="s">
        <v>19</v>
      </c>
      <c r="AE314" t="s">
        <v>19</v>
      </c>
      <c r="AG314">
        <v>1</v>
      </c>
    </row>
    <row r="315" spans="1:33" ht="29">
      <c r="A315" t="s">
        <v>537</v>
      </c>
      <c r="B315" s="4" t="s">
        <v>1561</v>
      </c>
      <c r="C315" s="4" t="s">
        <v>1562</v>
      </c>
      <c r="G315" s="10" t="s">
        <v>2201</v>
      </c>
      <c r="H315" s="10"/>
      <c r="I315" s="10"/>
      <c r="J315" s="10"/>
      <c r="K315" s="10"/>
      <c r="L315" s="10"/>
      <c r="M315" s="10"/>
      <c r="N315" s="11"/>
      <c r="O315" s="10"/>
      <c r="P315" s="10"/>
      <c r="Q315" s="10"/>
      <c r="R315" s="10" t="s">
        <v>2387</v>
      </c>
      <c r="S315" s="10" t="s">
        <v>2387</v>
      </c>
      <c r="T315" s="10"/>
      <c r="U315" s="10"/>
      <c r="V315" s="10"/>
      <c r="W315" s="10"/>
      <c r="X315" s="10"/>
      <c r="Y315" s="10"/>
      <c r="Z315" s="10"/>
      <c r="AA315" s="10"/>
      <c r="AB315" s="10"/>
      <c r="AC315" s="10"/>
      <c r="AD315" t="s">
        <v>19</v>
      </c>
      <c r="AE315" t="s">
        <v>19</v>
      </c>
      <c r="AG315">
        <v>1</v>
      </c>
    </row>
    <row r="316" spans="1:33">
      <c r="A316" t="s">
        <v>537</v>
      </c>
      <c r="B316" s="4" t="s">
        <v>1565</v>
      </c>
      <c r="C316" s="4" t="s">
        <v>1566</v>
      </c>
      <c r="F316" t="s">
        <v>22</v>
      </c>
      <c r="G316" s="10" t="s">
        <v>2201</v>
      </c>
      <c r="H316" s="10"/>
      <c r="I316" s="10"/>
      <c r="J316" s="10"/>
      <c r="K316" s="10"/>
      <c r="L316" s="10"/>
      <c r="M316" s="10"/>
      <c r="N316" s="11"/>
      <c r="O316" s="10"/>
      <c r="P316" s="10"/>
      <c r="Q316" s="10"/>
      <c r="R316" s="10" t="s">
        <v>2387</v>
      </c>
      <c r="S316" s="10" t="s">
        <v>2387</v>
      </c>
      <c r="T316" s="10"/>
      <c r="U316" s="10"/>
      <c r="V316" s="10"/>
      <c r="W316" s="10"/>
      <c r="X316" s="10"/>
      <c r="Y316" s="10"/>
      <c r="Z316" s="10"/>
      <c r="AA316" s="10"/>
      <c r="AB316" s="10"/>
      <c r="AC316" s="10"/>
      <c r="AD316" t="s">
        <v>19</v>
      </c>
      <c r="AE316" t="s">
        <v>20</v>
      </c>
      <c r="AG316">
        <v>1</v>
      </c>
    </row>
    <row r="317" spans="1:33" ht="29">
      <c r="A317" t="s">
        <v>537</v>
      </c>
      <c r="B317" s="4" t="s">
        <v>1570</v>
      </c>
      <c r="C317" s="4" t="s">
        <v>1571</v>
      </c>
      <c r="G317" s="10" t="s">
        <v>25</v>
      </c>
      <c r="H317" s="10"/>
      <c r="I317" s="10">
        <v>1</v>
      </c>
      <c r="J317" s="10">
        <v>4</v>
      </c>
      <c r="K317" s="10" t="s">
        <v>2175</v>
      </c>
      <c r="L317" s="10" t="s">
        <v>2159</v>
      </c>
      <c r="M317" s="10"/>
      <c r="N317" s="11"/>
      <c r="O317" s="10"/>
      <c r="P317" s="10">
        <v>312</v>
      </c>
      <c r="Q317" s="10"/>
      <c r="R317" s="10" t="s">
        <v>2387</v>
      </c>
      <c r="S317" s="10" t="s">
        <v>2387</v>
      </c>
      <c r="T317" s="10"/>
      <c r="U317" s="10"/>
      <c r="V317" s="10"/>
      <c r="W317" s="10"/>
      <c r="X317" s="10"/>
      <c r="Y317" s="10"/>
      <c r="Z317" s="10"/>
      <c r="AA317" s="10"/>
      <c r="AB317" s="10"/>
      <c r="AC317" s="10"/>
      <c r="AD317" t="s">
        <v>19</v>
      </c>
      <c r="AG317">
        <v>1</v>
      </c>
    </row>
    <row r="318" spans="1:33" ht="29">
      <c r="A318" t="s">
        <v>538</v>
      </c>
      <c r="B318" s="4" t="s">
        <v>1573</v>
      </c>
      <c r="C318" s="4" t="s">
        <v>1572</v>
      </c>
      <c r="G318" s="10" t="s">
        <v>25</v>
      </c>
      <c r="H318" s="10"/>
      <c r="I318" s="10">
        <v>1</v>
      </c>
      <c r="J318" s="10">
        <v>1</v>
      </c>
      <c r="K318" s="10" t="s">
        <v>2158</v>
      </c>
      <c r="L318" s="10" t="s">
        <v>2200</v>
      </c>
      <c r="M318" s="10"/>
      <c r="N318" s="11"/>
      <c r="O318" s="10"/>
      <c r="P318" s="10">
        <v>2475</v>
      </c>
      <c r="Q318" s="10"/>
      <c r="R318" s="10" t="s">
        <v>2387</v>
      </c>
      <c r="S318" s="10" t="s">
        <v>2387</v>
      </c>
      <c r="T318" s="10"/>
      <c r="U318" s="10"/>
      <c r="V318" s="10"/>
      <c r="W318" s="10"/>
      <c r="X318" s="10"/>
      <c r="Y318" s="10"/>
      <c r="Z318" s="10"/>
      <c r="AA318" s="10"/>
      <c r="AB318" s="10"/>
      <c r="AC318" s="10"/>
      <c r="AD318" t="s">
        <v>19</v>
      </c>
      <c r="AE318" t="s">
        <v>19</v>
      </c>
      <c r="AG318">
        <v>1</v>
      </c>
    </row>
    <row r="319" spans="1:33" ht="29">
      <c r="A319" t="s">
        <v>538</v>
      </c>
      <c r="B319" s="4" t="s">
        <v>1574</v>
      </c>
      <c r="C319" s="4" t="s">
        <v>1572</v>
      </c>
      <c r="G319" s="10" t="s">
        <v>25</v>
      </c>
      <c r="H319" s="10"/>
      <c r="I319" s="10">
        <v>1</v>
      </c>
      <c r="J319" s="10">
        <v>3</v>
      </c>
      <c r="K319" s="10" t="s">
        <v>2158</v>
      </c>
      <c r="L319" s="10" t="s">
        <v>2159</v>
      </c>
      <c r="M319" s="10"/>
      <c r="N319" s="11"/>
      <c r="O319" s="10"/>
      <c r="P319" s="10">
        <v>2475</v>
      </c>
      <c r="Q319" s="10"/>
      <c r="R319" s="10" t="s">
        <v>2387</v>
      </c>
      <c r="S319" s="10" t="s">
        <v>2387</v>
      </c>
      <c r="T319" s="10"/>
      <c r="U319" s="10"/>
      <c r="V319" s="10"/>
      <c r="W319" s="10"/>
      <c r="X319" s="10"/>
      <c r="Y319" s="10"/>
      <c r="Z319" s="10"/>
      <c r="AA319" s="10"/>
      <c r="AB319" s="10"/>
      <c r="AC319" s="10"/>
      <c r="AD319" t="s">
        <v>19</v>
      </c>
      <c r="AE319" t="s">
        <v>20</v>
      </c>
      <c r="AG319">
        <v>1</v>
      </c>
    </row>
    <row r="320" spans="1:33">
      <c r="A320" t="s">
        <v>541</v>
      </c>
      <c r="B320" s="4" t="s">
        <v>2441</v>
      </c>
      <c r="C320" s="4" t="s">
        <v>1575</v>
      </c>
      <c r="G320" s="10" t="s">
        <v>2201</v>
      </c>
      <c r="H320" s="10"/>
      <c r="I320" s="10"/>
      <c r="J320" s="10"/>
      <c r="K320" s="10"/>
      <c r="L320" s="10"/>
      <c r="M320" s="10"/>
      <c r="N320" s="11"/>
      <c r="O320" s="10"/>
      <c r="P320" s="10"/>
      <c r="Q320" s="10"/>
      <c r="R320" s="10" t="s">
        <v>2387</v>
      </c>
      <c r="S320" s="10" t="s">
        <v>2387</v>
      </c>
      <c r="T320" s="10"/>
      <c r="U320" s="10"/>
      <c r="V320" s="10"/>
      <c r="W320" s="10"/>
      <c r="X320" s="10"/>
      <c r="Y320" s="10"/>
      <c r="Z320" s="10"/>
      <c r="AA320" s="10"/>
      <c r="AB320" s="10"/>
      <c r="AC320" s="10"/>
      <c r="AD320" t="s">
        <v>19</v>
      </c>
      <c r="AE320" t="s">
        <v>19</v>
      </c>
      <c r="AG320">
        <v>1</v>
      </c>
    </row>
    <row r="321" spans="1:33">
      <c r="A321" t="s">
        <v>541</v>
      </c>
      <c r="B321" s="4" t="s">
        <v>1576</v>
      </c>
      <c r="C321" s="4" t="s">
        <v>1577</v>
      </c>
      <c r="G321" s="10" t="s">
        <v>2201</v>
      </c>
      <c r="H321" s="10"/>
      <c r="I321" s="10"/>
      <c r="J321" s="10"/>
      <c r="K321" s="10"/>
      <c r="L321" s="10"/>
      <c r="M321" s="10"/>
      <c r="N321" s="11"/>
      <c r="O321" s="10"/>
      <c r="P321" s="10"/>
      <c r="Q321" s="10"/>
      <c r="R321" s="10" t="s">
        <v>2387</v>
      </c>
      <c r="S321" s="10" t="s">
        <v>2387</v>
      </c>
      <c r="T321" s="10"/>
      <c r="U321" s="10"/>
      <c r="V321" s="10"/>
      <c r="W321" s="10"/>
      <c r="X321" s="10"/>
      <c r="Y321" s="10"/>
      <c r="Z321" s="10"/>
      <c r="AA321" s="10"/>
      <c r="AB321" s="10"/>
      <c r="AC321" s="10"/>
      <c r="AD321" t="s">
        <v>19</v>
      </c>
      <c r="AE321" t="s">
        <v>19</v>
      </c>
      <c r="AG321">
        <v>1</v>
      </c>
    </row>
    <row r="322" spans="1:33" ht="43.5">
      <c r="A322" t="s">
        <v>542</v>
      </c>
      <c r="B322" s="4" t="s">
        <v>1578</v>
      </c>
      <c r="C322" s="4" t="s">
        <v>1581</v>
      </c>
      <c r="F322" t="s">
        <v>19</v>
      </c>
      <c r="G322" s="10" t="s">
        <v>24</v>
      </c>
      <c r="H322" s="10"/>
      <c r="I322" s="10">
        <v>4</v>
      </c>
      <c r="J322" s="10">
        <v>17</v>
      </c>
      <c r="K322" s="10"/>
      <c r="L322" s="10" t="s">
        <v>2159</v>
      </c>
      <c r="M322" s="10"/>
      <c r="N322" s="11"/>
      <c r="O322" s="10"/>
      <c r="P322" s="10">
        <v>19</v>
      </c>
      <c r="Q322" s="10"/>
      <c r="R322" s="10" t="s">
        <v>2387</v>
      </c>
      <c r="S322" s="10" t="s">
        <v>2387</v>
      </c>
      <c r="T322" s="10"/>
      <c r="U322" s="10"/>
      <c r="V322" s="10"/>
      <c r="W322" s="10"/>
      <c r="X322" s="10"/>
      <c r="Y322" s="10"/>
      <c r="Z322" s="10"/>
      <c r="AA322" s="10"/>
      <c r="AB322" s="10"/>
      <c r="AC322" s="10"/>
      <c r="AD322" t="s">
        <v>20</v>
      </c>
      <c r="AE322" t="s">
        <v>20</v>
      </c>
      <c r="AG322">
        <v>0</v>
      </c>
    </row>
    <row r="323" spans="1:33">
      <c r="A323" t="s">
        <v>545</v>
      </c>
      <c r="B323" s="4" t="s">
        <v>1583</v>
      </c>
      <c r="C323" s="4" t="s">
        <v>1582</v>
      </c>
      <c r="G323" s="10" t="s">
        <v>25</v>
      </c>
      <c r="H323" s="10"/>
      <c r="I323" s="10">
        <v>1</v>
      </c>
      <c r="J323" s="10">
        <v>5</v>
      </c>
      <c r="K323" s="10" t="s">
        <v>2219</v>
      </c>
      <c r="L323" s="10" t="s">
        <v>2159</v>
      </c>
      <c r="M323" s="10"/>
      <c r="N323" s="11"/>
      <c r="O323" s="10"/>
      <c r="P323" s="10">
        <v>295</v>
      </c>
      <c r="Q323" s="10"/>
      <c r="R323" s="10" t="s">
        <v>2387</v>
      </c>
      <c r="S323" s="10" t="s">
        <v>2387</v>
      </c>
      <c r="T323" s="10"/>
      <c r="U323" s="10"/>
      <c r="V323" s="10"/>
      <c r="W323" s="10"/>
      <c r="X323" s="10"/>
      <c r="Y323" s="10"/>
      <c r="Z323" s="10"/>
      <c r="AA323" s="10"/>
      <c r="AB323" s="10"/>
      <c r="AC323" s="10"/>
      <c r="AD323" t="s">
        <v>19</v>
      </c>
      <c r="AE323" t="s">
        <v>20</v>
      </c>
      <c r="AG323">
        <v>1</v>
      </c>
    </row>
    <row r="324" spans="1:33">
      <c r="A324" t="s">
        <v>546</v>
      </c>
      <c r="B324" s="4" t="s">
        <v>1584</v>
      </c>
      <c r="C324" s="4" t="s">
        <v>1585</v>
      </c>
      <c r="G324" s="10" t="s">
        <v>2199</v>
      </c>
      <c r="H324" s="10"/>
      <c r="I324" s="10"/>
      <c r="J324" s="10"/>
      <c r="K324" s="10"/>
      <c r="L324" s="10"/>
      <c r="M324" s="10"/>
      <c r="N324" s="11"/>
      <c r="O324" s="10"/>
      <c r="P324" s="10"/>
      <c r="Q324" s="10">
        <v>-1</v>
      </c>
      <c r="R324" s="10">
        <v>1</v>
      </c>
      <c r="S324" s="10">
        <v>0</v>
      </c>
      <c r="T324" s="10"/>
      <c r="U324" s="10"/>
      <c r="V324" s="10"/>
      <c r="W324" s="10"/>
      <c r="X324" s="10"/>
      <c r="Y324" s="10"/>
      <c r="Z324" s="10"/>
      <c r="AA324" s="10"/>
      <c r="AB324" s="10"/>
      <c r="AC324" s="10"/>
      <c r="AD324" t="s">
        <v>19</v>
      </c>
      <c r="AE324" t="s">
        <v>20</v>
      </c>
      <c r="AG324">
        <v>1</v>
      </c>
    </row>
    <row r="325" spans="1:33" ht="29">
      <c r="A325" t="s">
        <v>546</v>
      </c>
      <c r="B325" s="4" t="s">
        <v>1586</v>
      </c>
      <c r="C325" s="4" t="s">
        <v>1587</v>
      </c>
      <c r="G325" s="10" t="s">
        <v>2201</v>
      </c>
      <c r="H325" s="10"/>
      <c r="I325" s="10"/>
      <c r="J325" s="10"/>
      <c r="K325" s="10"/>
      <c r="L325" s="10"/>
      <c r="M325" s="10"/>
      <c r="N325" s="11"/>
      <c r="O325" s="10"/>
      <c r="P325" s="10"/>
      <c r="Q325" s="10"/>
      <c r="R325" s="10" t="s">
        <v>2387</v>
      </c>
      <c r="S325" s="10" t="s">
        <v>2387</v>
      </c>
      <c r="T325" s="10"/>
      <c r="U325" s="10"/>
      <c r="V325" s="10"/>
      <c r="W325" s="10"/>
      <c r="X325" s="10"/>
      <c r="Y325" s="10"/>
      <c r="Z325" s="10"/>
      <c r="AA325" s="10"/>
      <c r="AB325" s="10"/>
      <c r="AC325" s="10"/>
      <c r="AD325" t="s">
        <v>19</v>
      </c>
      <c r="AE325" t="s">
        <v>20</v>
      </c>
      <c r="AG325">
        <v>1</v>
      </c>
    </row>
    <row r="326" spans="1:33">
      <c r="A326" t="s">
        <v>549</v>
      </c>
      <c r="B326" s="4" t="s">
        <v>1589</v>
      </c>
      <c r="C326" s="4" t="s">
        <v>1588</v>
      </c>
      <c r="G326" s="10" t="s">
        <v>24</v>
      </c>
      <c r="H326" s="10"/>
      <c r="I326" s="10">
        <v>1</v>
      </c>
      <c r="J326" s="10">
        <v>3</v>
      </c>
      <c r="K326" s="10" t="s">
        <v>2158</v>
      </c>
      <c r="L326" s="10" t="s">
        <v>2159</v>
      </c>
      <c r="M326" s="10"/>
      <c r="N326" s="11"/>
      <c r="O326" s="10"/>
      <c r="P326" s="10">
        <v>2475</v>
      </c>
      <c r="Q326" s="10"/>
      <c r="R326" s="10" t="s">
        <v>2387</v>
      </c>
      <c r="S326" s="10" t="s">
        <v>2387</v>
      </c>
      <c r="T326" s="10"/>
      <c r="U326" s="10"/>
      <c r="V326" s="10"/>
      <c r="W326" s="10"/>
      <c r="X326" s="10"/>
      <c r="Y326" s="10"/>
      <c r="Z326" s="10"/>
      <c r="AA326" s="10"/>
      <c r="AB326" s="10"/>
      <c r="AC326" s="10"/>
      <c r="AD326" t="s">
        <v>19</v>
      </c>
      <c r="AE326" t="s">
        <v>19</v>
      </c>
      <c r="AG326">
        <v>1</v>
      </c>
    </row>
    <row r="327" spans="1:33" ht="43.5">
      <c r="A327" t="s">
        <v>550</v>
      </c>
      <c r="B327" s="4" t="s">
        <v>1592</v>
      </c>
      <c r="C327" s="4" t="s">
        <v>1593</v>
      </c>
      <c r="G327" s="10" t="s">
        <v>26</v>
      </c>
      <c r="H327" s="10"/>
      <c r="I327" s="10"/>
      <c r="J327" s="10"/>
      <c r="K327" s="10"/>
      <c r="L327" s="10"/>
      <c r="M327" s="10"/>
      <c r="N327" s="11"/>
      <c r="O327" s="10"/>
      <c r="P327" s="10"/>
      <c r="Q327" s="10"/>
      <c r="R327" s="10" t="s">
        <v>2387</v>
      </c>
      <c r="S327" s="10" t="s">
        <v>2387</v>
      </c>
      <c r="T327" s="10"/>
      <c r="U327" s="10"/>
      <c r="V327" s="10"/>
      <c r="W327" s="10"/>
      <c r="X327" s="10"/>
      <c r="Y327" s="10"/>
      <c r="Z327" s="10"/>
      <c r="AA327" s="10"/>
      <c r="AB327" s="10"/>
      <c r="AC327" s="10"/>
      <c r="AD327" t="s">
        <v>19</v>
      </c>
      <c r="AE327" t="s">
        <v>19</v>
      </c>
      <c r="AG327">
        <v>1</v>
      </c>
    </row>
    <row r="328" spans="1:33">
      <c r="A328" t="s">
        <v>551</v>
      </c>
      <c r="B328" s="4" t="s">
        <v>1594</v>
      </c>
      <c r="C328" s="4" t="s">
        <v>1595</v>
      </c>
      <c r="G328" s="10" t="s">
        <v>2201</v>
      </c>
      <c r="H328" s="10"/>
      <c r="I328" s="10"/>
      <c r="J328" s="10"/>
      <c r="K328" s="10"/>
      <c r="L328" s="10"/>
      <c r="M328" s="10"/>
      <c r="N328" s="11"/>
      <c r="O328" s="10"/>
      <c r="P328" s="10"/>
      <c r="Q328" s="10"/>
      <c r="R328" s="10" t="s">
        <v>2387</v>
      </c>
      <c r="S328" s="10" t="s">
        <v>2387</v>
      </c>
      <c r="T328" s="10"/>
      <c r="U328" s="10"/>
      <c r="V328" s="10"/>
      <c r="W328" s="10"/>
      <c r="X328" s="10"/>
      <c r="Y328" s="10"/>
      <c r="Z328" s="10"/>
      <c r="AA328" s="10"/>
      <c r="AB328" s="10"/>
      <c r="AC328" s="10"/>
      <c r="AD328" t="s">
        <v>19</v>
      </c>
      <c r="AE328" t="s">
        <v>19</v>
      </c>
      <c r="AG328">
        <v>1</v>
      </c>
    </row>
    <row r="329" spans="1:33" ht="43.5">
      <c r="A329" t="s">
        <v>551</v>
      </c>
      <c r="B329" s="4" t="s">
        <v>2293</v>
      </c>
      <c r="C329" s="4" t="s">
        <v>2294</v>
      </c>
      <c r="G329" s="10" t="s">
        <v>26</v>
      </c>
      <c r="H329" s="10"/>
      <c r="I329" s="10"/>
      <c r="J329" s="10"/>
      <c r="K329" s="10"/>
      <c r="L329" s="10"/>
      <c r="M329" s="10"/>
      <c r="N329" s="11"/>
      <c r="O329" s="10"/>
      <c r="P329" s="10"/>
      <c r="Q329" s="10"/>
      <c r="R329" s="10" t="s">
        <v>2387</v>
      </c>
      <c r="S329" s="10" t="s">
        <v>2387</v>
      </c>
      <c r="T329" s="10"/>
      <c r="U329" s="10"/>
      <c r="V329" s="10"/>
      <c r="W329" s="10"/>
      <c r="X329" s="10"/>
      <c r="Y329" s="10"/>
      <c r="Z329" s="10"/>
      <c r="AA329" s="10"/>
      <c r="AB329" s="10"/>
      <c r="AC329" s="10"/>
      <c r="AD329" t="s">
        <v>19</v>
      </c>
      <c r="AE329" t="s">
        <v>19</v>
      </c>
      <c r="AG329">
        <v>1</v>
      </c>
    </row>
    <row r="330" spans="1:33" ht="43.5">
      <c r="A330" t="s">
        <v>551</v>
      </c>
      <c r="B330" s="4" t="s">
        <v>1596</v>
      </c>
      <c r="C330" s="4" t="s">
        <v>1597</v>
      </c>
      <c r="G330" s="10" t="s">
        <v>2201</v>
      </c>
      <c r="H330" s="10"/>
      <c r="I330" s="10"/>
      <c r="J330" s="10"/>
      <c r="K330" s="10"/>
      <c r="L330" s="10"/>
      <c r="M330" s="10"/>
      <c r="N330" s="11"/>
      <c r="O330" s="10"/>
      <c r="P330" s="10"/>
      <c r="Q330" s="10"/>
      <c r="R330" s="10" t="s">
        <v>2387</v>
      </c>
      <c r="S330" s="10" t="s">
        <v>2387</v>
      </c>
      <c r="T330" s="10"/>
      <c r="U330" s="10"/>
      <c r="V330" s="10"/>
      <c r="W330" s="10"/>
      <c r="X330" s="10"/>
      <c r="Y330" s="10"/>
      <c r="Z330" s="10" t="s">
        <v>2342</v>
      </c>
      <c r="AA330" s="10" t="s">
        <v>20</v>
      </c>
      <c r="AB330" s="10"/>
      <c r="AC330" s="10"/>
      <c r="AD330" t="s">
        <v>19</v>
      </c>
      <c r="AE330" t="s">
        <v>19</v>
      </c>
      <c r="AG330">
        <v>1</v>
      </c>
    </row>
    <row r="331" spans="1:33">
      <c r="A331" t="s">
        <v>552</v>
      </c>
      <c r="B331" s="4" t="s">
        <v>553</v>
      </c>
      <c r="C331" s="4" t="s">
        <v>554</v>
      </c>
      <c r="G331" s="10" t="s">
        <v>2199</v>
      </c>
      <c r="H331" s="10"/>
      <c r="I331" s="10"/>
      <c r="J331" s="10"/>
      <c r="K331" s="10"/>
      <c r="L331" s="10"/>
      <c r="M331" s="10"/>
      <c r="N331" s="11"/>
      <c r="O331" s="10"/>
      <c r="P331" s="10"/>
      <c r="Q331" s="10">
        <v>-1</v>
      </c>
      <c r="R331" s="10">
        <v>1</v>
      </c>
      <c r="S331" s="10">
        <v>0</v>
      </c>
      <c r="T331" s="10"/>
      <c r="U331" s="10"/>
      <c r="V331" s="10"/>
      <c r="W331" s="10"/>
      <c r="X331" s="10"/>
      <c r="Y331" s="10"/>
      <c r="Z331" s="10"/>
      <c r="AA331" s="10"/>
      <c r="AB331" s="10"/>
      <c r="AC331" s="10"/>
      <c r="AD331" t="s">
        <v>19</v>
      </c>
      <c r="AE331" t="s">
        <v>19</v>
      </c>
      <c r="AG331">
        <v>1</v>
      </c>
    </row>
    <row r="332" spans="1:33">
      <c r="A332" t="s">
        <v>560</v>
      </c>
      <c r="B332" s="4" t="s">
        <v>1599</v>
      </c>
      <c r="C332" s="4" t="s">
        <v>1598</v>
      </c>
      <c r="G332" s="10" t="s">
        <v>26</v>
      </c>
      <c r="H332" s="10"/>
      <c r="I332" s="10"/>
      <c r="J332" s="10"/>
      <c r="K332" s="10"/>
      <c r="L332" s="10"/>
      <c r="M332" s="10"/>
      <c r="N332" s="11"/>
      <c r="O332" s="10"/>
      <c r="P332" s="10"/>
      <c r="Q332" s="10"/>
      <c r="R332" s="10" t="s">
        <v>2387</v>
      </c>
      <c r="S332" s="10" t="s">
        <v>2387</v>
      </c>
      <c r="T332" s="10"/>
      <c r="U332" s="10"/>
      <c r="V332" s="10"/>
      <c r="W332" s="10"/>
      <c r="X332" s="10"/>
      <c r="Y332" s="10"/>
      <c r="Z332" s="10"/>
      <c r="AA332" s="10"/>
      <c r="AB332" s="10"/>
      <c r="AC332" s="10"/>
      <c r="AD332" t="s">
        <v>19</v>
      </c>
      <c r="AE332" t="s">
        <v>19</v>
      </c>
      <c r="AG332">
        <v>1</v>
      </c>
    </row>
    <row r="333" spans="1:33" ht="29">
      <c r="A333" t="s">
        <v>564</v>
      </c>
      <c r="B333" s="4" t="s">
        <v>1603</v>
      </c>
      <c r="C333" s="4" t="s">
        <v>1602</v>
      </c>
      <c r="G333" s="10" t="s">
        <v>25</v>
      </c>
      <c r="H333" s="10"/>
      <c r="I333" s="10">
        <v>1</v>
      </c>
      <c r="J333" s="10">
        <v>3</v>
      </c>
      <c r="K333" s="10" t="s">
        <v>2173</v>
      </c>
      <c r="L333" s="10" t="s">
        <v>2159</v>
      </c>
      <c r="M333" s="10"/>
      <c r="N333" s="11"/>
      <c r="O333" s="10"/>
      <c r="P333" s="10">
        <v>52</v>
      </c>
      <c r="Q333" s="10"/>
      <c r="R333" s="10" t="s">
        <v>2387</v>
      </c>
      <c r="S333" s="10" t="s">
        <v>2387</v>
      </c>
      <c r="T333" s="10"/>
      <c r="U333" s="10"/>
      <c r="V333" s="10"/>
      <c r="W333" s="10"/>
      <c r="X333" s="10"/>
      <c r="Y333" s="10"/>
      <c r="Z333" s="10"/>
      <c r="AA333" s="10"/>
      <c r="AB333" s="10"/>
      <c r="AC333" s="10"/>
      <c r="AD333" t="s">
        <v>20</v>
      </c>
      <c r="AE333" t="s">
        <v>20</v>
      </c>
      <c r="AG333">
        <v>0</v>
      </c>
    </row>
    <row r="334" spans="1:33">
      <c r="A334" t="s">
        <v>565</v>
      </c>
      <c r="B334" s="4" t="s">
        <v>1604</v>
      </c>
      <c r="C334" s="4" t="s">
        <v>1605</v>
      </c>
      <c r="G334" s="10" t="s">
        <v>25</v>
      </c>
      <c r="H334" s="10"/>
      <c r="I334" s="10">
        <v>1</v>
      </c>
      <c r="J334" s="10">
        <v>2</v>
      </c>
      <c r="K334" s="10" t="s">
        <v>2175</v>
      </c>
      <c r="L334" s="10" t="s">
        <v>2200</v>
      </c>
      <c r="M334" s="10"/>
      <c r="N334" s="11"/>
      <c r="O334" s="10"/>
      <c r="P334" s="10">
        <v>312</v>
      </c>
      <c r="Q334" s="10"/>
      <c r="R334" s="10" t="s">
        <v>2387</v>
      </c>
      <c r="S334" s="10" t="s">
        <v>2387</v>
      </c>
      <c r="T334" s="10"/>
      <c r="U334" s="10"/>
      <c r="V334" s="10"/>
      <c r="W334" s="10"/>
      <c r="X334" s="10"/>
      <c r="Y334" s="10"/>
      <c r="Z334" s="10"/>
      <c r="AA334" s="10"/>
      <c r="AB334" s="10"/>
      <c r="AC334" s="10"/>
      <c r="AD334" t="s">
        <v>19</v>
      </c>
      <c r="AE334" t="s">
        <v>19</v>
      </c>
      <c r="AG334">
        <v>1</v>
      </c>
    </row>
    <row r="335" spans="1:33">
      <c r="A335" t="s">
        <v>566</v>
      </c>
      <c r="B335" s="4" t="s">
        <v>1607</v>
      </c>
      <c r="C335" s="4" t="s">
        <v>1606</v>
      </c>
      <c r="G335" s="10" t="s">
        <v>26</v>
      </c>
      <c r="H335" s="10"/>
      <c r="I335" s="10"/>
      <c r="J335" s="10"/>
      <c r="K335" s="10"/>
      <c r="L335" s="10"/>
      <c r="M335" s="10"/>
      <c r="N335" s="11"/>
      <c r="O335" s="10"/>
      <c r="P335" s="10"/>
      <c r="Q335" s="10"/>
      <c r="R335" s="10" t="s">
        <v>2387</v>
      </c>
      <c r="S335" s="10" t="s">
        <v>2387</v>
      </c>
      <c r="T335" s="10"/>
      <c r="U335" s="10"/>
      <c r="V335" s="10"/>
      <c r="W335" s="10"/>
      <c r="X335" s="10"/>
      <c r="Y335" s="10"/>
      <c r="Z335" s="10"/>
      <c r="AA335" s="10"/>
      <c r="AB335" s="10"/>
      <c r="AC335" s="10"/>
      <c r="AD335" t="s">
        <v>19</v>
      </c>
      <c r="AE335" t="s">
        <v>19</v>
      </c>
      <c r="AG335">
        <v>1</v>
      </c>
    </row>
    <row r="336" spans="1:33">
      <c r="A336" t="s">
        <v>567</v>
      </c>
      <c r="B336" s="4" t="s">
        <v>1611</v>
      </c>
      <c r="C336" s="4" t="s">
        <v>1610</v>
      </c>
      <c r="G336" s="10" t="s">
        <v>25</v>
      </c>
      <c r="H336" s="10"/>
      <c r="I336" s="10">
        <v>1</v>
      </c>
      <c r="J336" s="10">
        <v>2</v>
      </c>
      <c r="K336" s="10" t="s">
        <v>2175</v>
      </c>
      <c r="L336" s="10" t="s">
        <v>2200</v>
      </c>
      <c r="M336" s="10"/>
      <c r="N336" s="11"/>
      <c r="O336" s="10"/>
      <c r="P336" s="10">
        <v>743</v>
      </c>
      <c r="Q336" s="10"/>
      <c r="R336" s="10" t="s">
        <v>2387</v>
      </c>
      <c r="S336" s="10" t="s">
        <v>2387</v>
      </c>
      <c r="T336" s="10"/>
      <c r="U336" s="10"/>
      <c r="V336" s="10"/>
      <c r="W336" s="10"/>
      <c r="X336" s="10"/>
      <c r="Y336" s="10"/>
      <c r="Z336" s="10"/>
      <c r="AA336" s="10"/>
      <c r="AB336" s="10"/>
      <c r="AC336" s="10"/>
      <c r="AD336" t="s">
        <v>19</v>
      </c>
      <c r="AE336" t="s">
        <v>19</v>
      </c>
      <c r="AG336">
        <v>1</v>
      </c>
    </row>
    <row r="337" spans="1:33" ht="43.5">
      <c r="A337" t="s">
        <v>571</v>
      </c>
      <c r="B337" s="4" t="s">
        <v>1615</v>
      </c>
      <c r="C337" s="4" t="s">
        <v>1614</v>
      </c>
      <c r="G337" s="10" t="s">
        <v>26</v>
      </c>
      <c r="H337" s="10"/>
      <c r="I337" s="10"/>
      <c r="J337" s="10"/>
      <c r="K337" s="10"/>
      <c r="L337" s="10"/>
      <c r="M337" s="10"/>
      <c r="N337" s="11"/>
      <c r="O337" s="10"/>
      <c r="P337" s="10"/>
      <c r="Q337" s="10"/>
      <c r="R337" s="10" t="s">
        <v>2387</v>
      </c>
      <c r="S337" s="10" t="s">
        <v>2387</v>
      </c>
      <c r="T337" s="10"/>
      <c r="U337" s="10"/>
      <c r="V337" s="10"/>
      <c r="W337" s="10"/>
      <c r="X337" s="10"/>
      <c r="Y337" s="10"/>
      <c r="Z337" s="10"/>
      <c r="AA337" s="10"/>
      <c r="AB337" s="10"/>
      <c r="AC337" s="10"/>
      <c r="AD337" t="s">
        <v>19</v>
      </c>
      <c r="AE337" t="s">
        <v>19</v>
      </c>
      <c r="AG337">
        <v>1</v>
      </c>
    </row>
    <row r="338" spans="1:33">
      <c r="A338" t="s">
        <v>571</v>
      </c>
      <c r="B338" s="4" t="s">
        <v>1617</v>
      </c>
      <c r="C338" s="4" t="s">
        <v>1616</v>
      </c>
      <c r="G338" s="10" t="s">
        <v>25</v>
      </c>
      <c r="H338" s="10"/>
      <c r="I338" s="10">
        <v>1</v>
      </c>
      <c r="J338" s="10">
        <v>4</v>
      </c>
      <c r="K338" s="10" t="s">
        <v>2158</v>
      </c>
      <c r="L338" s="10" t="s">
        <v>2153</v>
      </c>
      <c r="M338" s="10" t="s">
        <v>2231</v>
      </c>
      <c r="N338" s="11" t="s">
        <v>2230</v>
      </c>
      <c r="O338" s="10"/>
      <c r="P338" s="10">
        <v>2475</v>
      </c>
      <c r="Q338" s="10"/>
      <c r="R338" s="10" t="s">
        <v>2387</v>
      </c>
      <c r="S338" s="10" t="s">
        <v>2387</v>
      </c>
      <c r="T338" s="10"/>
      <c r="U338" s="10"/>
      <c r="V338" s="10"/>
      <c r="W338" s="10"/>
      <c r="X338" s="10"/>
      <c r="Y338" s="10"/>
      <c r="Z338" s="10"/>
      <c r="AA338" s="10"/>
      <c r="AB338" s="10"/>
      <c r="AC338" s="10"/>
      <c r="AD338" t="s">
        <v>20</v>
      </c>
      <c r="AE338" t="s">
        <v>20</v>
      </c>
      <c r="AG338">
        <v>0</v>
      </c>
    </row>
    <row r="339" spans="1:33">
      <c r="A339" t="s">
        <v>571</v>
      </c>
      <c r="B339" s="4" t="s">
        <v>1618</v>
      </c>
      <c r="C339" s="4" t="s">
        <v>1619</v>
      </c>
      <c r="G339" s="10" t="s">
        <v>2201</v>
      </c>
      <c r="H339" s="10"/>
      <c r="I339" s="10"/>
      <c r="J339" s="10"/>
      <c r="K339" s="10"/>
      <c r="L339" s="10"/>
      <c r="M339" s="10"/>
      <c r="N339" s="11"/>
      <c r="O339" s="10"/>
      <c r="P339" s="10"/>
      <c r="Q339" s="10"/>
      <c r="R339" s="10" t="s">
        <v>2387</v>
      </c>
      <c r="S339" s="10" t="s">
        <v>2387</v>
      </c>
      <c r="T339" s="10"/>
      <c r="U339" s="10"/>
      <c r="V339" s="10"/>
      <c r="W339" s="10"/>
      <c r="X339" s="10"/>
      <c r="Y339" s="10"/>
      <c r="Z339" s="10"/>
      <c r="AA339" s="10"/>
      <c r="AB339" s="10"/>
      <c r="AC339" s="10"/>
      <c r="AD339" t="s">
        <v>19</v>
      </c>
      <c r="AE339" t="s">
        <v>20</v>
      </c>
      <c r="AG339">
        <v>1</v>
      </c>
    </row>
    <row r="340" spans="1:33">
      <c r="A340" t="s">
        <v>571</v>
      </c>
      <c r="B340" s="4" t="s">
        <v>1621</v>
      </c>
      <c r="C340" s="4" t="s">
        <v>1620</v>
      </c>
      <c r="G340" s="10" t="s">
        <v>24</v>
      </c>
      <c r="H340" s="10"/>
      <c r="I340" s="10">
        <v>1</v>
      </c>
      <c r="J340" s="10">
        <v>1</v>
      </c>
      <c r="K340" s="10" t="s">
        <v>2158</v>
      </c>
      <c r="L340" s="10" t="s">
        <v>2200</v>
      </c>
      <c r="M340" s="10"/>
      <c r="N340" s="11"/>
      <c r="O340" s="10"/>
      <c r="P340" s="10">
        <v>2475</v>
      </c>
      <c r="Q340" s="10"/>
      <c r="R340" s="10" t="s">
        <v>2387</v>
      </c>
      <c r="S340" s="10" t="s">
        <v>2387</v>
      </c>
      <c r="T340" s="10"/>
      <c r="U340" s="10"/>
      <c r="V340" s="10"/>
      <c r="W340" s="10"/>
      <c r="X340" s="10"/>
      <c r="Y340" s="10"/>
      <c r="Z340" s="10"/>
      <c r="AA340" s="10"/>
      <c r="AB340" s="10"/>
      <c r="AC340" s="10"/>
      <c r="AD340" t="s">
        <v>19</v>
      </c>
      <c r="AE340" t="s">
        <v>19</v>
      </c>
      <c r="AG340">
        <v>1</v>
      </c>
    </row>
    <row r="341" spans="1:33">
      <c r="A341" t="s">
        <v>574</v>
      </c>
      <c r="B341" s="4" t="s">
        <v>573</v>
      </c>
      <c r="C341" s="4" t="s">
        <v>572</v>
      </c>
      <c r="F341" t="s">
        <v>19</v>
      </c>
      <c r="G341" s="10" t="s">
        <v>2201</v>
      </c>
      <c r="H341" s="10"/>
      <c r="I341" s="10"/>
      <c r="J341" s="10"/>
      <c r="K341" s="10"/>
      <c r="L341" s="10"/>
      <c r="M341" s="10"/>
      <c r="N341" s="11"/>
      <c r="O341" s="10"/>
      <c r="P341" s="10"/>
      <c r="Q341" s="10"/>
      <c r="R341" s="10" t="s">
        <v>2387</v>
      </c>
      <c r="S341" s="10" t="s">
        <v>2387</v>
      </c>
      <c r="T341" s="10"/>
      <c r="U341" s="10"/>
      <c r="V341" s="10"/>
      <c r="W341" s="10"/>
      <c r="X341" s="10"/>
      <c r="Y341" s="10"/>
      <c r="Z341" s="10"/>
      <c r="AA341" s="10"/>
      <c r="AB341" s="10"/>
      <c r="AC341" s="10"/>
      <c r="AD341" t="s">
        <v>19</v>
      </c>
      <c r="AE341" t="s">
        <v>19</v>
      </c>
      <c r="AG341">
        <v>1</v>
      </c>
    </row>
    <row r="342" spans="1:33">
      <c r="A342" t="s">
        <v>577</v>
      </c>
      <c r="B342" s="4" t="s">
        <v>1622</v>
      </c>
      <c r="C342" s="4" t="s">
        <v>1623</v>
      </c>
      <c r="G342" s="10" t="s">
        <v>2201</v>
      </c>
      <c r="H342" s="10"/>
      <c r="I342" s="10"/>
      <c r="J342" s="10"/>
      <c r="K342" s="10"/>
      <c r="L342" s="10"/>
      <c r="M342" s="10"/>
      <c r="N342" s="11"/>
      <c r="O342" s="10"/>
      <c r="P342" s="10"/>
      <c r="Q342" s="10"/>
      <c r="R342" s="10" t="s">
        <v>2387</v>
      </c>
      <c r="S342" s="10" t="s">
        <v>2387</v>
      </c>
      <c r="T342" s="10"/>
      <c r="U342" s="10"/>
      <c r="V342" s="10"/>
      <c r="W342" s="10"/>
      <c r="X342" s="10"/>
      <c r="Y342" s="10"/>
      <c r="Z342" s="10"/>
      <c r="AA342" s="10"/>
      <c r="AB342" s="10"/>
      <c r="AC342" s="10"/>
      <c r="AD342" t="s">
        <v>19</v>
      </c>
      <c r="AE342" t="s">
        <v>19</v>
      </c>
      <c r="AG342">
        <v>1</v>
      </c>
    </row>
    <row r="343" spans="1:33" ht="29">
      <c r="A343" t="s">
        <v>578</v>
      </c>
      <c r="B343" s="4" t="s">
        <v>1633</v>
      </c>
      <c r="C343" s="4" t="s">
        <v>1632</v>
      </c>
      <c r="G343" s="10" t="s">
        <v>25</v>
      </c>
      <c r="H343" s="10"/>
      <c r="I343" s="10">
        <v>1</v>
      </c>
      <c r="J343" s="10">
        <v>3</v>
      </c>
      <c r="K343" s="10" t="s">
        <v>2168</v>
      </c>
      <c r="L343" s="10" t="s">
        <v>2159</v>
      </c>
      <c r="M343" s="10"/>
      <c r="N343" s="11"/>
      <c r="O343" s="10"/>
      <c r="P343" s="10">
        <v>1701</v>
      </c>
      <c r="Q343" s="10"/>
      <c r="R343" s="10" t="s">
        <v>2387</v>
      </c>
      <c r="S343" s="10" t="s">
        <v>2387</v>
      </c>
      <c r="T343" s="10"/>
      <c r="U343" s="10"/>
      <c r="V343" s="10"/>
      <c r="W343" s="10"/>
      <c r="X343" s="10"/>
      <c r="Y343" s="10"/>
      <c r="Z343" s="10"/>
      <c r="AA343" s="10"/>
      <c r="AB343" s="10"/>
      <c r="AC343" s="10"/>
      <c r="AD343" t="s">
        <v>19</v>
      </c>
      <c r="AE343" t="s">
        <v>19</v>
      </c>
      <c r="AG343">
        <v>1</v>
      </c>
    </row>
    <row r="344" spans="1:33" ht="29">
      <c r="A344" t="s">
        <v>578</v>
      </c>
      <c r="B344" s="4" t="s">
        <v>1635</v>
      </c>
      <c r="C344" s="4" t="s">
        <v>1634</v>
      </c>
      <c r="G344" s="10" t="s">
        <v>24</v>
      </c>
      <c r="H344" s="10"/>
      <c r="I344" s="10">
        <v>1</v>
      </c>
      <c r="J344" s="10">
        <v>3</v>
      </c>
      <c r="K344" s="10" t="s">
        <v>2175</v>
      </c>
      <c r="L344" s="10" t="s">
        <v>2159</v>
      </c>
      <c r="M344" s="10"/>
      <c r="N344" s="11"/>
      <c r="O344" s="10"/>
      <c r="P344" s="10">
        <v>743</v>
      </c>
      <c r="Q344" s="10"/>
      <c r="R344" s="10" t="s">
        <v>2387</v>
      </c>
      <c r="S344" s="10" t="s">
        <v>2387</v>
      </c>
      <c r="T344" s="10"/>
      <c r="U344" s="10"/>
      <c r="V344" s="10"/>
      <c r="W344" s="10"/>
      <c r="X344" s="10"/>
      <c r="Y344" s="10"/>
      <c r="Z344" s="10"/>
      <c r="AA344" s="10"/>
      <c r="AB344" s="10"/>
      <c r="AC344" s="10"/>
      <c r="AD344" t="s">
        <v>19</v>
      </c>
      <c r="AE344" t="s">
        <v>20</v>
      </c>
      <c r="AG344">
        <v>1</v>
      </c>
    </row>
    <row r="345" spans="1:33">
      <c r="A345" t="s">
        <v>579</v>
      </c>
      <c r="B345" s="4" t="s">
        <v>1636</v>
      </c>
      <c r="C345" s="4" t="s">
        <v>1637</v>
      </c>
      <c r="G345" s="10" t="s">
        <v>2199</v>
      </c>
      <c r="H345" s="10"/>
      <c r="I345" s="10"/>
      <c r="J345" s="10"/>
      <c r="K345" s="10"/>
      <c r="L345" s="10"/>
      <c r="M345" s="10"/>
      <c r="N345" s="11"/>
      <c r="O345" s="10"/>
      <c r="P345" s="10"/>
      <c r="Q345" s="10">
        <v>1</v>
      </c>
      <c r="R345" s="10">
        <v>3</v>
      </c>
      <c r="S345" s="10">
        <v>4</v>
      </c>
      <c r="T345" s="10"/>
      <c r="U345" s="10"/>
      <c r="V345" s="10"/>
      <c r="W345" s="10"/>
      <c r="X345" s="10"/>
      <c r="Y345" s="10"/>
      <c r="Z345" s="10"/>
      <c r="AA345" s="10"/>
      <c r="AB345" s="10"/>
      <c r="AC345" s="10"/>
      <c r="AD345" t="s">
        <v>19</v>
      </c>
      <c r="AE345" t="s">
        <v>19</v>
      </c>
      <c r="AG345">
        <v>1</v>
      </c>
    </row>
    <row r="346" spans="1:33" ht="29">
      <c r="A346" t="s">
        <v>579</v>
      </c>
      <c r="B346" s="4" t="s">
        <v>1639</v>
      </c>
      <c r="C346" s="4" t="s">
        <v>1638</v>
      </c>
      <c r="G346" s="10" t="s">
        <v>25</v>
      </c>
      <c r="H346" s="10"/>
      <c r="I346" s="10">
        <v>1</v>
      </c>
      <c r="J346" s="10">
        <v>1</v>
      </c>
      <c r="K346" s="10" t="s">
        <v>2158</v>
      </c>
      <c r="L346" s="10" t="s">
        <v>2200</v>
      </c>
      <c r="M346" s="10"/>
      <c r="N346" s="11"/>
      <c r="O346" s="10"/>
      <c r="P346" s="10">
        <v>2475</v>
      </c>
      <c r="Q346" s="10"/>
      <c r="R346" s="10" t="s">
        <v>2387</v>
      </c>
      <c r="S346" s="10" t="s">
        <v>2387</v>
      </c>
      <c r="T346" s="10"/>
      <c r="U346" s="10"/>
      <c r="V346" s="10"/>
      <c r="W346" s="10"/>
      <c r="X346" s="10"/>
      <c r="Y346" s="10"/>
      <c r="Z346" s="10"/>
      <c r="AA346" s="10"/>
      <c r="AB346" s="10"/>
      <c r="AC346" s="10"/>
      <c r="AD346" t="s">
        <v>19</v>
      </c>
      <c r="AE346" t="s">
        <v>20</v>
      </c>
      <c r="AG346">
        <v>1</v>
      </c>
    </row>
    <row r="347" spans="1:33" ht="29">
      <c r="A347" t="s">
        <v>579</v>
      </c>
      <c r="B347" s="4" t="s">
        <v>1640</v>
      </c>
      <c r="C347" s="4" t="s">
        <v>1641</v>
      </c>
      <c r="G347" s="10" t="s">
        <v>2201</v>
      </c>
      <c r="H347" s="10"/>
      <c r="I347" s="10"/>
      <c r="J347" s="10"/>
      <c r="K347" s="10"/>
      <c r="L347" s="10"/>
      <c r="M347" s="10"/>
      <c r="N347" s="11"/>
      <c r="O347" s="10"/>
      <c r="P347" s="10"/>
      <c r="Q347" s="10"/>
      <c r="R347" s="10" t="s">
        <v>2387</v>
      </c>
      <c r="S347" s="10" t="s">
        <v>2387</v>
      </c>
      <c r="T347" s="10"/>
      <c r="U347" s="10"/>
      <c r="V347" s="10"/>
      <c r="W347" s="10"/>
      <c r="X347" s="10"/>
      <c r="Y347" s="10"/>
      <c r="Z347" s="10"/>
      <c r="AA347" s="10"/>
      <c r="AB347" s="10"/>
      <c r="AC347" s="10"/>
      <c r="AD347" t="s">
        <v>19</v>
      </c>
      <c r="AE347" t="s">
        <v>19</v>
      </c>
      <c r="AG347">
        <v>1</v>
      </c>
    </row>
    <row r="348" spans="1:33">
      <c r="A348" t="s">
        <v>580</v>
      </c>
      <c r="B348" s="4" t="s">
        <v>1643</v>
      </c>
      <c r="C348" s="4" t="s">
        <v>1644</v>
      </c>
      <c r="G348" s="10" t="s">
        <v>2199</v>
      </c>
      <c r="H348" s="10"/>
      <c r="I348" s="10"/>
      <c r="J348" s="10"/>
      <c r="K348" s="10"/>
      <c r="L348" s="10"/>
      <c r="M348" s="10"/>
      <c r="N348" s="11"/>
      <c r="O348" s="10"/>
      <c r="P348" s="10"/>
      <c r="Q348" s="10">
        <v>-27</v>
      </c>
      <c r="R348" s="10">
        <v>29</v>
      </c>
      <c r="S348" s="10">
        <v>2</v>
      </c>
      <c r="T348" s="10"/>
      <c r="U348" s="10"/>
      <c r="V348" s="10"/>
      <c r="W348" s="10"/>
      <c r="X348" s="10"/>
      <c r="Y348" s="10"/>
      <c r="Z348" s="10"/>
      <c r="AA348" s="10"/>
      <c r="AB348" s="10"/>
      <c r="AC348" s="10"/>
      <c r="AD348" t="s">
        <v>19</v>
      </c>
      <c r="AE348" t="s">
        <v>19</v>
      </c>
      <c r="AG348">
        <v>1</v>
      </c>
    </row>
    <row r="349" spans="1:33">
      <c r="A349" t="s">
        <v>580</v>
      </c>
      <c r="B349" s="4" t="s">
        <v>1645</v>
      </c>
      <c r="C349" s="4" t="s">
        <v>1642</v>
      </c>
      <c r="G349" s="10" t="s">
        <v>25</v>
      </c>
      <c r="H349" s="10"/>
      <c r="I349" s="10">
        <v>1</v>
      </c>
      <c r="J349" s="10">
        <v>3</v>
      </c>
      <c r="K349" s="10" t="s">
        <v>2168</v>
      </c>
      <c r="L349" s="10" t="s">
        <v>2159</v>
      </c>
      <c r="M349" s="10"/>
      <c r="N349" s="11"/>
      <c r="O349" s="10"/>
      <c r="P349" s="10">
        <v>186</v>
      </c>
      <c r="Q349" s="10"/>
      <c r="R349" s="10" t="s">
        <v>2387</v>
      </c>
      <c r="S349" s="10" t="s">
        <v>2387</v>
      </c>
      <c r="T349" s="10"/>
      <c r="U349" s="10"/>
      <c r="V349" s="10"/>
      <c r="W349" s="10"/>
      <c r="X349" s="10"/>
      <c r="Y349" s="10"/>
      <c r="Z349" s="10"/>
      <c r="AA349" s="10"/>
      <c r="AB349" s="10"/>
      <c r="AC349" s="10"/>
      <c r="AD349" t="s">
        <v>19</v>
      </c>
      <c r="AE349" t="s">
        <v>19</v>
      </c>
      <c r="AG349">
        <v>1</v>
      </c>
    </row>
    <row r="350" spans="1:33" ht="29">
      <c r="A350" t="s">
        <v>580</v>
      </c>
      <c r="B350" s="4" t="s">
        <v>1649</v>
      </c>
      <c r="C350" s="4" t="s">
        <v>1646</v>
      </c>
      <c r="G350" s="10" t="s">
        <v>25</v>
      </c>
      <c r="H350" s="10"/>
      <c r="I350" s="10">
        <v>1</v>
      </c>
      <c r="J350" s="10">
        <v>6</v>
      </c>
      <c r="K350" s="10" t="s">
        <v>2152</v>
      </c>
      <c r="L350" s="10" t="s">
        <v>2153</v>
      </c>
      <c r="M350" s="10" t="s">
        <v>2229</v>
      </c>
      <c r="N350" s="11" t="s">
        <v>2232</v>
      </c>
      <c r="O350" s="10"/>
      <c r="P350" s="10">
        <v>24</v>
      </c>
      <c r="Q350" s="10"/>
      <c r="R350" s="10" t="s">
        <v>2387</v>
      </c>
      <c r="S350" s="10" t="s">
        <v>2387</v>
      </c>
      <c r="T350" s="10"/>
      <c r="U350" s="10"/>
      <c r="V350" s="10"/>
      <c r="W350" s="10"/>
      <c r="X350" s="10"/>
      <c r="Y350" s="10"/>
      <c r="Z350" s="10"/>
      <c r="AA350" s="10"/>
      <c r="AB350" s="10"/>
      <c r="AC350" s="10"/>
      <c r="AD350" t="s">
        <v>19</v>
      </c>
      <c r="AE350" t="s">
        <v>19</v>
      </c>
      <c r="AG350">
        <v>1</v>
      </c>
    </row>
    <row r="351" spans="1:33">
      <c r="A351" t="s">
        <v>581</v>
      </c>
      <c r="B351" s="4" t="s">
        <v>582</v>
      </c>
      <c r="C351" s="4" t="s">
        <v>583</v>
      </c>
      <c r="G351" s="10" t="s">
        <v>2201</v>
      </c>
      <c r="H351" s="10"/>
      <c r="I351" s="10"/>
      <c r="J351" s="10"/>
      <c r="K351" s="10"/>
      <c r="L351" s="10"/>
      <c r="M351" s="10"/>
      <c r="N351" s="11"/>
      <c r="O351" s="10"/>
      <c r="P351" s="10"/>
      <c r="Q351" s="10"/>
      <c r="R351" s="10" t="s">
        <v>2387</v>
      </c>
      <c r="S351" s="10" t="s">
        <v>2387</v>
      </c>
      <c r="T351" s="10"/>
      <c r="U351" s="10"/>
      <c r="V351" s="10"/>
      <c r="W351" s="10"/>
      <c r="X351" s="10"/>
      <c r="Y351" s="10"/>
      <c r="Z351" s="10"/>
      <c r="AA351" s="10"/>
      <c r="AB351" s="10"/>
      <c r="AC351" s="10"/>
      <c r="AD351" t="s">
        <v>19</v>
      </c>
      <c r="AE351" t="s">
        <v>19</v>
      </c>
      <c r="AG351">
        <v>1</v>
      </c>
    </row>
    <row r="352" spans="1:33">
      <c r="A352" t="s">
        <v>581</v>
      </c>
      <c r="B352" s="4" t="s">
        <v>1651</v>
      </c>
      <c r="C352" s="4" t="s">
        <v>1650</v>
      </c>
      <c r="G352" s="10" t="s">
        <v>25</v>
      </c>
      <c r="H352" s="10"/>
      <c r="I352" s="10">
        <v>1</v>
      </c>
      <c r="J352" s="10">
        <v>2</v>
      </c>
      <c r="K352" s="10" t="s">
        <v>2177</v>
      </c>
      <c r="L352" s="10" t="s">
        <v>2200</v>
      </c>
      <c r="M352" s="10"/>
      <c r="N352" s="11"/>
      <c r="O352" s="10"/>
      <c r="P352" s="10">
        <v>613</v>
      </c>
      <c r="Q352" s="10"/>
      <c r="R352" s="10" t="s">
        <v>2387</v>
      </c>
      <c r="S352" s="10" t="s">
        <v>2387</v>
      </c>
      <c r="T352" s="10"/>
      <c r="U352" s="10"/>
      <c r="V352" s="10"/>
      <c r="W352" s="10"/>
      <c r="X352" s="10"/>
      <c r="Y352" s="10"/>
      <c r="Z352" s="10"/>
      <c r="AA352" s="10"/>
      <c r="AB352" s="10"/>
      <c r="AC352" s="10"/>
      <c r="AD352" t="s">
        <v>19</v>
      </c>
      <c r="AE352" t="s">
        <v>19</v>
      </c>
      <c r="AG352">
        <v>1</v>
      </c>
    </row>
    <row r="353" spans="1:33" ht="29">
      <c r="A353" t="s">
        <v>585</v>
      </c>
      <c r="B353" s="4" t="s">
        <v>1655</v>
      </c>
      <c r="C353" s="4" t="s">
        <v>1654</v>
      </c>
      <c r="G353" s="10" t="s">
        <v>2201</v>
      </c>
      <c r="H353" s="10"/>
      <c r="I353" s="10"/>
      <c r="J353" s="10"/>
      <c r="K353" s="10"/>
      <c r="L353" s="10"/>
      <c r="M353" s="10"/>
      <c r="N353" s="11"/>
      <c r="O353" s="10"/>
      <c r="P353" s="10"/>
      <c r="Q353" s="10"/>
      <c r="R353" s="10" t="s">
        <v>2387</v>
      </c>
      <c r="S353" s="10" t="s">
        <v>2387</v>
      </c>
      <c r="T353" s="10"/>
      <c r="U353" s="10"/>
      <c r="V353" s="10"/>
      <c r="W353" s="10"/>
      <c r="X353" s="10"/>
      <c r="Y353" s="10"/>
      <c r="Z353" s="10"/>
      <c r="AA353" s="10"/>
      <c r="AB353" s="10"/>
      <c r="AC353" s="10"/>
      <c r="AD353" t="s">
        <v>19</v>
      </c>
      <c r="AE353" t="s">
        <v>19</v>
      </c>
      <c r="AG353">
        <v>1</v>
      </c>
    </row>
    <row r="354" spans="1:33">
      <c r="A354" t="s">
        <v>586</v>
      </c>
      <c r="B354" s="4" t="s">
        <v>1656</v>
      </c>
      <c r="C354" s="4" t="s">
        <v>1657</v>
      </c>
      <c r="G354" s="10" t="s">
        <v>2199</v>
      </c>
      <c r="H354" s="10"/>
      <c r="I354" s="10"/>
      <c r="J354" s="10"/>
      <c r="K354" s="10"/>
      <c r="L354" s="10"/>
      <c r="M354" s="10"/>
      <c r="N354" s="11"/>
      <c r="O354" s="10"/>
      <c r="P354" s="10"/>
      <c r="Q354" s="10">
        <v>10</v>
      </c>
      <c r="R354" s="10">
        <v>1</v>
      </c>
      <c r="S354" s="10">
        <v>11</v>
      </c>
      <c r="T354" s="10"/>
      <c r="U354" s="10"/>
      <c r="V354" s="10"/>
      <c r="W354" s="10"/>
      <c r="X354" s="10"/>
      <c r="Y354" s="10"/>
      <c r="Z354" s="10"/>
      <c r="AA354" s="10"/>
      <c r="AB354" s="10"/>
      <c r="AC354" s="10"/>
      <c r="AD354" t="s">
        <v>19</v>
      </c>
      <c r="AE354" t="s">
        <v>19</v>
      </c>
      <c r="AG354">
        <v>1</v>
      </c>
    </row>
    <row r="355" spans="1:33" ht="29">
      <c r="A355" t="s">
        <v>587</v>
      </c>
      <c r="B355" s="4" t="s">
        <v>1658</v>
      </c>
      <c r="C355" s="4" t="s">
        <v>1659</v>
      </c>
      <c r="G355" s="10" t="s">
        <v>2199</v>
      </c>
      <c r="H355" s="10"/>
      <c r="I355" s="10"/>
      <c r="J355" s="10"/>
      <c r="K355" s="10"/>
      <c r="L355" s="10"/>
      <c r="M355" s="10"/>
      <c r="N355" s="11"/>
      <c r="O355" s="10"/>
      <c r="P355" s="10"/>
      <c r="Q355" s="10">
        <v>196</v>
      </c>
      <c r="R355" s="10">
        <v>8</v>
      </c>
      <c r="S355" s="10">
        <v>204</v>
      </c>
      <c r="T355" s="10"/>
      <c r="U355" s="10"/>
      <c r="V355" s="10"/>
      <c r="W355" s="10"/>
      <c r="X355" s="10"/>
      <c r="Y355" s="10"/>
      <c r="Z355" s="10"/>
      <c r="AA355" s="10"/>
      <c r="AB355" s="10"/>
      <c r="AC355" s="10"/>
      <c r="AD355" t="s">
        <v>19</v>
      </c>
      <c r="AE355" t="s">
        <v>20</v>
      </c>
      <c r="AG355">
        <v>1</v>
      </c>
    </row>
    <row r="356" spans="1:33" ht="29">
      <c r="A356" t="s">
        <v>587</v>
      </c>
      <c r="B356" s="4" t="s">
        <v>1661</v>
      </c>
      <c r="C356" s="4" t="s">
        <v>1660</v>
      </c>
      <c r="G356" s="10" t="s">
        <v>2201</v>
      </c>
      <c r="H356" s="10"/>
      <c r="I356" s="10"/>
      <c r="J356" s="10"/>
      <c r="K356" s="10"/>
      <c r="L356" s="10"/>
      <c r="M356" s="10"/>
      <c r="N356" s="11"/>
      <c r="O356" s="10"/>
      <c r="P356" s="10"/>
      <c r="Q356" s="10"/>
      <c r="R356" s="10" t="s">
        <v>2387</v>
      </c>
      <c r="S356" s="10" t="s">
        <v>2387</v>
      </c>
      <c r="T356" s="10"/>
      <c r="U356" s="10"/>
      <c r="V356" s="10"/>
      <c r="W356" s="10"/>
      <c r="X356" s="10"/>
      <c r="Y356" s="10"/>
      <c r="Z356" s="10"/>
      <c r="AA356" s="10"/>
      <c r="AB356" s="10"/>
      <c r="AC356" s="10"/>
      <c r="AD356" t="s">
        <v>19</v>
      </c>
      <c r="AE356" t="s">
        <v>20</v>
      </c>
      <c r="AG356">
        <v>1</v>
      </c>
    </row>
    <row r="357" spans="1:33" ht="29">
      <c r="A357" t="s">
        <v>591</v>
      </c>
      <c r="B357" s="4" t="s">
        <v>1664</v>
      </c>
      <c r="C357" s="4" t="s">
        <v>1665</v>
      </c>
      <c r="G357" s="10" t="s">
        <v>2199</v>
      </c>
      <c r="H357" s="10"/>
      <c r="I357" s="10"/>
      <c r="J357" s="10"/>
      <c r="K357" s="10"/>
      <c r="L357" s="10"/>
      <c r="M357" s="10"/>
      <c r="N357" s="11"/>
      <c r="O357" s="10"/>
      <c r="P357" s="10"/>
      <c r="Q357" s="10">
        <v>-15</v>
      </c>
      <c r="R357" s="10">
        <v>186</v>
      </c>
      <c r="S357" s="10">
        <v>171</v>
      </c>
      <c r="T357" s="10"/>
      <c r="U357" s="10"/>
      <c r="V357" s="10"/>
      <c r="W357" s="10"/>
      <c r="X357" s="10"/>
      <c r="Y357" s="10"/>
      <c r="Z357" s="10"/>
      <c r="AA357" s="10"/>
      <c r="AB357" s="10"/>
      <c r="AC357" s="10"/>
      <c r="AD357" t="s">
        <v>19</v>
      </c>
      <c r="AE357" t="s">
        <v>19</v>
      </c>
      <c r="AG357">
        <v>1</v>
      </c>
    </row>
    <row r="358" spans="1:33">
      <c r="A358" t="s">
        <v>591</v>
      </c>
      <c r="B358" s="4" t="s">
        <v>1667</v>
      </c>
      <c r="C358" s="4" t="s">
        <v>1666</v>
      </c>
      <c r="G358" s="10" t="s">
        <v>25</v>
      </c>
      <c r="H358" s="10"/>
      <c r="I358" s="10">
        <v>1</v>
      </c>
      <c r="J358" s="10">
        <v>3</v>
      </c>
      <c r="K358" s="10" t="s">
        <v>2168</v>
      </c>
      <c r="L358" s="10" t="s">
        <v>2159</v>
      </c>
      <c r="M358" s="10"/>
      <c r="N358" s="11"/>
      <c r="O358" s="10"/>
      <c r="P358" s="10">
        <v>1701</v>
      </c>
      <c r="Q358" s="10"/>
      <c r="R358" s="10" t="s">
        <v>2387</v>
      </c>
      <c r="S358" s="10" t="s">
        <v>2387</v>
      </c>
      <c r="T358" s="10"/>
      <c r="U358" s="10"/>
      <c r="V358" s="10"/>
      <c r="W358" s="10"/>
      <c r="X358" s="10"/>
      <c r="Y358" s="10"/>
      <c r="Z358" s="10"/>
      <c r="AA358" s="10"/>
      <c r="AB358" s="10"/>
      <c r="AC358" s="10"/>
      <c r="AD358" t="s">
        <v>19</v>
      </c>
      <c r="AE358" t="s">
        <v>19</v>
      </c>
      <c r="AG358">
        <v>1</v>
      </c>
    </row>
    <row r="359" spans="1:33" ht="43.5">
      <c r="A359" t="s">
        <v>592</v>
      </c>
      <c r="B359" s="4" t="s">
        <v>1669</v>
      </c>
      <c r="C359" s="4" t="s">
        <v>1668</v>
      </c>
      <c r="G359" s="10" t="s">
        <v>26</v>
      </c>
      <c r="H359" s="10"/>
      <c r="I359" s="10"/>
      <c r="J359" s="10"/>
      <c r="K359" s="10"/>
      <c r="L359" s="10"/>
      <c r="M359" s="10"/>
      <c r="N359" s="11"/>
      <c r="O359" s="10"/>
      <c r="P359" s="10"/>
      <c r="Q359" s="10"/>
      <c r="R359" s="10" t="s">
        <v>2387</v>
      </c>
      <c r="S359" s="10" t="s">
        <v>2387</v>
      </c>
      <c r="T359" s="10"/>
      <c r="U359" s="10"/>
      <c r="V359" s="10"/>
      <c r="W359" s="10"/>
      <c r="X359" s="10"/>
      <c r="Y359" s="10"/>
      <c r="Z359" s="10"/>
      <c r="AA359" s="10"/>
      <c r="AB359" s="10"/>
      <c r="AC359" s="10"/>
      <c r="AD359" t="s">
        <v>19</v>
      </c>
      <c r="AE359" t="s">
        <v>19</v>
      </c>
      <c r="AG359">
        <v>1</v>
      </c>
    </row>
    <row r="360" spans="1:33" ht="43.5">
      <c r="A360" t="s">
        <v>593</v>
      </c>
      <c r="B360" s="4" t="s">
        <v>1670</v>
      </c>
      <c r="C360" s="4" t="s">
        <v>1671</v>
      </c>
      <c r="G360" s="10" t="s">
        <v>2201</v>
      </c>
      <c r="H360" s="10"/>
      <c r="I360" s="10"/>
      <c r="J360" s="10"/>
      <c r="K360" s="10"/>
      <c r="L360" s="10"/>
      <c r="M360" s="10"/>
      <c r="N360" s="11"/>
      <c r="O360" s="10"/>
      <c r="P360" s="10"/>
      <c r="Q360" s="10"/>
      <c r="R360" s="10" t="s">
        <v>2387</v>
      </c>
      <c r="S360" s="10" t="s">
        <v>2387</v>
      </c>
      <c r="T360" s="10"/>
      <c r="U360" s="10"/>
      <c r="V360" s="10"/>
      <c r="W360" s="10"/>
      <c r="X360" s="10"/>
      <c r="Y360" s="10"/>
      <c r="Z360" s="10"/>
      <c r="AA360" s="10"/>
      <c r="AB360" s="10"/>
      <c r="AC360" s="10"/>
      <c r="AD360" t="s">
        <v>19</v>
      </c>
      <c r="AE360" t="s">
        <v>19</v>
      </c>
      <c r="AG360">
        <v>1</v>
      </c>
    </row>
    <row r="361" spans="1:33" ht="43.5">
      <c r="A361" t="s">
        <v>594</v>
      </c>
      <c r="B361" s="4" t="s">
        <v>1672</v>
      </c>
      <c r="C361" s="4" t="s">
        <v>1673</v>
      </c>
      <c r="G361" s="10" t="s">
        <v>2201</v>
      </c>
      <c r="H361" s="10"/>
      <c r="I361" s="10"/>
      <c r="J361" s="10"/>
      <c r="K361" s="10"/>
      <c r="L361" s="10"/>
      <c r="M361" s="10"/>
      <c r="N361" s="11"/>
      <c r="O361" s="10"/>
      <c r="P361" s="10"/>
      <c r="Q361" s="10"/>
      <c r="R361" s="10" t="s">
        <v>2387</v>
      </c>
      <c r="S361" s="10" t="s">
        <v>2387</v>
      </c>
      <c r="T361" s="10"/>
      <c r="U361" s="10"/>
      <c r="V361" s="10"/>
      <c r="W361" s="10"/>
      <c r="X361" s="10"/>
      <c r="Y361" s="10"/>
      <c r="Z361" s="10"/>
      <c r="AA361" s="10"/>
      <c r="AB361" s="10"/>
      <c r="AC361" s="10"/>
      <c r="AD361" t="s">
        <v>19</v>
      </c>
      <c r="AE361" t="s">
        <v>19</v>
      </c>
      <c r="AG361">
        <v>1</v>
      </c>
    </row>
    <row r="362" spans="1:33">
      <c r="A362" t="s">
        <v>594</v>
      </c>
      <c r="B362" s="4" t="s">
        <v>1674</v>
      </c>
      <c r="C362" s="4" t="s">
        <v>1675</v>
      </c>
      <c r="G362" s="10" t="s">
        <v>2201</v>
      </c>
      <c r="H362" s="10"/>
      <c r="I362" s="10"/>
      <c r="J362" s="10"/>
      <c r="K362" s="10"/>
      <c r="L362" s="10"/>
      <c r="M362" s="10"/>
      <c r="N362" s="11"/>
      <c r="O362" s="10"/>
      <c r="P362" s="10"/>
      <c r="Q362" s="10"/>
      <c r="R362" s="10" t="s">
        <v>2387</v>
      </c>
      <c r="S362" s="10" t="s">
        <v>2387</v>
      </c>
      <c r="T362" s="10"/>
      <c r="U362" s="10"/>
      <c r="V362" s="10"/>
      <c r="W362" s="10"/>
      <c r="X362" s="10"/>
      <c r="Y362" s="10"/>
      <c r="Z362" s="10"/>
      <c r="AA362" s="10"/>
      <c r="AB362" s="10"/>
      <c r="AC362" s="10"/>
      <c r="AD362" t="s">
        <v>19</v>
      </c>
      <c r="AE362" t="s">
        <v>19</v>
      </c>
      <c r="AG362">
        <v>1</v>
      </c>
    </row>
    <row r="363" spans="1:33">
      <c r="A363" t="s">
        <v>599</v>
      </c>
      <c r="B363" s="4" t="s">
        <v>1678</v>
      </c>
      <c r="C363" s="4" t="s">
        <v>1677</v>
      </c>
      <c r="G363" s="10" t="s">
        <v>24</v>
      </c>
      <c r="H363" s="10"/>
      <c r="I363" s="10">
        <v>1</v>
      </c>
      <c r="J363" s="10">
        <v>2</v>
      </c>
      <c r="K363" s="10" t="s">
        <v>2175</v>
      </c>
      <c r="L363" s="10" t="s">
        <v>2200</v>
      </c>
      <c r="M363" s="10"/>
      <c r="N363" s="11"/>
      <c r="O363" s="10" t="s">
        <v>2154</v>
      </c>
      <c r="P363" s="10">
        <v>312</v>
      </c>
      <c r="Q363" s="10"/>
      <c r="R363" s="10" t="s">
        <v>2387</v>
      </c>
      <c r="S363" s="10" t="s">
        <v>2387</v>
      </c>
      <c r="T363" s="10"/>
      <c r="U363" s="10"/>
      <c r="V363" s="10"/>
      <c r="W363" s="10"/>
      <c r="X363" s="10"/>
      <c r="Y363" s="10"/>
      <c r="Z363" s="10"/>
      <c r="AA363" s="10"/>
      <c r="AB363" s="10"/>
      <c r="AC363" s="10"/>
      <c r="AD363" t="s">
        <v>19</v>
      </c>
      <c r="AE363" t="s">
        <v>19</v>
      </c>
      <c r="AG363">
        <v>1</v>
      </c>
    </row>
    <row r="364" spans="1:33">
      <c r="A364" t="s">
        <v>601</v>
      </c>
      <c r="B364" s="4" t="s">
        <v>1679</v>
      </c>
      <c r="C364" s="4" t="s">
        <v>1680</v>
      </c>
      <c r="G364" s="10" t="s">
        <v>24</v>
      </c>
      <c r="H364" s="10"/>
      <c r="I364" s="10">
        <v>1</v>
      </c>
      <c r="J364" s="10">
        <v>3</v>
      </c>
      <c r="K364" s="10" t="s">
        <v>2168</v>
      </c>
      <c r="L364" s="10" t="s">
        <v>2159</v>
      </c>
      <c r="M364" s="10"/>
      <c r="N364" s="11"/>
      <c r="O364" s="10"/>
      <c r="P364" s="10">
        <v>1701</v>
      </c>
      <c r="Q364" s="10"/>
      <c r="R364" s="10" t="s">
        <v>2387</v>
      </c>
      <c r="S364" s="10" t="s">
        <v>2387</v>
      </c>
      <c r="T364" s="10"/>
      <c r="U364" s="10"/>
      <c r="V364" s="10"/>
      <c r="W364" s="10"/>
      <c r="X364" s="10"/>
      <c r="Y364" s="10"/>
      <c r="Z364" s="10"/>
      <c r="AA364" s="10"/>
      <c r="AB364" s="10"/>
      <c r="AC364" s="10"/>
      <c r="AD364" t="s">
        <v>19</v>
      </c>
      <c r="AE364" t="s">
        <v>19</v>
      </c>
      <c r="AG364">
        <v>1</v>
      </c>
    </row>
    <row r="365" spans="1:33">
      <c r="A365" t="s">
        <v>602</v>
      </c>
      <c r="B365" s="4" t="s">
        <v>1686</v>
      </c>
      <c r="C365" s="4" t="s">
        <v>1687</v>
      </c>
      <c r="G365" s="10" t="s">
        <v>2201</v>
      </c>
      <c r="H365" s="10"/>
      <c r="I365" s="10"/>
      <c r="J365" s="10"/>
      <c r="K365" s="10"/>
      <c r="L365" s="10"/>
      <c r="M365" s="10"/>
      <c r="N365" s="11"/>
      <c r="O365" s="10"/>
      <c r="P365" s="10"/>
      <c r="Q365" s="10"/>
      <c r="R365" s="10" t="s">
        <v>2387</v>
      </c>
      <c r="S365" s="10" t="s">
        <v>2387</v>
      </c>
      <c r="T365" s="10"/>
      <c r="U365" s="10"/>
      <c r="V365" s="10"/>
      <c r="W365" s="10"/>
      <c r="X365" s="10"/>
      <c r="Y365" s="10"/>
      <c r="Z365" s="10"/>
      <c r="AA365" s="10"/>
      <c r="AB365" s="10"/>
      <c r="AC365" s="10"/>
      <c r="AD365" t="s">
        <v>19</v>
      </c>
      <c r="AE365" t="s">
        <v>20</v>
      </c>
      <c r="AG365">
        <v>1</v>
      </c>
    </row>
    <row r="366" spans="1:33">
      <c r="A366" t="s">
        <v>602</v>
      </c>
      <c r="B366" s="4" t="s">
        <v>1689</v>
      </c>
      <c r="C366" s="4" t="s">
        <v>1688</v>
      </c>
      <c r="G366" s="10" t="s">
        <v>24</v>
      </c>
      <c r="H366" s="10"/>
      <c r="I366" s="10">
        <v>1</v>
      </c>
      <c r="J366" s="10">
        <v>1</v>
      </c>
      <c r="K366" s="10" t="s">
        <v>2158</v>
      </c>
      <c r="L366" s="10" t="s">
        <v>2200</v>
      </c>
      <c r="M366" s="10"/>
      <c r="N366" s="11"/>
      <c r="O366" s="10"/>
      <c r="P366" s="10">
        <v>2475</v>
      </c>
      <c r="Q366" s="10"/>
      <c r="R366" s="10" t="s">
        <v>2387</v>
      </c>
      <c r="S366" s="10" t="s">
        <v>2387</v>
      </c>
      <c r="T366" s="10"/>
      <c r="U366" s="10"/>
      <c r="V366" s="10"/>
      <c r="W366" s="10"/>
      <c r="X366" s="10"/>
      <c r="Y366" s="10"/>
      <c r="Z366" s="10"/>
      <c r="AA366" s="10"/>
      <c r="AB366" s="10"/>
      <c r="AC366" s="10"/>
      <c r="AD366" t="s">
        <v>19</v>
      </c>
      <c r="AE366" t="s">
        <v>19</v>
      </c>
      <c r="AG366">
        <v>1</v>
      </c>
    </row>
    <row r="367" spans="1:33">
      <c r="A367" t="s">
        <v>602</v>
      </c>
      <c r="B367" s="4" t="s">
        <v>1690</v>
      </c>
      <c r="C367" s="4" t="s">
        <v>1691</v>
      </c>
      <c r="G367" s="10" t="s">
        <v>25</v>
      </c>
      <c r="H367" s="10"/>
      <c r="I367" s="10">
        <v>1</v>
      </c>
      <c r="J367" s="10">
        <v>3</v>
      </c>
      <c r="K367" s="10" t="s">
        <v>2158</v>
      </c>
      <c r="L367" s="10" t="s">
        <v>2159</v>
      </c>
      <c r="M367" s="10"/>
      <c r="N367" s="11"/>
      <c r="O367" s="10"/>
      <c r="P367" s="10">
        <v>2475</v>
      </c>
      <c r="Q367" s="10"/>
      <c r="R367" s="10" t="s">
        <v>2387</v>
      </c>
      <c r="S367" s="10" t="s">
        <v>2387</v>
      </c>
      <c r="T367" s="10"/>
      <c r="U367" s="10"/>
      <c r="V367" s="10"/>
      <c r="W367" s="10"/>
      <c r="X367" s="10"/>
      <c r="Y367" s="10"/>
      <c r="Z367" s="10"/>
      <c r="AA367" s="10"/>
      <c r="AB367" s="10"/>
      <c r="AC367" s="10"/>
      <c r="AD367" t="s">
        <v>19</v>
      </c>
      <c r="AE367" t="s">
        <v>20</v>
      </c>
      <c r="AG367">
        <v>1</v>
      </c>
    </row>
    <row r="368" spans="1:33" ht="43.5">
      <c r="A368" t="s">
        <v>603</v>
      </c>
      <c r="B368" s="4" t="s">
        <v>1693</v>
      </c>
      <c r="C368" s="4" t="s">
        <v>1692</v>
      </c>
      <c r="G368" s="10" t="s">
        <v>25</v>
      </c>
      <c r="H368" s="10"/>
      <c r="I368" s="10">
        <v>1</v>
      </c>
      <c r="J368" s="10">
        <v>3</v>
      </c>
      <c r="K368" s="10" t="s">
        <v>2168</v>
      </c>
      <c r="L368" s="10" t="s">
        <v>2159</v>
      </c>
      <c r="M368" s="10"/>
      <c r="N368" s="11"/>
      <c r="O368" s="10"/>
      <c r="P368" s="10">
        <v>86</v>
      </c>
      <c r="Q368" s="10"/>
      <c r="R368" s="10" t="s">
        <v>2387</v>
      </c>
      <c r="S368" s="10" t="s">
        <v>2387</v>
      </c>
      <c r="T368" s="10"/>
      <c r="U368" s="10"/>
      <c r="V368" s="10"/>
      <c r="W368" s="10"/>
      <c r="X368" s="10"/>
      <c r="Y368" s="10"/>
      <c r="Z368" s="10"/>
      <c r="AA368" s="10"/>
      <c r="AB368" s="10"/>
      <c r="AC368" s="10"/>
      <c r="AD368" t="s">
        <v>19</v>
      </c>
      <c r="AE368" t="s">
        <v>19</v>
      </c>
      <c r="AG368">
        <v>1</v>
      </c>
    </row>
    <row r="369" spans="1:33" ht="43.5">
      <c r="A369" t="s">
        <v>603</v>
      </c>
      <c r="B369" s="4" t="s">
        <v>1694</v>
      </c>
      <c r="C369" s="4" t="s">
        <v>1692</v>
      </c>
      <c r="G369" s="10" t="s">
        <v>25</v>
      </c>
      <c r="H369" s="10"/>
      <c r="I369" s="10">
        <v>1</v>
      </c>
      <c r="J369" s="10">
        <v>3</v>
      </c>
      <c r="K369" s="10" t="s">
        <v>2168</v>
      </c>
      <c r="L369" s="10" t="s">
        <v>2159</v>
      </c>
      <c r="M369" s="10"/>
      <c r="N369" s="11"/>
      <c r="O369" s="10"/>
      <c r="P369" s="10">
        <v>1701</v>
      </c>
      <c r="Q369" s="10"/>
      <c r="R369" s="10" t="s">
        <v>2387</v>
      </c>
      <c r="S369" s="10" t="s">
        <v>2387</v>
      </c>
      <c r="T369" s="10"/>
      <c r="U369" s="10"/>
      <c r="V369" s="10"/>
      <c r="W369" s="10"/>
      <c r="X369" s="10"/>
      <c r="Y369" s="10"/>
      <c r="Z369" s="10"/>
      <c r="AA369" s="10"/>
      <c r="AB369" s="10"/>
      <c r="AC369" s="10"/>
      <c r="AD369" t="s">
        <v>19</v>
      </c>
      <c r="AE369" t="s">
        <v>19</v>
      </c>
      <c r="AG369">
        <v>1</v>
      </c>
    </row>
    <row r="370" spans="1:33">
      <c r="A370" t="s">
        <v>603</v>
      </c>
      <c r="B370" s="4" t="s">
        <v>1695</v>
      </c>
      <c r="C370" s="4" t="s">
        <v>1696</v>
      </c>
      <c r="G370" s="10" t="s">
        <v>2199</v>
      </c>
      <c r="H370" s="10"/>
      <c r="I370" s="10"/>
      <c r="J370" s="10"/>
      <c r="K370" s="10"/>
      <c r="L370" s="10"/>
      <c r="M370" s="10"/>
      <c r="N370" s="11"/>
      <c r="O370" s="10"/>
      <c r="P370" s="10"/>
      <c r="Q370" s="10">
        <v>-1088</v>
      </c>
      <c r="R370" s="10">
        <v>1701</v>
      </c>
      <c r="S370" s="10">
        <v>613</v>
      </c>
      <c r="T370" s="10"/>
      <c r="U370" s="10"/>
      <c r="V370" s="10"/>
      <c r="W370" s="10"/>
      <c r="X370" s="10"/>
      <c r="Y370" s="10"/>
      <c r="Z370" s="10"/>
      <c r="AA370" s="10"/>
      <c r="AB370" s="10"/>
      <c r="AC370" s="10"/>
      <c r="AD370" t="s">
        <v>19</v>
      </c>
      <c r="AE370" t="s">
        <v>20</v>
      </c>
      <c r="AG370">
        <v>1</v>
      </c>
    </row>
    <row r="371" spans="1:33">
      <c r="A371" t="s">
        <v>603</v>
      </c>
      <c r="B371" s="4" t="s">
        <v>1697</v>
      </c>
      <c r="C371" s="4" t="s">
        <v>1698</v>
      </c>
      <c r="G371" s="10" t="s">
        <v>25</v>
      </c>
      <c r="H371" s="10"/>
      <c r="I371" s="10">
        <v>1</v>
      </c>
      <c r="J371" s="10">
        <v>2</v>
      </c>
      <c r="K371" s="10" t="s">
        <v>2158</v>
      </c>
      <c r="L371" s="10" t="s">
        <v>2200</v>
      </c>
      <c r="M371" s="10"/>
      <c r="N371" s="11"/>
      <c r="O371" s="10"/>
      <c r="P371" s="10">
        <v>2475</v>
      </c>
      <c r="Q371" s="10"/>
      <c r="R371" s="10" t="s">
        <v>2387</v>
      </c>
      <c r="S371" s="10" t="s">
        <v>2387</v>
      </c>
      <c r="T371" s="10"/>
      <c r="U371" s="10"/>
      <c r="V371" s="10"/>
      <c r="W371" s="10"/>
      <c r="X371" s="10"/>
      <c r="Y371" s="10"/>
      <c r="Z371" s="10"/>
      <c r="AA371" s="10"/>
      <c r="AB371" s="10"/>
      <c r="AC371" s="10"/>
      <c r="AD371" t="s">
        <v>19</v>
      </c>
      <c r="AE371" t="s">
        <v>20</v>
      </c>
      <c r="AG371">
        <v>1</v>
      </c>
    </row>
    <row r="372" spans="1:33">
      <c r="A372" t="s">
        <v>604</v>
      </c>
      <c r="B372" s="4" t="s">
        <v>1700</v>
      </c>
      <c r="C372" s="4" t="s">
        <v>1699</v>
      </c>
      <c r="G372" s="10" t="s">
        <v>24</v>
      </c>
      <c r="H372" s="10"/>
      <c r="I372" s="10">
        <v>1</v>
      </c>
      <c r="J372" s="10">
        <v>2</v>
      </c>
      <c r="K372" s="10" t="s">
        <v>2168</v>
      </c>
      <c r="L372" s="10" t="s">
        <v>2200</v>
      </c>
      <c r="M372" s="10"/>
      <c r="N372" s="11"/>
      <c r="O372" s="10"/>
      <c r="P372" s="10">
        <v>171</v>
      </c>
      <c r="Q372" s="10"/>
      <c r="R372" s="10" t="s">
        <v>2387</v>
      </c>
      <c r="S372" s="10" t="s">
        <v>2387</v>
      </c>
      <c r="T372" s="10"/>
      <c r="U372" s="10"/>
      <c r="V372" s="10"/>
      <c r="W372" s="10"/>
      <c r="X372" s="10"/>
      <c r="Y372" s="10"/>
      <c r="Z372" s="10"/>
      <c r="AA372" s="10"/>
      <c r="AB372" s="10"/>
      <c r="AC372" s="10"/>
      <c r="AD372" t="s">
        <v>19</v>
      </c>
      <c r="AE372" t="s">
        <v>20</v>
      </c>
      <c r="AG372">
        <v>1</v>
      </c>
    </row>
    <row r="373" spans="1:33" ht="29">
      <c r="A373" t="s">
        <v>605</v>
      </c>
      <c r="B373" s="4" t="s">
        <v>1703</v>
      </c>
      <c r="C373" s="4" t="s">
        <v>1706</v>
      </c>
      <c r="G373" s="10" t="s">
        <v>24</v>
      </c>
      <c r="H373" s="10"/>
      <c r="I373" s="10">
        <v>1</v>
      </c>
      <c r="J373" s="10">
        <v>2</v>
      </c>
      <c r="K373" s="10" t="s">
        <v>2177</v>
      </c>
      <c r="L373" s="10" t="s">
        <v>2200</v>
      </c>
      <c r="M373" s="10"/>
      <c r="N373" s="11"/>
      <c r="O373" s="10"/>
      <c r="P373" s="10">
        <v>613</v>
      </c>
      <c r="Q373" s="10"/>
      <c r="R373" s="10" t="s">
        <v>2387</v>
      </c>
      <c r="S373" s="10" t="s">
        <v>2387</v>
      </c>
      <c r="T373" s="10"/>
      <c r="U373" s="10"/>
      <c r="V373" s="10"/>
      <c r="W373" s="10"/>
      <c r="X373" s="10"/>
      <c r="Y373" s="10"/>
      <c r="Z373" s="10"/>
      <c r="AA373" s="10"/>
      <c r="AB373" s="10"/>
      <c r="AC373" s="10"/>
      <c r="AD373" t="s">
        <v>19</v>
      </c>
      <c r="AE373" t="s">
        <v>19</v>
      </c>
      <c r="AG373">
        <v>1</v>
      </c>
    </row>
    <row r="374" spans="1:33" ht="43.5">
      <c r="A374" t="s">
        <v>606</v>
      </c>
      <c r="B374" s="4" t="s">
        <v>1707</v>
      </c>
      <c r="C374" s="4" t="s">
        <v>1708</v>
      </c>
      <c r="G374" s="10" t="s">
        <v>2199</v>
      </c>
      <c r="H374" s="10"/>
      <c r="I374" s="10"/>
      <c r="J374" s="10"/>
      <c r="K374" s="10"/>
      <c r="L374" s="10"/>
      <c r="M374" s="10"/>
      <c r="N374" s="11"/>
      <c r="O374" s="10"/>
      <c r="P374" s="10"/>
      <c r="Q374" s="10">
        <v>-53</v>
      </c>
      <c r="R374" s="10">
        <v>63</v>
      </c>
      <c r="S374" s="10">
        <v>10</v>
      </c>
      <c r="T374" s="10"/>
      <c r="U374" s="10"/>
      <c r="V374" s="10"/>
      <c r="W374" s="10"/>
      <c r="X374" s="10"/>
      <c r="Y374" s="10"/>
      <c r="Z374" s="10"/>
      <c r="AA374" s="10"/>
      <c r="AB374" s="10"/>
      <c r="AC374" s="10"/>
      <c r="AD374" t="s">
        <v>19</v>
      </c>
      <c r="AE374" t="s">
        <v>19</v>
      </c>
      <c r="AG374">
        <v>1</v>
      </c>
    </row>
    <row r="375" spans="1:33" ht="43.5">
      <c r="A375" t="s">
        <v>606</v>
      </c>
      <c r="B375" s="4" t="s">
        <v>1711</v>
      </c>
      <c r="C375" s="4" t="s">
        <v>1712</v>
      </c>
      <c r="F375" t="s">
        <v>19</v>
      </c>
      <c r="G375" s="10" t="s">
        <v>2201</v>
      </c>
      <c r="H375" s="10"/>
      <c r="I375" s="10"/>
      <c r="J375" s="10"/>
      <c r="K375" s="10"/>
      <c r="L375" s="10"/>
      <c r="M375" s="10"/>
      <c r="N375" s="11"/>
      <c r="O375" s="10"/>
      <c r="P375" s="10"/>
      <c r="Q375" s="10"/>
      <c r="R375" s="10" t="s">
        <v>2387</v>
      </c>
      <c r="S375" s="10" t="s">
        <v>2387</v>
      </c>
      <c r="T375" s="10"/>
      <c r="U375" s="10"/>
      <c r="V375" s="10"/>
      <c r="W375" s="10"/>
      <c r="X375" s="10"/>
      <c r="Y375" s="10"/>
      <c r="Z375" s="10"/>
      <c r="AA375" s="10"/>
      <c r="AB375" s="10"/>
      <c r="AC375" s="10"/>
      <c r="AD375" t="s">
        <v>19</v>
      </c>
      <c r="AE375" t="s">
        <v>19</v>
      </c>
      <c r="AG375">
        <v>1</v>
      </c>
    </row>
    <row r="376" spans="1:33">
      <c r="A376" t="s">
        <v>607</v>
      </c>
      <c r="B376" s="4" t="s">
        <v>1714</v>
      </c>
      <c r="C376" s="4" t="s">
        <v>1713</v>
      </c>
      <c r="G376" s="10" t="s">
        <v>2199</v>
      </c>
      <c r="H376" s="10"/>
      <c r="I376" s="10"/>
      <c r="J376" s="10"/>
      <c r="K376" s="10"/>
      <c r="L376" s="10"/>
      <c r="M376" s="10"/>
      <c r="N376" s="11"/>
      <c r="O376" s="10"/>
      <c r="P376" s="10"/>
      <c r="Q376" s="10">
        <v>-156</v>
      </c>
      <c r="R376" s="10">
        <v>166</v>
      </c>
      <c r="S376" s="10">
        <v>10</v>
      </c>
      <c r="T376" s="10"/>
      <c r="U376" s="10"/>
      <c r="V376" s="10"/>
      <c r="W376" s="10"/>
      <c r="X376" s="10"/>
      <c r="Y376" s="10"/>
      <c r="Z376" s="10"/>
      <c r="AA376" s="10"/>
      <c r="AB376" s="10"/>
      <c r="AC376" s="10"/>
      <c r="AD376" t="s">
        <v>19</v>
      </c>
      <c r="AE376" t="s">
        <v>19</v>
      </c>
      <c r="AG376">
        <v>1</v>
      </c>
    </row>
    <row r="377" spans="1:33" ht="29">
      <c r="A377" t="s">
        <v>608</v>
      </c>
      <c r="B377" s="4" t="s">
        <v>1716</v>
      </c>
      <c r="C377" s="4" t="s">
        <v>1715</v>
      </c>
      <c r="G377" s="10" t="s">
        <v>25</v>
      </c>
      <c r="H377" s="10"/>
      <c r="I377" s="10">
        <v>1</v>
      </c>
      <c r="J377" s="10">
        <v>3</v>
      </c>
      <c r="K377" s="10" t="s">
        <v>2175</v>
      </c>
      <c r="L377" s="10" t="s">
        <v>2159</v>
      </c>
      <c r="M377" s="10"/>
      <c r="N377" s="11"/>
      <c r="O377" s="10"/>
      <c r="P377" s="10">
        <v>768</v>
      </c>
      <c r="Q377" s="10"/>
      <c r="R377" s="10" t="s">
        <v>2387</v>
      </c>
      <c r="S377" s="10" t="s">
        <v>2387</v>
      </c>
      <c r="T377" s="10"/>
      <c r="U377" s="10"/>
      <c r="V377" s="10"/>
      <c r="W377" s="10"/>
      <c r="X377" s="10"/>
      <c r="Y377" s="10"/>
      <c r="Z377" s="10"/>
      <c r="AA377" s="10"/>
      <c r="AB377" s="10"/>
      <c r="AC377" s="10"/>
      <c r="AD377" t="s">
        <v>19</v>
      </c>
      <c r="AE377" t="s">
        <v>19</v>
      </c>
      <c r="AG377">
        <v>1</v>
      </c>
    </row>
    <row r="378" spans="1:33">
      <c r="A378" t="s">
        <v>609</v>
      </c>
      <c r="B378" s="4" t="s">
        <v>1717</v>
      </c>
      <c r="C378" s="4" t="s">
        <v>1718</v>
      </c>
      <c r="F378" t="s">
        <v>23</v>
      </c>
      <c r="G378" s="10" t="s">
        <v>25</v>
      </c>
      <c r="H378" s="10"/>
      <c r="I378" s="10">
        <v>1</v>
      </c>
      <c r="J378" s="10">
        <v>3</v>
      </c>
      <c r="K378" s="10" t="s">
        <v>2158</v>
      </c>
      <c r="L378" s="10" t="s">
        <v>2159</v>
      </c>
      <c r="M378" s="10"/>
      <c r="N378" s="11"/>
      <c r="O378" s="10"/>
      <c r="P378" s="10">
        <v>2475</v>
      </c>
      <c r="Q378" s="10"/>
      <c r="R378" s="10" t="s">
        <v>2387</v>
      </c>
      <c r="S378" s="10" t="s">
        <v>2387</v>
      </c>
      <c r="T378" s="10"/>
      <c r="U378" s="10"/>
      <c r="V378" s="10"/>
      <c r="W378" s="10"/>
      <c r="X378" s="10"/>
      <c r="Y378" s="10"/>
      <c r="Z378" s="10"/>
      <c r="AA378" s="10"/>
      <c r="AB378" s="10"/>
      <c r="AC378" s="10"/>
      <c r="AD378" t="s">
        <v>20</v>
      </c>
      <c r="AE378" t="s">
        <v>20</v>
      </c>
      <c r="AG378">
        <v>0</v>
      </c>
    </row>
    <row r="379" spans="1:33" ht="29">
      <c r="A379" t="s">
        <v>610</v>
      </c>
      <c r="B379" s="4" t="s">
        <v>1720</v>
      </c>
      <c r="C379" s="4" t="s">
        <v>1721</v>
      </c>
      <c r="G379" s="10" t="s">
        <v>2201</v>
      </c>
      <c r="H379" s="10"/>
      <c r="I379" s="10"/>
      <c r="J379" s="10"/>
      <c r="K379" s="10"/>
      <c r="L379" s="10"/>
      <c r="M379" s="10"/>
      <c r="N379" s="11"/>
      <c r="O379" s="10"/>
      <c r="P379" s="10"/>
      <c r="Q379" s="10"/>
      <c r="R379" s="10" t="s">
        <v>2387</v>
      </c>
      <c r="S379" s="10" t="s">
        <v>2387</v>
      </c>
      <c r="T379" s="10"/>
      <c r="U379" s="10"/>
      <c r="V379" s="10"/>
      <c r="W379" s="10"/>
      <c r="X379" s="10"/>
      <c r="Y379" s="10"/>
      <c r="Z379" s="10"/>
      <c r="AA379" s="10"/>
      <c r="AB379" s="10"/>
      <c r="AC379" s="10"/>
      <c r="AD379" t="s">
        <v>19</v>
      </c>
      <c r="AG379">
        <v>1</v>
      </c>
    </row>
    <row r="380" spans="1:33" ht="29">
      <c r="A380" t="s">
        <v>610</v>
      </c>
      <c r="B380" s="4" t="s">
        <v>1722</v>
      </c>
      <c r="C380" s="4" t="s">
        <v>1719</v>
      </c>
      <c r="G380" s="10" t="s">
        <v>25</v>
      </c>
      <c r="H380" s="10"/>
      <c r="I380" s="10">
        <v>1</v>
      </c>
      <c r="J380" s="10">
        <v>3</v>
      </c>
      <c r="K380" s="10" t="s">
        <v>2168</v>
      </c>
      <c r="L380" s="10" t="s">
        <v>2159</v>
      </c>
      <c r="M380" s="10"/>
      <c r="N380" s="11"/>
      <c r="O380" s="10"/>
      <c r="P380" s="10">
        <v>1701</v>
      </c>
      <c r="Q380" s="10"/>
      <c r="R380" s="10" t="s">
        <v>2387</v>
      </c>
      <c r="S380" s="10" t="s">
        <v>2387</v>
      </c>
      <c r="T380" s="10"/>
      <c r="U380" s="10"/>
      <c r="V380" s="10"/>
      <c r="W380" s="10"/>
      <c r="X380" s="10"/>
      <c r="Y380" s="10"/>
      <c r="Z380" s="10"/>
      <c r="AA380" s="10"/>
      <c r="AB380" s="10"/>
      <c r="AC380" s="10"/>
      <c r="AD380" t="s">
        <v>19</v>
      </c>
      <c r="AE380" t="s">
        <v>19</v>
      </c>
      <c r="AG380">
        <v>1</v>
      </c>
    </row>
    <row r="381" spans="1:33">
      <c r="A381" t="s">
        <v>613</v>
      </c>
      <c r="B381" s="4" t="s">
        <v>1724</v>
      </c>
      <c r="C381" s="4" t="s">
        <v>1723</v>
      </c>
      <c r="G381" s="10" t="s">
        <v>24</v>
      </c>
      <c r="H381" s="10"/>
      <c r="I381" s="10">
        <v>1</v>
      </c>
      <c r="J381" s="10">
        <v>2</v>
      </c>
      <c r="K381" s="10" t="s">
        <v>2158</v>
      </c>
      <c r="L381" s="10" t="s">
        <v>2200</v>
      </c>
      <c r="M381" s="10"/>
      <c r="N381" s="11"/>
      <c r="O381" s="10"/>
      <c r="P381" s="10">
        <v>2475</v>
      </c>
      <c r="Q381" s="10"/>
      <c r="R381" s="10" t="s">
        <v>2387</v>
      </c>
      <c r="S381" s="10" t="s">
        <v>2387</v>
      </c>
      <c r="T381" s="10"/>
      <c r="U381" s="10"/>
      <c r="V381" s="10"/>
      <c r="W381" s="10"/>
      <c r="X381" s="10"/>
      <c r="Y381" s="10"/>
      <c r="Z381" s="10"/>
      <c r="AA381" s="10"/>
      <c r="AB381" s="10"/>
      <c r="AC381" s="10"/>
      <c r="AD381" t="s">
        <v>19</v>
      </c>
      <c r="AE381" t="s">
        <v>19</v>
      </c>
      <c r="AG381">
        <v>1</v>
      </c>
    </row>
    <row r="382" spans="1:33" ht="29">
      <c r="A382" t="s">
        <v>614</v>
      </c>
      <c r="B382" s="4" t="s">
        <v>1726</v>
      </c>
      <c r="C382" s="4" t="s">
        <v>1725</v>
      </c>
      <c r="G382" s="10" t="s">
        <v>26</v>
      </c>
      <c r="H382" s="10"/>
      <c r="I382" s="10"/>
      <c r="J382" s="10"/>
      <c r="K382" s="10"/>
      <c r="L382" s="10"/>
      <c r="M382" s="10"/>
      <c r="N382" s="11"/>
      <c r="O382" s="10"/>
      <c r="P382" s="10"/>
      <c r="Q382" s="10"/>
      <c r="R382" s="10" t="s">
        <v>2387</v>
      </c>
      <c r="S382" s="10" t="s">
        <v>2387</v>
      </c>
      <c r="T382" s="10"/>
      <c r="U382" s="10"/>
      <c r="V382" s="10"/>
      <c r="W382" s="10"/>
      <c r="X382" s="10"/>
      <c r="Y382" s="10"/>
      <c r="Z382" s="10"/>
      <c r="AA382" s="10"/>
      <c r="AB382" s="10"/>
      <c r="AC382" s="10"/>
      <c r="AD382" t="s">
        <v>19</v>
      </c>
      <c r="AE382" t="s">
        <v>19</v>
      </c>
      <c r="AG382">
        <v>1</v>
      </c>
    </row>
    <row r="383" spans="1:33">
      <c r="A383" t="s">
        <v>614</v>
      </c>
      <c r="B383" s="4" t="s">
        <v>1727</v>
      </c>
      <c r="C383" s="4" t="s">
        <v>1728</v>
      </c>
      <c r="G383" s="10" t="s">
        <v>25</v>
      </c>
      <c r="H383" s="10"/>
      <c r="I383" s="10">
        <v>1</v>
      </c>
      <c r="J383" s="10">
        <v>3</v>
      </c>
      <c r="K383" s="10" t="s">
        <v>2158</v>
      </c>
      <c r="L383" s="10" t="s">
        <v>2159</v>
      </c>
      <c r="M383" s="10"/>
      <c r="N383" s="11"/>
      <c r="O383" s="10"/>
      <c r="P383" s="10">
        <v>2475</v>
      </c>
      <c r="Q383" s="10"/>
      <c r="R383" s="10" t="s">
        <v>2387</v>
      </c>
      <c r="S383" s="10" t="s">
        <v>2387</v>
      </c>
      <c r="T383" s="10"/>
      <c r="U383" s="10"/>
      <c r="V383" s="10"/>
      <c r="W383" s="10"/>
      <c r="X383" s="10"/>
      <c r="Y383" s="10"/>
      <c r="Z383" s="10"/>
      <c r="AA383" s="10"/>
      <c r="AB383" s="10"/>
      <c r="AC383" s="10"/>
      <c r="AD383" t="s">
        <v>19</v>
      </c>
      <c r="AE383" t="s">
        <v>20</v>
      </c>
      <c r="AG383">
        <v>1</v>
      </c>
    </row>
    <row r="384" spans="1:33" ht="29">
      <c r="A384" t="s">
        <v>614</v>
      </c>
      <c r="B384" s="4" t="s">
        <v>1729</v>
      </c>
      <c r="C384" s="4" t="s">
        <v>1730</v>
      </c>
      <c r="G384" s="10" t="s">
        <v>2201</v>
      </c>
      <c r="H384" s="10"/>
      <c r="I384" s="10"/>
      <c r="J384" s="10"/>
      <c r="K384" s="10"/>
      <c r="L384" s="10"/>
      <c r="M384" s="10"/>
      <c r="N384" s="11"/>
      <c r="O384" s="10"/>
      <c r="P384" s="10"/>
      <c r="Q384" s="10"/>
      <c r="R384" s="10" t="s">
        <v>2387</v>
      </c>
      <c r="S384" s="10" t="s">
        <v>2387</v>
      </c>
      <c r="T384" s="10"/>
      <c r="U384" s="10"/>
      <c r="V384" s="10"/>
      <c r="W384" s="10"/>
      <c r="X384" s="10"/>
      <c r="Y384" s="10"/>
      <c r="Z384" s="10"/>
      <c r="AA384" s="10"/>
      <c r="AB384" s="10"/>
      <c r="AC384" s="10"/>
      <c r="AD384" t="s">
        <v>19</v>
      </c>
      <c r="AE384" t="s">
        <v>19</v>
      </c>
      <c r="AG384">
        <v>1</v>
      </c>
    </row>
    <row r="385" spans="1:33" ht="43.5">
      <c r="A385" t="s">
        <v>616</v>
      </c>
      <c r="B385" s="4" t="s">
        <v>1733</v>
      </c>
      <c r="C385" s="4" t="s">
        <v>2298</v>
      </c>
      <c r="G385" s="10" t="s">
        <v>2199</v>
      </c>
      <c r="H385" s="10"/>
      <c r="I385" s="10"/>
      <c r="J385" s="10"/>
      <c r="K385" s="10"/>
      <c r="L385" s="10"/>
      <c r="M385" s="10"/>
      <c r="N385" s="11"/>
      <c r="O385" s="10"/>
      <c r="P385" s="10"/>
      <c r="Q385" s="10">
        <v>1</v>
      </c>
      <c r="R385" s="10">
        <v>2</v>
      </c>
      <c r="S385" s="10">
        <v>3</v>
      </c>
      <c r="T385" s="10"/>
      <c r="U385" s="10"/>
      <c r="V385" s="10"/>
      <c r="W385" s="10"/>
      <c r="X385" s="10"/>
      <c r="Y385" s="10"/>
      <c r="Z385" s="10"/>
      <c r="AA385" s="10"/>
      <c r="AB385" s="10"/>
      <c r="AC385" s="10"/>
      <c r="AD385" t="s">
        <v>20</v>
      </c>
      <c r="AE385" t="s">
        <v>19</v>
      </c>
      <c r="AG385">
        <v>0</v>
      </c>
    </row>
    <row r="386" spans="1:33" ht="43.5">
      <c r="A386" t="s">
        <v>616</v>
      </c>
      <c r="B386" s="4" t="s">
        <v>1733</v>
      </c>
      <c r="C386" s="4" t="s">
        <v>2299</v>
      </c>
      <c r="G386" s="10" t="s">
        <v>24</v>
      </c>
      <c r="H386" s="10"/>
      <c r="I386" s="10">
        <v>1</v>
      </c>
      <c r="J386" s="10">
        <v>3</v>
      </c>
      <c r="K386" s="10" t="s">
        <v>2168</v>
      </c>
      <c r="L386" s="10" t="s">
        <v>2159</v>
      </c>
      <c r="M386" s="10"/>
      <c r="N386" s="11"/>
      <c r="O386" s="10"/>
      <c r="P386" s="10">
        <v>1701</v>
      </c>
      <c r="Q386" s="10"/>
      <c r="R386" s="10" t="s">
        <v>2387</v>
      </c>
      <c r="S386" s="10" t="s">
        <v>2387</v>
      </c>
      <c r="T386" s="10"/>
      <c r="U386" s="10"/>
      <c r="V386" s="10"/>
      <c r="W386" s="10"/>
      <c r="X386" s="10"/>
      <c r="Y386" s="10"/>
      <c r="Z386" s="10"/>
      <c r="AA386" s="10"/>
      <c r="AB386" s="10"/>
      <c r="AC386" s="10"/>
      <c r="AD386" t="s">
        <v>20</v>
      </c>
      <c r="AE386" t="s">
        <v>19</v>
      </c>
      <c r="AG386">
        <v>0</v>
      </c>
    </row>
    <row r="387" spans="1:33">
      <c r="A387" t="s">
        <v>616</v>
      </c>
      <c r="B387" s="4" t="s">
        <v>1734</v>
      </c>
      <c r="C387" s="4" t="s">
        <v>1735</v>
      </c>
      <c r="G387" s="10" t="s">
        <v>25</v>
      </c>
      <c r="H387" s="10"/>
      <c r="I387" s="10">
        <v>1</v>
      </c>
      <c r="J387" s="10">
        <v>1</v>
      </c>
      <c r="K387" s="10" t="s">
        <v>2152</v>
      </c>
      <c r="L387" s="10" t="s">
        <v>2200</v>
      </c>
      <c r="M387" s="10"/>
      <c r="N387" s="11"/>
      <c r="O387" s="10"/>
      <c r="P387" s="10">
        <v>5</v>
      </c>
      <c r="Q387" s="10"/>
      <c r="R387" s="10" t="s">
        <v>2387</v>
      </c>
      <c r="S387" s="10" t="s">
        <v>2387</v>
      </c>
      <c r="T387" s="10"/>
      <c r="U387" s="10"/>
      <c r="V387" s="10"/>
      <c r="W387" s="10"/>
      <c r="X387" s="10"/>
      <c r="Y387" s="10"/>
      <c r="Z387" s="10"/>
      <c r="AA387" s="10"/>
      <c r="AB387" s="10"/>
      <c r="AC387" s="10"/>
      <c r="AD387" t="s">
        <v>19</v>
      </c>
      <c r="AE387" t="s">
        <v>19</v>
      </c>
      <c r="AG387">
        <v>1</v>
      </c>
    </row>
    <row r="388" spans="1:33">
      <c r="A388" t="s">
        <v>620</v>
      </c>
      <c r="B388" s="4" t="s">
        <v>1739</v>
      </c>
      <c r="C388" s="4" t="s">
        <v>1738</v>
      </c>
      <c r="G388" s="10" t="s">
        <v>25</v>
      </c>
      <c r="H388" s="10"/>
      <c r="I388" s="10">
        <v>1</v>
      </c>
      <c r="J388" s="10">
        <v>3</v>
      </c>
      <c r="K388" s="10" t="s">
        <v>2175</v>
      </c>
      <c r="L388" s="10" t="s">
        <v>2159</v>
      </c>
      <c r="M388" s="10"/>
      <c r="N388" s="11"/>
      <c r="O388" s="10"/>
      <c r="P388" s="10">
        <v>743</v>
      </c>
      <c r="Q388" s="10"/>
      <c r="R388" s="10" t="s">
        <v>2387</v>
      </c>
      <c r="S388" s="10" t="s">
        <v>2387</v>
      </c>
      <c r="T388" s="10"/>
      <c r="U388" s="10"/>
      <c r="V388" s="10"/>
      <c r="W388" s="10"/>
      <c r="X388" s="10"/>
      <c r="Y388" s="10"/>
      <c r="Z388" s="10"/>
      <c r="AA388" s="10"/>
      <c r="AB388" s="10"/>
      <c r="AC388" s="10"/>
      <c r="AD388" t="s">
        <v>19</v>
      </c>
      <c r="AE388" t="s">
        <v>20</v>
      </c>
      <c r="AG388">
        <v>1</v>
      </c>
    </row>
    <row r="389" spans="1:33">
      <c r="A389" t="s">
        <v>621</v>
      </c>
      <c r="B389" s="4" t="s">
        <v>1741</v>
      </c>
      <c r="C389" s="4" t="s">
        <v>1740</v>
      </c>
      <c r="G389" s="10" t="s">
        <v>25</v>
      </c>
      <c r="H389" s="10"/>
      <c r="I389" s="10">
        <v>1</v>
      </c>
      <c r="J389" s="10">
        <v>3</v>
      </c>
      <c r="K389" s="10" t="s">
        <v>2158</v>
      </c>
      <c r="L389" s="10" t="s">
        <v>2159</v>
      </c>
      <c r="M389" s="10"/>
      <c r="N389" s="11"/>
      <c r="O389" s="10"/>
      <c r="P389" s="10">
        <v>2475</v>
      </c>
      <c r="Q389" s="10"/>
      <c r="R389" s="10" t="s">
        <v>2387</v>
      </c>
      <c r="S389" s="10" t="s">
        <v>2387</v>
      </c>
      <c r="T389" s="10"/>
      <c r="U389" s="10"/>
      <c r="V389" s="10"/>
      <c r="W389" s="10"/>
      <c r="X389" s="10"/>
      <c r="Y389" s="10"/>
      <c r="Z389" s="10"/>
      <c r="AA389" s="10"/>
      <c r="AB389" s="10"/>
      <c r="AC389" s="10"/>
      <c r="AD389" t="s">
        <v>19</v>
      </c>
      <c r="AE389" t="s">
        <v>19</v>
      </c>
      <c r="AG389">
        <v>1</v>
      </c>
    </row>
    <row r="390" spans="1:33">
      <c r="A390" t="s">
        <v>622</v>
      </c>
      <c r="B390" s="4" t="s">
        <v>1742</v>
      </c>
      <c r="C390" s="4" t="s">
        <v>1743</v>
      </c>
      <c r="G390" s="10" t="s">
        <v>2201</v>
      </c>
      <c r="H390" s="10"/>
      <c r="I390" s="10"/>
      <c r="J390" s="10"/>
      <c r="K390" s="10"/>
      <c r="L390" s="10"/>
      <c r="M390" s="10"/>
      <c r="N390" s="11"/>
      <c r="O390" s="10"/>
      <c r="P390" s="10"/>
      <c r="Q390" s="10"/>
      <c r="R390" s="10" t="s">
        <v>2387</v>
      </c>
      <c r="S390" s="10" t="s">
        <v>2387</v>
      </c>
      <c r="T390" s="10"/>
      <c r="U390" s="10"/>
      <c r="V390" s="10"/>
      <c r="W390" s="10"/>
      <c r="X390" s="10"/>
      <c r="Y390" s="10"/>
      <c r="Z390" s="10"/>
      <c r="AA390" s="10"/>
      <c r="AB390" s="10"/>
      <c r="AC390" s="10"/>
      <c r="AD390" t="s">
        <v>19</v>
      </c>
      <c r="AE390" t="s">
        <v>19</v>
      </c>
      <c r="AG390">
        <v>1</v>
      </c>
    </row>
    <row r="391" spans="1:33">
      <c r="A391" t="s">
        <v>625</v>
      </c>
      <c r="B391" s="4" t="s">
        <v>1744</v>
      </c>
      <c r="C391" s="4" t="s">
        <v>1745</v>
      </c>
      <c r="G391" s="10" t="s">
        <v>24</v>
      </c>
      <c r="H391" s="10"/>
      <c r="I391" s="10">
        <v>1</v>
      </c>
      <c r="J391" s="10">
        <v>2</v>
      </c>
      <c r="K391" s="10" t="s">
        <v>2168</v>
      </c>
      <c r="L391" s="10" t="s">
        <v>2200</v>
      </c>
      <c r="M391" s="10"/>
      <c r="N391" s="11"/>
      <c r="O391" s="10"/>
      <c r="P391" s="10">
        <v>171</v>
      </c>
      <c r="Q391" s="10"/>
      <c r="R391" s="10" t="s">
        <v>2387</v>
      </c>
      <c r="S391" s="10" t="s">
        <v>2387</v>
      </c>
      <c r="T391" s="10"/>
      <c r="U391" s="10"/>
      <c r="V391" s="10"/>
      <c r="W391" s="10"/>
      <c r="X391" s="10"/>
      <c r="Y391" s="10"/>
      <c r="Z391" s="10"/>
      <c r="AA391" s="10"/>
      <c r="AB391" s="10"/>
      <c r="AC391" s="10"/>
      <c r="AD391" t="s">
        <v>19</v>
      </c>
      <c r="AE391" t="s">
        <v>19</v>
      </c>
      <c r="AG391">
        <v>1</v>
      </c>
    </row>
    <row r="392" spans="1:33">
      <c r="A392" t="s">
        <v>626</v>
      </c>
      <c r="B392" s="4" t="s">
        <v>1747</v>
      </c>
      <c r="C392" s="4" t="s">
        <v>1746</v>
      </c>
      <c r="G392" s="10" t="s">
        <v>2201</v>
      </c>
      <c r="H392" s="10"/>
      <c r="I392" s="10"/>
      <c r="J392" s="10"/>
      <c r="K392" s="10"/>
      <c r="L392" s="10"/>
      <c r="M392" s="10"/>
      <c r="N392" s="11"/>
      <c r="O392" s="10"/>
      <c r="P392" s="10"/>
      <c r="Q392" s="10"/>
      <c r="R392" s="10" t="s">
        <v>2387</v>
      </c>
      <c r="S392" s="10" t="s">
        <v>2387</v>
      </c>
      <c r="T392" s="10"/>
      <c r="U392" s="10"/>
      <c r="V392" s="10"/>
      <c r="W392" s="10"/>
      <c r="X392" s="10"/>
      <c r="Y392" s="10"/>
      <c r="Z392" s="10"/>
      <c r="AA392" s="10"/>
      <c r="AB392" s="10"/>
      <c r="AC392" s="10"/>
      <c r="AD392" t="s">
        <v>19</v>
      </c>
      <c r="AE392" t="s">
        <v>19</v>
      </c>
      <c r="AG392">
        <v>1</v>
      </c>
    </row>
    <row r="393" spans="1:33" ht="29">
      <c r="A393" t="s">
        <v>627</v>
      </c>
      <c r="B393" s="4" t="s">
        <v>1748</v>
      </c>
      <c r="C393" s="4" t="s">
        <v>1749</v>
      </c>
      <c r="G393" s="10" t="s">
        <v>25</v>
      </c>
      <c r="H393" s="10"/>
      <c r="I393" s="10">
        <v>1</v>
      </c>
      <c r="J393" s="10">
        <v>2</v>
      </c>
      <c r="K393" s="10" t="s">
        <v>2158</v>
      </c>
      <c r="L393" s="10" t="s">
        <v>2200</v>
      </c>
      <c r="M393" s="10"/>
      <c r="N393" s="11"/>
      <c r="O393" s="10"/>
      <c r="P393" s="10">
        <v>2475</v>
      </c>
      <c r="Q393" s="10"/>
      <c r="R393" s="10" t="s">
        <v>2387</v>
      </c>
      <c r="S393" s="10" t="s">
        <v>2387</v>
      </c>
      <c r="T393" s="10"/>
      <c r="U393" s="10"/>
      <c r="V393" s="10"/>
      <c r="W393" s="10"/>
      <c r="X393" s="10"/>
      <c r="Y393" s="10"/>
      <c r="Z393" s="10"/>
      <c r="AA393" s="10"/>
      <c r="AB393" s="10"/>
      <c r="AC393" s="10"/>
      <c r="AD393" t="s">
        <v>19</v>
      </c>
      <c r="AE393" t="s">
        <v>19</v>
      </c>
      <c r="AG393">
        <v>1</v>
      </c>
    </row>
    <row r="394" spans="1:33">
      <c r="A394" t="s">
        <v>627</v>
      </c>
      <c r="B394" s="4" t="s">
        <v>1750</v>
      </c>
      <c r="C394" s="4" t="s">
        <v>1751</v>
      </c>
      <c r="G394" s="10" t="s">
        <v>2199</v>
      </c>
      <c r="H394" s="10"/>
      <c r="I394" s="10"/>
      <c r="J394" s="10"/>
      <c r="K394" s="10"/>
      <c r="L394" s="10"/>
      <c r="M394" s="10"/>
      <c r="N394" s="11"/>
      <c r="O394" s="10"/>
      <c r="P394" s="10"/>
      <c r="Q394" s="10">
        <v>-431</v>
      </c>
      <c r="R394" s="10">
        <v>743</v>
      </c>
      <c r="S394" s="10">
        <v>312</v>
      </c>
      <c r="T394" s="10"/>
      <c r="U394" s="10"/>
      <c r="V394" s="10"/>
      <c r="W394" s="10"/>
      <c r="X394" s="10"/>
      <c r="Y394" s="10"/>
      <c r="Z394" s="10"/>
      <c r="AA394" s="10"/>
      <c r="AB394" s="10"/>
      <c r="AC394" s="10"/>
      <c r="AD394" t="s">
        <v>19</v>
      </c>
      <c r="AE394" t="s">
        <v>19</v>
      </c>
      <c r="AG394">
        <v>1</v>
      </c>
    </row>
    <row r="395" spans="1:33">
      <c r="A395" t="s">
        <v>630</v>
      </c>
      <c r="B395" s="4" t="s">
        <v>1752</v>
      </c>
      <c r="C395" s="4" t="s">
        <v>1753</v>
      </c>
      <c r="G395" s="10" t="s">
        <v>25</v>
      </c>
      <c r="H395" s="10"/>
      <c r="I395" s="10">
        <v>1</v>
      </c>
      <c r="J395" s="10">
        <v>2</v>
      </c>
      <c r="K395" s="10" t="s">
        <v>2168</v>
      </c>
      <c r="L395" s="10" t="s">
        <v>2200</v>
      </c>
      <c r="M395" s="10"/>
      <c r="N395" s="11"/>
      <c r="O395" s="10"/>
      <c r="P395" s="10">
        <v>171</v>
      </c>
      <c r="Q395" s="10"/>
      <c r="R395" s="10" t="s">
        <v>2387</v>
      </c>
      <c r="S395" s="10" t="s">
        <v>2387</v>
      </c>
      <c r="T395" s="10"/>
      <c r="U395" s="10"/>
      <c r="V395" s="10"/>
      <c r="W395" s="10"/>
      <c r="X395" s="10"/>
      <c r="Y395" s="10"/>
      <c r="Z395" s="10"/>
      <c r="AA395" s="10"/>
      <c r="AB395" s="10"/>
      <c r="AC395" s="10"/>
      <c r="AD395" t="s">
        <v>19</v>
      </c>
      <c r="AE395" t="s">
        <v>19</v>
      </c>
      <c r="AG395">
        <v>1</v>
      </c>
    </row>
    <row r="396" spans="1:33">
      <c r="A396" t="s">
        <v>630</v>
      </c>
      <c r="B396" s="4" t="s">
        <v>631</v>
      </c>
      <c r="C396" s="4" t="s">
        <v>632</v>
      </c>
      <c r="G396" s="10" t="s">
        <v>2201</v>
      </c>
      <c r="H396" s="10"/>
      <c r="I396" s="10"/>
      <c r="J396" s="10"/>
      <c r="K396" s="10"/>
      <c r="L396" s="10"/>
      <c r="M396" s="10"/>
      <c r="N396" s="11"/>
      <c r="O396" s="10"/>
      <c r="P396" s="10"/>
      <c r="Q396" s="10"/>
      <c r="R396" s="10" t="s">
        <v>2387</v>
      </c>
      <c r="S396" s="10" t="s">
        <v>2387</v>
      </c>
      <c r="T396" s="10"/>
      <c r="U396" s="10"/>
      <c r="V396" s="10"/>
      <c r="W396" s="10"/>
      <c r="X396" s="10"/>
      <c r="Y396" s="10"/>
      <c r="Z396" s="10"/>
      <c r="AA396" s="10"/>
      <c r="AB396" s="10"/>
      <c r="AC396" s="10"/>
      <c r="AD396" t="s">
        <v>19</v>
      </c>
      <c r="AE396" t="s">
        <v>20</v>
      </c>
      <c r="AG396">
        <v>1</v>
      </c>
    </row>
    <row r="397" spans="1:33">
      <c r="A397" t="s">
        <v>633</v>
      </c>
      <c r="B397" s="4" t="s">
        <v>1756</v>
      </c>
      <c r="C397" s="4" t="s">
        <v>1757</v>
      </c>
      <c r="G397" s="10" t="s">
        <v>25</v>
      </c>
      <c r="H397" s="10"/>
      <c r="I397" s="10">
        <v>1</v>
      </c>
      <c r="J397" s="10">
        <v>3</v>
      </c>
      <c r="K397" s="10" t="s">
        <v>2158</v>
      </c>
      <c r="L397" s="10" t="s">
        <v>2159</v>
      </c>
      <c r="M397" s="10"/>
      <c r="N397" s="11"/>
      <c r="O397" s="10"/>
      <c r="P397" s="10">
        <v>2475</v>
      </c>
      <c r="Q397" s="10"/>
      <c r="R397" s="10" t="s">
        <v>2387</v>
      </c>
      <c r="S397" s="10" t="s">
        <v>2387</v>
      </c>
      <c r="T397" s="10"/>
      <c r="U397" s="10"/>
      <c r="V397" s="10"/>
      <c r="W397" s="10"/>
      <c r="X397" s="10"/>
      <c r="Y397" s="10"/>
      <c r="Z397" s="10"/>
      <c r="AA397" s="10"/>
      <c r="AB397" s="10"/>
      <c r="AC397" s="10"/>
      <c r="AD397" t="s">
        <v>19</v>
      </c>
      <c r="AE397" t="s">
        <v>19</v>
      </c>
      <c r="AG397">
        <v>1</v>
      </c>
    </row>
    <row r="398" spans="1:33">
      <c r="A398" t="s">
        <v>634</v>
      </c>
      <c r="B398" s="4" t="s">
        <v>635</v>
      </c>
      <c r="C398" s="4" t="s">
        <v>636</v>
      </c>
      <c r="G398" s="10" t="s">
        <v>2201</v>
      </c>
      <c r="H398" s="10"/>
      <c r="I398" s="10"/>
      <c r="J398" s="10"/>
      <c r="K398" s="10"/>
      <c r="L398" s="10"/>
      <c r="M398" s="10"/>
      <c r="N398" s="11"/>
      <c r="O398" s="10"/>
      <c r="P398" s="10"/>
      <c r="Q398" s="10"/>
      <c r="R398" s="10" t="s">
        <v>2387</v>
      </c>
      <c r="S398" s="10" t="s">
        <v>2387</v>
      </c>
      <c r="T398" s="10"/>
      <c r="U398" s="10"/>
      <c r="V398" s="10"/>
      <c r="W398" s="10"/>
      <c r="X398" s="10"/>
      <c r="Y398" s="10"/>
      <c r="Z398" s="10"/>
      <c r="AA398" s="10"/>
      <c r="AB398" s="10"/>
      <c r="AC398" s="10"/>
      <c r="AD398" t="s">
        <v>20</v>
      </c>
      <c r="AE398" t="s">
        <v>19</v>
      </c>
      <c r="AG398">
        <v>0</v>
      </c>
    </row>
    <row r="399" spans="1:33" ht="29">
      <c r="A399" t="s">
        <v>638</v>
      </c>
      <c r="B399" s="4" t="s">
        <v>1761</v>
      </c>
      <c r="C399" s="4" t="s">
        <v>1762</v>
      </c>
      <c r="G399" s="10" t="s">
        <v>26</v>
      </c>
      <c r="H399" s="10"/>
      <c r="I399" s="10"/>
      <c r="J399" s="10"/>
      <c r="K399" s="10"/>
      <c r="L399" s="10"/>
      <c r="M399" s="10"/>
      <c r="N399" s="11"/>
      <c r="O399" s="10"/>
      <c r="P399" s="10"/>
      <c r="Q399" s="10"/>
      <c r="R399" s="10" t="s">
        <v>2387</v>
      </c>
      <c r="S399" s="10" t="s">
        <v>2387</v>
      </c>
      <c r="T399" s="10"/>
      <c r="U399" s="10"/>
      <c r="V399" s="10"/>
      <c r="W399" s="10"/>
      <c r="X399" s="10"/>
      <c r="Y399" s="10"/>
      <c r="Z399" s="10"/>
      <c r="AA399" s="10"/>
      <c r="AB399" s="10"/>
      <c r="AC399" s="10"/>
      <c r="AD399" t="s">
        <v>19</v>
      </c>
      <c r="AE399" t="s">
        <v>19</v>
      </c>
      <c r="AG399">
        <v>1</v>
      </c>
    </row>
    <row r="400" spans="1:33" ht="29">
      <c r="A400" t="s">
        <v>638</v>
      </c>
      <c r="B400" s="4" t="s">
        <v>1763</v>
      </c>
      <c r="C400" s="4" t="s">
        <v>1760</v>
      </c>
      <c r="G400" s="10" t="s">
        <v>25</v>
      </c>
      <c r="H400" s="10"/>
      <c r="I400" s="10">
        <v>1</v>
      </c>
      <c r="J400" s="10">
        <v>3</v>
      </c>
      <c r="K400" s="10" t="s">
        <v>2158</v>
      </c>
      <c r="L400" s="10" t="s">
        <v>2159</v>
      </c>
      <c r="M400" s="10"/>
      <c r="N400" s="11"/>
      <c r="O400" s="10"/>
      <c r="P400" s="10">
        <v>2475</v>
      </c>
      <c r="Q400" s="10"/>
      <c r="R400" s="10" t="s">
        <v>2387</v>
      </c>
      <c r="S400" s="10" t="s">
        <v>2387</v>
      </c>
      <c r="T400" s="10"/>
      <c r="U400" s="10"/>
      <c r="V400" s="10"/>
      <c r="W400" s="10"/>
      <c r="X400" s="10"/>
      <c r="Y400" s="10"/>
      <c r="Z400" s="10"/>
      <c r="AA400" s="10"/>
      <c r="AB400" s="10"/>
      <c r="AC400" s="10"/>
      <c r="AD400" t="s">
        <v>19</v>
      </c>
      <c r="AE400" t="s">
        <v>19</v>
      </c>
      <c r="AG400">
        <v>1</v>
      </c>
    </row>
    <row r="401" spans="1:33">
      <c r="A401" t="s">
        <v>638</v>
      </c>
      <c r="B401" s="4" t="s">
        <v>1765</v>
      </c>
      <c r="C401" s="4" t="s">
        <v>1764</v>
      </c>
      <c r="G401" s="10" t="s">
        <v>2201</v>
      </c>
      <c r="H401" s="10"/>
      <c r="I401" s="10"/>
      <c r="J401" s="10"/>
      <c r="K401" s="10"/>
      <c r="L401" s="10"/>
      <c r="M401" s="10"/>
      <c r="N401" s="11"/>
      <c r="O401" s="10"/>
      <c r="P401" s="10"/>
      <c r="Q401" s="10"/>
      <c r="R401" s="10" t="s">
        <v>2387</v>
      </c>
      <c r="S401" s="10" t="s">
        <v>2387</v>
      </c>
      <c r="T401" s="10"/>
      <c r="U401" s="10"/>
      <c r="V401" s="10"/>
      <c r="W401" s="10"/>
      <c r="X401" s="10"/>
      <c r="Y401" s="10"/>
      <c r="Z401" s="10"/>
      <c r="AA401" s="10"/>
      <c r="AB401" s="10"/>
      <c r="AC401" s="10"/>
      <c r="AD401" t="s">
        <v>19</v>
      </c>
      <c r="AE401" t="s">
        <v>19</v>
      </c>
      <c r="AG401">
        <v>1</v>
      </c>
    </row>
    <row r="402" spans="1:33" ht="43.5">
      <c r="A402" t="s">
        <v>639</v>
      </c>
      <c r="B402" s="4" t="s">
        <v>2442</v>
      </c>
      <c r="C402" s="4" t="s">
        <v>1766</v>
      </c>
      <c r="G402" s="10" t="s">
        <v>26</v>
      </c>
      <c r="H402" s="10"/>
      <c r="I402" s="10"/>
      <c r="J402" s="10"/>
      <c r="K402" s="10"/>
      <c r="L402" s="10"/>
      <c r="M402" s="10"/>
      <c r="N402" s="11"/>
      <c r="O402" s="10"/>
      <c r="P402" s="10"/>
      <c r="Q402" s="10"/>
      <c r="R402" s="10" t="s">
        <v>2387</v>
      </c>
      <c r="S402" s="10" t="s">
        <v>2387</v>
      </c>
      <c r="T402" s="10"/>
      <c r="U402" s="10"/>
      <c r="V402" s="10"/>
      <c r="W402" s="10"/>
      <c r="X402" s="10"/>
      <c r="Y402" s="10"/>
      <c r="Z402" s="10"/>
      <c r="AA402" s="10"/>
      <c r="AB402" s="10"/>
      <c r="AC402" s="10"/>
      <c r="AD402" t="s">
        <v>19</v>
      </c>
      <c r="AE402" t="s">
        <v>19</v>
      </c>
      <c r="AG402">
        <v>1</v>
      </c>
    </row>
    <row r="403" spans="1:33" ht="43.5">
      <c r="A403" t="s">
        <v>640</v>
      </c>
      <c r="B403" s="4" t="s">
        <v>1768</v>
      </c>
      <c r="C403" s="4" t="s">
        <v>1767</v>
      </c>
      <c r="G403" s="10" t="s">
        <v>26</v>
      </c>
      <c r="H403" s="10"/>
      <c r="I403" s="10"/>
      <c r="J403" s="10"/>
      <c r="K403" s="10"/>
      <c r="L403" s="10"/>
      <c r="M403" s="10"/>
      <c r="N403" s="11"/>
      <c r="O403" s="10"/>
      <c r="P403" s="10"/>
      <c r="Q403" s="10"/>
      <c r="R403" s="10" t="s">
        <v>2387</v>
      </c>
      <c r="S403" s="10" t="s">
        <v>2387</v>
      </c>
      <c r="T403" s="10"/>
      <c r="U403" s="10"/>
      <c r="V403" s="10"/>
      <c r="W403" s="10"/>
      <c r="X403" s="10"/>
      <c r="Y403" s="10"/>
      <c r="Z403" s="10"/>
      <c r="AA403" s="10"/>
      <c r="AB403" s="10"/>
      <c r="AC403" s="10"/>
      <c r="AD403" t="s">
        <v>19</v>
      </c>
      <c r="AE403" t="s">
        <v>19</v>
      </c>
      <c r="AG403">
        <v>1</v>
      </c>
    </row>
    <row r="404" spans="1:33" ht="29">
      <c r="A404" t="s">
        <v>641</v>
      </c>
      <c r="B404" s="4" t="s">
        <v>1770</v>
      </c>
      <c r="C404" s="4" t="s">
        <v>1769</v>
      </c>
      <c r="G404" s="10" t="s">
        <v>25</v>
      </c>
      <c r="H404" s="10"/>
      <c r="I404" s="10">
        <v>1</v>
      </c>
      <c r="J404" s="10">
        <v>5</v>
      </c>
      <c r="K404" s="10" t="s">
        <v>2152</v>
      </c>
      <c r="L404" s="10" t="s">
        <v>2159</v>
      </c>
      <c r="M404" s="10"/>
      <c r="N404" s="11"/>
      <c r="O404" s="10"/>
      <c r="P404" s="10">
        <v>15</v>
      </c>
      <c r="Q404" s="10"/>
      <c r="R404" s="10" t="s">
        <v>2387</v>
      </c>
      <c r="S404" s="10" t="s">
        <v>2387</v>
      </c>
      <c r="T404" s="10"/>
      <c r="U404" s="10"/>
      <c r="V404" s="10"/>
      <c r="W404" s="10"/>
      <c r="X404" s="10"/>
      <c r="Y404" s="10"/>
      <c r="Z404" s="10"/>
      <c r="AA404" s="10"/>
      <c r="AB404" s="10"/>
      <c r="AC404" s="10"/>
      <c r="AD404" t="s">
        <v>19</v>
      </c>
      <c r="AE404" t="s">
        <v>19</v>
      </c>
      <c r="AG404">
        <v>1</v>
      </c>
    </row>
    <row r="405" spans="1:33" ht="29">
      <c r="A405" t="s">
        <v>641</v>
      </c>
      <c r="B405" s="4" t="s">
        <v>1772</v>
      </c>
      <c r="C405" s="4" t="s">
        <v>1771</v>
      </c>
      <c r="G405" s="10" t="s">
        <v>26</v>
      </c>
      <c r="H405" s="10"/>
      <c r="I405" s="10"/>
      <c r="J405" s="10"/>
      <c r="K405" s="10"/>
      <c r="L405" s="10"/>
      <c r="M405" s="10"/>
      <c r="N405" s="11"/>
      <c r="O405" s="10"/>
      <c r="P405" s="10"/>
      <c r="Q405" s="10"/>
      <c r="R405" s="10" t="s">
        <v>2387</v>
      </c>
      <c r="S405" s="10" t="s">
        <v>2387</v>
      </c>
      <c r="T405" s="10"/>
      <c r="U405" s="10"/>
      <c r="V405" s="10"/>
      <c r="W405" s="10"/>
      <c r="X405" s="10"/>
      <c r="Y405" s="10"/>
      <c r="Z405" s="10"/>
      <c r="AA405" s="10"/>
      <c r="AB405" s="10"/>
      <c r="AC405" s="10"/>
      <c r="AD405" t="s">
        <v>19</v>
      </c>
      <c r="AE405" t="s">
        <v>20</v>
      </c>
      <c r="AG405">
        <v>1</v>
      </c>
    </row>
    <row r="406" spans="1:33">
      <c r="A406" t="s">
        <v>641</v>
      </c>
      <c r="B406" s="4" t="s">
        <v>1773</v>
      </c>
      <c r="C406" s="4" t="s">
        <v>1774</v>
      </c>
      <c r="G406" s="10" t="s">
        <v>24</v>
      </c>
      <c r="H406" s="10"/>
      <c r="I406" s="10">
        <v>1</v>
      </c>
      <c r="J406" s="10">
        <v>3</v>
      </c>
      <c r="K406" s="10" t="s">
        <v>2168</v>
      </c>
      <c r="L406" s="10" t="s">
        <v>2159</v>
      </c>
      <c r="M406" s="10"/>
      <c r="N406" s="11"/>
      <c r="O406" s="10"/>
      <c r="P406" s="10">
        <v>1701</v>
      </c>
      <c r="Q406" s="10"/>
      <c r="R406" s="10" t="s">
        <v>2387</v>
      </c>
      <c r="S406" s="10" t="s">
        <v>2387</v>
      </c>
      <c r="T406" s="10"/>
      <c r="U406" s="10"/>
      <c r="V406" s="10"/>
      <c r="W406" s="10"/>
      <c r="X406" s="10"/>
      <c r="Y406" s="10"/>
      <c r="Z406" s="10"/>
      <c r="AA406" s="10"/>
      <c r="AB406" s="10"/>
      <c r="AC406" s="10"/>
      <c r="AD406" t="s">
        <v>19</v>
      </c>
      <c r="AE406" t="s">
        <v>19</v>
      </c>
      <c r="AG406">
        <v>1</v>
      </c>
    </row>
    <row r="407" spans="1:33" ht="72.5">
      <c r="A407" t="s">
        <v>642</v>
      </c>
      <c r="B407" s="4" t="s">
        <v>2443</v>
      </c>
      <c r="C407" s="4" t="s">
        <v>1776</v>
      </c>
      <c r="G407" s="10" t="s">
        <v>26</v>
      </c>
      <c r="H407" s="10"/>
      <c r="I407" s="10"/>
      <c r="J407" s="10"/>
      <c r="K407" s="10"/>
      <c r="L407" s="10"/>
      <c r="M407" s="10"/>
      <c r="N407" s="11"/>
      <c r="O407" s="10"/>
      <c r="P407" s="10"/>
      <c r="Q407" s="10"/>
      <c r="R407" s="10" t="s">
        <v>2387</v>
      </c>
      <c r="S407" s="10" t="s">
        <v>2387</v>
      </c>
      <c r="T407" s="10"/>
      <c r="U407" s="10"/>
      <c r="V407" s="10"/>
      <c r="W407" s="10"/>
      <c r="X407" s="10"/>
      <c r="Y407" s="10"/>
      <c r="Z407" s="10"/>
      <c r="AA407" s="10"/>
      <c r="AB407" s="10"/>
      <c r="AC407" s="10"/>
      <c r="AD407" t="s">
        <v>19</v>
      </c>
      <c r="AE407" t="s">
        <v>19</v>
      </c>
      <c r="AG407">
        <v>1</v>
      </c>
    </row>
    <row r="408" spans="1:33" ht="72.5">
      <c r="A408" t="s">
        <v>642</v>
      </c>
      <c r="B408" s="4" t="s">
        <v>1779</v>
      </c>
      <c r="C408" s="4" t="s">
        <v>1778</v>
      </c>
      <c r="G408" s="10" t="s">
        <v>2202</v>
      </c>
      <c r="H408" s="10"/>
      <c r="I408" s="10"/>
      <c r="J408" s="10"/>
      <c r="K408" s="10"/>
      <c r="L408" s="10"/>
      <c r="M408" s="10"/>
      <c r="N408" s="11"/>
      <c r="O408" s="10"/>
      <c r="P408" s="10"/>
      <c r="Q408" s="10">
        <v>-2180</v>
      </c>
      <c r="R408" s="10">
        <v>2475</v>
      </c>
      <c r="S408" s="10">
        <v>295</v>
      </c>
      <c r="T408" s="10"/>
      <c r="U408" s="10"/>
      <c r="V408" s="10"/>
      <c r="W408" s="10"/>
      <c r="X408" s="10"/>
      <c r="Y408" s="10"/>
      <c r="Z408" s="10"/>
      <c r="AA408" s="10"/>
      <c r="AB408" s="10"/>
      <c r="AC408" s="10"/>
      <c r="AD408" t="s">
        <v>19</v>
      </c>
      <c r="AE408" t="s">
        <v>19</v>
      </c>
      <c r="AG408">
        <v>1</v>
      </c>
    </row>
    <row r="409" spans="1:33" ht="72.5">
      <c r="A409" t="s">
        <v>642</v>
      </c>
      <c r="B409" s="4" t="s">
        <v>1775</v>
      </c>
      <c r="C409" s="4" t="s">
        <v>1780</v>
      </c>
      <c r="G409" s="10" t="s">
        <v>24</v>
      </c>
      <c r="H409" s="10"/>
      <c r="I409" s="10">
        <v>1</v>
      </c>
      <c r="J409" s="10">
        <v>3</v>
      </c>
      <c r="K409" s="10" t="s">
        <v>2168</v>
      </c>
      <c r="L409" s="10" t="s">
        <v>2159</v>
      </c>
      <c r="M409" s="10"/>
      <c r="N409" s="10"/>
      <c r="O409" s="10"/>
      <c r="P409" s="10">
        <v>1701</v>
      </c>
      <c r="Q409" s="10"/>
      <c r="R409" s="10" t="s">
        <v>2387</v>
      </c>
      <c r="S409" s="10" t="s">
        <v>2387</v>
      </c>
      <c r="T409" s="10"/>
      <c r="U409" s="10"/>
      <c r="V409" s="10"/>
      <c r="W409" s="10"/>
      <c r="X409" s="10"/>
      <c r="Y409" s="10"/>
      <c r="Z409" s="10"/>
      <c r="AA409" s="10"/>
      <c r="AB409" s="10"/>
      <c r="AC409" s="10"/>
      <c r="AD409" t="s">
        <v>19</v>
      </c>
      <c r="AE409" t="s">
        <v>19</v>
      </c>
      <c r="AG409">
        <v>1</v>
      </c>
    </row>
    <row r="410" spans="1:33" ht="29">
      <c r="A410" t="s">
        <v>642</v>
      </c>
      <c r="B410" s="4" t="s">
        <v>1786</v>
      </c>
      <c r="C410" s="4" t="s">
        <v>1787</v>
      </c>
      <c r="G410" s="10" t="s">
        <v>2201</v>
      </c>
      <c r="H410" s="10"/>
      <c r="I410" s="10"/>
      <c r="J410" s="10"/>
      <c r="K410" s="10"/>
      <c r="L410" s="10"/>
      <c r="M410" s="10"/>
      <c r="N410" s="11"/>
      <c r="O410" s="10"/>
      <c r="P410" s="10"/>
      <c r="Q410" s="10"/>
      <c r="R410" s="10" t="s">
        <v>2387</v>
      </c>
      <c r="S410" s="10" t="s">
        <v>2387</v>
      </c>
      <c r="T410" s="10"/>
      <c r="U410" s="10"/>
      <c r="V410" s="10"/>
      <c r="W410" s="10"/>
      <c r="X410" s="10"/>
      <c r="Y410" s="10"/>
      <c r="Z410" s="10"/>
      <c r="AA410" s="10"/>
      <c r="AB410" s="10"/>
      <c r="AC410" s="10"/>
      <c r="AD410" t="s">
        <v>19</v>
      </c>
      <c r="AE410" t="s">
        <v>19</v>
      </c>
      <c r="AG410">
        <v>1</v>
      </c>
    </row>
    <row r="411" spans="1:33" ht="29">
      <c r="A411" t="s">
        <v>645</v>
      </c>
      <c r="B411" s="4" t="s">
        <v>1789</v>
      </c>
      <c r="C411" s="4" t="s">
        <v>1788</v>
      </c>
      <c r="G411" s="10" t="s">
        <v>26</v>
      </c>
      <c r="H411" s="10"/>
      <c r="I411" s="10"/>
      <c r="J411" s="10"/>
      <c r="K411" s="10"/>
      <c r="L411" s="10"/>
      <c r="M411" s="10"/>
      <c r="N411" s="11"/>
      <c r="O411" s="10"/>
      <c r="P411" s="10"/>
      <c r="Q411" s="10"/>
      <c r="R411" s="10" t="s">
        <v>2387</v>
      </c>
      <c r="S411" s="10" t="s">
        <v>2387</v>
      </c>
      <c r="T411" s="10"/>
      <c r="U411" s="10"/>
      <c r="V411" s="10"/>
      <c r="W411" s="10"/>
      <c r="X411" s="10"/>
      <c r="Y411" s="10"/>
      <c r="Z411" s="10"/>
      <c r="AA411" s="10"/>
      <c r="AB411" s="10"/>
      <c r="AC411" s="10"/>
      <c r="AD411" t="s">
        <v>19</v>
      </c>
      <c r="AE411" t="s">
        <v>19</v>
      </c>
      <c r="AG411">
        <v>1</v>
      </c>
    </row>
    <row r="412" spans="1:33">
      <c r="A412" t="s">
        <v>646</v>
      </c>
      <c r="B412" s="4" t="s">
        <v>1790</v>
      </c>
      <c r="C412" s="4" t="s">
        <v>1791</v>
      </c>
      <c r="G412" s="10" t="s">
        <v>2201</v>
      </c>
      <c r="H412" s="10"/>
      <c r="I412" s="10"/>
      <c r="J412" s="10"/>
      <c r="K412" s="10"/>
      <c r="L412" s="10"/>
      <c r="M412" s="10"/>
      <c r="N412" s="11"/>
      <c r="O412" s="10"/>
      <c r="P412" s="10"/>
      <c r="Q412" s="10"/>
      <c r="R412" s="10" t="s">
        <v>2387</v>
      </c>
      <c r="S412" s="10" t="s">
        <v>2387</v>
      </c>
      <c r="T412" s="10"/>
      <c r="U412" s="10"/>
      <c r="V412" s="10"/>
      <c r="W412" s="10"/>
      <c r="X412" s="10"/>
      <c r="Y412" s="10"/>
      <c r="Z412" s="10"/>
      <c r="AA412" s="10"/>
      <c r="AB412" s="10"/>
      <c r="AC412" s="10"/>
      <c r="AD412" t="s">
        <v>19</v>
      </c>
      <c r="AE412" t="s">
        <v>19</v>
      </c>
      <c r="AG412">
        <v>1</v>
      </c>
    </row>
    <row r="413" spans="1:33" ht="72.5">
      <c r="A413" t="s">
        <v>647</v>
      </c>
      <c r="B413" s="4" t="s">
        <v>1792</v>
      </c>
      <c r="C413" s="4" t="s">
        <v>1793</v>
      </c>
      <c r="F413" t="s">
        <v>19</v>
      </c>
      <c r="G413" s="10" t="s">
        <v>25</v>
      </c>
      <c r="H413" s="10"/>
      <c r="I413" s="10">
        <v>8</v>
      </c>
      <c r="J413" s="10">
        <v>45</v>
      </c>
      <c r="K413" s="10"/>
      <c r="L413" s="10" t="s">
        <v>2153</v>
      </c>
      <c r="M413" s="10" t="s">
        <v>2244</v>
      </c>
      <c r="N413" s="11" t="s">
        <v>2275</v>
      </c>
      <c r="O413" s="10"/>
      <c r="P413" s="10">
        <v>1</v>
      </c>
      <c r="Q413" s="10"/>
      <c r="R413" s="10" t="s">
        <v>2387</v>
      </c>
      <c r="S413" s="10" t="s">
        <v>2387</v>
      </c>
      <c r="T413" s="10"/>
      <c r="U413" s="10"/>
      <c r="V413" s="10"/>
      <c r="W413" s="10"/>
      <c r="X413" s="10"/>
      <c r="Y413" s="10"/>
      <c r="Z413" s="10"/>
      <c r="AA413" s="10"/>
      <c r="AB413" s="10"/>
      <c r="AC413" s="10"/>
      <c r="AD413" t="s">
        <v>19</v>
      </c>
      <c r="AE413" t="s">
        <v>20</v>
      </c>
      <c r="AG413">
        <v>1</v>
      </c>
    </row>
    <row r="414" spans="1:33" ht="29">
      <c r="A414" t="s">
        <v>648</v>
      </c>
      <c r="B414" s="4" t="s">
        <v>1799</v>
      </c>
      <c r="C414" s="4" t="s">
        <v>1796</v>
      </c>
      <c r="G414" s="10" t="s">
        <v>25</v>
      </c>
      <c r="H414" s="10"/>
      <c r="I414" s="10">
        <v>1</v>
      </c>
      <c r="J414" s="10">
        <v>3</v>
      </c>
      <c r="K414" s="10" t="s">
        <v>2158</v>
      </c>
      <c r="L414" s="10" t="s">
        <v>2153</v>
      </c>
      <c r="M414" s="10" t="s">
        <v>2231</v>
      </c>
      <c r="N414" s="11" t="s">
        <v>2230</v>
      </c>
      <c r="O414" s="10"/>
      <c r="P414" s="10">
        <v>2475</v>
      </c>
      <c r="Q414" s="10"/>
      <c r="R414" s="10" t="s">
        <v>2387</v>
      </c>
      <c r="S414" s="10" t="s">
        <v>2387</v>
      </c>
      <c r="T414" s="10"/>
      <c r="U414" s="10"/>
      <c r="V414" s="10"/>
      <c r="W414" s="10"/>
      <c r="X414" s="10"/>
      <c r="Y414" s="10"/>
      <c r="Z414" s="10"/>
      <c r="AA414" s="10"/>
      <c r="AB414" s="10"/>
      <c r="AC414" s="10"/>
      <c r="AD414" t="s">
        <v>19</v>
      </c>
      <c r="AE414" t="s">
        <v>19</v>
      </c>
      <c r="AG414">
        <v>1</v>
      </c>
    </row>
    <row r="415" spans="1:33">
      <c r="A415" t="s">
        <v>649</v>
      </c>
      <c r="B415" s="4" t="s">
        <v>1800</v>
      </c>
      <c r="C415" s="4" t="s">
        <v>1801</v>
      </c>
      <c r="G415" s="10" t="s">
        <v>25</v>
      </c>
      <c r="H415" s="10"/>
      <c r="I415" s="10">
        <v>1</v>
      </c>
      <c r="J415" s="10">
        <v>3</v>
      </c>
      <c r="K415" s="10" t="s">
        <v>2152</v>
      </c>
      <c r="L415" s="10" t="s">
        <v>2159</v>
      </c>
      <c r="M415" s="10"/>
      <c r="N415" s="11"/>
      <c r="O415" s="10"/>
      <c r="P415" s="10">
        <v>44</v>
      </c>
      <c r="Q415" s="10"/>
      <c r="R415" s="10" t="s">
        <v>2387</v>
      </c>
      <c r="S415" s="10" t="s">
        <v>2387</v>
      </c>
      <c r="T415" s="10" t="s">
        <v>2198</v>
      </c>
      <c r="U415" s="10"/>
      <c r="V415" s="10"/>
      <c r="W415" s="10"/>
      <c r="X415" s="10"/>
      <c r="Y415" s="10"/>
      <c r="Z415" s="10"/>
      <c r="AA415" s="10"/>
      <c r="AB415" s="10"/>
      <c r="AC415" s="10"/>
      <c r="AD415" t="s">
        <v>19</v>
      </c>
      <c r="AE415" t="s">
        <v>19</v>
      </c>
      <c r="AG415">
        <v>1</v>
      </c>
    </row>
    <row r="416" spans="1:33" ht="29">
      <c r="A416" t="s">
        <v>652</v>
      </c>
      <c r="B416" s="4" t="s">
        <v>1803</v>
      </c>
      <c r="C416" s="4" t="s">
        <v>1804</v>
      </c>
      <c r="G416" s="10" t="s">
        <v>2201</v>
      </c>
      <c r="H416" s="10"/>
      <c r="I416" s="10"/>
      <c r="J416" s="10"/>
      <c r="K416" s="10"/>
      <c r="L416" s="10"/>
      <c r="M416" s="10"/>
      <c r="N416" s="11"/>
      <c r="O416" s="10"/>
      <c r="P416" s="10"/>
      <c r="Q416" s="10"/>
      <c r="R416" s="10" t="s">
        <v>2387</v>
      </c>
      <c r="S416" s="10" t="s">
        <v>2387</v>
      </c>
      <c r="T416" s="10"/>
      <c r="U416" s="10"/>
      <c r="V416" s="10"/>
      <c r="W416" s="10"/>
      <c r="X416" s="10"/>
      <c r="Y416" s="10"/>
      <c r="Z416" s="10"/>
      <c r="AA416" s="10"/>
      <c r="AB416" s="10"/>
      <c r="AC416" s="10"/>
      <c r="AD416" t="s">
        <v>19</v>
      </c>
      <c r="AE416" t="s">
        <v>19</v>
      </c>
      <c r="AG416">
        <v>1</v>
      </c>
    </row>
    <row r="417" spans="1:33" ht="29">
      <c r="A417" t="s">
        <v>652</v>
      </c>
      <c r="B417" s="4" t="s">
        <v>1806</v>
      </c>
      <c r="C417" s="4" t="s">
        <v>1805</v>
      </c>
      <c r="G417" s="10" t="s">
        <v>2201</v>
      </c>
      <c r="H417" s="10"/>
      <c r="I417" s="10"/>
      <c r="J417" s="10"/>
      <c r="K417" s="10"/>
      <c r="L417" s="10"/>
      <c r="M417" s="10"/>
      <c r="N417" s="11"/>
      <c r="O417" s="10"/>
      <c r="P417" s="10"/>
      <c r="Q417" s="10"/>
      <c r="R417" s="10" t="s">
        <v>2387</v>
      </c>
      <c r="S417" s="10" t="s">
        <v>2387</v>
      </c>
      <c r="T417" s="10"/>
      <c r="U417" s="10"/>
      <c r="V417" s="10"/>
      <c r="W417" s="10"/>
      <c r="X417" s="10"/>
      <c r="Y417" s="10"/>
      <c r="Z417" s="10"/>
      <c r="AA417" s="10"/>
      <c r="AB417" s="10"/>
      <c r="AC417" s="10"/>
      <c r="AD417" t="s">
        <v>19</v>
      </c>
      <c r="AE417" t="s">
        <v>19</v>
      </c>
      <c r="AG417">
        <v>1</v>
      </c>
    </row>
    <row r="418" spans="1:33" ht="29">
      <c r="A418" t="s">
        <v>652</v>
      </c>
      <c r="B418" s="4" t="s">
        <v>1807</v>
      </c>
      <c r="C418" s="4" t="s">
        <v>1802</v>
      </c>
      <c r="G418" s="10" t="s">
        <v>25</v>
      </c>
      <c r="H418" s="10"/>
      <c r="I418" s="10">
        <v>1</v>
      </c>
      <c r="J418" s="10">
        <v>3</v>
      </c>
      <c r="K418" s="10" t="s">
        <v>2168</v>
      </c>
      <c r="L418" s="10" t="s">
        <v>2159</v>
      </c>
      <c r="M418" s="10"/>
      <c r="N418" s="11"/>
      <c r="O418" s="10"/>
      <c r="P418" s="10">
        <v>186</v>
      </c>
      <c r="Q418" s="10"/>
      <c r="R418" s="10" t="s">
        <v>2387</v>
      </c>
      <c r="S418" s="10" t="s">
        <v>2387</v>
      </c>
      <c r="T418" s="10"/>
      <c r="U418" s="10"/>
      <c r="V418" s="10"/>
      <c r="W418" s="10"/>
      <c r="X418" s="10"/>
      <c r="Y418" s="10"/>
      <c r="Z418" s="10"/>
      <c r="AA418" s="10"/>
      <c r="AB418" s="10"/>
      <c r="AC418" s="10"/>
      <c r="AD418" t="s">
        <v>19</v>
      </c>
      <c r="AE418" t="s">
        <v>19</v>
      </c>
      <c r="AG418">
        <v>1</v>
      </c>
    </row>
    <row r="419" spans="1:33">
      <c r="A419" t="s">
        <v>653</v>
      </c>
      <c r="B419" s="4" t="s">
        <v>1808</v>
      </c>
      <c r="C419" s="4" t="s">
        <v>1809</v>
      </c>
      <c r="F419" t="s">
        <v>19</v>
      </c>
      <c r="G419" s="10" t="s">
        <v>25</v>
      </c>
      <c r="H419" s="10"/>
      <c r="I419" s="10">
        <v>1</v>
      </c>
      <c r="J419" s="10">
        <v>3</v>
      </c>
      <c r="K419" s="10" t="s">
        <v>2179</v>
      </c>
      <c r="L419" s="10" t="s">
        <v>2159</v>
      </c>
      <c r="M419" s="10"/>
      <c r="N419" s="11"/>
      <c r="O419" s="10"/>
      <c r="P419" s="10">
        <v>204</v>
      </c>
      <c r="Q419" s="10"/>
      <c r="R419" s="10" t="s">
        <v>2387</v>
      </c>
      <c r="S419" s="10" t="s">
        <v>2387</v>
      </c>
      <c r="T419" s="10"/>
      <c r="U419" s="10"/>
      <c r="V419" s="10"/>
      <c r="W419" s="10"/>
      <c r="X419" s="10"/>
      <c r="Y419" s="10"/>
      <c r="Z419" s="10"/>
      <c r="AA419" s="10"/>
      <c r="AB419" s="10"/>
      <c r="AC419" s="10"/>
      <c r="AD419" t="s">
        <v>20</v>
      </c>
      <c r="AE419" t="s">
        <v>20</v>
      </c>
      <c r="AG419">
        <v>0</v>
      </c>
    </row>
    <row r="420" spans="1:33">
      <c r="A420" t="s">
        <v>653</v>
      </c>
      <c r="B420" s="4" t="s">
        <v>1810</v>
      </c>
      <c r="C420" s="4" t="s">
        <v>1811</v>
      </c>
      <c r="G420" s="10" t="s">
        <v>24</v>
      </c>
      <c r="H420" s="10"/>
      <c r="I420" s="10">
        <v>1</v>
      </c>
      <c r="J420" s="10">
        <v>1</v>
      </c>
      <c r="K420" s="10" t="s">
        <v>2158</v>
      </c>
      <c r="L420" s="10" t="s">
        <v>2200</v>
      </c>
      <c r="M420" s="10"/>
      <c r="N420" s="11"/>
      <c r="O420" s="10"/>
      <c r="P420" s="10">
        <v>2475</v>
      </c>
      <c r="Q420" s="10"/>
      <c r="R420" s="10" t="s">
        <v>2387</v>
      </c>
      <c r="S420" s="10" t="s">
        <v>2387</v>
      </c>
      <c r="T420" s="10"/>
      <c r="U420" s="10"/>
      <c r="V420" s="10"/>
      <c r="W420" s="10"/>
      <c r="X420" s="10"/>
      <c r="Y420" s="10"/>
      <c r="Z420" s="10"/>
      <c r="AA420" s="10"/>
      <c r="AB420" s="10"/>
      <c r="AC420" s="10"/>
      <c r="AD420" t="s">
        <v>19</v>
      </c>
      <c r="AE420" t="s">
        <v>19</v>
      </c>
      <c r="AG420">
        <v>1</v>
      </c>
    </row>
    <row r="421" spans="1:33" ht="29">
      <c r="A421" t="s">
        <v>661</v>
      </c>
      <c r="B421" s="4" t="s">
        <v>1813</v>
      </c>
      <c r="C421" s="4" t="s">
        <v>1812</v>
      </c>
      <c r="G421" s="10" t="s">
        <v>25</v>
      </c>
      <c r="H421" s="10"/>
      <c r="I421" s="10">
        <v>1</v>
      </c>
      <c r="J421" s="10">
        <v>5</v>
      </c>
      <c r="K421" s="10" t="s">
        <v>2175</v>
      </c>
      <c r="L421" s="10" t="s">
        <v>2159</v>
      </c>
      <c r="M421" s="10"/>
      <c r="N421" s="11"/>
      <c r="O421" s="10"/>
      <c r="P421" s="10">
        <v>830</v>
      </c>
      <c r="Q421" s="10"/>
      <c r="R421" s="10" t="s">
        <v>2387</v>
      </c>
      <c r="S421" s="10" t="s">
        <v>2387</v>
      </c>
      <c r="T421" s="10"/>
      <c r="U421" s="10"/>
      <c r="V421" s="10"/>
      <c r="W421" s="10"/>
      <c r="X421" s="10"/>
      <c r="Y421" s="10"/>
      <c r="Z421" s="10"/>
      <c r="AA421" s="10"/>
      <c r="AB421" s="10"/>
      <c r="AC421" s="10"/>
      <c r="AD421" t="s">
        <v>19</v>
      </c>
      <c r="AE421" t="s">
        <v>19</v>
      </c>
      <c r="AG421">
        <v>1</v>
      </c>
    </row>
    <row r="422" spans="1:33">
      <c r="A422" t="s">
        <v>662</v>
      </c>
      <c r="B422" s="4" t="s">
        <v>1814</v>
      </c>
      <c r="C422" s="4" t="s">
        <v>1815</v>
      </c>
      <c r="G422" s="10" t="s">
        <v>2201</v>
      </c>
      <c r="H422" s="10"/>
      <c r="I422" s="10"/>
      <c r="J422" s="10"/>
      <c r="K422" s="10"/>
      <c r="L422" s="10"/>
      <c r="M422" s="10"/>
      <c r="N422" s="11"/>
      <c r="O422" s="10"/>
      <c r="P422" s="10"/>
      <c r="Q422" s="10"/>
      <c r="R422" s="10" t="s">
        <v>2387</v>
      </c>
      <c r="S422" s="10" t="s">
        <v>2387</v>
      </c>
      <c r="T422" s="10"/>
      <c r="U422" s="10"/>
      <c r="V422" s="10"/>
      <c r="W422" s="10"/>
      <c r="X422" s="10"/>
      <c r="Y422" s="10"/>
      <c r="Z422" s="10"/>
      <c r="AA422" s="10"/>
      <c r="AB422" s="10"/>
      <c r="AC422" s="10"/>
      <c r="AD422" t="s">
        <v>19</v>
      </c>
      <c r="AE422" t="s">
        <v>19</v>
      </c>
      <c r="AG422">
        <v>1</v>
      </c>
    </row>
    <row r="423" spans="1:33">
      <c r="A423" t="s">
        <v>662</v>
      </c>
      <c r="B423" s="4" t="s">
        <v>663</v>
      </c>
      <c r="C423" s="4" t="s">
        <v>444</v>
      </c>
      <c r="F423" t="s">
        <v>19</v>
      </c>
      <c r="G423" s="10" t="s">
        <v>2201</v>
      </c>
      <c r="H423" s="10"/>
      <c r="I423" s="10"/>
      <c r="J423" s="10"/>
      <c r="K423" s="10"/>
      <c r="L423" s="10"/>
      <c r="M423" s="10"/>
      <c r="N423" s="11"/>
      <c r="O423" s="10"/>
      <c r="P423" s="10"/>
      <c r="Q423" s="10"/>
      <c r="R423" s="10" t="s">
        <v>2387</v>
      </c>
      <c r="S423" s="10" t="s">
        <v>2387</v>
      </c>
      <c r="T423" s="10"/>
      <c r="U423" s="10"/>
      <c r="V423" s="10"/>
      <c r="W423" s="10"/>
      <c r="X423" s="10"/>
      <c r="Y423" s="10"/>
      <c r="Z423" s="10"/>
      <c r="AA423" s="10"/>
      <c r="AB423" s="10"/>
      <c r="AC423" s="10"/>
      <c r="AD423" t="s">
        <v>20</v>
      </c>
      <c r="AE423" t="s">
        <v>20</v>
      </c>
      <c r="AG423">
        <v>0</v>
      </c>
    </row>
    <row r="424" spans="1:33">
      <c r="A424" t="s">
        <v>664</v>
      </c>
      <c r="B424" s="4" t="s">
        <v>1817</v>
      </c>
      <c r="C424" s="4" t="s">
        <v>1816</v>
      </c>
      <c r="G424" s="10" t="s">
        <v>2201</v>
      </c>
      <c r="H424" s="10"/>
      <c r="I424" s="10"/>
      <c r="J424" s="10"/>
      <c r="K424" s="10"/>
      <c r="L424" s="10"/>
      <c r="M424" s="10"/>
      <c r="N424" s="11"/>
      <c r="O424" s="10"/>
      <c r="P424" s="10"/>
      <c r="Q424" s="10"/>
      <c r="R424" s="10" t="s">
        <v>2387</v>
      </c>
      <c r="S424" s="10" t="s">
        <v>2387</v>
      </c>
      <c r="T424" s="10"/>
      <c r="U424" s="10"/>
      <c r="V424" s="10"/>
      <c r="W424" s="10"/>
      <c r="X424" s="10"/>
      <c r="Y424" s="10"/>
      <c r="Z424" s="10"/>
      <c r="AA424" s="10"/>
      <c r="AB424" s="10"/>
      <c r="AC424" s="10"/>
      <c r="AD424" t="s">
        <v>20</v>
      </c>
      <c r="AE424" t="s">
        <v>20</v>
      </c>
      <c r="AG424">
        <v>0</v>
      </c>
    </row>
    <row r="425" spans="1:33" ht="43.5">
      <c r="A425" t="s">
        <v>665</v>
      </c>
      <c r="B425" s="4" t="s">
        <v>1818</v>
      </c>
      <c r="C425" s="4" t="s">
        <v>1819</v>
      </c>
      <c r="G425" s="10" t="s">
        <v>26</v>
      </c>
      <c r="H425" s="10"/>
      <c r="I425" s="10"/>
      <c r="J425" s="10"/>
      <c r="K425" s="10"/>
      <c r="L425" s="10"/>
      <c r="M425" s="10"/>
      <c r="N425" s="11"/>
      <c r="O425" s="10"/>
      <c r="P425" s="10"/>
      <c r="Q425" s="10"/>
      <c r="R425" s="10" t="s">
        <v>2387</v>
      </c>
      <c r="S425" s="10" t="s">
        <v>2387</v>
      </c>
      <c r="T425" s="10"/>
      <c r="U425" s="10"/>
      <c r="V425" s="10"/>
      <c r="W425" s="10"/>
      <c r="X425" s="10"/>
      <c r="Y425" s="10"/>
      <c r="Z425" s="10"/>
      <c r="AA425" s="10"/>
      <c r="AB425" s="10"/>
      <c r="AC425" s="10"/>
      <c r="AD425" t="s">
        <v>19</v>
      </c>
      <c r="AE425" t="s">
        <v>19</v>
      </c>
      <c r="AG425">
        <v>1</v>
      </c>
    </row>
    <row r="426" spans="1:33" ht="43.5">
      <c r="A426" t="s">
        <v>665</v>
      </c>
      <c r="B426" s="4" t="s">
        <v>1820</v>
      </c>
      <c r="C426" s="4" t="s">
        <v>1821</v>
      </c>
      <c r="G426" s="10" t="s">
        <v>2199</v>
      </c>
      <c r="H426" s="10"/>
      <c r="I426" s="10"/>
      <c r="J426" s="10"/>
      <c r="K426" s="10"/>
      <c r="L426" s="10"/>
      <c r="M426" s="10"/>
      <c r="N426" s="11"/>
      <c r="O426" s="10"/>
      <c r="P426" s="10"/>
      <c r="Q426" s="10">
        <v>111</v>
      </c>
      <c r="R426" s="10">
        <v>99</v>
      </c>
      <c r="S426" s="10">
        <v>210</v>
      </c>
      <c r="T426" s="10"/>
      <c r="U426" s="10"/>
      <c r="V426" s="10"/>
      <c r="W426" s="10"/>
      <c r="X426" s="10"/>
      <c r="Y426" s="10"/>
      <c r="Z426" s="10"/>
      <c r="AA426" s="10"/>
      <c r="AB426" s="10"/>
      <c r="AC426" s="10"/>
      <c r="AD426" t="s">
        <v>19</v>
      </c>
      <c r="AE426" t="s">
        <v>19</v>
      </c>
      <c r="AG426">
        <v>1</v>
      </c>
    </row>
    <row r="427" spans="1:33" ht="29">
      <c r="A427" t="s">
        <v>669</v>
      </c>
      <c r="B427" s="4" t="s">
        <v>1824</v>
      </c>
      <c r="C427" s="4" t="s">
        <v>1827</v>
      </c>
      <c r="G427" s="10" t="s">
        <v>24</v>
      </c>
      <c r="H427" s="10"/>
      <c r="I427" s="10">
        <v>1</v>
      </c>
      <c r="J427" s="10">
        <v>4</v>
      </c>
      <c r="K427" s="10" t="s">
        <v>2158</v>
      </c>
      <c r="L427" s="10" t="s">
        <v>2153</v>
      </c>
      <c r="M427" s="10" t="s">
        <v>2231</v>
      </c>
      <c r="N427" s="11" t="s">
        <v>2230</v>
      </c>
      <c r="O427" s="10"/>
      <c r="P427" s="10">
        <v>2475</v>
      </c>
      <c r="Q427" s="10"/>
      <c r="R427" s="10" t="s">
        <v>2387</v>
      </c>
      <c r="S427" s="10" t="s">
        <v>2387</v>
      </c>
      <c r="T427" s="10" t="s">
        <v>2198</v>
      </c>
      <c r="U427" s="10"/>
      <c r="V427" s="10"/>
      <c r="W427" s="10"/>
      <c r="X427" s="10"/>
      <c r="Y427" s="10"/>
      <c r="Z427" s="10"/>
      <c r="AA427" s="10"/>
      <c r="AB427" s="10"/>
      <c r="AC427" s="10"/>
      <c r="AD427" t="s">
        <v>19</v>
      </c>
      <c r="AE427" t="s">
        <v>19</v>
      </c>
      <c r="AG427">
        <v>1</v>
      </c>
    </row>
    <row r="428" spans="1:33">
      <c r="A428" t="s">
        <v>669</v>
      </c>
      <c r="B428" s="4" t="s">
        <v>1828</v>
      </c>
      <c r="C428" s="4" t="s">
        <v>1829</v>
      </c>
      <c r="G428" s="10" t="s">
        <v>25</v>
      </c>
      <c r="H428" s="10"/>
      <c r="I428" s="10">
        <v>1</v>
      </c>
      <c r="J428" s="10">
        <v>1</v>
      </c>
      <c r="K428" s="10" t="s">
        <v>2158</v>
      </c>
      <c r="L428" s="10" t="s">
        <v>2200</v>
      </c>
      <c r="M428" s="10"/>
      <c r="N428" s="11"/>
      <c r="O428" s="10"/>
      <c r="P428" s="10">
        <v>2475</v>
      </c>
      <c r="Q428" s="10"/>
      <c r="R428" s="10" t="s">
        <v>2387</v>
      </c>
      <c r="S428" s="10" t="s">
        <v>2387</v>
      </c>
      <c r="T428" s="10"/>
      <c r="U428" s="10"/>
      <c r="V428" s="10"/>
      <c r="W428" s="10"/>
      <c r="X428" s="10"/>
      <c r="Y428" s="10"/>
      <c r="Z428" s="10"/>
      <c r="AA428" s="10"/>
      <c r="AB428" s="10"/>
      <c r="AC428" s="10"/>
      <c r="AD428" t="s">
        <v>19</v>
      </c>
      <c r="AE428" t="s">
        <v>19</v>
      </c>
      <c r="AG428">
        <v>1</v>
      </c>
    </row>
    <row r="429" spans="1:33" ht="43.5">
      <c r="A429" t="s">
        <v>670</v>
      </c>
      <c r="B429" s="4" t="s">
        <v>2304</v>
      </c>
      <c r="C429" s="4" t="s">
        <v>2305</v>
      </c>
      <c r="G429" s="10" t="s">
        <v>26</v>
      </c>
      <c r="H429" s="10"/>
      <c r="I429" s="10"/>
      <c r="J429" s="10"/>
      <c r="K429" s="10"/>
      <c r="L429" s="10"/>
      <c r="M429" s="10"/>
      <c r="N429" s="11"/>
      <c r="O429" s="10"/>
      <c r="P429" s="10"/>
      <c r="Q429" s="10"/>
      <c r="R429" s="10" t="s">
        <v>2387</v>
      </c>
      <c r="S429" s="10" t="s">
        <v>2387</v>
      </c>
      <c r="T429" s="10"/>
      <c r="U429" s="10"/>
      <c r="V429" s="10"/>
      <c r="W429" s="10"/>
      <c r="X429" s="10"/>
      <c r="Y429" s="10"/>
      <c r="Z429" s="10"/>
      <c r="AA429" s="10"/>
      <c r="AB429" s="10"/>
      <c r="AC429" s="10"/>
      <c r="AD429" t="s">
        <v>19</v>
      </c>
      <c r="AE429" t="s">
        <v>19</v>
      </c>
      <c r="AG429">
        <v>1</v>
      </c>
    </row>
    <row r="430" spans="1:33">
      <c r="A430" s="5" t="s">
        <v>670</v>
      </c>
      <c r="B430" s="14" t="s">
        <v>2306</v>
      </c>
      <c r="C430" s="14" t="s">
        <v>2307</v>
      </c>
      <c r="G430" s="10" t="s">
        <v>2201</v>
      </c>
      <c r="H430" s="10"/>
      <c r="I430" s="10"/>
      <c r="J430" s="10"/>
      <c r="K430" s="10"/>
      <c r="L430" s="10"/>
      <c r="M430" s="10"/>
      <c r="N430" s="11"/>
      <c r="O430" s="10"/>
      <c r="P430" s="10"/>
      <c r="Q430" s="10"/>
      <c r="R430" s="10" t="s">
        <v>2387</v>
      </c>
      <c r="S430" s="10" t="s">
        <v>2387</v>
      </c>
      <c r="T430" s="10"/>
      <c r="U430" s="10"/>
      <c r="V430" s="10"/>
      <c r="W430" s="10"/>
      <c r="X430" s="10"/>
      <c r="Y430" s="10"/>
      <c r="Z430" s="10"/>
      <c r="AA430" s="10"/>
      <c r="AB430" s="10"/>
      <c r="AC430" s="10"/>
      <c r="AD430" t="s">
        <v>19</v>
      </c>
      <c r="AE430" t="s">
        <v>19</v>
      </c>
      <c r="AG430">
        <v>1</v>
      </c>
    </row>
    <row r="431" spans="1:33" ht="29">
      <c r="A431" t="s">
        <v>671</v>
      </c>
      <c r="B431" s="4" t="s">
        <v>2444</v>
      </c>
      <c r="C431" s="4" t="s">
        <v>1830</v>
      </c>
      <c r="G431" s="10" t="s">
        <v>26</v>
      </c>
      <c r="H431" s="10"/>
      <c r="I431" s="10"/>
      <c r="J431" s="10"/>
      <c r="K431" s="10"/>
      <c r="L431" s="10"/>
      <c r="M431" s="10"/>
      <c r="N431" s="11"/>
      <c r="O431" s="10"/>
      <c r="P431" s="10"/>
      <c r="Q431" s="10"/>
      <c r="R431" s="10" t="s">
        <v>2387</v>
      </c>
      <c r="S431" s="10" t="s">
        <v>2387</v>
      </c>
      <c r="T431" s="10"/>
      <c r="U431" s="10"/>
      <c r="V431" s="10"/>
      <c r="W431" s="10"/>
      <c r="X431" s="10"/>
      <c r="Y431" s="10"/>
      <c r="Z431" s="10"/>
      <c r="AA431" s="10"/>
      <c r="AB431" s="10"/>
      <c r="AC431" s="10"/>
      <c r="AD431" t="s">
        <v>19</v>
      </c>
      <c r="AE431" t="s">
        <v>19</v>
      </c>
      <c r="AG431">
        <v>1</v>
      </c>
    </row>
    <row r="432" spans="1:33" ht="29">
      <c r="A432" t="s">
        <v>671</v>
      </c>
      <c r="B432" s="4" t="s">
        <v>2445</v>
      </c>
      <c r="C432" s="4" t="s">
        <v>1831</v>
      </c>
      <c r="G432" s="10" t="s">
        <v>24</v>
      </c>
      <c r="H432" s="10"/>
      <c r="I432" s="10">
        <v>1</v>
      </c>
      <c r="J432" s="10">
        <v>2</v>
      </c>
      <c r="K432" s="10" t="s">
        <v>2158</v>
      </c>
      <c r="L432" s="10" t="s">
        <v>2200</v>
      </c>
      <c r="M432" s="10"/>
      <c r="N432" s="11"/>
      <c r="O432" s="10"/>
      <c r="P432" s="10">
        <v>2475</v>
      </c>
      <c r="Q432" s="10"/>
      <c r="R432" s="10" t="s">
        <v>2387</v>
      </c>
      <c r="S432" s="10" t="s">
        <v>2387</v>
      </c>
      <c r="T432" s="10"/>
      <c r="U432" s="10"/>
      <c r="V432" s="10"/>
      <c r="W432" s="10"/>
      <c r="X432" s="10"/>
      <c r="Y432" s="10"/>
      <c r="Z432" s="10"/>
      <c r="AA432" s="10"/>
      <c r="AB432" s="10"/>
      <c r="AC432" s="10"/>
      <c r="AD432" t="s">
        <v>19</v>
      </c>
      <c r="AE432" t="s">
        <v>19</v>
      </c>
      <c r="AG432">
        <v>1</v>
      </c>
    </row>
    <row r="433" spans="1:33">
      <c r="A433" t="s">
        <v>672</v>
      </c>
      <c r="B433" s="4" t="s">
        <v>1833</v>
      </c>
      <c r="C433" s="4" t="s">
        <v>1832</v>
      </c>
      <c r="G433" s="10" t="s">
        <v>24</v>
      </c>
      <c r="H433" s="10"/>
      <c r="I433" s="10">
        <v>1</v>
      </c>
      <c r="J433" s="10">
        <v>4</v>
      </c>
      <c r="K433" s="10" t="s">
        <v>2219</v>
      </c>
      <c r="L433" s="10" t="s">
        <v>2159</v>
      </c>
      <c r="M433" s="10"/>
      <c r="N433" s="11"/>
      <c r="O433" s="10"/>
      <c r="P433" s="10">
        <v>295</v>
      </c>
      <c r="Q433" s="10"/>
      <c r="R433" s="10" t="s">
        <v>2387</v>
      </c>
      <c r="S433" s="10" t="s">
        <v>2387</v>
      </c>
      <c r="T433" s="10"/>
      <c r="U433" s="10"/>
      <c r="V433" s="10"/>
      <c r="W433" s="10"/>
      <c r="X433" s="10"/>
      <c r="Y433" s="10"/>
      <c r="Z433" s="10"/>
      <c r="AA433" s="10"/>
      <c r="AB433" s="10"/>
      <c r="AC433" s="10"/>
      <c r="AD433" t="s">
        <v>19</v>
      </c>
      <c r="AE433" t="s">
        <v>19</v>
      </c>
      <c r="AG433">
        <v>1</v>
      </c>
    </row>
    <row r="434" spans="1:33">
      <c r="A434" t="s">
        <v>672</v>
      </c>
      <c r="B434" s="4" t="s">
        <v>1835</v>
      </c>
      <c r="C434" s="4" t="s">
        <v>1834</v>
      </c>
      <c r="G434" s="10" t="s">
        <v>25</v>
      </c>
      <c r="H434" s="10"/>
      <c r="I434" s="10">
        <v>1</v>
      </c>
      <c r="J434" s="10">
        <v>3</v>
      </c>
      <c r="K434" s="10" t="s">
        <v>2158</v>
      </c>
      <c r="L434" s="10" t="s">
        <v>2159</v>
      </c>
      <c r="M434" s="10"/>
      <c r="N434" s="11"/>
      <c r="O434" s="10"/>
      <c r="P434" s="10">
        <v>2475</v>
      </c>
      <c r="Q434" s="10"/>
      <c r="R434" s="10" t="s">
        <v>2387</v>
      </c>
      <c r="S434" s="10" t="s">
        <v>2387</v>
      </c>
      <c r="T434" s="10"/>
      <c r="U434" s="10"/>
      <c r="V434" s="10"/>
      <c r="W434" s="10"/>
      <c r="X434" s="10"/>
      <c r="Y434" s="10"/>
      <c r="Z434" s="10"/>
      <c r="AA434" s="10"/>
      <c r="AB434" s="10"/>
      <c r="AC434" s="10"/>
      <c r="AD434" t="s">
        <v>19</v>
      </c>
      <c r="AE434" t="s">
        <v>19</v>
      </c>
      <c r="AG434">
        <v>1</v>
      </c>
    </row>
    <row r="435" spans="1:33">
      <c r="A435" t="s">
        <v>675</v>
      </c>
      <c r="B435" s="4" t="s">
        <v>1837</v>
      </c>
      <c r="C435" s="4" t="s">
        <v>1836</v>
      </c>
      <c r="G435" s="10" t="s">
        <v>25</v>
      </c>
      <c r="H435" s="10"/>
      <c r="I435" s="10">
        <v>1</v>
      </c>
      <c r="J435" s="10">
        <v>3</v>
      </c>
      <c r="K435" s="10" t="s">
        <v>2158</v>
      </c>
      <c r="L435" s="10" t="s">
        <v>2159</v>
      </c>
      <c r="M435" s="10"/>
      <c r="N435" s="11"/>
      <c r="O435" s="10"/>
      <c r="P435" s="10">
        <v>2475</v>
      </c>
      <c r="Q435" s="10"/>
      <c r="R435" s="10" t="s">
        <v>2387</v>
      </c>
      <c r="S435" s="10" t="s">
        <v>2387</v>
      </c>
      <c r="T435" s="10"/>
      <c r="U435" s="10"/>
      <c r="V435" s="10"/>
      <c r="W435" s="10"/>
      <c r="X435" s="10"/>
      <c r="Y435" s="10"/>
      <c r="Z435" s="10"/>
      <c r="AA435" s="10"/>
      <c r="AB435" s="10"/>
      <c r="AC435" s="10"/>
      <c r="AD435" t="s">
        <v>19</v>
      </c>
      <c r="AE435" t="s">
        <v>20</v>
      </c>
      <c r="AG435">
        <v>1</v>
      </c>
    </row>
    <row r="436" spans="1:33">
      <c r="A436" t="s">
        <v>676</v>
      </c>
      <c r="B436" s="4" t="s">
        <v>1838</v>
      </c>
      <c r="C436" s="4" t="s">
        <v>1839</v>
      </c>
      <c r="F436" t="s">
        <v>19</v>
      </c>
      <c r="G436" s="10" t="s">
        <v>25</v>
      </c>
      <c r="H436" s="10"/>
      <c r="I436" s="10">
        <v>1</v>
      </c>
      <c r="J436" s="10">
        <v>4</v>
      </c>
      <c r="K436" s="10" t="s">
        <v>2177</v>
      </c>
      <c r="L436" s="10" t="s">
        <v>2159</v>
      </c>
      <c r="M436" s="10"/>
      <c r="N436" s="11"/>
      <c r="O436" s="10"/>
      <c r="P436" s="10">
        <v>99</v>
      </c>
      <c r="Q436" s="10"/>
      <c r="R436" s="10" t="s">
        <v>2387</v>
      </c>
      <c r="S436" s="10" t="s">
        <v>2387</v>
      </c>
      <c r="T436" s="10"/>
      <c r="U436" s="10"/>
      <c r="V436" s="10"/>
      <c r="W436" s="10"/>
      <c r="X436" s="10"/>
      <c r="Y436" s="10"/>
      <c r="Z436" s="10"/>
      <c r="AA436" s="10"/>
      <c r="AB436" s="10"/>
      <c r="AC436" s="10"/>
      <c r="AD436" t="s">
        <v>20</v>
      </c>
      <c r="AE436" t="s">
        <v>20</v>
      </c>
      <c r="AG436">
        <v>0</v>
      </c>
    </row>
    <row r="437" spans="1:33">
      <c r="A437" t="s">
        <v>676</v>
      </c>
      <c r="B437" s="4" t="s">
        <v>677</v>
      </c>
      <c r="C437" s="4" t="s">
        <v>678</v>
      </c>
      <c r="G437" s="10" t="s">
        <v>2199</v>
      </c>
      <c r="H437" s="10"/>
      <c r="I437" s="10"/>
      <c r="J437" s="10"/>
      <c r="K437" s="10"/>
      <c r="L437" s="10"/>
      <c r="M437" s="10"/>
      <c r="N437" s="10"/>
      <c r="O437" s="10"/>
      <c r="P437" s="10"/>
      <c r="Q437" s="10">
        <v>-1</v>
      </c>
      <c r="R437" s="10">
        <v>1</v>
      </c>
      <c r="S437" s="10">
        <v>0</v>
      </c>
      <c r="T437" s="10"/>
      <c r="U437" s="10"/>
      <c r="V437" s="10"/>
      <c r="W437" s="10"/>
      <c r="X437" s="10"/>
      <c r="Y437" s="10"/>
      <c r="Z437" s="10"/>
      <c r="AA437" s="10"/>
      <c r="AB437" s="10"/>
      <c r="AC437" s="10"/>
      <c r="AD437" t="s">
        <v>20</v>
      </c>
      <c r="AE437" t="s">
        <v>20</v>
      </c>
      <c r="AG437">
        <v>0</v>
      </c>
    </row>
    <row r="438" spans="1:33" ht="29">
      <c r="A438" t="s">
        <v>680</v>
      </c>
      <c r="B438" s="4" t="s">
        <v>1843</v>
      </c>
      <c r="C438" s="4" t="s">
        <v>1844</v>
      </c>
      <c r="G438" s="10" t="s">
        <v>2201</v>
      </c>
      <c r="H438" s="10"/>
      <c r="I438" s="10"/>
      <c r="J438" s="10"/>
      <c r="K438" s="10"/>
      <c r="L438" s="10"/>
      <c r="M438" s="10"/>
      <c r="N438" s="11"/>
      <c r="O438" s="10"/>
      <c r="P438" s="10"/>
      <c r="Q438" s="10"/>
      <c r="R438" s="10" t="s">
        <v>2387</v>
      </c>
      <c r="S438" s="10" t="s">
        <v>2387</v>
      </c>
      <c r="T438" s="10"/>
      <c r="U438" s="10"/>
      <c r="V438" s="10"/>
      <c r="W438" s="10"/>
      <c r="X438" s="10"/>
      <c r="Y438" s="10"/>
      <c r="Z438" s="10"/>
      <c r="AA438" s="10"/>
      <c r="AB438" s="10"/>
      <c r="AC438" s="10"/>
      <c r="AD438" t="s">
        <v>19</v>
      </c>
      <c r="AE438" t="s">
        <v>19</v>
      </c>
      <c r="AG438">
        <v>1</v>
      </c>
    </row>
    <row r="439" spans="1:33" ht="29">
      <c r="A439" t="s">
        <v>680</v>
      </c>
      <c r="B439" s="4" t="s">
        <v>1845</v>
      </c>
      <c r="C439" s="4" t="s">
        <v>1842</v>
      </c>
      <c r="G439" s="10" t="s">
        <v>25</v>
      </c>
      <c r="H439" s="10"/>
      <c r="I439" s="10">
        <v>1</v>
      </c>
      <c r="J439" s="10">
        <v>3</v>
      </c>
      <c r="K439" s="10" t="s">
        <v>2158</v>
      </c>
      <c r="L439" s="10" t="s">
        <v>2159</v>
      </c>
      <c r="M439" s="10"/>
      <c r="N439" s="11"/>
      <c r="O439" s="10"/>
      <c r="P439" s="10">
        <v>2475</v>
      </c>
      <c r="Q439" s="10"/>
      <c r="R439" s="10" t="s">
        <v>2387</v>
      </c>
      <c r="S439" s="10" t="s">
        <v>2387</v>
      </c>
      <c r="T439" s="10"/>
      <c r="U439" s="10"/>
      <c r="V439" s="10"/>
      <c r="W439" s="10"/>
      <c r="X439" s="10"/>
      <c r="Y439" s="10"/>
      <c r="Z439" s="10"/>
      <c r="AA439" s="10"/>
      <c r="AB439" s="10"/>
      <c r="AC439" s="10"/>
      <c r="AD439" t="s">
        <v>19</v>
      </c>
      <c r="AE439" t="s">
        <v>19</v>
      </c>
      <c r="AG439">
        <v>1</v>
      </c>
    </row>
    <row r="440" spans="1:33">
      <c r="A440" t="s">
        <v>681</v>
      </c>
      <c r="B440" s="4" t="s">
        <v>1849</v>
      </c>
      <c r="C440" s="4" t="s">
        <v>1846</v>
      </c>
      <c r="G440" s="10" t="s">
        <v>25</v>
      </c>
      <c r="H440" s="10"/>
      <c r="I440" s="10">
        <v>1</v>
      </c>
      <c r="J440" s="10">
        <v>1</v>
      </c>
      <c r="K440" s="10" t="s">
        <v>2158</v>
      </c>
      <c r="L440" s="10" t="s">
        <v>2200</v>
      </c>
      <c r="M440" s="10"/>
      <c r="N440" s="11"/>
      <c r="O440" s="10"/>
      <c r="P440" s="10">
        <v>2475</v>
      </c>
      <c r="Q440" s="10"/>
      <c r="R440" s="10" t="s">
        <v>2387</v>
      </c>
      <c r="S440" s="10" t="s">
        <v>2387</v>
      </c>
      <c r="T440" s="10"/>
      <c r="U440" s="10"/>
      <c r="V440" s="10"/>
      <c r="W440" s="10"/>
      <c r="X440" s="10"/>
      <c r="Y440" s="10"/>
      <c r="Z440" s="10"/>
      <c r="AA440" s="10"/>
      <c r="AB440" s="10"/>
      <c r="AC440" s="10"/>
      <c r="AD440" t="s">
        <v>19</v>
      </c>
      <c r="AE440" t="s">
        <v>19</v>
      </c>
      <c r="AG440">
        <v>1</v>
      </c>
    </row>
    <row r="441" spans="1:33" ht="29">
      <c r="A441" t="s">
        <v>681</v>
      </c>
      <c r="B441" s="4" t="s">
        <v>1851</v>
      </c>
      <c r="C441" s="4" t="s">
        <v>1850</v>
      </c>
      <c r="G441" s="10" t="s">
        <v>26</v>
      </c>
      <c r="H441" s="10"/>
      <c r="I441" s="10"/>
      <c r="J441" s="10"/>
      <c r="K441" s="10"/>
      <c r="L441" s="10"/>
      <c r="M441" s="10"/>
      <c r="N441" s="11"/>
      <c r="O441" s="10"/>
      <c r="P441" s="10"/>
      <c r="Q441" s="10"/>
      <c r="R441" s="10" t="s">
        <v>2387</v>
      </c>
      <c r="S441" s="10" t="s">
        <v>2387</v>
      </c>
      <c r="T441" s="10"/>
      <c r="U441" s="10"/>
      <c r="V441" s="10"/>
      <c r="W441" s="10"/>
      <c r="X441" s="10"/>
      <c r="Y441" s="10"/>
      <c r="Z441" s="10"/>
      <c r="AA441" s="10"/>
      <c r="AB441" s="10"/>
      <c r="AC441" s="10"/>
      <c r="AD441" t="s">
        <v>19</v>
      </c>
      <c r="AE441" t="s">
        <v>19</v>
      </c>
      <c r="AG441">
        <v>1</v>
      </c>
    </row>
    <row r="442" spans="1:33" ht="29">
      <c r="A442" t="s">
        <v>681</v>
      </c>
      <c r="B442" s="4" t="s">
        <v>1853</v>
      </c>
      <c r="C442" s="4" t="s">
        <v>1852</v>
      </c>
      <c r="G442" s="10" t="s">
        <v>25</v>
      </c>
      <c r="H442" s="10"/>
      <c r="I442" s="10">
        <v>1</v>
      </c>
      <c r="J442" s="10">
        <v>2</v>
      </c>
      <c r="K442" s="10" t="s">
        <v>2158</v>
      </c>
      <c r="L442" s="10" t="s">
        <v>2200</v>
      </c>
      <c r="M442" s="10"/>
      <c r="N442" s="11"/>
      <c r="O442" s="10"/>
      <c r="P442" s="10">
        <v>2475</v>
      </c>
      <c r="Q442" s="10"/>
      <c r="R442" s="10" t="s">
        <v>2387</v>
      </c>
      <c r="S442" s="10" t="s">
        <v>2387</v>
      </c>
      <c r="T442" s="10"/>
      <c r="U442" s="10"/>
      <c r="V442" s="10"/>
      <c r="W442" s="10"/>
      <c r="X442" s="10"/>
      <c r="Y442" s="10"/>
      <c r="Z442" s="10"/>
      <c r="AA442" s="10"/>
      <c r="AB442" s="10"/>
      <c r="AC442" s="10"/>
      <c r="AD442" t="s">
        <v>19</v>
      </c>
      <c r="AE442" t="s">
        <v>19</v>
      </c>
      <c r="AG442">
        <v>1</v>
      </c>
    </row>
    <row r="443" spans="1:33" ht="29">
      <c r="A443" t="s">
        <v>681</v>
      </c>
      <c r="B443" s="4" t="s">
        <v>1854</v>
      </c>
      <c r="C443" s="4" t="s">
        <v>1852</v>
      </c>
      <c r="G443" s="10" t="s">
        <v>25</v>
      </c>
      <c r="H443" s="10"/>
      <c r="I443" s="10">
        <v>1</v>
      </c>
      <c r="J443" s="10">
        <v>2</v>
      </c>
      <c r="K443" s="10" t="s">
        <v>2158</v>
      </c>
      <c r="L443" s="10" t="s">
        <v>2200</v>
      </c>
      <c r="M443" s="10"/>
      <c r="N443" s="11"/>
      <c r="O443" s="10"/>
      <c r="P443" s="10">
        <v>2475</v>
      </c>
      <c r="Q443" s="10"/>
      <c r="R443" s="10" t="s">
        <v>2387</v>
      </c>
      <c r="S443" s="10" t="s">
        <v>2387</v>
      </c>
      <c r="T443" s="10"/>
      <c r="U443" s="10"/>
      <c r="V443" s="10"/>
      <c r="W443" s="10"/>
      <c r="X443" s="10"/>
      <c r="Y443" s="10"/>
      <c r="Z443" s="10"/>
      <c r="AA443" s="10"/>
      <c r="AB443" s="10"/>
      <c r="AC443" s="10"/>
      <c r="AD443" t="s">
        <v>19</v>
      </c>
      <c r="AE443" t="s">
        <v>19</v>
      </c>
      <c r="AG443">
        <v>1</v>
      </c>
    </row>
    <row r="444" spans="1:33">
      <c r="A444" t="s">
        <v>682</v>
      </c>
      <c r="B444" s="4" t="s">
        <v>1856</v>
      </c>
      <c r="C444" s="4" t="s">
        <v>1855</v>
      </c>
      <c r="G444" s="10" t="s">
        <v>2201</v>
      </c>
      <c r="H444" s="10"/>
      <c r="I444" s="10"/>
      <c r="J444" s="10"/>
      <c r="K444" s="10"/>
      <c r="L444" s="10"/>
      <c r="M444" s="10"/>
      <c r="N444" s="11"/>
      <c r="O444" s="10"/>
      <c r="P444" s="10"/>
      <c r="Q444" s="10"/>
      <c r="R444" s="10" t="s">
        <v>2387</v>
      </c>
      <c r="S444" s="10" t="s">
        <v>2387</v>
      </c>
      <c r="T444" s="10"/>
      <c r="U444" s="10"/>
      <c r="V444" s="10"/>
      <c r="W444" s="10"/>
      <c r="X444" s="10"/>
      <c r="Y444" s="10"/>
      <c r="Z444" s="10"/>
      <c r="AA444" s="10"/>
      <c r="AB444" s="10"/>
      <c r="AC444" s="10"/>
      <c r="AD444" t="s">
        <v>19</v>
      </c>
      <c r="AE444" t="s">
        <v>19</v>
      </c>
      <c r="AG444">
        <v>1</v>
      </c>
    </row>
    <row r="445" spans="1:33" ht="29">
      <c r="A445" t="s">
        <v>683</v>
      </c>
      <c r="B445" s="4" t="s">
        <v>1858</v>
      </c>
      <c r="C445" s="4" t="s">
        <v>1857</v>
      </c>
      <c r="G445" s="10" t="s">
        <v>25</v>
      </c>
      <c r="H445" s="10"/>
      <c r="I445" s="10">
        <v>1</v>
      </c>
      <c r="J445" s="10">
        <v>4</v>
      </c>
      <c r="K445" s="10" t="s">
        <v>2158</v>
      </c>
      <c r="L445" s="10" t="s">
        <v>2159</v>
      </c>
      <c r="M445" s="10"/>
      <c r="N445" s="11"/>
      <c r="O445" s="10"/>
      <c r="P445" s="10">
        <v>2475</v>
      </c>
      <c r="Q445" s="10"/>
      <c r="R445" s="10" t="s">
        <v>2387</v>
      </c>
      <c r="S445" s="10" t="s">
        <v>2387</v>
      </c>
      <c r="T445" s="10"/>
      <c r="U445" s="10"/>
      <c r="V445" s="10"/>
      <c r="W445" s="10"/>
      <c r="X445" s="10"/>
      <c r="Y445" s="10"/>
      <c r="Z445" s="10"/>
      <c r="AA445" s="10"/>
      <c r="AB445" s="10"/>
      <c r="AC445" s="10"/>
      <c r="AD445" t="s">
        <v>19</v>
      </c>
      <c r="AE445" t="s">
        <v>19</v>
      </c>
      <c r="AG445">
        <v>1</v>
      </c>
    </row>
    <row r="446" spans="1:33">
      <c r="A446" t="s">
        <v>683</v>
      </c>
      <c r="B446" s="4" t="s">
        <v>1861</v>
      </c>
      <c r="C446" s="4" t="s">
        <v>1862</v>
      </c>
      <c r="G446" s="10" t="s">
        <v>2201</v>
      </c>
      <c r="H446" s="10"/>
      <c r="I446" s="10"/>
      <c r="J446" s="10"/>
      <c r="K446" s="10"/>
      <c r="L446" s="10"/>
      <c r="M446" s="10"/>
      <c r="N446" s="11"/>
      <c r="O446" s="10"/>
      <c r="P446" s="10"/>
      <c r="Q446" s="10"/>
      <c r="R446" s="10" t="s">
        <v>2387</v>
      </c>
      <c r="S446" s="10" t="s">
        <v>2387</v>
      </c>
      <c r="T446" s="10"/>
      <c r="U446" s="10"/>
      <c r="V446" s="10"/>
      <c r="W446" s="10"/>
      <c r="X446" s="10"/>
      <c r="Y446" s="10"/>
      <c r="Z446" s="10"/>
      <c r="AA446" s="10"/>
      <c r="AB446" s="10"/>
      <c r="AC446" s="10"/>
      <c r="AD446" t="s">
        <v>19</v>
      </c>
      <c r="AE446" t="s">
        <v>20</v>
      </c>
      <c r="AG446">
        <v>1</v>
      </c>
    </row>
    <row r="447" spans="1:33">
      <c r="A447" t="s">
        <v>684</v>
      </c>
      <c r="B447" s="4" t="s">
        <v>1864</v>
      </c>
      <c r="C447" s="4" t="s">
        <v>1863</v>
      </c>
      <c r="G447" s="10" t="s">
        <v>24</v>
      </c>
      <c r="H447" s="10"/>
      <c r="I447" s="10">
        <v>1</v>
      </c>
      <c r="J447" s="10">
        <v>4</v>
      </c>
      <c r="K447" s="10" t="s">
        <v>2158</v>
      </c>
      <c r="L447" s="10" t="s">
        <v>2153</v>
      </c>
      <c r="M447" s="10" t="s">
        <v>2229</v>
      </c>
      <c r="N447" s="11" t="s">
        <v>2230</v>
      </c>
      <c r="O447" s="10"/>
      <c r="P447" s="10">
        <v>2475</v>
      </c>
      <c r="Q447" s="10"/>
      <c r="R447" s="10" t="s">
        <v>2387</v>
      </c>
      <c r="S447" s="10" t="s">
        <v>2387</v>
      </c>
      <c r="T447" s="10"/>
      <c r="U447" s="10"/>
      <c r="V447" s="10"/>
      <c r="W447" s="10"/>
      <c r="X447" s="10"/>
      <c r="Y447" s="10"/>
      <c r="Z447" s="10"/>
      <c r="AA447" s="10"/>
      <c r="AB447" s="10"/>
      <c r="AC447" s="10"/>
      <c r="AD447" t="s">
        <v>19</v>
      </c>
      <c r="AE447" t="s">
        <v>19</v>
      </c>
      <c r="AG447">
        <v>1</v>
      </c>
    </row>
    <row r="448" spans="1:33">
      <c r="A448" t="s">
        <v>686</v>
      </c>
      <c r="B448" s="4" t="s">
        <v>1870</v>
      </c>
      <c r="C448" s="4" t="s">
        <v>1867</v>
      </c>
      <c r="G448" s="10" t="s">
        <v>25</v>
      </c>
      <c r="H448" s="10"/>
      <c r="I448" s="10">
        <v>1</v>
      </c>
      <c r="J448" s="10">
        <v>3</v>
      </c>
      <c r="K448" s="10" t="s">
        <v>2175</v>
      </c>
      <c r="L448" s="10" t="s">
        <v>2159</v>
      </c>
      <c r="M448" s="10"/>
      <c r="N448" s="11"/>
      <c r="O448" s="10"/>
      <c r="P448" s="10">
        <v>743</v>
      </c>
      <c r="Q448" s="10"/>
      <c r="R448" s="10" t="s">
        <v>2387</v>
      </c>
      <c r="S448" s="10" t="s">
        <v>2387</v>
      </c>
      <c r="T448" s="10"/>
      <c r="U448" s="10"/>
      <c r="V448" s="10"/>
      <c r="W448" s="10"/>
      <c r="X448" s="10"/>
      <c r="Y448" s="10"/>
      <c r="Z448" s="10"/>
      <c r="AA448" s="10"/>
      <c r="AB448" s="10"/>
      <c r="AC448" s="10"/>
      <c r="AD448" t="s">
        <v>19</v>
      </c>
      <c r="AE448" t="s">
        <v>19</v>
      </c>
      <c r="AG448">
        <v>1</v>
      </c>
    </row>
    <row r="449" spans="1:33" ht="29">
      <c r="A449" t="s">
        <v>687</v>
      </c>
      <c r="B449" s="4" t="s">
        <v>1872</v>
      </c>
      <c r="C449" s="4" t="s">
        <v>1873</v>
      </c>
      <c r="G449" s="10" t="s">
        <v>2199</v>
      </c>
      <c r="H449" s="10"/>
      <c r="I449" s="10"/>
      <c r="J449" s="10"/>
      <c r="K449" s="10"/>
      <c r="L449" s="10"/>
      <c r="M449" s="10"/>
      <c r="N449" s="11"/>
      <c r="O449" s="10"/>
      <c r="P449" s="10"/>
      <c r="Q449" s="10">
        <v>-256</v>
      </c>
      <c r="R449" s="10">
        <v>266</v>
      </c>
      <c r="S449" s="10">
        <v>10</v>
      </c>
      <c r="T449" s="10"/>
      <c r="U449" s="10"/>
      <c r="V449" s="10"/>
      <c r="W449" s="10"/>
      <c r="X449" s="10"/>
      <c r="Y449" s="10"/>
      <c r="Z449" s="10"/>
      <c r="AA449" s="10"/>
      <c r="AB449" s="10"/>
      <c r="AC449" s="10"/>
      <c r="AD449" t="s">
        <v>19</v>
      </c>
      <c r="AE449" t="s">
        <v>19</v>
      </c>
      <c r="AG449">
        <v>1</v>
      </c>
    </row>
    <row r="450" spans="1:33" ht="29">
      <c r="A450" t="s">
        <v>687</v>
      </c>
      <c r="B450" s="4" t="s">
        <v>1871</v>
      </c>
      <c r="C450" s="6" t="s">
        <v>1874</v>
      </c>
      <c r="G450" s="10" t="s">
        <v>24</v>
      </c>
      <c r="H450" s="10"/>
      <c r="I450" s="10">
        <v>1</v>
      </c>
      <c r="J450" s="10">
        <v>4</v>
      </c>
      <c r="K450" s="10" t="s">
        <v>2219</v>
      </c>
      <c r="L450" s="10" t="s">
        <v>2159</v>
      </c>
      <c r="M450" s="10"/>
      <c r="N450" s="11"/>
      <c r="O450" s="10"/>
      <c r="P450" s="10">
        <v>295</v>
      </c>
      <c r="Q450" s="10"/>
      <c r="R450" s="10" t="s">
        <v>2387</v>
      </c>
      <c r="S450" s="10" t="s">
        <v>2387</v>
      </c>
      <c r="T450" s="10"/>
      <c r="U450" s="10"/>
      <c r="V450" s="10"/>
      <c r="W450" s="10"/>
      <c r="X450" s="10"/>
      <c r="Y450" s="10"/>
      <c r="Z450" s="10"/>
      <c r="AA450" s="10"/>
      <c r="AB450" s="10"/>
      <c r="AC450" s="10" t="s">
        <v>19</v>
      </c>
      <c r="AD450" t="s">
        <v>19</v>
      </c>
      <c r="AE450" t="s">
        <v>20</v>
      </c>
      <c r="AG450">
        <v>1</v>
      </c>
    </row>
    <row r="451" spans="1:33">
      <c r="A451" t="s">
        <v>689</v>
      </c>
      <c r="B451" s="4" t="s">
        <v>1880</v>
      </c>
      <c r="C451" s="4" t="s">
        <v>1879</v>
      </c>
      <c r="G451" s="10" t="s">
        <v>2199</v>
      </c>
      <c r="H451" s="10"/>
      <c r="I451" s="10"/>
      <c r="J451" s="10"/>
      <c r="K451" s="10"/>
      <c r="L451" s="10"/>
      <c r="M451" s="10"/>
      <c r="N451" s="11"/>
      <c r="O451" s="10"/>
      <c r="P451" s="10"/>
      <c r="Q451" s="10">
        <v>-32</v>
      </c>
      <c r="R451" s="10">
        <v>63</v>
      </c>
      <c r="S451" s="10">
        <v>31</v>
      </c>
      <c r="T451" s="10"/>
      <c r="U451" s="10"/>
      <c r="V451" s="10"/>
      <c r="W451" s="10"/>
      <c r="X451" s="10"/>
      <c r="Y451" s="10"/>
      <c r="Z451" s="10"/>
      <c r="AA451" s="10"/>
      <c r="AB451" s="10"/>
      <c r="AC451" s="10"/>
      <c r="AD451" t="s">
        <v>19</v>
      </c>
      <c r="AE451" t="s">
        <v>19</v>
      </c>
      <c r="AG451">
        <v>1</v>
      </c>
    </row>
    <row r="452" spans="1:33">
      <c r="A452" t="s">
        <v>689</v>
      </c>
      <c r="B452" s="4" t="s">
        <v>1881</v>
      </c>
      <c r="C452" s="4" t="s">
        <v>1882</v>
      </c>
      <c r="G452" s="10" t="s">
        <v>25</v>
      </c>
      <c r="H452" s="10"/>
      <c r="I452" s="10">
        <v>1</v>
      </c>
      <c r="J452" s="10">
        <v>1</v>
      </c>
      <c r="K452" s="10" t="s">
        <v>2158</v>
      </c>
      <c r="L452" s="10" t="s">
        <v>2200</v>
      </c>
      <c r="M452" s="10"/>
      <c r="N452" s="11"/>
      <c r="O452" s="10"/>
      <c r="P452" s="10">
        <v>2475</v>
      </c>
      <c r="Q452" s="10"/>
      <c r="R452" s="10" t="s">
        <v>2387</v>
      </c>
      <c r="S452" s="10" t="s">
        <v>2387</v>
      </c>
      <c r="T452" s="10"/>
      <c r="U452" s="10"/>
      <c r="V452" s="10"/>
      <c r="W452" s="10"/>
      <c r="X452" s="10"/>
      <c r="Y452" s="10"/>
      <c r="Z452" s="10"/>
      <c r="AA452" s="10"/>
      <c r="AB452" s="10"/>
      <c r="AC452" s="10"/>
      <c r="AD452" t="s">
        <v>19</v>
      </c>
      <c r="AE452" t="s">
        <v>19</v>
      </c>
      <c r="AG452">
        <v>1</v>
      </c>
    </row>
    <row r="453" spans="1:33">
      <c r="A453" t="s">
        <v>689</v>
      </c>
      <c r="B453" s="4" t="s">
        <v>1883</v>
      </c>
      <c r="C453" s="4" t="s">
        <v>1884</v>
      </c>
      <c r="G453" s="10" t="s">
        <v>2201</v>
      </c>
      <c r="H453" s="10"/>
      <c r="I453" s="10"/>
      <c r="J453" s="10"/>
      <c r="K453" s="10"/>
      <c r="L453" s="10"/>
      <c r="M453" s="10"/>
      <c r="N453" s="11"/>
      <c r="O453" s="10"/>
      <c r="P453" s="10"/>
      <c r="Q453" s="10"/>
      <c r="R453" s="10" t="s">
        <v>2387</v>
      </c>
      <c r="S453" s="10" t="s">
        <v>2387</v>
      </c>
      <c r="T453" s="10"/>
      <c r="U453" s="10"/>
      <c r="V453" s="10"/>
      <c r="W453" s="10"/>
      <c r="X453" s="10"/>
      <c r="Y453" s="10"/>
      <c r="Z453" s="10"/>
      <c r="AA453" s="10"/>
      <c r="AB453" s="10"/>
      <c r="AC453" s="10"/>
      <c r="AD453" t="s">
        <v>19</v>
      </c>
      <c r="AE453" t="s">
        <v>20</v>
      </c>
      <c r="AG453">
        <v>1</v>
      </c>
    </row>
    <row r="454" spans="1:33" ht="29">
      <c r="A454" t="s">
        <v>690</v>
      </c>
      <c r="B454" s="4" t="s">
        <v>1886</v>
      </c>
      <c r="C454" s="4" t="s">
        <v>1885</v>
      </c>
      <c r="G454" s="10" t="s">
        <v>25</v>
      </c>
      <c r="H454" s="10"/>
      <c r="I454" s="10">
        <v>1</v>
      </c>
      <c r="J454" s="10">
        <v>5</v>
      </c>
      <c r="K454" s="10" t="s">
        <v>2173</v>
      </c>
      <c r="L454" s="10" t="s">
        <v>2159</v>
      </c>
      <c r="M454" s="10"/>
      <c r="N454" s="11"/>
      <c r="O454" s="10"/>
      <c r="P454" s="10">
        <v>115</v>
      </c>
      <c r="Q454" s="10"/>
      <c r="R454" s="10" t="s">
        <v>2387</v>
      </c>
      <c r="S454" s="10" t="s">
        <v>2387</v>
      </c>
      <c r="T454" s="10"/>
      <c r="U454" s="10"/>
      <c r="V454" s="10"/>
      <c r="W454" s="10"/>
      <c r="X454" s="10"/>
      <c r="Y454" s="10"/>
      <c r="Z454" s="10"/>
      <c r="AA454" s="10"/>
      <c r="AB454" s="10"/>
      <c r="AC454" s="10"/>
      <c r="AD454" t="s">
        <v>19</v>
      </c>
      <c r="AE454" t="s">
        <v>19</v>
      </c>
      <c r="AG454">
        <v>1</v>
      </c>
    </row>
    <row r="455" spans="1:33">
      <c r="A455" t="s">
        <v>691</v>
      </c>
      <c r="B455" s="4" t="s">
        <v>1887</v>
      </c>
      <c r="C455" s="4" t="s">
        <v>1888</v>
      </c>
      <c r="G455" s="10" t="s">
        <v>25</v>
      </c>
      <c r="H455" s="10"/>
      <c r="I455" s="10">
        <v>1</v>
      </c>
      <c r="J455" s="10">
        <v>3</v>
      </c>
      <c r="K455" s="10" t="s">
        <v>2168</v>
      </c>
      <c r="L455" s="10" t="s">
        <v>2159</v>
      </c>
      <c r="M455" s="10"/>
      <c r="N455" s="11"/>
      <c r="O455" s="10"/>
      <c r="P455" s="10">
        <v>1701</v>
      </c>
      <c r="Q455" s="10"/>
      <c r="R455" s="10" t="s">
        <v>2387</v>
      </c>
      <c r="S455" s="10" t="s">
        <v>2387</v>
      </c>
      <c r="T455" s="10"/>
      <c r="U455" s="10"/>
      <c r="V455" s="10"/>
      <c r="W455" s="10"/>
      <c r="X455" s="10"/>
      <c r="Y455" s="10"/>
      <c r="Z455" s="10"/>
      <c r="AA455" s="10"/>
      <c r="AB455" s="10"/>
      <c r="AC455" s="10"/>
      <c r="AD455" t="s">
        <v>19</v>
      </c>
      <c r="AE455" t="s">
        <v>19</v>
      </c>
      <c r="AG455">
        <v>1</v>
      </c>
    </row>
    <row r="456" spans="1:33" ht="58">
      <c r="A456" t="s">
        <v>692</v>
      </c>
      <c r="B456" s="4" t="s">
        <v>1891</v>
      </c>
      <c r="C456" s="4" t="s">
        <v>1890</v>
      </c>
      <c r="G456" s="10" t="s">
        <v>26</v>
      </c>
      <c r="H456" s="10"/>
      <c r="I456" s="10"/>
      <c r="J456" s="10"/>
      <c r="K456" s="10"/>
      <c r="L456" s="10"/>
      <c r="M456" s="10"/>
      <c r="N456" s="11"/>
      <c r="O456" s="10"/>
      <c r="P456" s="10"/>
      <c r="Q456" s="10"/>
      <c r="R456" s="10" t="s">
        <v>2387</v>
      </c>
      <c r="S456" s="10" t="s">
        <v>2387</v>
      </c>
      <c r="T456" s="10"/>
      <c r="U456" s="10"/>
      <c r="V456" s="10"/>
      <c r="W456" s="10"/>
      <c r="X456" s="10"/>
      <c r="Y456" s="10"/>
      <c r="Z456" s="10"/>
      <c r="AA456" s="10"/>
      <c r="AB456" s="10"/>
      <c r="AC456" s="10"/>
      <c r="AD456" t="s">
        <v>19</v>
      </c>
      <c r="AE456" t="s">
        <v>19</v>
      </c>
      <c r="AG456">
        <v>1</v>
      </c>
    </row>
    <row r="457" spans="1:33" ht="58">
      <c r="A457" t="s">
        <v>692</v>
      </c>
      <c r="B457" s="4" t="s">
        <v>1889</v>
      </c>
      <c r="C457" s="4" t="s">
        <v>1892</v>
      </c>
      <c r="G457" s="10" t="s">
        <v>24</v>
      </c>
      <c r="H457" s="10"/>
      <c r="I457" s="10">
        <v>1</v>
      </c>
      <c r="J457" s="10">
        <v>3</v>
      </c>
      <c r="K457" s="10" t="s">
        <v>2158</v>
      </c>
      <c r="L457" s="10" t="s">
        <v>2159</v>
      </c>
      <c r="M457" s="10"/>
      <c r="N457" s="11"/>
      <c r="O457" s="10"/>
      <c r="P457" s="10">
        <v>2475</v>
      </c>
      <c r="Q457" s="10"/>
      <c r="R457" s="10" t="s">
        <v>2387</v>
      </c>
      <c r="S457" s="10" t="s">
        <v>2387</v>
      </c>
      <c r="T457" s="10"/>
      <c r="U457" s="10"/>
      <c r="V457" s="10"/>
      <c r="W457" s="10"/>
      <c r="X457" s="10"/>
      <c r="Y457" s="10"/>
      <c r="Z457" s="10"/>
      <c r="AA457" s="10"/>
      <c r="AB457" s="10"/>
      <c r="AC457" s="10"/>
      <c r="AD457" t="s">
        <v>20</v>
      </c>
      <c r="AE457" t="s">
        <v>19</v>
      </c>
      <c r="AG457">
        <v>0</v>
      </c>
    </row>
    <row r="458" spans="1:33" ht="29">
      <c r="A458" t="s">
        <v>693</v>
      </c>
      <c r="B458" s="4" t="s">
        <v>1893</v>
      </c>
      <c r="C458" s="4" t="s">
        <v>1894</v>
      </c>
      <c r="G458" s="10" t="s">
        <v>2199</v>
      </c>
      <c r="H458" s="10"/>
      <c r="I458" s="10"/>
      <c r="J458" s="10"/>
      <c r="K458" s="10"/>
      <c r="L458" s="10"/>
      <c r="M458" s="10"/>
      <c r="N458" s="10"/>
      <c r="O458" s="10"/>
      <c r="P458" s="10"/>
      <c r="Q458" s="10">
        <v>-2</v>
      </c>
      <c r="R458" s="10">
        <v>3</v>
      </c>
      <c r="S458" s="10">
        <v>1</v>
      </c>
      <c r="T458" s="10"/>
      <c r="U458" s="10"/>
      <c r="V458" s="10"/>
      <c r="W458" s="10"/>
      <c r="X458" s="10"/>
      <c r="Y458" s="10"/>
      <c r="Z458" s="10"/>
      <c r="AA458" s="10"/>
      <c r="AB458" s="10"/>
      <c r="AC458" s="10"/>
      <c r="AD458" t="s">
        <v>19</v>
      </c>
      <c r="AE458" t="s">
        <v>20</v>
      </c>
      <c r="AG458">
        <v>1</v>
      </c>
    </row>
    <row r="459" spans="1:33" ht="29">
      <c r="A459" t="s">
        <v>693</v>
      </c>
      <c r="B459" s="4" t="s">
        <v>2446</v>
      </c>
      <c r="C459" s="4" t="s">
        <v>1895</v>
      </c>
      <c r="G459" s="10" t="s">
        <v>2201</v>
      </c>
      <c r="H459" s="10"/>
      <c r="I459" s="10"/>
      <c r="J459" s="10"/>
      <c r="K459" s="10"/>
      <c r="L459" s="10"/>
      <c r="M459" s="10"/>
      <c r="N459" s="11"/>
      <c r="O459" s="10"/>
      <c r="P459" s="10"/>
      <c r="Q459" s="10"/>
      <c r="R459" s="10" t="s">
        <v>2387</v>
      </c>
      <c r="S459" s="10" t="s">
        <v>2387</v>
      </c>
      <c r="T459" s="10"/>
      <c r="U459" s="10"/>
      <c r="V459" s="10"/>
      <c r="W459" s="10"/>
      <c r="X459" s="10"/>
      <c r="Y459" s="10"/>
      <c r="Z459" s="10"/>
      <c r="AA459" s="10"/>
      <c r="AB459" s="10"/>
      <c r="AC459" s="10"/>
      <c r="AD459" t="s">
        <v>19</v>
      </c>
      <c r="AE459" t="s">
        <v>19</v>
      </c>
      <c r="AG459">
        <v>1</v>
      </c>
    </row>
    <row r="460" spans="1:33">
      <c r="A460" t="s">
        <v>694</v>
      </c>
      <c r="B460" s="4" t="s">
        <v>1896</v>
      </c>
      <c r="C460" s="4" t="s">
        <v>1897</v>
      </c>
      <c r="G460" s="10" t="s">
        <v>25</v>
      </c>
      <c r="H460" s="10"/>
      <c r="I460" s="10">
        <v>1</v>
      </c>
      <c r="J460" s="10">
        <v>2</v>
      </c>
      <c r="K460" s="10" t="s">
        <v>2164</v>
      </c>
      <c r="L460" s="10" t="s">
        <v>2200</v>
      </c>
      <c r="M460" s="10"/>
      <c r="N460" s="11"/>
      <c r="O460" s="10"/>
      <c r="P460" s="10">
        <v>129</v>
      </c>
      <c r="Q460" s="10"/>
      <c r="R460" s="10" t="s">
        <v>2387</v>
      </c>
      <c r="S460" s="10" t="s">
        <v>2387</v>
      </c>
      <c r="T460" s="10"/>
      <c r="U460" s="10"/>
      <c r="V460" s="10"/>
      <c r="W460" s="10"/>
      <c r="X460" s="10"/>
      <c r="Y460" s="10"/>
      <c r="Z460" s="10"/>
      <c r="AA460" s="10"/>
      <c r="AB460" s="10"/>
      <c r="AC460" s="10"/>
      <c r="AD460" t="s">
        <v>19</v>
      </c>
      <c r="AE460" t="s">
        <v>19</v>
      </c>
      <c r="AG460">
        <v>1</v>
      </c>
    </row>
    <row r="461" spans="1:33">
      <c r="A461" t="s">
        <v>695</v>
      </c>
      <c r="B461" s="4" t="s">
        <v>1899</v>
      </c>
      <c r="C461" s="4" t="s">
        <v>1898</v>
      </c>
      <c r="G461" s="10" t="s">
        <v>2201</v>
      </c>
      <c r="H461" s="10"/>
      <c r="I461" s="10"/>
      <c r="J461" s="10"/>
      <c r="K461" s="10"/>
      <c r="L461" s="10"/>
      <c r="M461" s="10"/>
      <c r="N461" s="11"/>
      <c r="O461" s="10"/>
      <c r="P461" s="10"/>
      <c r="Q461" s="10"/>
      <c r="R461" s="10" t="s">
        <v>2387</v>
      </c>
      <c r="S461" s="10" t="s">
        <v>2387</v>
      </c>
      <c r="T461" s="10"/>
      <c r="U461" s="10"/>
      <c r="V461" s="10"/>
      <c r="W461" s="10"/>
      <c r="X461" s="10"/>
      <c r="Y461" s="10"/>
      <c r="Z461" s="10"/>
      <c r="AA461" s="10"/>
      <c r="AB461" s="10"/>
      <c r="AC461" s="10"/>
      <c r="AD461" t="s">
        <v>19</v>
      </c>
      <c r="AE461" t="s">
        <v>19</v>
      </c>
      <c r="AG461">
        <v>1</v>
      </c>
    </row>
    <row r="462" spans="1:33">
      <c r="A462" t="s">
        <v>696</v>
      </c>
      <c r="B462" s="4" t="s">
        <v>1901</v>
      </c>
      <c r="C462" s="4" t="s">
        <v>1900</v>
      </c>
      <c r="G462" s="10" t="s">
        <v>25</v>
      </c>
      <c r="H462" s="10"/>
      <c r="I462" s="10">
        <v>1</v>
      </c>
      <c r="J462" s="10">
        <v>5</v>
      </c>
      <c r="K462" s="10" t="s">
        <v>2175</v>
      </c>
      <c r="L462" s="10" t="s">
        <v>2159</v>
      </c>
      <c r="M462" s="10"/>
      <c r="N462" s="11"/>
      <c r="O462" s="10"/>
      <c r="P462" s="10">
        <v>830</v>
      </c>
      <c r="Q462" s="10"/>
      <c r="R462" s="10" t="s">
        <v>2387</v>
      </c>
      <c r="S462" s="10" t="s">
        <v>2387</v>
      </c>
      <c r="T462" s="10"/>
      <c r="U462" s="10"/>
      <c r="V462" s="10"/>
      <c r="W462" s="10"/>
      <c r="X462" s="10"/>
      <c r="Y462" s="10"/>
      <c r="Z462" s="10"/>
      <c r="AA462" s="10"/>
      <c r="AB462" s="10"/>
      <c r="AC462" s="10"/>
      <c r="AD462" t="s">
        <v>19</v>
      </c>
      <c r="AE462" t="s">
        <v>19</v>
      </c>
      <c r="AG462">
        <v>1</v>
      </c>
    </row>
    <row r="463" spans="1:33">
      <c r="A463" t="s">
        <v>696</v>
      </c>
      <c r="B463" s="4" t="s">
        <v>1903</v>
      </c>
      <c r="C463" s="4" t="s">
        <v>1902</v>
      </c>
      <c r="G463" s="10" t="s">
        <v>25</v>
      </c>
      <c r="H463" s="10"/>
      <c r="I463" s="10">
        <v>1</v>
      </c>
      <c r="J463" s="10">
        <v>3</v>
      </c>
      <c r="K463" s="10" t="s">
        <v>2168</v>
      </c>
      <c r="L463" s="10" t="s">
        <v>2159</v>
      </c>
      <c r="M463" s="10"/>
      <c r="N463" s="11"/>
      <c r="O463" s="10"/>
      <c r="P463" s="10">
        <v>1701</v>
      </c>
      <c r="Q463" s="10"/>
      <c r="R463" s="10" t="s">
        <v>2387</v>
      </c>
      <c r="S463" s="10" t="s">
        <v>2387</v>
      </c>
      <c r="T463" s="10"/>
      <c r="U463" s="10"/>
      <c r="V463" s="10"/>
      <c r="W463" s="10"/>
      <c r="X463" s="10"/>
      <c r="Y463" s="10"/>
      <c r="Z463" s="10"/>
      <c r="AA463" s="10"/>
      <c r="AB463" s="10"/>
      <c r="AC463" s="10"/>
      <c r="AD463" t="s">
        <v>19</v>
      </c>
      <c r="AE463" t="s">
        <v>19</v>
      </c>
      <c r="AG463">
        <v>1</v>
      </c>
    </row>
    <row r="464" spans="1:33" ht="29">
      <c r="A464" t="s">
        <v>696</v>
      </c>
      <c r="B464" s="4" t="s">
        <v>1905</v>
      </c>
      <c r="C464" s="4" t="s">
        <v>1904</v>
      </c>
      <c r="G464" s="10" t="s">
        <v>26</v>
      </c>
      <c r="H464" s="10"/>
      <c r="I464" s="10"/>
      <c r="J464" s="10"/>
      <c r="K464" s="10"/>
      <c r="L464" s="10"/>
      <c r="M464" s="10"/>
      <c r="N464" s="11"/>
      <c r="O464" s="10"/>
      <c r="P464" s="10"/>
      <c r="Q464" s="10"/>
      <c r="R464" s="10" t="s">
        <v>2387</v>
      </c>
      <c r="S464" s="10" t="s">
        <v>2387</v>
      </c>
      <c r="T464" s="10"/>
      <c r="U464" s="10"/>
      <c r="V464" s="10"/>
      <c r="W464" s="10"/>
      <c r="X464" s="10"/>
      <c r="Y464" s="10"/>
      <c r="Z464" s="10"/>
      <c r="AA464" s="10"/>
      <c r="AB464" s="10"/>
      <c r="AC464" s="10"/>
      <c r="AD464" t="s">
        <v>19</v>
      </c>
      <c r="AE464" t="s">
        <v>19</v>
      </c>
      <c r="AG464">
        <v>1</v>
      </c>
    </row>
    <row r="465" spans="1:33">
      <c r="A465" t="s">
        <v>697</v>
      </c>
      <c r="B465" s="4" t="s">
        <v>1907</v>
      </c>
      <c r="C465" s="4" t="s">
        <v>1906</v>
      </c>
      <c r="G465" s="10" t="s">
        <v>2199</v>
      </c>
      <c r="H465" s="10"/>
      <c r="I465" s="10"/>
      <c r="J465" s="10"/>
      <c r="K465" s="10"/>
      <c r="L465" s="10"/>
      <c r="M465" s="10"/>
      <c r="N465" s="11"/>
      <c r="O465" s="10"/>
      <c r="P465" s="10"/>
      <c r="Q465" s="10">
        <v>447</v>
      </c>
      <c r="R465" s="10">
        <v>166</v>
      </c>
      <c r="S465" s="10">
        <v>613</v>
      </c>
      <c r="T465" s="10"/>
      <c r="U465" s="10"/>
      <c r="V465" s="10"/>
      <c r="W465" s="10"/>
      <c r="X465" s="10"/>
      <c r="Y465" s="10"/>
      <c r="Z465" s="10"/>
      <c r="AA465" s="10"/>
      <c r="AB465" s="10"/>
      <c r="AC465" s="10"/>
      <c r="AD465" t="s">
        <v>19</v>
      </c>
      <c r="AE465" t="s">
        <v>19</v>
      </c>
      <c r="AG465">
        <v>1</v>
      </c>
    </row>
    <row r="466" spans="1:33">
      <c r="A466" t="s">
        <v>698</v>
      </c>
      <c r="B466" s="4" t="s">
        <v>1909</v>
      </c>
      <c r="C466" s="4" t="s">
        <v>1908</v>
      </c>
      <c r="G466" s="10" t="s">
        <v>2199</v>
      </c>
      <c r="H466" s="10"/>
      <c r="I466" s="10"/>
      <c r="J466" s="10"/>
      <c r="K466" s="10"/>
      <c r="L466" s="10"/>
      <c r="M466" s="10"/>
      <c r="N466" s="11"/>
      <c r="O466" s="10"/>
      <c r="P466" s="10"/>
      <c r="Q466" s="10">
        <v>2448</v>
      </c>
      <c r="R466" s="10">
        <v>27</v>
      </c>
      <c r="S466" s="10">
        <v>2475</v>
      </c>
      <c r="T466" s="10"/>
      <c r="U466" s="10"/>
      <c r="V466" s="10"/>
      <c r="W466" s="10"/>
      <c r="X466" s="10"/>
      <c r="Y466" s="10"/>
      <c r="Z466" s="10"/>
      <c r="AA466" s="10"/>
      <c r="AB466" s="10"/>
      <c r="AC466" s="10"/>
      <c r="AD466" t="s">
        <v>19</v>
      </c>
      <c r="AE466" t="s">
        <v>19</v>
      </c>
      <c r="AG466">
        <v>1</v>
      </c>
    </row>
    <row r="467" spans="1:33" ht="43.5">
      <c r="A467" t="s">
        <v>699</v>
      </c>
      <c r="B467" s="4" t="s">
        <v>1911</v>
      </c>
      <c r="C467" s="4" t="s">
        <v>1910</v>
      </c>
      <c r="G467" s="10" t="s">
        <v>25</v>
      </c>
      <c r="H467" s="10"/>
      <c r="I467" s="10">
        <v>1</v>
      </c>
      <c r="J467" s="10">
        <v>3</v>
      </c>
      <c r="K467" s="10" t="s">
        <v>2158</v>
      </c>
      <c r="L467" s="10" t="s">
        <v>2159</v>
      </c>
      <c r="M467" s="10"/>
      <c r="N467" s="11"/>
      <c r="O467" s="10"/>
      <c r="P467" s="10">
        <v>2475</v>
      </c>
      <c r="Q467" s="10"/>
      <c r="R467" s="10" t="s">
        <v>2387</v>
      </c>
      <c r="S467" s="10" t="s">
        <v>2387</v>
      </c>
      <c r="T467" s="10"/>
      <c r="U467" s="10"/>
      <c r="V467" s="10"/>
      <c r="W467" s="10"/>
      <c r="X467" s="10"/>
      <c r="Y467" s="10"/>
      <c r="Z467" s="10"/>
      <c r="AA467" s="10"/>
      <c r="AB467" s="10"/>
      <c r="AC467" s="10"/>
      <c r="AD467" t="s">
        <v>20</v>
      </c>
      <c r="AE467" t="s">
        <v>20</v>
      </c>
      <c r="AG467">
        <v>0</v>
      </c>
    </row>
    <row r="468" spans="1:33" ht="43.5">
      <c r="A468" t="s">
        <v>699</v>
      </c>
      <c r="B468" s="4" t="s">
        <v>1912</v>
      </c>
      <c r="C468" s="4" t="s">
        <v>1910</v>
      </c>
      <c r="G468" s="10" t="s">
        <v>25</v>
      </c>
      <c r="H468" s="10"/>
      <c r="I468" s="10">
        <v>3</v>
      </c>
      <c r="J468" s="10">
        <v>11</v>
      </c>
      <c r="K468" s="10"/>
      <c r="L468" s="10" t="s">
        <v>2153</v>
      </c>
      <c r="M468" s="10" t="s">
        <v>2244</v>
      </c>
      <c r="N468" s="11" t="s">
        <v>2309</v>
      </c>
      <c r="O468" s="10"/>
      <c r="P468" s="10">
        <v>48</v>
      </c>
      <c r="Q468" s="10"/>
      <c r="R468" s="10" t="s">
        <v>2387</v>
      </c>
      <c r="S468" s="10" t="s">
        <v>2387</v>
      </c>
      <c r="T468" s="10"/>
      <c r="U468" s="10"/>
      <c r="V468" s="10"/>
      <c r="W468" s="10"/>
      <c r="X468" s="10"/>
      <c r="Y468" s="10"/>
      <c r="Z468" s="10"/>
      <c r="AA468" s="10"/>
      <c r="AB468" s="10"/>
      <c r="AC468" s="10"/>
      <c r="AD468" t="s">
        <v>19</v>
      </c>
      <c r="AE468" t="s">
        <v>20</v>
      </c>
      <c r="AG468">
        <v>1</v>
      </c>
    </row>
    <row r="469" spans="1:33">
      <c r="A469" t="s">
        <v>701</v>
      </c>
      <c r="B469" s="4" t="s">
        <v>1920</v>
      </c>
      <c r="C469" s="4" t="s">
        <v>1919</v>
      </c>
      <c r="G469" s="10" t="s">
        <v>24</v>
      </c>
      <c r="H469" s="10"/>
      <c r="I469" s="10">
        <v>1</v>
      </c>
      <c r="J469" s="10">
        <v>2</v>
      </c>
      <c r="K469" s="10" t="s">
        <v>2173</v>
      </c>
      <c r="L469" s="10" t="s">
        <v>2200</v>
      </c>
      <c r="M469" s="10"/>
      <c r="N469" s="11"/>
      <c r="O469" s="10"/>
      <c r="P469" s="10">
        <v>75</v>
      </c>
      <c r="Q469" s="10"/>
      <c r="R469" s="10" t="s">
        <v>2387</v>
      </c>
      <c r="S469" s="10" t="s">
        <v>2387</v>
      </c>
      <c r="T469" s="10"/>
      <c r="U469" s="10"/>
      <c r="V469" s="10"/>
      <c r="W469" s="10"/>
      <c r="X469" s="10"/>
      <c r="Y469" s="10"/>
      <c r="Z469" s="10"/>
      <c r="AA469" s="10"/>
      <c r="AB469" s="10"/>
      <c r="AC469" s="10"/>
      <c r="AD469" t="s">
        <v>19</v>
      </c>
      <c r="AE469" t="s">
        <v>19</v>
      </c>
      <c r="AG469">
        <v>1</v>
      </c>
    </row>
    <row r="470" spans="1:33" ht="29">
      <c r="A470" t="s">
        <v>701</v>
      </c>
      <c r="B470" s="4" t="s">
        <v>2447</v>
      </c>
      <c r="C470" s="4" t="s">
        <v>1921</v>
      </c>
      <c r="G470" s="10" t="s">
        <v>24</v>
      </c>
      <c r="H470" s="10"/>
      <c r="I470" s="10">
        <v>2</v>
      </c>
      <c r="J470" s="10">
        <v>7</v>
      </c>
      <c r="K470" s="10"/>
      <c r="L470" s="10" t="s">
        <v>2153</v>
      </c>
      <c r="M470" s="10" t="s">
        <v>2312</v>
      </c>
      <c r="N470" s="11" t="s">
        <v>2309</v>
      </c>
      <c r="O470" s="10"/>
      <c r="P470" s="10">
        <v>48</v>
      </c>
      <c r="Q470" s="10"/>
      <c r="R470" s="10" t="s">
        <v>2387</v>
      </c>
      <c r="S470" s="10" t="s">
        <v>2387</v>
      </c>
      <c r="T470" s="10"/>
      <c r="U470" s="10"/>
      <c r="V470" s="10"/>
      <c r="W470" s="10"/>
      <c r="X470" s="10"/>
      <c r="Y470" s="10"/>
      <c r="Z470" s="10"/>
      <c r="AA470" s="10"/>
      <c r="AB470" s="10"/>
      <c r="AC470" s="10"/>
      <c r="AD470" t="s">
        <v>19</v>
      </c>
      <c r="AE470" t="s">
        <v>19</v>
      </c>
      <c r="AG470">
        <v>1</v>
      </c>
    </row>
    <row r="471" spans="1:33">
      <c r="A471" t="s">
        <v>701</v>
      </c>
      <c r="B471" s="4" t="s">
        <v>1922</v>
      </c>
      <c r="C471" s="4" t="s">
        <v>1923</v>
      </c>
      <c r="G471" s="10" t="s">
        <v>2199</v>
      </c>
      <c r="H471" s="10"/>
      <c r="I471" s="10"/>
      <c r="J471" s="10"/>
      <c r="K471" s="10"/>
      <c r="L471" s="10"/>
      <c r="M471" s="10"/>
      <c r="N471" s="11"/>
      <c r="O471" s="10"/>
      <c r="P471" s="10"/>
      <c r="Q471" s="10">
        <v>-2</v>
      </c>
      <c r="R471" s="10">
        <v>5</v>
      </c>
      <c r="S471" s="10">
        <v>3</v>
      </c>
      <c r="T471" s="10"/>
      <c r="U471" s="10"/>
      <c r="V471" s="10"/>
      <c r="W471" s="10"/>
      <c r="X471" s="10"/>
      <c r="Y471" s="10"/>
      <c r="Z471" s="10"/>
      <c r="AA471" s="10"/>
      <c r="AB471" s="10"/>
      <c r="AC471" s="10"/>
      <c r="AD471" t="s">
        <v>19</v>
      </c>
      <c r="AE471" t="s">
        <v>19</v>
      </c>
      <c r="AG471">
        <v>1</v>
      </c>
    </row>
    <row r="472" spans="1:33">
      <c r="A472" t="s">
        <v>702</v>
      </c>
      <c r="B472" s="4" t="s">
        <v>1925</v>
      </c>
      <c r="C472" s="4" t="s">
        <v>1924</v>
      </c>
      <c r="G472" s="10" t="s">
        <v>25</v>
      </c>
      <c r="H472" s="10"/>
      <c r="I472" s="10">
        <v>1</v>
      </c>
      <c r="J472" s="10">
        <v>3</v>
      </c>
      <c r="K472" s="10" t="s">
        <v>2168</v>
      </c>
      <c r="L472" s="10" t="s">
        <v>2153</v>
      </c>
      <c r="M472" s="10" t="s">
        <v>2229</v>
      </c>
      <c r="N472" s="11" t="s">
        <v>2309</v>
      </c>
      <c r="O472" s="10"/>
      <c r="P472" s="10">
        <v>1701</v>
      </c>
      <c r="Q472" s="10"/>
      <c r="R472" s="10" t="s">
        <v>2387</v>
      </c>
      <c r="S472" s="10" t="s">
        <v>2387</v>
      </c>
      <c r="T472" s="10"/>
      <c r="U472" s="10"/>
      <c r="V472" s="10"/>
      <c r="W472" s="10"/>
      <c r="X472" s="10"/>
      <c r="Y472" s="10"/>
      <c r="Z472" s="10"/>
      <c r="AA472" s="10"/>
      <c r="AB472" s="10"/>
      <c r="AC472" s="10"/>
      <c r="AD472" t="s">
        <v>19</v>
      </c>
      <c r="AE472" t="s">
        <v>19</v>
      </c>
      <c r="AG472">
        <v>1</v>
      </c>
    </row>
    <row r="473" spans="1:33">
      <c r="A473" t="s">
        <v>702</v>
      </c>
      <c r="B473" s="4" t="s">
        <v>1926</v>
      </c>
      <c r="C473" s="4" t="s">
        <v>1927</v>
      </c>
      <c r="G473" s="10" t="s">
        <v>2201</v>
      </c>
      <c r="H473" s="10"/>
      <c r="I473" s="10"/>
      <c r="J473" s="10"/>
      <c r="K473" s="10"/>
      <c r="L473" s="10"/>
      <c r="M473" s="10"/>
      <c r="N473" s="11"/>
      <c r="O473" s="10"/>
      <c r="P473" s="10"/>
      <c r="Q473" s="10"/>
      <c r="R473" s="10" t="s">
        <v>2387</v>
      </c>
      <c r="S473" s="10" t="s">
        <v>2387</v>
      </c>
      <c r="T473" s="10"/>
      <c r="U473" s="10"/>
      <c r="V473" s="10"/>
      <c r="W473" s="10"/>
      <c r="X473" s="10"/>
      <c r="Y473" s="10"/>
      <c r="Z473" s="10"/>
      <c r="AA473" s="10"/>
      <c r="AB473" s="10"/>
      <c r="AC473" s="10"/>
      <c r="AD473" t="s">
        <v>19</v>
      </c>
      <c r="AE473" t="s">
        <v>19</v>
      </c>
      <c r="AG473">
        <v>1</v>
      </c>
    </row>
    <row r="474" spans="1:33">
      <c r="A474" t="s">
        <v>703</v>
      </c>
      <c r="B474" s="4" t="s">
        <v>1929</v>
      </c>
      <c r="C474" s="4" t="s">
        <v>1928</v>
      </c>
      <c r="F474" t="s">
        <v>19</v>
      </c>
      <c r="G474" s="10" t="s">
        <v>2201</v>
      </c>
      <c r="H474" s="10"/>
      <c r="I474" s="10"/>
      <c r="J474" s="10"/>
      <c r="K474" s="10"/>
      <c r="L474" s="10"/>
      <c r="M474" s="10"/>
      <c r="N474" s="11"/>
      <c r="O474" s="10"/>
      <c r="P474" s="10"/>
      <c r="Q474" s="10"/>
      <c r="R474" s="10" t="s">
        <v>2387</v>
      </c>
      <c r="S474" s="10" t="s">
        <v>2387</v>
      </c>
      <c r="T474" s="10"/>
      <c r="U474" s="10"/>
      <c r="V474" s="10"/>
      <c r="W474" s="10"/>
      <c r="X474" s="10"/>
      <c r="Y474" s="10"/>
      <c r="Z474" s="10"/>
      <c r="AA474" s="10"/>
      <c r="AB474" s="10"/>
      <c r="AC474" s="10"/>
      <c r="AD474" t="s">
        <v>20</v>
      </c>
      <c r="AE474" t="s">
        <v>20</v>
      </c>
      <c r="AG474">
        <v>0</v>
      </c>
    </row>
    <row r="475" spans="1:33" ht="29">
      <c r="A475" t="s">
        <v>704</v>
      </c>
      <c r="B475" s="4" t="s">
        <v>1931</v>
      </c>
      <c r="C475" s="4" t="s">
        <v>1932</v>
      </c>
      <c r="G475" s="10" t="s">
        <v>2201</v>
      </c>
      <c r="H475" s="10"/>
      <c r="I475" s="10"/>
      <c r="J475" s="10"/>
      <c r="K475" s="10"/>
      <c r="L475" s="10"/>
      <c r="M475" s="10"/>
      <c r="N475" s="11"/>
      <c r="O475" s="10"/>
      <c r="P475" s="10"/>
      <c r="Q475" s="10"/>
      <c r="R475" s="10" t="s">
        <v>2387</v>
      </c>
      <c r="S475" s="10" t="s">
        <v>2387</v>
      </c>
      <c r="T475" s="10"/>
      <c r="U475" s="10"/>
      <c r="V475" s="10"/>
      <c r="W475" s="10"/>
      <c r="X475" s="10"/>
      <c r="Y475" s="10"/>
      <c r="Z475" s="10"/>
      <c r="AA475" s="10"/>
      <c r="AB475" s="10"/>
      <c r="AC475" s="10"/>
      <c r="AD475" t="s">
        <v>19</v>
      </c>
      <c r="AE475" t="s">
        <v>19</v>
      </c>
      <c r="AG475">
        <v>1</v>
      </c>
    </row>
    <row r="476" spans="1:33" ht="29">
      <c r="A476" t="s">
        <v>704</v>
      </c>
      <c r="B476" s="4" t="s">
        <v>1930</v>
      </c>
      <c r="C476" s="4" t="s">
        <v>1933</v>
      </c>
      <c r="G476" s="10" t="s">
        <v>24</v>
      </c>
      <c r="H476" s="10"/>
      <c r="I476" s="10">
        <v>1</v>
      </c>
      <c r="J476" s="10">
        <v>4</v>
      </c>
      <c r="K476" s="10" t="s">
        <v>2219</v>
      </c>
      <c r="L476" s="10" t="s">
        <v>2159</v>
      </c>
      <c r="M476" s="10"/>
      <c r="N476" s="11"/>
      <c r="O476" s="10"/>
      <c r="P476" s="10">
        <v>295</v>
      </c>
      <c r="Q476" s="10"/>
      <c r="R476" s="10" t="s">
        <v>2387</v>
      </c>
      <c r="S476" s="10" t="s">
        <v>2387</v>
      </c>
      <c r="T476" s="10"/>
      <c r="U476" s="10"/>
      <c r="V476" s="10"/>
      <c r="W476" s="10"/>
      <c r="X476" s="10"/>
      <c r="Y476" s="10"/>
      <c r="Z476" s="10"/>
      <c r="AA476" s="10"/>
      <c r="AB476" s="10"/>
      <c r="AC476" s="10"/>
      <c r="AD476" t="s">
        <v>19</v>
      </c>
      <c r="AE476" t="s">
        <v>19</v>
      </c>
      <c r="AG476">
        <v>1</v>
      </c>
    </row>
    <row r="477" spans="1:33" ht="43.5">
      <c r="A477" t="s">
        <v>705</v>
      </c>
      <c r="B477" s="4" t="s">
        <v>1935</v>
      </c>
      <c r="C477" s="4" t="s">
        <v>1934</v>
      </c>
      <c r="G477" s="10" t="s">
        <v>26</v>
      </c>
      <c r="H477" s="10"/>
      <c r="I477" s="10"/>
      <c r="J477" s="10"/>
      <c r="K477" s="10"/>
      <c r="L477" s="10"/>
      <c r="M477" s="10"/>
      <c r="N477" s="11"/>
      <c r="O477" s="10"/>
      <c r="P477" s="10"/>
      <c r="Q477" s="10"/>
      <c r="R477" s="10" t="s">
        <v>2387</v>
      </c>
      <c r="S477" s="10" t="s">
        <v>2387</v>
      </c>
      <c r="T477" s="10"/>
      <c r="U477" s="10"/>
      <c r="V477" s="10"/>
      <c r="W477" s="10"/>
      <c r="X477" s="10"/>
      <c r="Y477" s="10"/>
      <c r="Z477" s="10"/>
      <c r="AA477" s="10"/>
      <c r="AB477" s="10"/>
      <c r="AC477" s="10"/>
      <c r="AD477" t="s">
        <v>19</v>
      </c>
      <c r="AE477" t="s">
        <v>19</v>
      </c>
      <c r="AG477">
        <v>1</v>
      </c>
    </row>
    <row r="478" spans="1:33">
      <c r="A478" t="s">
        <v>706</v>
      </c>
      <c r="B478" s="4" t="s">
        <v>1936</v>
      </c>
      <c r="C478" s="4" t="s">
        <v>1937</v>
      </c>
      <c r="G478" s="10" t="s">
        <v>24</v>
      </c>
      <c r="H478" s="10"/>
      <c r="I478" s="10">
        <v>1</v>
      </c>
      <c r="J478" s="10">
        <v>2</v>
      </c>
      <c r="K478" s="10" t="s">
        <v>2168</v>
      </c>
      <c r="L478" s="10" t="s">
        <v>2200</v>
      </c>
      <c r="M478" s="10"/>
      <c r="N478" s="11"/>
      <c r="O478" s="10"/>
      <c r="P478" s="10">
        <v>171</v>
      </c>
      <c r="Q478" s="10"/>
      <c r="R478" s="10" t="s">
        <v>2387</v>
      </c>
      <c r="S478" s="10" t="s">
        <v>2387</v>
      </c>
      <c r="T478" s="10"/>
      <c r="U478" s="10"/>
      <c r="V478" s="10"/>
      <c r="W478" s="10"/>
      <c r="X478" s="10"/>
      <c r="Y478" s="10"/>
      <c r="Z478" s="10"/>
      <c r="AA478" s="10"/>
      <c r="AB478" s="10"/>
      <c r="AC478" s="10"/>
      <c r="AD478" t="s">
        <v>19</v>
      </c>
      <c r="AE478" t="s">
        <v>19</v>
      </c>
      <c r="AG478">
        <v>1</v>
      </c>
    </row>
    <row r="479" spans="1:33" ht="29">
      <c r="A479" t="s">
        <v>709</v>
      </c>
      <c r="B479" s="4" t="s">
        <v>1939</v>
      </c>
      <c r="C479" s="4" t="s">
        <v>1938</v>
      </c>
      <c r="G479" s="10" t="s">
        <v>2202</v>
      </c>
      <c r="H479" s="10"/>
      <c r="I479" s="10"/>
      <c r="J479" s="10"/>
      <c r="K479" s="10"/>
      <c r="L479" s="10"/>
      <c r="M479" s="10"/>
      <c r="N479" s="11"/>
      <c r="O479" s="10"/>
      <c r="P479" s="10"/>
      <c r="Q479" s="10">
        <v>4</v>
      </c>
      <c r="R479" s="10">
        <v>2</v>
      </c>
      <c r="S479" s="10">
        <v>6</v>
      </c>
      <c r="T479" s="10"/>
      <c r="U479" s="10"/>
      <c r="V479" s="10"/>
      <c r="W479" s="10"/>
      <c r="X479" s="10"/>
      <c r="Y479" s="10"/>
      <c r="Z479" s="10"/>
      <c r="AA479" s="10"/>
      <c r="AB479" s="10"/>
      <c r="AC479" s="10"/>
      <c r="AD479" t="s">
        <v>19</v>
      </c>
      <c r="AE479" t="s">
        <v>19</v>
      </c>
      <c r="AG479">
        <v>1</v>
      </c>
    </row>
    <row r="480" spans="1:33">
      <c r="A480" t="s">
        <v>709</v>
      </c>
      <c r="B480" s="4" t="s">
        <v>1940</v>
      </c>
      <c r="C480" s="4" t="s">
        <v>1941</v>
      </c>
      <c r="G480" s="10" t="s">
        <v>2201</v>
      </c>
      <c r="H480" s="10"/>
      <c r="I480" s="10"/>
      <c r="J480" s="10"/>
      <c r="K480" s="10"/>
      <c r="L480" s="10"/>
      <c r="M480" s="10"/>
      <c r="N480" s="11"/>
      <c r="O480" s="10"/>
      <c r="P480" s="10"/>
      <c r="Q480" s="10"/>
      <c r="R480" s="10" t="s">
        <v>2387</v>
      </c>
      <c r="S480" s="10" t="s">
        <v>2387</v>
      </c>
      <c r="T480" s="10"/>
      <c r="U480" s="10"/>
      <c r="V480" s="10"/>
      <c r="W480" s="10"/>
      <c r="X480" s="10"/>
      <c r="Y480" s="10"/>
      <c r="Z480" s="10"/>
      <c r="AA480" s="10"/>
      <c r="AB480" s="10"/>
      <c r="AC480" s="10"/>
      <c r="AD480" t="s">
        <v>19</v>
      </c>
      <c r="AE480" t="s">
        <v>19</v>
      </c>
      <c r="AG480">
        <v>1</v>
      </c>
    </row>
    <row r="481" spans="1:33">
      <c r="A481" t="s">
        <v>710</v>
      </c>
      <c r="B481" s="4" t="s">
        <v>711</v>
      </c>
      <c r="C481" s="4" t="s">
        <v>712</v>
      </c>
      <c r="G481" s="10" t="s">
        <v>2199</v>
      </c>
      <c r="H481" s="10"/>
      <c r="I481" s="10"/>
      <c r="J481" s="10"/>
      <c r="K481" s="10"/>
      <c r="L481" s="10"/>
      <c r="M481" s="10"/>
      <c r="N481" s="11"/>
      <c r="O481" s="10"/>
      <c r="P481" s="10"/>
      <c r="Q481" s="10">
        <v>-1</v>
      </c>
      <c r="R481" s="10">
        <v>1</v>
      </c>
      <c r="S481" s="10">
        <v>0</v>
      </c>
      <c r="T481" s="10"/>
      <c r="U481" s="10"/>
      <c r="V481" s="10"/>
      <c r="W481" s="10"/>
      <c r="X481" s="10"/>
      <c r="Y481" s="10"/>
      <c r="Z481" s="10"/>
      <c r="AA481" s="10"/>
      <c r="AB481" s="10"/>
      <c r="AC481" s="10"/>
      <c r="AD481" t="s">
        <v>19</v>
      </c>
      <c r="AE481" t="s">
        <v>20</v>
      </c>
      <c r="AG481">
        <v>1</v>
      </c>
    </row>
    <row r="482" spans="1:33">
      <c r="A482" t="s">
        <v>714</v>
      </c>
      <c r="B482" s="4" t="s">
        <v>1944</v>
      </c>
      <c r="C482" s="4" t="s">
        <v>1943</v>
      </c>
      <c r="G482" s="10" t="s">
        <v>24</v>
      </c>
      <c r="H482" s="10"/>
      <c r="I482" s="10">
        <v>1</v>
      </c>
      <c r="J482" s="10">
        <v>3</v>
      </c>
      <c r="K482" s="10" t="s">
        <v>2175</v>
      </c>
      <c r="L482" s="10" t="s">
        <v>2159</v>
      </c>
      <c r="M482" s="10"/>
      <c r="N482" s="11"/>
      <c r="O482" s="10"/>
      <c r="P482" s="10">
        <v>743</v>
      </c>
      <c r="Q482" s="10"/>
      <c r="R482" s="10" t="s">
        <v>2387</v>
      </c>
      <c r="S482" s="10" t="s">
        <v>2387</v>
      </c>
      <c r="T482" s="10"/>
      <c r="U482" s="10"/>
      <c r="V482" s="10"/>
      <c r="W482" s="10"/>
      <c r="X482" s="10"/>
      <c r="Y482" s="10"/>
      <c r="Z482" s="10"/>
      <c r="AA482" s="10"/>
      <c r="AB482" s="10"/>
      <c r="AC482" s="10"/>
      <c r="AD482" t="s">
        <v>19</v>
      </c>
      <c r="AE482" t="s">
        <v>19</v>
      </c>
      <c r="AG482">
        <v>1</v>
      </c>
    </row>
    <row r="483" spans="1:33" ht="43.5">
      <c r="A483" t="s">
        <v>715</v>
      </c>
      <c r="B483" s="4" t="s">
        <v>1946</v>
      </c>
      <c r="C483" s="4" t="s">
        <v>1945</v>
      </c>
      <c r="G483" s="10" t="s">
        <v>25</v>
      </c>
      <c r="H483" s="10"/>
      <c r="I483" s="10">
        <v>1</v>
      </c>
      <c r="J483" s="10">
        <v>3</v>
      </c>
      <c r="K483" s="10" t="s">
        <v>2168</v>
      </c>
      <c r="L483" s="10" t="s">
        <v>2159</v>
      </c>
      <c r="M483" s="10"/>
      <c r="N483" s="11"/>
      <c r="O483" s="10"/>
      <c r="P483" s="10">
        <v>1701</v>
      </c>
      <c r="Q483" s="10"/>
      <c r="R483" s="10" t="s">
        <v>2387</v>
      </c>
      <c r="S483" s="10" t="s">
        <v>2387</v>
      </c>
      <c r="T483" s="10"/>
      <c r="U483" s="10"/>
      <c r="V483" s="10"/>
      <c r="W483" s="10"/>
      <c r="X483" s="10"/>
      <c r="Y483" s="10"/>
      <c r="Z483" s="10"/>
      <c r="AA483" s="10"/>
      <c r="AB483" s="10"/>
      <c r="AC483" s="10"/>
      <c r="AD483" t="s">
        <v>19</v>
      </c>
      <c r="AE483" t="s">
        <v>19</v>
      </c>
      <c r="AG483">
        <v>1</v>
      </c>
    </row>
    <row r="484" spans="1:33" ht="43.5">
      <c r="A484" t="s">
        <v>715</v>
      </c>
      <c r="B484" s="4" t="s">
        <v>1947</v>
      </c>
      <c r="C484" s="4" t="s">
        <v>1948</v>
      </c>
      <c r="G484" s="10" t="s">
        <v>2201</v>
      </c>
      <c r="H484" s="10"/>
      <c r="I484" s="10"/>
      <c r="J484" s="10"/>
      <c r="K484" s="10"/>
      <c r="L484" s="10"/>
      <c r="M484" s="10"/>
      <c r="N484" s="11"/>
      <c r="O484" s="10"/>
      <c r="P484" s="10"/>
      <c r="Q484" s="10"/>
      <c r="R484" s="10" t="s">
        <v>2387</v>
      </c>
      <c r="S484" s="10" t="s">
        <v>2387</v>
      </c>
      <c r="T484" s="10"/>
      <c r="U484" s="10"/>
      <c r="V484" s="10"/>
      <c r="W484" s="10"/>
      <c r="X484" s="10"/>
      <c r="Y484" s="10"/>
      <c r="Z484" s="10"/>
      <c r="AA484" s="10"/>
      <c r="AB484" s="10"/>
      <c r="AC484" s="10"/>
      <c r="AD484" t="s">
        <v>19</v>
      </c>
      <c r="AE484" t="s">
        <v>19</v>
      </c>
      <c r="AG484">
        <v>1</v>
      </c>
    </row>
    <row r="485" spans="1:33">
      <c r="A485" t="s">
        <v>716</v>
      </c>
      <c r="B485" s="4" t="s">
        <v>1950</v>
      </c>
      <c r="C485" s="4" t="s">
        <v>1949</v>
      </c>
      <c r="G485" s="10" t="s">
        <v>25</v>
      </c>
      <c r="H485" s="10"/>
      <c r="I485" s="10">
        <v>1</v>
      </c>
      <c r="J485" s="10">
        <v>3</v>
      </c>
      <c r="K485" s="10" t="s">
        <v>2168</v>
      </c>
      <c r="L485" s="10" t="s">
        <v>2159</v>
      </c>
      <c r="M485" s="10"/>
      <c r="N485" s="11"/>
      <c r="O485" s="10"/>
      <c r="P485" s="10">
        <v>186</v>
      </c>
      <c r="Q485" s="10"/>
      <c r="R485" s="10" t="s">
        <v>2387</v>
      </c>
      <c r="S485" s="10" t="s">
        <v>2387</v>
      </c>
      <c r="T485" s="10"/>
      <c r="U485" s="10"/>
      <c r="V485" s="10"/>
      <c r="W485" s="10"/>
      <c r="X485" s="10"/>
      <c r="Y485" s="10"/>
      <c r="Z485" s="10"/>
      <c r="AA485" s="10"/>
      <c r="AB485" s="10"/>
      <c r="AC485" s="10"/>
      <c r="AD485" t="s">
        <v>19</v>
      </c>
      <c r="AE485" t="s">
        <v>19</v>
      </c>
      <c r="AG485">
        <v>1</v>
      </c>
    </row>
    <row r="486" spans="1:33">
      <c r="A486" t="s">
        <v>717</v>
      </c>
      <c r="B486" s="4" t="s">
        <v>1951</v>
      </c>
      <c r="C486" s="4" t="s">
        <v>1952</v>
      </c>
      <c r="G486" s="10" t="s">
        <v>2199</v>
      </c>
      <c r="H486" s="10"/>
      <c r="I486" s="10"/>
      <c r="J486" s="10"/>
      <c r="K486" s="10"/>
      <c r="L486" s="10"/>
      <c r="M486" s="10"/>
      <c r="N486" s="11"/>
      <c r="O486" s="10"/>
      <c r="P486" s="10"/>
      <c r="Q486" s="10">
        <v>-5</v>
      </c>
      <c r="R486" s="10">
        <v>31</v>
      </c>
      <c r="S486" s="10">
        <v>26</v>
      </c>
      <c r="T486" s="10"/>
      <c r="U486" s="10"/>
      <c r="V486" s="10"/>
      <c r="W486" s="10"/>
      <c r="X486" s="10"/>
      <c r="Y486" s="10"/>
      <c r="Z486" s="10"/>
      <c r="AA486" s="10"/>
      <c r="AB486" s="10"/>
      <c r="AC486" s="10"/>
      <c r="AD486" t="s">
        <v>19</v>
      </c>
      <c r="AE486" t="s">
        <v>19</v>
      </c>
      <c r="AG486">
        <v>1</v>
      </c>
    </row>
    <row r="487" spans="1:33">
      <c r="A487" t="s">
        <v>717</v>
      </c>
      <c r="B487" s="4" t="s">
        <v>1956</v>
      </c>
      <c r="C487" s="4" t="s">
        <v>1955</v>
      </c>
      <c r="G487" s="10" t="s">
        <v>25</v>
      </c>
      <c r="H487" s="10"/>
      <c r="I487" s="10">
        <v>1</v>
      </c>
      <c r="J487" s="10">
        <v>3</v>
      </c>
      <c r="K487" s="10" t="s">
        <v>2168</v>
      </c>
      <c r="L487" s="10" t="s">
        <v>2159</v>
      </c>
      <c r="M487" s="10"/>
      <c r="N487" s="11"/>
      <c r="O487" s="10"/>
      <c r="P487" s="10">
        <v>1701</v>
      </c>
      <c r="Q487" s="10"/>
      <c r="R487" s="10" t="s">
        <v>2387</v>
      </c>
      <c r="S487" s="10" t="s">
        <v>2387</v>
      </c>
      <c r="T487" s="10"/>
      <c r="U487" s="10"/>
      <c r="V487" s="10"/>
      <c r="W487" s="10"/>
      <c r="X487" s="10"/>
      <c r="Y487" s="10"/>
      <c r="Z487" s="10"/>
      <c r="AA487" s="10"/>
      <c r="AB487" s="10"/>
      <c r="AC487" s="10"/>
      <c r="AD487" t="s">
        <v>19</v>
      </c>
      <c r="AE487" t="s">
        <v>20</v>
      </c>
      <c r="AG487">
        <v>1</v>
      </c>
    </row>
    <row r="488" spans="1:33">
      <c r="A488" t="s">
        <v>720</v>
      </c>
      <c r="B488" s="4" t="s">
        <v>1957</v>
      </c>
      <c r="C488" s="4" t="s">
        <v>1958</v>
      </c>
      <c r="G488" s="10" t="s">
        <v>2201</v>
      </c>
      <c r="H488" s="10"/>
      <c r="I488" s="10"/>
      <c r="J488" s="10"/>
      <c r="K488" s="10"/>
      <c r="L488" s="10"/>
      <c r="M488" s="10"/>
      <c r="N488" s="11"/>
      <c r="O488" s="10"/>
      <c r="P488" s="10"/>
      <c r="Q488" s="10"/>
      <c r="R488" s="10" t="s">
        <v>2387</v>
      </c>
      <c r="S488" s="10" t="s">
        <v>2387</v>
      </c>
      <c r="T488" s="10"/>
      <c r="U488" s="10"/>
      <c r="V488" s="10"/>
      <c r="W488" s="10"/>
      <c r="X488" s="10"/>
      <c r="Y488" s="10"/>
      <c r="Z488" s="10"/>
      <c r="AA488" s="10"/>
      <c r="AB488" s="10"/>
      <c r="AC488" s="10"/>
      <c r="AD488" t="s">
        <v>19</v>
      </c>
      <c r="AE488" t="s">
        <v>20</v>
      </c>
      <c r="AG488">
        <v>1</v>
      </c>
    </row>
    <row r="489" spans="1:33">
      <c r="A489" t="s">
        <v>720</v>
      </c>
      <c r="B489" s="4" t="s">
        <v>1959</v>
      </c>
      <c r="C489" s="4" t="s">
        <v>1960</v>
      </c>
      <c r="G489" s="10" t="s">
        <v>2201</v>
      </c>
      <c r="H489" s="10"/>
      <c r="I489" s="10"/>
      <c r="J489" s="10"/>
      <c r="K489" s="10"/>
      <c r="L489" s="10"/>
      <c r="M489" s="10"/>
      <c r="N489" s="11"/>
      <c r="O489" s="10"/>
      <c r="P489" s="10"/>
      <c r="Q489" s="10"/>
      <c r="R489" s="10" t="s">
        <v>2387</v>
      </c>
      <c r="S489" s="10" t="s">
        <v>2387</v>
      </c>
      <c r="T489" s="10"/>
      <c r="U489" s="10"/>
      <c r="V489" s="10"/>
      <c r="W489" s="10"/>
      <c r="X489" s="10"/>
      <c r="Y489" s="10"/>
      <c r="Z489" s="10"/>
      <c r="AA489" s="10"/>
      <c r="AB489" s="10"/>
      <c r="AC489" s="10"/>
      <c r="AD489" t="s">
        <v>19</v>
      </c>
      <c r="AE489" t="s">
        <v>19</v>
      </c>
      <c r="AG489">
        <v>1</v>
      </c>
    </row>
    <row r="490" spans="1:33">
      <c r="A490" t="s">
        <v>721</v>
      </c>
      <c r="B490" s="4" t="s">
        <v>1961</v>
      </c>
      <c r="C490" s="4" t="s">
        <v>1962</v>
      </c>
      <c r="G490" s="10" t="s">
        <v>25</v>
      </c>
      <c r="H490" s="10"/>
      <c r="I490" s="10">
        <v>1</v>
      </c>
      <c r="J490" s="10">
        <v>2</v>
      </c>
      <c r="K490" s="10" t="s">
        <v>2158</v>
      </c>
      <c r="L490" s="10" t="s">
        <v>2200</v>
      </c>
      <c r="M490" s="10"/>
      <c r="N490" s="11"/>
      <c r="O490" s="10"/>
      <c r="P490" s="10">
        <v>2475</v>
      </c>
      <c r="Q490" s="10"/>
      <c r="R490" s="10" t="s">
        <v>2387</v>
      </c>
      <c r="S490" s="10" t="s">
        <v>2387</v>
      </c>
      <c r="T490" s="10"/>
      <c r="U490" s="10"/>
      <c r="V490" s="10"/>
      <c r="W490" s="10"/>
      <c r="X490" s="10"/>
      <c r="Y490" s="10"/>
      <c r="Z490" s="10"/>
      <c r="AA490" s="10"/>
      <c r="AB490" s="10"/>
      <c r="AC490" s="10"/>
      <c r="AD490" t="s">
        <v>19</v>
      </c>
      <c r="AE490" t="s">
        <v>20</v>
      </c>
      <c r="AG490">
        <v>1</v>
      </c>
    </row>
    <row r="491" spans="1:33">
      <c r="A491" t="s">
        <v>723</v>
      </c>
      <c r="B491" s="4" t="s">
        <v>1968</v>
      </c>
      <c r="C491" s="4" t="s">
        <v>1967</v>
      </c>
      <c r="G491" s="10" t="s">
        <v>2199</v>
      </c>
      <c r="H491" s="10"/>
      <c r="I491" s="10"/>
      <c r="J491" s="10"/>
      <c r="K491" s="10"/>
      <c r="L491" s="10"/>
      <c r="M491" s="10"/>
      <c r="N491" s="11"/>
      <c r="O491" s="10"/>
      <c r="P491" s="10"/>
      <c r="Q491" s="10">
        <v>-1862</v>
      </c>
      <c r="R491" s="10">
        <v>2475</v>
      </c>
      <c r="S491" s="10">
        <v>613</v>
      </c>
      <c r="T491" s="10"/>
      <c r="U491" s="10"/>
      <c r="V491" s="10"/>
      <c r="W491" s="10"/>
      <c r="X491" s="10"/>
      <c r="Y491" s="10"/>
      <c r="Z491" s="10"/>
      <c r="AA491" s="10"/>
      <c r="AB491" s="10"/>
      <c r="AC491" s="10"/>
      <c r="AD491" t="s">
        <v>19</v>
      </c>
      <c r="AE491" t="s">
        <v>20</v>
      </c>
      <c r="AG491">
        <v>1</v>
      </c>
    </row>
    <row r="492" spans="1:33">
      <c r="A492" t="s">
        <v>724</v>
      </c>
      <c r="B492" s="4" t="s">
        <v>1972</v>
      </c>
      <c r="C492" s="4" t="s">
        <v>1971</v>
      </c>
      <c r="G492" s="10" t="s">
        <v>2201</v>
      </c>
      <c r="H492" s="10"/>
      <c r="I492" s="10"/>
      <c r="J492" s="10"/>
      <c r="K492" s="10"/>
      <c r="L492" s="10"/>
      <c r="M492" s="10"/>
      <c r="N492" s="11"/>
      <c r="O492" s="10"/>
      <c r="P492" s="10"/>
      <c r="Q492" s="10"/>
      <c r="R492" s="10" t="s">
        <v>2387</v>
      </c>
      <c r="S492" s="10" t="s">
        <v>2387</v>
      </c>
      <c r="T492" s="10"/>
      <c r="U492" s="10"/>
      <c r="V492" s="10"/>
      <c r="W492" s="10"/>
      <c r="X492" s="10"/>
      <c r="Y492" s="10"/>
      <c r="Z492" s="10"/>
      <c r="AA492" s="10"/>
      <c r="AB492" s="10"/>
      <c r="AC492" s="10"/>
      <c r="AD492" t="s">
        <v>19</v>
      </c>
      <c r="AE492" t="s">
        <v>20</v>
      </c>
      <c r="AG492">
        <v>1</v>
      </c>
    </row>
    <row r="493" spans="1:33" ht="29">
      <c r="A493" t="s">
        <v>725</v>
      </c>
      <c r="B493" s="4" t="s">
        <v>1974</v>
      </c>
      <c r="C493" s="4" t="s">
        <v>1975</v>
      </c>
      <c r="G493" s="10" t="s">
        <v>24</v>
      </c>
      <c r="H493" s="10"/>
      <c r="I493" s="10">
        <v>1</v>
      </c>
      <c r="J493" s="10">
        <v>2</v>
      </c>
      <c r="K493" s="10" t="s">
        <v>2168</v>
      </c>
      <c r="L493" s="10" t="s">
        <v>2200</v>
      </c>
      <c r="M493" s="10"/>
      <c r="N493" s="11"/>
      <c r="O493" s="10"/>
      <c r="P493" s="10">
        <v>171</v>
      </c>
      <c r="Q493" s="10"/>
      <c r="R493" s="10" t="s">
        <v>2387</v>
      </c>
      <c r="S493" s="10" t="s">
        <v>2387</v>
      </c>
      <c r="T493" s="10"/>
      <c r="U493" s="10"/>
      <c r="V493" s="10"/>
      <c r="W493" s="10"/>
      <c r="X493" s="10"/>
      <c r="Y493" s="10"/>
      <c r="Z493" s="10"/>
      <c r="AA493" s="10"/>
      <c r="AB493" s="10"/>
      <c r="AC493" s="10"/>
      <c r="AD493" t="s">
        <v>19</v>
      </c>
      <c r="AE493" t="s">
        <v>19</v>
      </c>
      <c r="AG493">
        <v>1</v>
      </c>
    </row>
    <row r="494" spans="1:33" ht="29">
      <c r="A494" t="s">
        <v>725</v>
      </c>
      <c r="B494" s="4" t="s">
        <v>1976</v>
      </c>
      <c r="C494" s="4" t="s">
        <v>1973</v>
      </c>
      <c r="G494" s="10" t="s">
        <v>25</v>
      </c>
      <c r="H494" s="10"/>
      <c r="I494" s="10">
        <v>1</v>
      </c>
      <c r="J494" s="10">
        <v>3</v>
      </c>
      <c r="K494" s="10" t="s">
        <v>2168</v>
      </c>
      <c r="L494" s="10" t="s">
        <v>2159</v>
      </c>
      <c r="M494" s="10"/>
      <c r="N494" s="11"/>
      <c r="O494" s="10"/>
      <c r="P494" s="10">
        <v>1701</v>
      </c>
      <c r="Q494" s="10"/>
      <c r="R494" s="10" t="s">
        <v>2387</v>
      </c>
      <c r="S494" s="10" t="s">
        <v>2387</v>
      </c>
      <c r="T494" s="10"/>
      <c r="U494" s="10"/>
      <c r="V494" s="10"/>
      <c r="W494" s="10"/>
      <c r="X494" s="10"/>
      <c r="Y494" s="10"/>
      <c r="Z494" s="10"/>
      <c r="AA494" s="10"/>
      <c r="AB494" s="10"/>
      <c r="AC494" s="10"/>
      <c r="AD494" t="s">
        <v>19</v>
      </c>
      <c r="AE494" t="s">
        <v>20</v>
      </c>
      <c r="AG494">
        <v>1</v>
      </c>
    </row>
    <row r="495" spans="1:33" ht="29">
      <c r="A495" t="s">
        <v>725</v>
      </c>
      <c r="B495" s="4" t="s">
        <v>2316</v>
      </c>
      <c r="C495" s="4" t="s">
        <v>2317</v>
      </c>
      <c r="G495" s="10" t="s">
        <v>2201</v>
      </c>
      <c r="H495" s="10"/>
      <c r="I495" s="10"/>
      <c r="J495" s="10"/>
      <c r="K495" s="10"/>
      <c r="L495" s="10"/>
      <c r="M495" s="10"/>
      <c r="N495" s="11"/>
      <c r="O495" s="10"/>
      <c r="P495" s="10"/>
      <c r="Q495" s="10"/>
      <c r="R495" s="10" t="s">
        <v>2387</v>
      </c>
      <c r="S495" s="10" t="s">
        <v>2387</v>
      </c>
      <c r="T495" s="10"/>
      <c r="U495" s="10"/>
      <c r="V495" s="10"/>
      <c r="W495" s="10"/>
      <c r="X495" s="10"/>
      <c r="Y495" s="10"/>
      <c r="Z495" s="10"/>
      <c r="AA495" s="10"/>
      <c r="AB495" s="10"/>
      <c r="AC495" s="10"/>
      <c r="AD495" t="s">
        <v>19</v>
      </c>
      <c r="AE495" t="s">
        <v>19</v>
      </c>
      <c r="AG495">
        <v>1</v>
      </c>
    </row>
    <row r="496" spans="1:33">
      <c r="A496" t="s">
        <v>727</v>
      </c>
      <c r="B496" s="4" t="s">
        <v>685</v>
      </c>
      <c r="C496" s="4" t="s">
        <v>728</v>
      </c>
      <c r="G496" s="10" t="s">
        <v>2199</v>
      </c>
      <c r="H496" s="10"/>
      <c r="I496" s="10"/>
      <c r="J496" s="10"/>
      <c r="K496" s="10"/>
      <c r="L496" s="10"/>
      <c r="M496" s="10"/>
      <c r="N496" s="11"/>
      <c r="O496" s="10"/>
      <c r="P496" s="10"/>
      <c r="Q496" s="10">
        <v>-14</v>
      </c>
      <c r="R496" s="10">
        <v>23</v>
      </c>
      <c r="S496" s="10">
        <v>9</v>
      </c>
      <c r="T496" s="10"/>
      <c r="U496" s="10"/>
      <c r="V496" s="10"/>
      <c r="W496" s="10"/>
      <c r="X496" s="10"/>
      <c r="Y496" s="10"/>
      <c r="Z496" s="10"/>
      <c r="AA496" s="10"/>
      <c r="AB496" s="10"/>
      <c r="AC496" s="10"/>
      <c r="AD496" t="s">
        <v>20</v>
      </c>
      <c r="AE496" t="s">
        <v>19</v>
      </c>
      <c r="AG496">
        <v>0</v>
      </c>
    </row>
    <row r="497" spans="1:33">
      <c r="A497" t="s">
        <v>731</v>
      </c>
      <c r="B497" s="4" t="s">
        <v>732</v>
      </c>
      <c r="C497" s="4" t="s">
        <v>733</v>
      </c>
      <c r="G497" s="10" t="s">
        <v>2201</v>
      </c>
      <c r="H497" s="10"/>
      <c r="I497" s="10"/>
      <c r="J497" s="10"/>
      <c r="K497" s="10"/>
      <c r="L497" s="10"/>
      <c r="M497" s="10"/>
      <c r="N497" s="11"/>
      <c r="O497" s="10"/>
      <c r="P497" s="10"/>
      <c r="Q497" s="10"/>
      <c r="R497" s="10" t="s">
        <v>2387</v>
      </c>
      <c r="S497" s="10" t="s">
        <v>2387</v>
      </c>
      <c r="T497" s="10"/>
      <c r="U497" s="10"/>
      <c r="V497" s="10"/>
      <c r="W497" s="10"/>
      <c r="X497" s="10"/>
      <c r="Y497" s="10"/>
      <c r="Z497" s="10"/>
      <c r="AA497" s="10"/>
      <c r="AB497" s="10"/>
      <c r="AC497" s="10"/>
      <c r="AD497" t="s">
        <v>19</v>
      </c>
      <c r="AE497" t="s">
        <v>20</v>
      </c>
      <c r="AG497">
        <v>1</v>
      </c>
    </row>
    <row r="498" spans="1:33">
      <c r="A498" t="s">
        <v>734</v>
      </c>
      <c r="B498" s="4" t="s">
        <v>1977</v>
      </c>
      <c r="C498" s="4" t="s">
        <v>1978</v>
      </c>
      <c r="G498" s="10" t="s">
        <v>25</v>
      </c>
      <c r="H498" s="10"/>
      <c r="I498" s="10">
        <v>1</v>
      </c>
      <c r="J498" s="10">
        <v>5</v>
      </c>
      <c r="K498" s="10" t="s">
        <v>2219</v>
      </c>
      <c r="L498" s="10" t="s">
        <v>2153</v>
      </c>
      <c r="M498" s="10" t="s">
        <v>2231</v>
      </c>
      <c r="N498" s="11" t="s">
        <v>2230</v>
      </c>
      <c r="O498" s="10"/>
      <c r="P498" s="10">
        <v>295</v>
      </c>
      <c r="Q498" s="10"/>
      <c r="R498" s="10" t="s">
        <v>2387</v>
      </c>
      <c r="S498" s="10" t="s">
        <v>2387</v>
      </c>
      <c r="T498" s="10"/>
      <c r="U498" s="10"/>
      <c r="V498" s="10"/>
      <c r="W498" s="10"/>
      <c r="X498" s="10"/>
      <c r="Y498" s="10"/>
      <c r="Z498" s="10"/>
      <c r="AA498" s="10"/>
      <c r="AB498" s="10"/>
      <c r="AC498" s="10"/>
      <c r="AD498" t="s">
        <v>19</v>
      </c>
      <c r="AE498" t="s">
        <v>20</v>
      </c>
      <c r="AG498">
        <v>1</v>
      </c>
    </row>
    <row r="499" spans="1:33">
      <c r="A499" t="s">
        <v>735</v>
      </c>
      <c r="B499" s="4" t="s">
        <v>738</v>
      </c>
      <c r="C499" s="4" t="s">
        <v>739</v>
      </c>
      <c r="G499" s="10" t="s">
        <v>2199</v>
      </c>
      <c r="H499" s="10"/>
      <c r="I499" s="10"/>
      <c r="J499" s="10"/>
      <c r="K499" s="10"/>
      <c r="L499" s="10"/>
      <c r="M499" s="10"/>
      <c r="N499" s="11"/>
      <c r="O499" s="10"/>
      <c r="P499" s="10"/>
      <c r="Q499" s="10">
        <v>-2</v>
      </c>
      <c r="R499" s="10">
        <v>2</v>
      </c>
      <c r="S499" s="10">
        <v>0</v>
      </c>
      <c r="T499" s="10"/>
      <c r="U499" s="10"/>
      <c r="V499" s="10"/>
      <c r="W499" s="10"/>
      <c r="X499" s="10"/>
      <c r="Y499" s="10"/>
      <c r="Z499" s="10"/>
      <c r="AA499" s="10"/>
      <c r="AB499" s="10"/>
      <c r="AC499" s="10"/>
      <c r="AD499" t="s">
        <v>19</v>
      </c>
      <c r="AE499" t="s">
        <v>20</v>
      </c>
      <c r="AG499">
        <v>1</v>
      </c>
    </row>
    <row r="500" spans="1:33" ht="29">
      <c r="A500" t="s">
        <v>740</v>
      </c>
      <c r="B500" s="4" t="s">
        <v>1979</v>
      </c>
      <c r="C500" s="4" t="s">
        <v>1982</v>
      </c>
      <c r="G500" s="10" t="s">
        <v>24</v>
      </c>
      <c r="H500" s="10"/>
      <c r="I500" s="10">
        <v>1</v>
      </c>
      <c r="J500" s="10">
        <v>1</v>
      </c>
      <c r="K500" s="10" t="s">
        <v>2152</v>
      </c>
      <c r="L500" s="10" t="s">
        <v>2200</v>
      </c>
      <c r="M500" s="10"/>
      <c r="N500" s="11"/>
      <c r="O500" s="10"/>
      <c r="P500" s="10">
        <v>5</v>
      </c>
      <c r="Q500" s="10"/>
      <c r="R500" s="10" t="s">
        <v>2387</v>
      </c>
      <c r="S500" s="10" t="s">
        <v>2387</v>
      </c>
      <c r="T500" s="10"/>
      <c r="U500" s="10"/>
      <c r="V500" s="10"/>
      <c r="W500" s="10"/>
      <c r="X500" s="10"/>
      <c r="Y500" s="10"/>
      <c r="Z500" s="10"/>
      <c r="AA500" s="10"/>
      <c r="AB500" s="10"/>
      <c r="AC500" s="10"/>
      <c r="AD500" t="s">
        <v>19</v>
      </c>
      <c r="AE500" t="s">
        <v>19</v>
      </c>
      <c r="AG500">
        <v>1</v>
      </c>
    </row>
    <row r="501" spans="1:33" ht="29">
      <c r="A501" t="s">
        <v>741</v>
      </c>
      <c r="B501" s="4" t="s">
        <v>1984</v>
      </c>
      <c r="C501" s="4" t="s">
        <v>1983</v>
      </c>
      <c r="G501" s="10" t="s">
        <v>2199</v>
      </c>
      <c r="H501" s="10"/>
      <c r="I501" s="10"/>
      <c r="J501" s="10"/>
      <c r="K501" s="10"/>
      <c r="L501" s="10"/>
      <c r="M501" s="10"/>
      <c r="N501" s="11"/>
      <c r="O501" s="10"/>
      <c r="P501" s="10"/>
      <c r="Q501" s="10">
        <v>1615</v>
      </c>
      <c r="R501" s="10">
        <v>86</v>
      </c>
      <c r="S501" s="10">
        <v>1701</v>
      </c>
      <c r="T501" s="10"/>
      <c r="U501" s="10"/>
      <c r="V501" s="10"/>
      <c r="W501" s="10"/>
      <c r="X501" s="10"/>
      <c r="Y501" s="10"/>
      <c r="Z501" s="10"/>
      <c r="AA501" s="10"/>
      <c r="AB501" s="10"/>
      <c r="AC501" s="10"/>
      <c r="AD501" t="s">
        <v>19</v>
      </c>
      <c r="AE501" t="s">
        <v>20</v>
      </c>
      <c r="AG501">
        <v>1</v>
      </c>
    </row>
    <row r="502" spans="1:33">
      <c r="A502" t="s">
        <v>744</v>
      </c>
      <c r="B502" s="4" t="s">
        <v>1986</v>
      </c>
      <c r="C502" s="4" t="s">
        <v>1985</v>
      </c>
      <c r="G502" s="10" t="s">
        <v>24</v>
      </c>
      <c r="H502" s="10"/>
      <c r="I502" s="10">
        <v>1</v>
      </c>
      <c r="J502" s="10">
        <v>5</v>
      </c>
      <c r="K502" s="10" t="s">
        <v>2175</v>
      </c>
      <c r="L502" s="10" t="s">
        <v>2159</v>
      </c>
      <c r="M502" s="10"/>
      <c r="N502" s="11"/>
      <c r="O502" s="10"/>
      <c r="P502" s="10">
        <v>830</v>
      </c>
      <c r="Q502" s="10"/>
      <c r="R502" s="10" t="s">
        <v>2387</v>
      </c>
      <c r="S502" s="10" t="s">
        <v>2387</v>
      </c>
      <c r="T502" s="10"/>
      <c r="U502" s="10"/>
      <c r="V502" s="10"/>
      <c r="W502" s="10"/>
      <c r="X502" s="10"/>
      <c r="Y502" s="10"/>
      <c r="Z502" s="10"/>
      <c r="AA502" s="10"/>
      <c r="AB502" s="10"/>
      <c r="AC502" s="10"/>
      <c r="AD502" t="s">
        <v>19</v>
      </c>
      <c r="AE502" t="s">
        <v>19</v>
      </c>
      <c r="AG502">
        <v>1</v>
      </c>
    </row>
    <row r="503" spans="1:33">
      <c r="A503" t="s">
        <v>745</v>
      </c>
      <c r="B503" s="4" t="s">
        <v>1987</v>
      </c>
      <c r="C503" s="4" t="s">
        <v>1988</v>
      </c>
      <c r="G503" s="10" t="s">
        <v>2199</v>
      </c>
      <c r="H503" s="10"/>
      <c r="I503" s="10"/>
      <c r="J503" s="10"/>
      <c r="K503" s="10"/>
      <c r="L503" s="10"/>
      <c r="M503" s="10"/>
      <c r="N503" s="11"/>
      <c r="O503" s="10"/>
      <c r="P503" s="10"/>
      <c r="Q503" s="10">
        <v>-58</v>
      </c>
      <c r="R503" s="10">
        <v>79</v>
      </c>
      <c r="S503" s="10">
        <v>21</v>
      </c>
      <c r="T503" s="10"/>
      <c r="U503" s="10"/>
      <c r="V503" s="10"/>
      <c r="W503" s="10"/>
      <c r="X503" s="10"/>
      <c r="Y503" s="10"/>
      <c r="Z503" s="10"/>
      <c r="AA503" s="10"/>
      <c r="AB503" s="10"/>
      <c r="AC503" s="10"/>
      <c r="AD503" t="s">
        <v>19</v>
      </c>
      <c r="AE503" t="s">
        <v>19</v>
      </c>
      <c r="AG503">
        <v>1</v>
      </c>
    </row>
    <row r="504" spans="1:33">
      <c r="A504" t="s">
        <v>746</v>
      </c>
      <c r="B504" s="4" t="s">
        <v>1989</v>
      </c>
      <c r="C504" s="4" t="s">
        <v>1990</v>
      </c>
      <c r="G504" s="10" t="s">
        <v>2199</v>
      </c>
      <c r="H504" s="10"/>
      <c r="I504" s="10"/>
      <c r="J504" s="10"/>
      <c r="K504" s="10"/>
      <c r="L504" s="10"/>
      <c r="M504" s="10"/>
      <c r="N504" s="11"/>
      <c r="O504" s="10"/>
      <c r="P504" s="10"/>
      <c r="Q504" s="10">
        <v>-1</v>
      </c>
      <c r="R504" s="10">
        <v>1</v>
      </c>
      <c r="S504" s="10">
        <v>0</v>
      </c>
      <c r="T504" s="10"/>
      <c r="U504" s="10"/>
      <c r="V504" s="10"/>
      <c r="W504" s="10"/>
      <c r="X504" s="10"/>
      <c r="Y504" s="10"/>
      <c r="Z504" s="10"/>
      <c r="AA504" s="10"/>
      <c r="AB504" s="10"/>
      <c r="AC504" s="10"/>
      <c r="AD504" t="s">
        <v>19</v>
      </c>
      <c r="AE504" t="s">
        <v>19</v>
      </c>
      <c r="AG504">
        <v>1</v>
      </c>
    </row>
    <row r="505" spans="1:33" ht="29">
      <c r="A505" t="s">
        <v>746</v>
      </c>
      <c r="B505" s="4" t="s">
        <v>2448</v>
      </c>
      <c r="C505" s="4" t="s">
        <v>2319</v>
      </c>
      <c r="G505" s="10" t="s">
        <v>2199</v>
      </c>
      <c r="H505" s="10"/>
      <c r="I505" s="10"/>
      <c r="J505" s="10"/>
      <c r="K505" s="10"/>
      <c r="L505" s="10"/>
      <c r="M505" s="10"/>
      <c r="N505" s="11"/>
      <c r="O505" s="10"/>
      <c r="P505" s="10"/>
      <c r="Q505" s="10">
        <v>-249</v>
      </c>
      <c r="R505" s="10">
        <v>280</v>
      </c>
      <c r="S505" s="10">
        <v>31</v>
      </c>
      <c r="T505" s="10"/>
      <c r="U505" s="10"/>
      <c r="V505" s="10"/>
      <c r="W505" s="10"/>
      <c r="X505" s="10"/>
      <c r="Y505" s="10"/>
      <c r="Z505" s="10"/>
      <c r="AA505" s="10"/>
      <c r="AB505" s="10"/>
      <c r="AC505" s="10"/>
      <c r="AD505" t="s">
        <v>19</v>
      </c>
      <c r="AE505" t="s">
        <v>20</v>
      </c>
      <c r="AG505">
        <v>1</v>
      </c>
    </row>
    <row r="506" spans="1:33">
      <c r="A506" t="s">
        <v>747</v>
      </c>
      <c r="B506" s="4" t="s">
        <v>748</v>
      </c>
      <c r="C506" s="4" t="s">
        <v>749</v>
      </c>
      <c r="G506" s="10" t="s">
        <v>2201</v>
      </c>
      <c r="H506" s="10"/>
      <c r="I506" s="10"/>
      <c r="J506" s="10"/>
      <c r="K506" s="10"/>
      <c r="L506" s="10"/>
      <c r="M506" s="10"/>
      <c r="N506" s="11"/>
      <c r="O506" s="10"/>
      <c r="P506" s="10"/>
      <c r="Q506" s="10"/>
      <c r="R506" s="10" t="s">
        <v>2387</v>
      </c>
      <c r="S506" s="10" t="s">
        <v>2387</v>
      </c>
      <c r="T506" s="10"/>
      <c r="U506" s="10"/>
      <c r="V506" s="10"/>
      <c r="W506" s="10"/>
      <c r="X506" s="10"/>
      <c r="Y506" s="10"/>
      <c r="Z506" s="10"/>
      <c r="AA506" s="10"/>
      <c r="AB506" s="10"/>
      <c r="AC506" s="10"/>
      <c r="AD506" t="s">
        <v>20</v>
      </c>
      <c r="AE506" t="s">
        <v>20</v>
      </c>
      <c r="AG506">
        <v>0</v>
      </c>
    </row>
    <row r="507" spans="1:33">
      <c r="A507" t="s">
        <v>747</v>
      </c>
      <c r="B507" s="4" t="s">
        <v>1992</v>
      </c>
      <c r="C507" s="4" t="s">
        <v>1991</v>
      </c>
      <c r="G507" s="10" t="s">
        <v>25</v>
      </c>
      <c r="H507" s="10"/>
      <c r="I507" s="10">
        <v>1</v>
      </c>
      <c r="J507" s="10">
        <v>3</v>
      </c>
      <c r="K507" s="10" t="s">
        <v>2175</v>
      </c>
      <c r="L507" s="10" t="s">
        <v>2159</v>
      </c>
      <c r="M507" s="10"/>
      <c r="N507" s="11"/>
      <c r="O507" s="10"/>
      <c r="P507" s="10">
        <v>312</v>
      </c>
      <c r="Q507" s="10"/>
      <c r="R507" s="10" t="s">
        <v>2387</v>
      </c>
      <c r="S507" s="10" t="s">
        <v>2387</v>
      </c>
      <c r="T507" s="10"/>
      <c r="U507" s="10"/>
      <c r="V507" s="10"/>
      <c r="W507" s="10"/>
      <c r="X507" s="10"/>
      <c r="Y507" s="10"/>
      <c r="Z507" s="10"/>
      <c r="AA507" s="10"/>
      <c r="AB507" s="10"/>
      <c r="AC507" s="10"/>
      <c r="AD507" t="s">
        <v>19</v>
      </c>
      <c r="AE507" t="s">
        <v>20</v>
      </c>
      <c r="AG507">
        <v>1</v>
      </c>
    </row>
    <row r="508" spans="1:33">
      <c r="A508" t="s">
        <v>747</v>
      </c>
      <c r="B508" s="4" t="s">
        <v>1994</v>
      </c>
      <c r="C508" s="4" t="s">
        <v>1993</v>
      </c>
      <c r="G508" s="10" t="s">
        <v>25</v>
      </c>
      <c r="H508" s="10"/>
      <c r="I508" s="10">
        <v>1</v>
      </c>
      <c r="J508" s="10">
        <v>1</v>
      </c>
      <c r="K508" s="10" t="s">
        <v>2158</v>
      </c>
      <c r="L508" s="10" t="s">
        <v>2200</v>
      </c>
      <c r="M508" s="10"/>
      <c r="N508" s="11"/>
      <c r="O508" s="10"/>
      <c r="P508" s="10">
        <v>2475</v>
      </c>
      <c r="Q508" s="10"/>
      <c r="R508" s="10" t="s">
        <v>2387</v>
      </c>
      <c r="S508" s="10" t="s">
        <v>2387</v>
      </c>
      <c r="T508" s="10"/>
      <c r="U508" s="10"/>
      <c r="V508" s="10"/>
      <c r="W508" s="10"/>
      <c r="X508" s="10"/>
      <c r="Y508" s="10"/>
      <c r="Z508" s="10"/>
      <c r="AA508" s="10"/>
      <c r="AB508" s="10"/>
      <c r="AC508" s="10"/>
      <c r="AD508" t="s">
        <v>19</v>
      </c>
      <c r="AE508" t="s">
        <v>20</v>
      </c>
      <c r="AG508">
        <v>1</v>
      </c>
    </row>
    <row r="509" spans="1:33">
      <c r="A509" t="s">
        <v>747</v>
      </c>
      <c r="B509" s="4" t="s">
        <v>1996</v>
      </c>
      <c r="C509" s="4" t="s">
        <v>1995</v>
      </c>
      <c r="G509" s="10" t="s">
        <v>24</v>
      </c>
      <c r="H509" s="10"/>
      <c r="I509" s="10">
        <v>1</v>
      </c>
      <c r="J509" s="10">
        <v>5</v>
      </c>
      <c r="K509" s="10" t="s">
        <v>2219</v>
      </c>
      <c r="L509" s="10" t="s">
        <v>2159</v>
      </c>
      <c r="M509" s="10"/>
      <c r="N509" s="11"/>
      <c r="O509" s="10"/>
      <c r="P509" s="10">
        <v>295</v>
      </c>
      <c r="Q509" s="10"/>
      <c r="R509" s="10" t="s">
        <v>2387</v>
      </c>
      <c r="S509" s="10" t="s">
        <v>2387</v>
      </c>
      <c r="T509" s="10"/>
      <c r="U509" s="10"/>
      <c r="V509" s="10"/>
      <c r="W509" s="10"/>
      <c r="X509" s="10"/>
      <c r="Y509" s="10"/>
      <c r="Z509" s="10"/>
      <c r="AA509" s="10"/>
      <c r="AB509" s="10"/>
      <c r="AC509" s="10"/>
      <c r="AD509" t="s">
        <v>19</v>
      </c>
      <c r="AE509" t="s">
        <v>19</v>
      </c>
      <c r="AG509">
        <v>1</v>
      </c>
    </row>
    <row r="510" spans="1:33">
      <c r="A510" t="s">
        <v>750</v>
      </c>
      <c r="B510" s="4" t="s">
        <v>1998</v>
      </c>
      <c r="C510" s="4" t="s">
        <v>1997</v>
      </c>
      <c r="G510" s="10" t="s">
        <v>25</v>
      </c>
      <c r="H510" s="10"/>
      <c r="I510" s="10">
        <v>1</v>
      </c>
      <c r="J510" s="10">
        <v>5</v>
      </c>
      <c r="K510" s="10" t="s">
        <v>2175</v>
      </c>
      <c r="L510" s="10" t="s">
        <v>2159</v>
      </c>
      <c r="M510" s="10"/>
      <c r="N510" s="11"/>
      <c r="O510" s="10"/>
      <c r="P510" s="10">
        <v>830</v>
      </c>
      <c r="Q510" s="10"/>
      <c r="R510" s="10" t="s">
        <v>2387</v>
      </c>
      <c r="S510" s="10" t="s">
        <v>2387</v>
      </c>
      <c r="T510" s="10"/>
      <c r="U510" s="10"/>
      <c r="V510" s="10"/>
      <c r="W510" s="10"/>
      <c r="X510" s="10"/>
      <c r="Y510" s="10"/>
      <c r="Z510" s="10"/>
      <c r="AA510" s="10"/>
      <c r="AB510" s="10"/>
      <c r="AC510" s="10"/>
      <c r="AD510" t="s">
        <v>19</v>
      </c>
      <c r="AE510" t="s">
        <v>19</v>
      </c>
      <c r="AG510">
        <v>1</v>
      </c>
    </row>
    <row r="511" spans="1:33" ht="29">
      <c r="A511" t="s">
        <v>753</v>
      </c>
      <c r="B511" s="4" t="s">
        <v>2449</v>
      </c>
      <c r="C511" s="4" t="s">
        <v>2000</v>
      </c>
      <c r="G511" s="10" t="s">
        <v>2199</v>
      </c>
      <c r="H511" s="10"/>
      <c r="I511" s="10"/>
      <c r="J511" s="10"/>
      <c r="K511" s="10"/>
      <c r="L511" s="10"/>
      <c r="M511" s="10"/>
      <c r="N511" s="11"/>
      <c r="O511" s="10"/>
      <c r="P511" s="10"/>
      <c r="Q511" s="10">
        <v>62</v>
      </c>
      <c r="R511" s="10">
        <v>250</v>
      </c>
      <c r="S511" s="10">
        <v>312</v>
      </c>
      <c r="T511" s="10"/>
      <c r="U511" s="10"/>
      <c r="V511" s="10"/>
      <c r="W511" s="10"/>
      <c r="X511" s="10"/>
      <c r="Y511" s="10"/>
      <c r="Z511" s="10"/>
      <c r="AA511" s="10"/>
      <c r="AB511" s="10"/>
      <c r="AC511" s="10"/>
      <c r="AD511" t="s">
        <v>19</v>
      </c>
      <c r="AE511" t="s">
        <v>19</v>
      </c>
      <c r="AG511">
        <v>1</v>
      </c>
    </row>
    <row r="512" spans="1:33">
      <c r="A512" t="s">
        <v>753</v>
      </c>
      <c r="B512" s="4" t="s">
        <v>2001</v>
      </c>
      <c r="C512" s="4" t="s">
        <v>2002</v>
      </c>
      <c r="G512" s="10" t="s">
        <v>24</v>
      </c>
      <c r="H512" s="10"/>
      <c r="I512" s="10">
        <v>1</v>
      </c>
      <c r="J512" s="10">
        <v>3</v>
      </c>
      <c r="K512" s="10" t="s">
        <v>2158</v>
      </c>
      <c r="L512" s="10" t="s">
        <v>2153</v>
      </c>
      <c r="M512" s="10" t="s">
        <v>2231</v>
      </c>
      <c r="N512" s="11" t="s">
        <v>2230</v>
      </c>
      <c r="O512" s="10"/>
      <c r="P512" s="10">
        <v>2475</v>
      </c>
      <c r="Q512" s="10"/>
      <c r="R512" s="10" t="s">
        <v>2387</v>
      </c>
      <c r="S512" s="10" t="s">
        <v>2387</v>
      </c>
      <c r="T512" s="10"/>
      <c r="U512" s="10"/>
      <c r="V512" s="10"/>
      <c r="W512" s="10"/>
      <c r="X512" s="10"/>
      <c r="Y512" s="10"/>
      <c r="Z512" s="10"/>
      <c r="AA512" s="10"/>
      <c r="AB512" s="10"/>
      <c r="AC512" s="10"/>
      <c r="AD512" t="s">
        <v>19</v>
      </c>
      <c r="AE512" t="s">
        <v>19</v>
      </c>
      <c r="AG512">
        <v>1</v>
      </c>
    </row>
    <row r="513" spans="1:33">
      <c r="A513" t="s">
        <v>754</v>
      </c>
      <c r="B513" s="4" t="s">
        <v>2004</v>
      </c>
      <c r="C513" s="4" t="s">
        <v>2003</v>
      </c>
      <c r="G513" s="10" t="s">
        <v>2199</v>
      </c>
      <c r="H513" s="10"/>
      <c r="I513" s="10"/>
      <c r="J513" s="10"/>
      <c r="K513" s="10"/>
      <c r="L513" s="10"/>
      <c r="M513" s="10"/>
      <c r="N513" s="11"/>
      <c r="O513" s="10"/>
      <c r="P513" s="10"/>
      <c r="Q513" s="10">
        <v>80</v>
      </c>
      <c r="R513" s="10">
        <v>25</v>
      </c>
      <c r="S513" s="10">
        <v>105</v>
      </c>
      <c r="T513" s="10"/>
      <c r="U513" s="10"/>
      <c r="V513" s="10"/>
      <c r="W513" s="10"/>
      <c r="X513" s="10"/>
      <c r="Y513" s="10"/>
      <c r="Z513" s="10"/>
      <c r="AA513" s="10"/>
      <c r="AB513" s="10"/>
      <c r="AC513" s="10"/>
      <c r="AD513" t="s">
        <v>19</v>
      </c>
      <c r="AE513" t="s">
        <v>19</v>
      </c>
      <c r="AG513">
        <v>1</v>
      </c>
    </row>
    <row r="514" spans="1:33">
      <c r="A514" t="s">
        <v>755</v>
      </c>
      <c r="B514" s="4" t="s">
        <v>2006</v>
      </c>
      <c r="C514" s="4" t="s">
        <v>2005</v>
      </c>
      <c r="G514" s="10" t="s">
        <v>2201</v>
      </c>
      <c r="H514" s="10"/>
      <c r="I514" s="10"/>
      <c r="J514" s="10"/>
      <c r="K514" s="10"/>
      <c r="L514" s="10"/>
      <c r="M514" s="10"/>
      <c r="N514" s="11"/>
      <c r="O514" s="10"/>
      <c r="P514" s="10"/>
      <c r="Q514" s="10"/>
      <c r="R514" s="10" t="s">
        <v>2387</v>
      </c>
      <c r="S514" s="10" t="s">
        <v>2387</v>
      </c>
      <c r="T514" s="10"/>
      <c r="U514" s="10"/>
      <c r="V514" s="10"/>
      <c r="W514" s="10"/>
      <c r="X514" s="10"/>
      <c r="Y514" s="10"/>
      <c r="Z514" s="10"/>
      <c r="AA514" s="10"/>
      <c r="AB514" s="10"/>
      <c r="AC514" s="10"/>
      <c r="AD514" t="s">
        <v>19</v>
      </c>
      <c r="AE514" t="s">
        <v>19</v>
      </c>
      <c r="AG514">
        <v>1</v>
      </c>
    </row>
    <row r="515" spans="1:33" ht="29">
      <c r="A515" t="s">
        <v>755</v>
      </c>
      <c r="B515" s="4" t="s">
        <v>2007</v>
      </c>
      <c r="C515" s="4" t="s">
        <v>2009</v>
      </c>
      <c r="G515" s="10" t="s">
        <v>25</v>
      </c>
      <c r="H515" s="10"/>
      <c r="I515" s="10">
        <v>1</v>
      </c>
      <c r="J515" s="10">
        <v>1</v>
      </c>
      <c r="K515" s="10" t="s">
        <v>2158</v>
      </c>
      <c r="L515" s="10" t="s">
        <v>2200</v>
      </c>
      <c r="M515" s="10"/>
      <c r="N515" s="11"/>
      <c r="O515" s="10"/>
      <c r="P515" s="10">
        <v>2475</v>
      </c>
      <c r="Q515" s="10"/>
      <c r="R515" s="10" t="s">
        <v>2387</v>
      </c>
      <c r="S515" s="10" t="s">
        <v>2387</v>
      </c>
      <c r="T515" s="10"/>
      <c r="U515" s="10"/>
      <c r="V515" s="10"/>
      <c r="W515" s="10"/>
      <c r="X515" s="10"/>
      <c r="Y515" s="10"/>
      <c r="Z515" s="10"/>
      <c r="AA515" s="10"/>
      <c r="AB515" s="10"/>
      <c r="AC515" s="10"/>
      <c r="AD515" t="s">
        <v>19</v>
      </c>
      <c r="AE515" t="s">
        <v>19</v>
      </c>
      <c r="AG515">
        <v>1</v>
      </c>
    </row>
    <row r="516" spans="1:33">
      <c r="A516" t="s">
        <v>756</v>
      </c>
      <c r="B516" s="4" t="s">
        <v>2011</v>
      </c>
      <c r="C516" s="4" t="s">
        <v>2012</v>
      </c>
      <c r="G516" s="10" t="s">
        <v>25</v>
      </c>
      <c r="H516" s="10"/>
      <c r="I516" s="10">
        <v>1</v>
      </c>
      <c r="J516" s="10">
        <v>3</v>
      </c>
      <c r="K516" s="10" t="s">
        <v>2177</v>
      </c>
      <c r="L516" s="10" t="s">
        <v>2159</v>
      </c>
      <c r="M516" s="10"/>
      <c r="N516" s="11"/>
      <c r="O516" s="10"/>
      <c r="P516" s="10">
        <v>166</v>
      </c>
      <c r="Q516" s="10"/>
      <c r="R516" s="10" t="s">
        <v>2387</v>
      </c>
      <c r="S516" s="10" t="s">
        <v>2387</v>
      </c>
      <c r="T516" s="10"/>
      <c r="U516" s="10"/>
      <c r="V516" s="10"/>
      <c r="W516" s="10"/>
      <c r="X516" s="10"/>
      <c r="Y516" s="10"/>
      <c r="Z516" s="10"/>
      <c r="AA516" s="10"/>
      <c r="AB516" s="10"/>
      <c r="AC516" s="10"/>
      <c r="AD516" t="s">
        <v>19</v>
      </c>
      <c r="AE516" t="s">
        <v>19</v>
      </c>
      <c r="AG516">
        <v>1</v>
      </c>
    </row>
    <row r="517" spans="1:33">
      <c r="A517" t="s">
        <v>757</v>
      </c>
      <c r="B517" s="4" t="s">
        <v>2014</v>
      </c>
      <c r="C517" s="4" t="s">
        <v>2013</v>
      </c>
      <c r="G517" s="10" t="s">
        <v>2199</v>
      </c>
      <c r="H517" s="10"/>
      <c r="I517" s="10"/>
      <c r="J517" s="10"/>
      <c r="K517" s="10"/>
      <c r="L517" s="10"/>
      <c r="M517" s="10"/>
      <c r="N517" s="10"/>
      <c r="O517" s="10"/>
      <c r="P517" s="10"/>
      <c r="Q517" s="10">
        <v>-447</v>
      </c>
      <c r="R517" s="10">
        <v>613</v>
      </c>
      <c r="S517" s="10">
        <v>166</v>
      </c>
      <c r="T517" s="10"/>
      <c r="U517" s="10"/>
      <c r="V517" s="10"/>
      <c r="W517" s="10"/>
      <c r="X517" s="10"/>
      <c r="Y517" s="10"/>
      <c r="Z517" s="10"/>
      <c r="AA517" s="10"/>
      <c r="AB517" s="10"/>
      <c r="AC517" s="10"/>
      <c r="AD517" t="s">
        <v>19</v>
      </c>
      <c r="AE517" t="s">
        <v>19</v>
      </c>
      <c r="AG517">
        <v>1</v>
      </c>
    </row>
    <row r="518" spans="1:33" ht="43.5">
      <c r="A518" t="s">
        <v>757</v>
      </c>
      <c r="B518" s="4" t="s">
        <v>2016</v>
      </c>
      <c r="C518" s="4" t="s">
        <v>2017</v>
      </c>
      <c r="G518" s="10" t="s">
        <v>26</v>
      </c>
      <c r="H518" s="10"/>
      <c r="I518" s="10"/>
      <c r="J518" s="10"/>
      <c r="K518" s="10"/>
      <c r="L518" s="10"/>
      <c r="M518" s="10"/>
      <c r="N518" s="11"/>
      <c r="O518" s="10"/>
      <c r="P518" s="10"/>
      <c r="Q518" s="10"/>
      <c r="R518" s="10" t="s">
        <v>2387</v>
      </c>
      <c r="S518" s="10" t="s">
        <v>2387</v>
      </c>
      <c r="T518" s="10"/>
      <c r="U518" s="10"/>
      <c r="V518" s="10"/>
      <c r="W518" s="10"/>
      <c r="X518" s="10"/>
      <c r="Y518" s="10"/>
      <c r="Z518" s="10"/>
      <c r="AA518" s="10"/>
      <c r="AB518" s="10"/>
      <c r="AC518" s="10"/>
      <c r="AD518" t="s">
        <v>19</v>
      </c>
      <c r="AE518" t="s">
        <v>19</v>
      </c>
      <c r="AG518">
        <v>1</v>
      </c>
    </row>
    <row r="519" spans="1:33" ht="43.5">
      <c r="A519" t="s">
        <v>757</v>
      </c>
      <c r="B519" s="4" t="s">
        <v>2015</v>
      </c>
      <c r="C519" s="4" t="s">
        <v>2018</v>
      </c>
      <c r="G519" s="10" t="s">
        <v>24</v>
      </c>
      <c r="H519" s="10"/>
      <c r="I519" s="10">
        <v>1</v>
      </c>
      <c r="J519" s="10">
        <v>3</v>
      </c>
      <c r="K519" s="10" t="s">
        <v>2158</v>
      </c>
      <c r="L519" s="10" t="s">
        <v>2159</v>
      </c>
      <c r="M519" s="10"/>
      <c r="N519" s="11"/>
      <c r="O519" s="10"/>
      <c r="P519" s="10">
        <v>2475</v>
      </c>
      <c r="Q519" s="10"/>
      <c r="R519" s="10" t="s">
        <v>2387</v>
      </c>
      <c r="S519" s="10" t="s">
        <v>2387</v>
      </c>
      <c r="T519" s="10"/>
      <c r="U519" s="10"/>
      <c r="V519" s="10"/>
      <c r="W519" s="10"/>
      <c r="X519" s="10"/>
      <c r="Y519" s="10"/>
      <c r="Z519" s="10"/>
      <c r="AA519" s="10"/>
      <c r="AB519" s="10"/>
      <c r="AC519" s="10"/>
      <c r="AD519" t="s">
        <v>19</v>
      </c>
      <c r="AE519" t="s">
        <v>19</v>
      </c>
      <c r="AG519">
        <v>1</v>
      </c>
    </row>
    <row r="520" spans="1:33" ht="29">
      <c r="A520" t="s">
        <v>758</v>
      </c>
      <c r="B520" s="4" t="s">
        <v>2020</v>
      </c>
      <c r="C520" s="4" t="s">
        <v>2019</v>
      </c>
      <c r="G520" s="10" t="s">
        <v>24</v>
      </c>
      <c r="H520" s="10"/>
      <c r="I520" s="10">
        <v>1</v>
      </c>
      <c r="J520" s="10">
        <v>3</v>
      </c>
      <c r="K520" s="10" t="s">
        <v>2168</v>
      </c>
      <c r="L520" s="10" t="s">
        <v>2159</v>
      </c>
      <c r="M520" s="10"/>
      <c r="N520" s="11"/>
      <c r="O520" s="10"/>
      <c r="P520" s="10">
        <v>86</v>
      </c>
      <c r="Q520" s="10"/>
      <c r="R520" s="10" t="s">
        <v>2387</v>
      </c>
      <c r="S520" s="10" t="s">
        <v>2387</v>
      </c>
      <c r="T520" s="10"/>
      <c r="U520" s="10"/>
      <c r="V520" s="10"/>
      <c r="W520" s="10"/>
      <c r="X520" s="10"/>
      <c r="Y520" s="10"/>
      <c r="Z520" s="10"/>
      <c r="AA520" s="10"/>
      <c r="AB520" s="10"/>
      <c r="AC520" s="10"/>
      <c r="AD520" t="s">
        <v>19</v>
      </c>
      <c r="AE520" t="s">
        <v>19</v>
      </c>
      <c r="AG520">
        <v>1</v>
      </c>
    </row>
    <row r="521" spans="1:33">
      <c r="A521" t="s">
        <v>759</v>
      </c>
      <c r="B521" s="4" t="s">
        <v>2021</v>
      </c>
      <c r="C521" s="4" t="s">
        <v>2022</v>
      </c>
      <c r="G521" s="10" t="s">
        <v>2201</v>
      </c>
      <c r="H521" s="10"/>
      <c r="I521" s="10"/>
      <c r="J521" s="10"/>
      <c r="K521" s="10"/>
      <c r="L521" s="10"/>
      <c r="M521" s="10"/>
      <c r="N521" s="11"/>
      <c r="O521" s="10"/>
      <c r="P521" s="10"/>
      <c r="Q521" s="10"/>
      <c r="R521" s="10" t="s">
        <v>2387</v>
      </c>
      <c r="S521" s="10" t="s">
        <v>2387</v>
      </c>
      <c r="T521" s="10"/>
      <c r="U521" s="10"/>
      <c r="V521" s="10"/>
      <c r="W521" s="10"/>
      <c r="X521" s="10"/>
      <c r="Y521" s="10"/>
      <c r="Z521" s="10"/>
      <c r="AA521" s="10"/>
      <c r="AB521" s="10"/>
      <c r="AC521" s="10"/>
      <c r="AD521" t="s">
        <v>19</v>
      </c>
      <c r="AE521" t="s">
        <v>19</v>
      </c>
      <c r="AG521">
        <v>1</v>
      </c>
    </row>
    <row r="522" spans="1:33">
      <c r="A522" t="s">
        <v>760</v>
      </c>
      <c r="B522" s="4" t="s">
        <v>2026</v>
      </c>
      <c r="C522" s="4" t="s">
        <v>2023</v>
      </c>
      <c r="G522" s="10" t="s">
        <v>25</v>
      </c>
      <c r="H522" s="10"/>
      <c r="I522" s="10">
        <v>1</v>
      </c>
      <c r="J522" s="10">
        <v>1</v>
      </c>
      <c r="K522" s="10" t="s">
        <v>2158</v>
      </c>
      <c r="L522" s="10" t="s">
        <v>2200</v>
      </c>
      <c r="M522" s="10"/>
      <c r="N522" s="11"/>
      <c r="O522" s="10"/>
      <c r="P522" s="10">
        <v>2475</v>
      </c>
      <c r="Q522" s="10"/>
      <c r="R522" s="10" t="s">
        <v>2387</v>
      </c>
      <c r="S522" s="10" t="s">
        <v>2387</v>
      </c>
      <c r="T522" s="10"/>
      <c r="U522" s="10"/>
      <c r="V522" s="10"/>
      <c r="W522" s="10"/>
      <c r="X522" s="10"/>
      <c r="Y522" s="10"/>
      <c r="Z522" s="10"/>
      <c r="AA522" s="10"/>
      <c r="AB522" s="10"/>
      <c r="AC522" s="10"/>
      <c r="AD522" t="s">
        <v>19</v>
      </c>
      <c r="AE522" t="s">
        <v>19</v>
      </c>
      <c r="AG522">
        <v>1</v>
      </c>
    </row>
    <row r="523" spans="1:33">
      <c r="A523" t="s">
        <v>760</v>
      </c>
      <c r="B523" s="4" t="s">
        <v>2028</v>
      </c>
      <c r="C523" s="4" t="s">
        <v>2027</v>
      </c>
      <c r="G523" s="10" t="s">
        <v>2201</v>
      </c>
      <c r="H523" s="10"/>
      <c r="I523" s="10"/>
      <c r="J523" s="10"/>
      <c r="K523" s="10"/>
      <c r="L523" s="10"/>
      <c r="M523" s="10"/>
      <c r="N523" s="11"/>
      <c r="O523" s="10"/>
      <c r="P523" s="10"/>
      <c r="Q523" s="10"/>
      <c r="R523" s="10" t="s">
        <v>2387</v>
      </c>
      <c r="S523" s="10" t="s">
        <v>2387</v>
      </c>
      <c r="T523" s="10"/>
      <c r="U523" s="10"/>
      <c r="V523" s="10"/>
      <c r="W523" s="10"/>
      <c r="X523" s="10"/>
      <c r="Y523" s="10"/>
      <c r="Z523" s="10"/>
      <c r="AA523" s="10"/>
      <c r="AB523" s="10"/>
      <c r="AC523" s="10"/>
      <c r="AD523" t="s">
        <v>20</v>
      </c>
      <c r="AE523" t="s">
        <v>20</v>
      </c>
      <c r="AG523">
        <v>0</v>
      </c>
    </row>
    <row r="524" spans="1:33">
      <c r="A524" t="s">
        <v>761</v>
      </c>
      <c r="B524" s="4" t="s">
        <v>2029</v>
      </c>
      <c r="C524" s="4" t="s">
        <v>2030</v>
      </c>
      <c r="G524" s="10" t="s">
        <v>2201</v>
      </c>
      <c r="H524" s="10"/>
      <c r="I524" s="10"/>
      <c r="J524" s="10"/>
      <c r="K524" s="10"/>
      <c r="L524" s="10"/>
      <c r="M524" s="10"/>
      <c r="N524" s="11"/>
      <c r="O524" s="10"/>
      <c r="P524" s="10"/>
      <c r="Q524" s="10"/>
      <c r="R524" s="10" t="s">
        <v>2387</v>
      </c>
      <c r="S524" s="10" t="s">
        <v>2387</v>
      </c>
      <c r="T524" s="10"/>
      <c r="U524" s="10"/>
      <c r="V524" s="10"/>
      <c r="W524" s="10"/>
      <c r="X524" s="10"/>
      <c r="Y524" s="10"/>
      <c r="Z524" s="10"/>
      <c r="AA524" s="10"/>
      <c r="AB524" s="10"/>
      <c r="AC524" s="10"/>
      <c r="AD524" t="s">
        <v>19</v>
      </c>
      <c r="AE524" t="s">
        <v>19</v>
      </c>
      <c r="AG524">
        <v>1</v>
      </c>
    </row>
    <row r="525" spans="1:33">
      <c r="A525" t="s">
        <v>762</v>
      </c>
      <c r="B525" s="4" t="s">
        <v>2032</v>
      </c>
      <c r="C525" s="4" t="s">
        <v>2031</v>
      </c>
      <c r="G525" s="10" t="s">
        <v>24</v>
      </c>
      <c r="H525" s="10"/>
      <c r="I525" s="10">
        <v>1</v>
      </c>
      <c r="J525" s="10">
        <v>3</v>
      </c>
      <c r="K525" s="10" t="s">
        <v>2168</v>
      </c>
      <c r="L525" s="10" t="s">
        <v>2159</v>
      </c>
      <c r="M525" s="10"/>
      <c r="N525" s="11"/>
      <c r="O525" s="10"/>
      <c r="P525" s="10">
        <v>86</v>
      </c>
      <c r="Q525" s="10"/>
      <c r="R525" s="10" t="s">
        <v>2387</v>
      </c>
      <c r="S525" s="10" t="s">
        <v>2387</v>
      </c>
      <c r="T525" s="10"/>
      <c r="U525" s="10"/>
      <c r="V525" s="10"/>
      <c r="W525" s="10"/>
      <c r="X525" s="10"/>
      <c r="Y525" s="10"/>
      <c r="Z525" s="10"/>
      <c r="AA525" s="10"/>
      <c r="AB525" s="10"/>
      <c r="AC525" s="10"/>
      <c r="AD525" t="s">
        <v>19</v>
      </c>
      <c r="AE525" t="s">
        <v>19</v>
      </c>
      <c r="AG525">
        <v>1</v>
      </c>
    </row>
    <row r="526" spans="1:33">
      <c r="A526" t="s">
        <v>764</v>
      </c>
      <c r="B526" s="4" t="s">
        <v>2039</v>
      </c>
      <c r="C526" s="4" t="s">
        <v>2038</v>
      </c>
      <c r="G526" s="10" t="s">
        <v>25</v>
      </c>
      <c r="H526" s="10"/>
      <c r="I526" s="10">
        <v>1</v>
      </c>
      <c r="J526" s="10">
        <v>1</v>
      </c>
      <c r="K526" s="10" t="s">
        <v>2158</v>
      </c>
      <c r="L526" s="10" t="s">
        <v>2200</v>
      </c>
      <c r="M526" s="10"/>
      <c r="N526" s="11"/>
      <c r="O526" s="10"/>
      <c r="P526" s="10">
        <v>2475</v>
      </c>
      <c r="Q526" s="10"/>
      <c r="R526" s="10" t="s">
        <v>2387</v>
      </c>
      <c r="S526" s="10" t="s">
        <v>2387</v>
      </c>
      <c r="T526" s="10"/>
      <c r="U526" s="10"/>
      <c r="V526" s="10"/>
      <c r="W526" s="10"/>
      <c r="X526" s="10"/>
      <c r="Y526" s="10"/>
      <c r="Z526" s="10"/>
      <c r="AA526" s="10"/>
      <c r="AB526" s="10"/>
      <c r="AC526" s="10"/>
      <c r="AD526" t="s">
        <v>19</v>
      </c>
      <c r="AE526" t="s">
        <v>20</v>
      </c>
      <c r="AG526">
        <v>1</v>
      </c>
    </row>
    <row r="527" spans="1:33">
      <c r="A527" t="s">
        <v>768</v>
      </c>
      <c r="B527" s="4" t="s">
        <v>2042</v>
      </c>
      <c r="C527" s="4" t="s">
        <v>2043</v>
      </c>
      <c r="G527" s="10" t="s">
        <v>25</v>
      </c>
      <c r="H527" s="10"/>
      <c r="I527" s="10">
        <v>1</v>
      </c>
      <c r="J527" s="10">
        <v>3</v>
      </c>
      <c r="K527" s="10" t="s">
        <v>2158</v>
      </c>
      <c r="L527" s="10" t="s">
        <v>2159</v>
      </c>
      <c r="M527" s="10"/>
      <c r="N527" s="11"/>
      <c r="O527" s="10"/>
      <c r="P527" s="10">
        <v>2475</v>
      </c>
      <c r="Q527" s="10"/>
      <c r="R527" s="10" t="s">
        <v>2387</v>
      </c>
      <c r="S527" s="10" t="s">
        <v>2387</v>
      </c>
      <c r="T527" s="10"/>
      <c r="U527" s="10"/>
      <c r="V527" s="10"/>
      <c r="W527" s="10"/>
      <c r="X527" s="10"/>
      <c r="Y527" s="10"/>
      <c r="Z527" s="10"/>
      <c r="AA527" s="10"/>
      <c r="AB527" s="10"/>
      <c r="AC527" s="10"/>
      <c r="AD527" t="s">
        <v>19</v>
      </c>
      <c r="AE527" t="s">
        <v>19</v>
      </c>
      <c r="AG527">
        <v>1</v>
      </c>
    </row>
    <row r="528" spans="1:33">
      <c r="A528" t="s">
        <v>772</v>
      </c>
      <c r="B528" s="4" t="s">
        <v>2046</v>
      </c>
      <c r="C528" s="4" t="s">
        <v>2047</v>
      </c>
      <c r="G528" s="10" t="s">
        <v>25</v>
      </c>
      <c r="H528" s="10"/>
      <c r="I528" s="10">
        <v>1</v>
      </c>
      <c r="J528" s="10">
        <v>1</v>
      </c>
      <c r="K528" s="10" t="s">
        <v>2158</v>
      </c>
      <c r="L528" s="10" t="s">
        <v>2200</v>
      </c>
      <c r="M528" s="10"/>
      <c r="N528" s="11"/>
      <c r="O528" s="10"/>
      <c r="P528" s="10">
        <v>2475</v>
      </c>
      <c r="Q528" s="10"/>
      <c r="R528" s="10" t="s">
        <v>2387</v>
      </c>
      <c r="S528" s="10" t="s">
        <v>2387</v>
      </c>
      <c r="T528" s="10"/>
      <c r="U528" s="10"/>
      <c r="V528" s="10"/>
      <c r="W528" s="10"/>
      <c r="X528" s="10"/>
      <c r="Y528" s="10"/>
      <c r="Z528" s="10"/>
      <c r="AA528" s="10"/>
      <c r="AB528" s="10"/>
      <c r="AC528" s="10"/>
      <c r="AD528" t="s">
        <v>19</v>
      </c>
      <c r="AE528" t="s">
        <v>19</v>
      </c>
      <c r="AG528">
        <v>1</v>
      </c>
    </row>
    <row r="529" spans="1:33">
      <c r="A529" t="s">
        <v>774</v>
      </c>
      <c r="B529" s="4" t="s">
        <v>2051</v>
      </c>
      <c r="C529" s="4" t="s">
        <v>2050</v>
      </c>
      <c r="G529" s="10" t="s">
        <v>24</v>
      </c>
      <c r="H529" s="10"/>
      <c r="I529" s="10">
        <v>1</v>
      </c>
      <c r="J529" s="10">
        <v>2</v>
      </c>
      <c r="K529" s="10" t="s">
        <v>2158</v>
      </c>
      <c r="L529" s="10" t="s">
        <v>2200</v>
      </c>
      <c r="M529" s="10"/>
      <c r="N529" s="11"/>
      <c r="O529" s="10"/>
      <c r="P529" s="10">
        <v>2475</v>
      </c>
      <c r="Q529" s="10"/>
      <c r="R529" s="10" t="s">
        <v>2387</v>
      </c>
      <c r="S529" s="10" t="s">
        <v>2387</v>
      </c>
      <c r="T529" s="10"/>
      <c r="U529" s="10"/>
      <c r="V529" s="10"/>
      <c r="W529" s="10"/>
      <c r="X529" s="10"/>
      <c r="Y529" s="10"/>
      <c r="Z529" s="10"/>
      <c r="AA529" s="10"/>
      <c r="AB529" s="10"/>
      <c r="AC529" s="10"/>
      <c r="AD529" t="s">
        <v>19</v>
      </c>
      <c r="AE529" t="s">
        <v>20</v>
      </c>
      <c r="AG529">
        <v>1</v>
      </c>
    </row>
    <row r="530" spans="1:33">
      <c r="A530" t="s">
        <v>774</v>
      </c>
      <c r="B530" s="4" t="s">
        <v>2052</v>
      </c>
      <c r="C530" s="4" t="s">
        <v>2053</v>
      </c>
      <c r="G530" s="10" t="s">
        <v>2201</v>
      </c>
      <c r="H530" s="10"/>
      <c r="I530" s="10"/>
      <c r="J530" s="10"/>
      <c r="K530" s="10"/>
      <c r="L530" s="10"/>
      <c r="M530" s="10"/>
      <c r="N530" s="11"/>
      <c r="O530" s="10"/>
      <c r="P530" s="10"/>
      <c r="Q530" s="10"/>
      <c r="R530" s="10" t="s">
        <v>2387</v>
      </c>
      <c r="S530" s="10" t="s">
        <v>2387</v>
      </c>
      <c r="T530" s="10"/>
      <c r="U530" s="10"/>
      <c r="V530" s="10"/>
      <c r="W530" s="10"/>
      <c r="X530" s="10"/>
      <c r="Y530" s="10"/>
      <c r="Z530" s="10"/>
      <c r="AA530" s="10"/>
      <c r="AB530" s="10"/>
      <c r="AC530" s="10"/>
      <c r="AD530" t="s">
        <v>19</v>
      </c>
      <c r="AE530" t="s">
        <v>19</v>
      </c>
      <c r="AG530">
        <v>1</v>
      </c>
    </row>
    <row r="531" spans="1:33">
      <c r="A531" t="s">
        <v>774</v>
      </c>
      <c r="B531" s="4" t="s">
        <v>2055</v>
      </c>
      <c r="C531" s="4" t="s">
        <v>2054</v>
      </c>
      <c r="G531" s="10" t="s">
        <v>2199</v>
      </c>
      <c r="H531" s="10"/>
      <c r="I531" s="10"/>
      <c r="J531" s="10"/>
      <c r="K531" s="10"/>
      <c r="L531" s="10"/>
      <c r="M531" s="10"/>
      <c r="N531" s="11"/>
      <c r="O531" s="10"/>
      <c r="P531" s="10"/>
      <c r="Q531" s="10">
        <v>-447</v>
      </c>
      <c r="R531" s="10">
        <v>613</v>
      </c>
      <c r="S531" s="10">
        <v>166</v>
      </c>
      <c r="T531" s="10"/>
      <c r="U531" s="10"/>
      <c r="V531" s="10"/>
      <c r="W531" s="10"/>
      <c r="X531" s="10"/>
      <c r="Y531" s="10"/>
      <c r="Z531" s="10"/>
      <c r="AA531" s="10"/>
      <c r="AB531" s="10"/>
      <c r="AC531" s="10"/>
      <c r="AD531" t="s">
        <v>19</v>
      </c>
      <c r="AE531" t="s">
        <v>19</v>
      </c>
      <c r="AG531">
        <v>1</v>
      </c>
    </row>
    <row r="532" spans="1:33">
      <c r="A532" t="s">
        <v>775</v>
      </c>
      <c r="B532" s="4" t="s">
        <v>1548</v>
      </c>
      <c r="C532" s="4" t="s">
        <v>1547</v>
      </c>
      <c r="G532" s="10" t="s">
        <v>2201</v>
      </c>
      <c r="H532" s="10"/>
      <c r="I532" s="10"/>
      <c r="J532" s="10"/>
      <c r="K532" s="10"/>
      <c r="L532" s="10"/>
      <c r="M532" s="10"/>
      <c r="N532" s="11"/>
      <c r="O532" s="10"/>
      <c r="P532" s="10"/>
      <c r="Q532" s="10"/>
      <c r="R532" s="10" t="s">
        <v>2387</v>
      </c>
      <c r="S532" s="10" t="s">
        <v>2387</v>
      </c>
      <c r="T532" s="10"/>
      <c r="U532" s="10"/>
      <c r="V532" s="10"/>
      <c r="W532" s="10"/>
      <c r="X532" s="10"/>
      <c r="Y532" s="10"/>
      <c r="Z532" s="10"/>
      <c r="AA532" s="10"/>
      <c r="AB532" s="10"/>
      <c r="AC532" s="10"/>
      <c r="AD532" t="s">
        <v>19</v>
      </c>
      <c r="AE532" t="s">
        <v>19</v>
      </c>
      <c r="AG532">
        <v>1</v>
      </c>
    </row>
    <row r="533" spans="1:33" ht="29">
      <c r="A533" t="s">
        <v>775</v>
      </c>
      <c r="B533" s="4" t="s">
        <v>2059</v>
      </c>
      <c r="C533" s="4" t="s">
        <v>2058</v>
      </c>
      <c r="G533" s="10" t="s">
        <v>2199</v>
      </c>
      <c r="H533" s="10"/>
      <c r="I533" s="10"/>
      <c r="J533" s="10"/>
      <c r="K533" s="10"/>
      <c r="L533" s="10"/>
      <c r="M533" s="10"/>
      <c r="N533" s="11"/>
      <c r="O533" s="10"/>
      <c r="P533" s="10"/>
      <c r="Q533" s="10">
        <v>1530</v>
      </c>
      <c r="R533" s="10">
        <v>171</v>
      </c>
      <c r="S533" s="10">
        <v>1701</v>
      </c>
      <c r="T533" s="10"/>
      <c r="U533" s="10"/>
      <c r="V533" s="10"/>
      <c r="W533" s="10"/>
      <c r="X533" s="10"/>
      <c r="Y533" s="10"/>
      <c r="Z533" s="10"/>
      <c r="AA533" s="10"/>
      <c r="AB533" s="10"/>
      <c r="AC533" s="10"/>
      <c r="AD533" t="s">
        <v>19</v>
      </c>
      <c r="AE533" t="s">
        <v>20</v>
      </c>
      <c r="AG533">
        <v>1</v>
      </c>
    </row>
    <row r="534" spans="1:33">
      <c r="A534" t="s">
        <v>776</v>
      </c>
      <c r="B534" s="4" t="s">
        <v>2062</v>
      </c>
      <c r="C534" s="4" t="s">
        <v>2063</v>
      </c>
      <c r="F534" t="s">
        <v>19</v>
      </c>
      <c r="G534" s="10" t="s">
        <v>2201</v>
      </c>
      <c r="H534" s="10"/>
      <c r="I534" s="10"/>
      <c r="J534" s="10"/>
      <c r="K534" s="10"/>
      <c r="L534" s="10"/>
      <c r="M534" s="10"/>
      <c r="N534" s="11"/>
      <c r="O534" s="10"/>
      <c r="P534" s="10"/>
      <c r="Q534" s="10"/>
      <c r="R534" s="10" t="s">
        <v>2387</v>
      </c>
      <c r="S534" s="10" t="s">
        <v>2387</v>
      </c>
      <c r="T534" s="10"/>
      <c r="U534" s="10"/>
      <c r="V534" s="10"/>
      <c r="W534" s="10"/>
      <c r="X534" s="10"/>
      <c r="Y534" s="10"/>
      <c r="Z534" s="10"/>
      <c r="AA534" s="10"/>
      <c r="AB534" s="10"/>
      <c r="AC534" s="10"/>
      <c r="AD534" t="s">
        <v>19</v>
      </c>
      <c r="AE534" t="s">
        <v>20</v>
      </c>
      <c r="AG534">
        <v>1</v>
      </c>
    </row>
    <row r="535" spans="1:33" ht="29">
      <c r="A535" t="s">
        <v>779</v>
      </c>
      <c r="B535" s="4" t="s">
        <v>2066</v>
      </c>
      <c r="C535" s="4" t="s">
        <v>2065</v>
      </c>
      <c r="G535" s="10" t="s">
        <v>25</v>
      </c>
      <c r="H535" s="10"/>
      <c r="I535" s="10">
        <v>1</v>
      </c>
      <c r="J535" s="10">
        <v>1</v>
      </c>
      <c r="K535" s="10" t="s">
        <v>2158</v>
      </c>
      <c r="L535" s="10" t="s">
        <v>2200</v>
      </c>
      <c r="M535" s="10"/>
      <c r="N535" s="11"/>
      <c r="O535" s="10"/>
      <c r="P535" s="10">
        <v>2475</v>
      </c>
      <c r="Q535" s="10"/>
      <c r="R535" s="10" t="s">
        <v>2387</v>
      </c>
      <c r="S535" s="10" t="s">
        <v>2387</v>
      </c>
      <c r="T535" s="10"/>
      <c r="U535" s="10"/>
      <c r="V535" s="10"/>
      <c r="W535" s="10"/>
      <c r="X535" s="10"/>
      <c r="Y535" s="10"/>
      <c r="Z535" s="10"/>
      <c r="AA535" s="10"/>
      <c r="AB535" s="10"/>
      <c r="AC535" s="10"/>
      <c r="AD535" t="s">
        <v>19</v>
      </c>
      <c r="AE535" t="s">
        <v>19</v>
      </c>
      <c r="AG535">
        <v>1</v>
      </c>
    </row>
    <row r="536" spans="1:33" ht="29">
      <c r="A536" t="s">
        <v>779</v>
      </c>
      <c r="B536" s="4" t="s">
        <v>2067</v>
      </c>
      <c r="C536" s="4" t="s">
        <v>2065</v>
      </c>
      <c r="G536" s="10" t="s">
        <v>25</v>
      </c>
      <c r="H536" s="10"/>
      <c r="I536" s="10">
        <v>1</v>
      </c>
      <c r="J536" s="10">
        <v>3</v>
      </c>
      <c r="K536" s="10" t="s">
        <v>2158</v>
      </c>
      <c r="L536" s="10" t="s">
        <v>2159</v>
      </c>
      <c r="M536" s="10"/>
      <c r="N536" s="11"/>
      <c r="O536" s="10"/>
      <c r="P536" s="10">
        <v>2475</v>
      </c>
      <c r="Q536" s="10"/>
      <c r="R536" s="10" t="s">
        <v>2387</v>
      </c>
      <c r="S536" s="10" t="s">
        <v>2387</v>
      </c>
      <c r="T536" s="10"/>
      <c r="U536" s="10"/>
      <c r="V536" s="10"/>
      <c r="W536" s="10"/>
      <c r="X536" s="10"/>
      <c r="Y536" s="10"/>
      <c r="Z536" s="10"/>
      <c r="AA536" s="10"/>
      <c r="AB536" s="10"/>
      <c r="AC536" s="10"/>
      <c r="AD536" t="s">
        <v>19</v>
      </c>
      <c r="AE536" t="s">
        <v>19</v>
      </c>
      <c r="AG536">
        <v>1</v>
      </c>
    </row>
    <row r="537" spans="1:33" ht="43.5">
      <c r="A537" t="s">
        <v>780</v>
      </c>
      <c r="B537" s="4" t="s">
        <v>2069</v>
      </c>
      <c r="C537" s="4" t="s">
        <v>2068</v>
      </c>
      <c r="G537" s="10" t="s">
        <v>25</v>
      </c>
      <c r="H537" s="10"/>
      <c r="I537" s="10">
        <v>2</v>
      </c>
      <c r="J537" s="10">
        <v>18</v>
      </c>
      <c r="K537" s="10"/>
      <c r="L537" s="10" t="s">
        <v>2153</v>
      </c>
      <c r="M537" s="10" t="s">
        <v>2274</v>
      </c>
      <c r="N537" s="11" t="s">
        <v>2245</v>
      </c>
      <c r="O537" s="10"/>
      <c r="P537" s="10">
        <v>2</v>
      </c>
      <c r="Q537" s="10"/>
      <c r="R537" s="10" t="s">
        <v>2387</v>
      </c>
      <c r="S537" s="10" t="s">
        <v>2387</v>
      </c>
      <c r="T537" s="10"/>
      <c r="U537" s="10"/>
      <c r="V537" s="10"/>
      <c r="W537" s="10"/>
      <c r="X537" s="10"/>
      <c r="Y537" s="10"/>
      <c r="Z537" s="10"/>
      <c r="AA537" s="10"/>
      <c r="AB537" s="10"/>
      <c r="AC537" s="10"/>
      <c r="AD537" t="s">
        <v>19</v>
      </c>
      <c r="AE537" t="s">
        <v>19</v>
      </c>
      <c r="AG537">
        <v>1</v>
      </c>
    </row>
    <row r="538" spans="1:33">
      <c r="A538" t="s">
        <v>781</v>
      </c>
      <c r="B538" s="4" t="s">
        <v>2070</v>
      </c>
      <c r="C538" s="4" t="s">
        <v>2071</v>
      </c>
      <c r="G538" s="10" t="s">
        <v>2199</v>
      </c>
      <c r="H538" s="10"/>
      <c r="I538" s="10"/>
      <c r="J538" s="10"/>
      <c r="K538" s="10"/>
      <c r="L538" s="10"/>
      <c r="M538" s="10"/>
      <c r="N538" s="11"/>
      <c r="O538" s="10"/>
      <c r="P538" s="10"/>
      <c r="Q538" s="10">
        <v>0</v>
      </c>
      <c r="R538" s="10">
        <v>1</v>
      </c>
      <c r="S538" s="10">
        <v>1</v>
      </c>
      <c r="T538" s="10"/>
      <c r="U538" s="10"/>
      <c r="V538" s="10"/>
      <c r="W538" s="10"/>
      <c r="X538" s="10"/>
      <c r="Y538" s="10"/>
      <c r="Z538" s="10"/>
      <c r="AA538" s="10"/>
      <c r="AB538" s="10"/>
      <c r="AC538" s="10"/>
      <c r="AD538" t="s">
        <v>19</v>
      </c>
      <c r="AE538" t="s">
        <v>19</v>
      </c>
      <c r="AG538">
        <v>1</v>
      </c>
    </row>
    <row r="539" spans="1:33">
      <c r="A539" t="s">
        <v>781</v>
      </c>
      <c r="B539" s="4" t="s">
        <v>784</v>
      </c>
      <c r="C539" s="4" t="s">
        <v>785</v>
      </c>
      <c r="G539" s="10" t="s">
        <v>2201</v>
      </c>
      <c r="H539" s="10"/>
      <c r="I539" s="10"/>
      <c r="J539" s="10"/>
      <c r="K539" s="10"/>
      <c r="L539" s="10"/>
      <c r="M539" s="10"/>
      <c r="N539" s="11"/>
      <c r="O539" s="10"/>
      <c r="P539" s="10"/>
      <c r="Q539" s="10"/>
      <c r="R539" s="10" t="s">
        <v>2387</v>
      </c>
      <c r="S539" s="10" t="s">
        <v>2387</v>
      </c>
      <c r="T539" s="10"/>
      <c r="U539" s="10"/>
      <c r="V539" s="10"/>
      <c r="W539" s="10"/>
      <c r="X539" s="10"/>
      <c r="Y539" s="10"/>
      <c r="Z539" s="10"/>
      <c r="AA539" s="10"/>
      <c r="AB539" s="10"/>
      <c r="AC539" s="10"/>
      <c r="AD539" t="s">
        <v>19</v>
      </c>
      <c r="AE539" t="s">
        <v>20</v>
      </c>
      <c r="AG539">
        <v>1</v>
      </c>
    </row>
    <row r="540" spans="1:33">
      <c r="A540" t="s">
        <v>786</v>
      </c>
      <c r="B540" s="4" t="s">
        <v>2073</v>
      </c>
      <c r="C540" s="4" t="s">
        <v>2074</v>
      </c>
      <c r="G540" s="10" t="s">
        <v>2201</v>
      </c>
      <c r="H540" s="10"/>
      <c r="I540" s="10"/>
      <c r="J540" s="10"/>
      <c r="K540" s="10"/>
      <c r="L540" s="10"/>
      <c r="M540" s="10"/>
      <c r="N540" s="11"/>
      <c r="O540" s="10"/>
      <c r="P540" s="10"/>
      <c r="Q540" s="10"/>
      <c r="R540" s="10" t="s">
        <v>2387</v>
      </c>
      <c r="S540" s="10" t="s">
        <v>2387</v>
      </c>
      <c r="T540" s="10"/>
      <c r="U540" s="10"/>
      <c r="V540" s="10"/>
      <c r="W540" s="10"/>
      <c r="X540" s="10"/>
      <c r="Y540" s="10"/>
      <c r="Z540" s="10"/>
      <c r="AA540" s="10"/>
      <c r="AB540" s="10"/>
      <c r="AC540" s="10"/>
      <c r="AD540" t="s">
        <v>19</v>
      </c>
      <c r="AE540" t="s">
        <v>19</v>
      </c>
      <c r="AG540">
        <v>1</v>
      </c>
    </row>
    <row r="541" spans="1:33">
      <c r="A541" t="s">
        <v>786</v>
      </c>
      <c r="B541" s="4" t="s">
        <v>2077</v>
      </c>
      <c r="C541" s="4" t="s">
        <v>2076</v>
      </c>
      <c r="G541" s="10" t="s">
        <v>24</v>
      </c>
      <c r="H541" s="10"/>
      <c r="I541" s="10">
        <v>1</v>
      </c>
      <c r="J541" s="10">
        <v>3</v>
      </c>
      <c r="K541" s="10" t="s">
        <v>2158</v>
      </c>
      <c r="L541" s="10" t="s">
        <v>2159</v>
      </c>
      <c r="M541" s="10"/>
      <c r="N541" s="11"/>
      <c r="O541" s="10"/>
      <c r="P541" s="10">
        <v>2475</v>
      </c>
      <c r="Q541" s="10"/>
      <c r="R541" s="10" t="s">
        <v>2387</v>
      </c>
      <c r="S541" s="10" t="s">
        <v>2387</v>
      </c>
      <c r="T541" s="10"/>
      <c r="U541" s="10"/>
      <c r="V541" s="10"/>
      <c r="W541" s="10"/>
      <c r="X541" s="10"/>
      <c r="Y541" s="10"/>
      <c r="Z541" s="10"/>
      <c r="AA541" s="10"/>
      <c r="AB541" s="10"/>
      <c r="AC541" s="10"/>
      <c r="AD541" t="s">
        <v>19</v>
      </c>
      <c r="AE541" t="s">
        <v>19</v>
      </c>
      <c r="AG541">
        <v>1</v>
      </c>
    </row>
    <row r="542" spans="1:33">
      <c r="A542" t="s">
        <v>787</v>
      </c>
      <c r="B542" s="4" t="s">
        <v>2079</v>
      </c>
      <c r="C542" s="4" t="s">
        <v>2078</v>
      </c>
      <c r="G542" s="10" t="s">
        <v>2199</v>
      </c>
      <c r="H542" s="10"/>
      <c r="I542" s="10"/>
      <c r="J542" s="10"/>
      <c r="K542" s="10"/>
      <c r="L542" s="10"/>
      <c r="M542" s="10"/>
      <c r="N542" s="11"/>
      <c r="O542" s="10"/>
      <c r="P542" s="10"/>
      <c r="Q542" s="10">
        <v>-249</v>
      </c>
      <c r="R542" s="10">
        <v>280</v>
      </c>
      <c r="S542" s="10">
        <v>31</v>
      </c>
      <c r="T542" s="10"/>
      <c r="U542" s="10"/>
      <c r="V542" s="10"/>
      <c r="W542" s="10"/>
      <c r="X542" s="10"/>
      <c r="Y542" s="10"/>
      <c r="Z542" s="10"/>
      <c r="AA542" s="10"/>
      <c r="AB542" s="10"/>
      <c r="AC542" s="10"/>
      <c r="AD542" t="s">
        <v>19</v>
      </c>
      <c r="AE542" t="s">
        <v>19</v>
      </c>
      <c r="AG542">
        <v>1</v>
      </c>
    </row>
    <row r="543" spans="1:33" ht="29">
      <c r="A543" t="s">
        <v>787</v>
      </c>
      <c r="B543" s="4" t="s">
        <v>2081</v>
      </c>
      <c r="C543" s="4" t="s">
        <v>2080</v>
      </c>
      <c r="G543" s="10" t="s">
        <v>26</v>
      </c>
      <c r="H543" s="10"/>
      <c r="I543" s="10"/>
      <c r="J543" s="10"/>
      <c r="K543" s="10"/>
      <c r="L543" s="10"/>
      <c r="M543" s="10"/>
      <c r="N543" s="11"/>
      <c r="O543" s="10"/>
      <c r="P543" s="10"/>
      <c r="Q543" s="10"/>
      <c r="R543" s="10" t="s">
        <v>2387</v>
      </c>
      <c r="S543" s="10" t="s">
        <v>2387</v>
      </c>
      <c r="T543" s="10"/>
      <c r="U543" s="10"/>
      <c r="V543" s="10"/>
      <c r="W543" s="10"/>
      <c r="X543" s="10"/>
      <c r="Y543" s="10"/>
      <c r="Z543" s="10"/>
      <c r="AA543" s="10"/>
      <c r="AB543" s="10"/>
      <c r="AC543" s="10"/>
      <c r="AD543" t="s">
        <v>19</v>
      </c>
      <c r="AE543" t="s">
        <v>19</v>
      </c>
      <c r="AG543">
        <v>1</v>
      </c>
    </row>
    <row r="544" spans="1:33" ht="29">
      <c r="A544" t="s">
        <v>787</v>
      </c>
      <c r="B544" s="4" t="s">
        <v>2089</v>
      </c>
      <c r="C544" s="4" t="s">
        <v>2090</v>
      </c>
      <c r="G544" s="10" t="s">
        <v>26</v>
      </c>
      <c r="H544" s="10"/>
      <c r="I544" s="10"/>
      <c r="J544" s="10"/>
      <c r="K544" s="10"/>
      <c r="L544" s="10"/>
      <c r="M544" s="10"/>
      <c r="N544" s="11"/>
      <c r="O544" s="10"/>
      <c r="P544" s="10"/>
      <c r="Q544" s="10"/>
      <c r="R544" s="10" t="s">
        <v>2387</v>
      </c>
      <c r="S544" s="10" t="s">
        <v>2387</v>
      </c>
      <c r="T544" s="10"/>
      <c r="U544" s="10"/>
      <c r="V544" s="10"/>
      <c r="W544" s="10"/>
      <c r="X544" s="10"/>
      <c r="Y544" s="10"/>
      <c r="Z544" s="10"/>
      <c r="AA544" s="10"/>
      <c r="AB544" s="10"/>
      <c r="AC544" s="10"/>
      <c r="AD544" t="s">
        <v>19</v>
      </c>
      <c r="AE544" t="s">
        <v>19</v>
      </c>
      <c r="AG544">
        <v>1</v>
      </c>
    </row>
    <row r="545" spans="1:33" ht="29">
      <c r="A545" t="s">
        <v>787</v>
      </c>
      <c r="B545" s="4" t="s">
        <v>2091</v>
      </c>
      <c r="C545" s="4" t="s">
        <v>2088</v>
      </c>
      <c r="G545" s="10" t="s">
        <v>25</v>
      </c>
      <c r="H545" s="10"/>
      <c r="I545" s="10">
        <v>1</v>
      </c>
      <c r="J545" s="10">
        <v>3</v>
      </c>
      <c r="K545" s="10" t="s">
        <v>2175</v>
      </c>
      <c r="L545" s="10" t="s">
        <v>2159</v>
      </c>
      <c r="M545" s="10"/>
      <c r="N545" s="11"/>
      <c r="O545" s="10"/>
      <c r="P545" s="10">
        <v>743</v>
      </c>
      <c r="Q545" s="10"/>
      <c r="R545" s="10" t="s">
        <v>2387</v>
      </c>
      <c r="S545" s="10" t="s">
        <v>2387</v>
      </c>
      <c r="T545" s="10"/>
      <c r="U545" s="10"/>
      <c r="V545" s="10"/>
      <c r="W545" s="10"/>
      <c r="X545" s="10"/>
      <c r="Y545" s="10"/>
      <c r="Z545" s="10"/>
      <c r="AA545" s="10"/>
      <c r="AB545" s="10"/>
      <c r="AC545" s="10"/>
      <c r="AD545" t="s">
        <v>19</v>
      </c>
      <c r="AE545" t="s">
        <v>19</v>
      </c>
      <c r="AG545">
        <v>1</v>
      </c>
    </row>
    <row r="546" spans="1:33" ht="43.5">
      <c r="A546" t="s">
        <v>788</v>
      </c>
      <c r="B546" s="4" t="s">
        <v>2095</v>
      </c>
      <c r="C546" s="4" t="s">
        <v>2094</v>
      </c>
      <c r="G546" s="10" t="s">
        <v>26</v>
      </c>
      <c r="H546" s="10"/>
      <c r="I546" s="10"/>
      <c r="J546" s="10"/>
      <c r="K546" s="10"/>
      <c r="L546" s="10"/>
      <c r="M546" s="10"/>
      <c r="N546" s="11"/>
      <c r="O546" s="10"/>
      <c r="P546" s="10"/>
      <c r="Q546" s="10"/>
      <c r="R546" s="10" t="s">
        <v>2387</v>
      </c>
      <c r="S546" s="10" t="s">
        <v>2387</v>
      </c>
      <c r="T546" s="10"/>
      <c r="U546" s="10"/>
      <c r="V546" s="10"/>
      <c r="W546" s="10"/>
      <c r="X546" s="10"/>
      <c r="Y546" s="10"/>
      <c r="Z546" s="10"/>
      <c r="AA546" s="10"/>
      <c r="AB546" s="10"/>
      <c r="AC546" s="10"/>
      <c r="AD546" t="s">
        <v>19</v>
      </c>
      <c r="AE546" t="s">
        <v>19</v>
      </c>
      <c r="AG546">
        <v>1</v>
      </c>
    </row>
    <row r="547" spans="1:33">
      <c r="A547" t="s">
        <v>788</v>
      </c>
      <c r="B547" s="4" t="s">
        <v>2096</v>
      </c>
      <c r="C547" s="4" t="s">
        <v>2097</v>
      </c>
      <c r="G547" s="10" t="s">
        <v>2199</v>
      </c>
      <c r="H547" s="10"/>
      <c r="I547" s="10"/>
      <c r="J547" s="10"/>
      <c r="K547" s="10"/>
      <c r="L547" s="10"/>
      <c r="M547" s="10"/>
      <c r="N547" s="11"/>
      <c r="O547" s="10"/>
      <c r="P547" s="10"/>
      <c r="Q547" s="10">
        <v>-680</v>
      </c>
      <c r="R547" s="10">
        <v>830</v>
      </c>
      <c r="S547" s="10">
        <v>150</v>
      </c>
      <c r="T547" s="10"/>
      <c r="U547" s="10"/>
      <c r="V547" s="10"/>
      <c r="W547" s="10"/>
      <c r="X547" s="10"/>
      <c r="Y547" s="10"/>
      <c r="Z547" s="10"/>
      <c r="AA547" s="10"/>
      <c r="AB547" s="10"/>
      <c r="AC547" s="10"/>
      <c r="AD547" t="s">
        <v>19</v>
      </c>
      <c r="AE547" t="s">
        <v>19</v>
      </c>
      <c r="AG547">
        <v>1</v>
      </c>
    </row>
    <row r="548" spans="1:33">
      <c r="A548" t="s">
        <v>788</v>
      </c>
      <c r="B548" s="4" t="s">
        <v>2099</v>
      </c>
      <c r="C548" s="4" t="s">
        <v>2100</v>
      </c>
      <c r="G548" s="10" t="s">
        <v>2201</v>
      </c>
      <c r="H548" s="10"/>
      <c r="I548" s="10"/>
      <c r="J548" s="10"/>
      <c r="K548" s="10"/>
      <c r="L548" s="10"/>
      <c r="M548" s="10"/>
      <c r="N548" s="11"/>
      <c r="O548" s="10"/>
      <c r="P548" s="10"/>
      <c r="Q548" s="10"/>
      <c r="R548" s="10" t="s">
        <v>2387</v>
      </c>
      <c r="S548" s="10" t="s">
        <v>2387</v>
      </c>
      <c r="T548" s="10"/>
      <c r="U548" s="10"/>
      <c r="V548" s="10"/>
      <c r="W548" s="10"/>
      <c r="X548" s="10"/>
      <c r="Y548" s="10"/>
      <c r="Z548" s="10"/>
      <c r="AA548" s="10"/>
      <c r="AB548" s="10"/>
      <c r="AC548" s="10"/>
      <c r="AD548" t="s">
        <v>19</v>
      </c>
      <c r="AE548" t="s">
        <v>20</v>
      </c>
      <c r="AG548">
        <v>1</v>
      </c>
    </row>
    <row r="549" spans="1:33">
      <c r="A549" t="s">
        <v>788</v>
      </c>
      <c r="B549" s="4" t="s">
        <v>2101</v>
      </c>
      <c r="C549" s="4" t="s">
        <v>2098</v>
      </c>
      <c r="G549" s="10" t="s">
        <v>25</v>
      </c>
      <c r="H549" s="10"/>
      <c r="I549" s="10">
        <v>1</v>
      </c>
      <c r="J549" s="10">
        <v>3</v>
      </c>
      <c r="K549" s="10" t="s">
        <v>2168</v>
      </c>
      <c r="L549" s="10" t="s">
        <v>2159</v>
      </c>
      <c r="M549" s="10"/>
      <c r="N549" s="11"/>
      <c r="O549" s="10"/>
      <c r="P549" s="10">
        <v>1701</v>
      </c>
      <c r="Q549" s="10"/>
      <c r="R549" s="10" t="s">
        <v>2387</v>
      </c>
      <c r="S549" s="10" t="s">
        <v>2387</v>
      </c>
      <c r="T549" s="10"/>
      <c r="U549" s="10"/>
      <c r="V549" s="10"/>
      <c r="W549" s="10"/>
      <c r="X549" s="10"/>
      <c r="Y549" s="10"/>
      <c r="Z549" s="10"/>
      <c r="AA549" s="10"/>
      <c r="AB549" s="10"/>
      <c r="AC549" s="10"/>
      <c r="AD549" t="s">
        <v>19</v>
      </c>
      <c r="AE549" t="s">
        <v>19</v>
      </c>
      <c r="AG549">
        <v>1</v>
      </c>
    </row>
    <row r="550" spans="1:33" ht="29">
      <c r="A550" t="s">
        <v>789</v>
      </c>
      <c r="B550" s="4" t="s">
        <v>2103</v>
      </c>
      <c r="C550" s="4" t="s">
        <v>2102</v>
      </c>
      <c r="G550" s="10" t="s">
        <v>26</v>
      </c>
      <c r="H550" s="10"/>
      <c r="I550" s="10"/>
      <c r="J550" s="10"/>
      <c r="K550" s="10"/>
      <c r="L550" s="10"/>
      <c r="M550" s="10"/>
      <c r="N550" s="11"/>
      <c r="O550" s="10"/>
      <c r="P550" s="10"/>
      <c r="Q550" s="10"/>
      <c r="R550" s="10" t="s">
        <v>2387</v>
      </c>
      <c r="S550" s="10" t="s">
        <v>2387</v>
      </c>
      <c r="T550" s="10"/>
      <c r="U550" s="10"/>
      <c r="V550" s="10"/>
      <c r="W550" s="10"/>
      <c r="X550" s="10"/>
      <c r="Y550" s="10"/>
      <c r="Z550" s="10"/>
      <c r="AA550" s="10"/>
      <c r="AB550" s="10"/>
      <c r="AC550" s="10"/>
      <c r="AD550" t="s">
        <v>19</v>
      </c>
      <c r="AE550" t="s">
        <v>19</v>
      </c>
      <c r="AG550">
        <v>1</v>
      </c>
    </row>
    <row r="551" spans="1:33">
      <c r="A551" t="s">
        <v>789</v>
      </c>
      <c r="B551" s="4" t="s">
        <v>790</v>
      </c>
      <c r="C551" s="4" t="s">
        <v>791</v>
      </c>
      <c r="F551" t="s">
        <v>19</v>
      </c>
      <c r="G551" s="10" t="s">
        <v>2201</v>
      </c>
      <c r="H551" s="10"/>
      <c r="I551" s="10"/>
      <c r="J551" s="10"/>
      <c r="K551" s="10"/>
      <c r="L551" s="10"/>
      <c r="M551" s="10"/>
      <c r="N551" s="11"/>
      <c r="O551" s="10"/>
      <c r="P551" s="10"/>
      <c r="Q551" s="10"/>
      <c r="R551" s="10" t="s">
        <v>2387</v>
      </c>
      <c r="S551" s="10" t="s">
        <v>2387</v>
      </c>
      <c r="T551" s="10"/>
      <c r="U551" s="10"/>
      <c r="V551" s="10"/>
      <c r="W551" s="10"/>
      <c r="X551" s="10"/>
      <c r="Y551" s="10"/>
      <c r="Z551" s="10"/>
      <c r="AA551" s="10"/>
      <c r="AB551" s="10"/>
      <c r="AC551" s="10"/>
      <c r="AD551" t="s">
        <v>20</v>
      </c>
      <c r="AE551" t="s">
        <v>20</v>
      </c>
      <c r="AG551">
        <v>0</v>
      </c>
    </row>
    <row r="552" spans="1:33">
      <c r="A552" t="s">
        <v>789</v>
      </c>
      <c r="B552" s="4" t="s">
        <v>248</v>
      </c>
      <c r="C552" s="4" t="s">
        <v>76</v>
      </c>
      <c r="G552" s="10" t="s">
        <v>2201</v>
      </c>
      <c r="H552" s="10"/>
      <c r="I552" s="10"/>
      <c r="J552" s="10"/>
      <c r="K552" s="10"/>
      <c r="L552" s="10"/>
      <c r="M552" s="10"/>
      <c r="N552" s="11"/>
      <c r="O552" s="10"/>
      <c r="P552" s="10"/>
      <c r="Q552" s="10"/>
      <c r="R552" s="10" t="s">
        <v>2387</v>
      </c>
      <c r="S552" s="10" t="s">
        <v>2387</v>
      </c>
      <c r="T552" s="10"/>
      <c r="U552" s="10"/>
      <c r="V552" s="10"/>
      <c r="W552" s="10"/>
      <c r="X552" s="10"/>
      <c r="Y552" s="10"/>
      <c r="Z552" s="10"/>
      <c r="AA552" s="10"/>
      <c r="AB552" s="10"/>
      <c r="AC552" s="10"/>
      <c r="AD552" t="s">
        <v>19</v>
      </c>
      <c r="AE552" t="s">
        <v>19</v>
      </c>
      <c r="AG552">
        <v>1</v>
      </c>
    </row>
    <row r="553" spans="1:33">
      <c r="A553" t="s">
        <v>789</v>
      </c>
      <c r="B553" s="4" t="s">
        <v>2450</v>
      </c>
      <c r="C553" s="4" t="s">
        <v>2104</v>
      </c>
      <c r="G553" s="10" t="s">
        <v>2199</v>
      </c>
      <c r="H553" s="10"/>
      <c r="I553" s="10"/>
      <c r="J553" s="10"/>
      <c r="K553" s="10"/>
      <c r="L553" s="10"/>
      <c r="M553" s="10"/>
      <c r="N553" s="11"/>
      <c r="O553" s="10"/>
      <c r="P553" s="10"/>
      <c r="Q553" s="10">
        <v>-24</v>
      </c>
      <c r="R553" s="10">
        <v>31</v>
      </c>
      <c r="S553" s="10">
        <v>7</v>
      </c>
      <c r="T553" s="10"/>
      <c r="U553" s="10"/>
      <c r="V553" s="10"/>
      <c r="W553" s="10"/>
      <c r="X553" s="10"/>
      <c r="Y553" s="10"/>
      <c r="Z553" s="10"/>
      <c r="AA553" s="10"/>
      <c r="AB553" s="10"/>
      <c r="AC553" s="10"/>
      <c r="AD553" t="s">
        <v>19</v>
      </c>
      <c r="AE553" t="s">
        <v>19</v>
      </c>
      <c r="AG553">
        <v>1</v>
      </c>
    </row>
    <row r="554" spans="1:33" ht="29">
      <c r="A554" t="s">
        <v>789</v>
      </c>
      <c r="B554" s="4" t="s">
        <v>2105</v>
      </c>
      <c r="C554" s="4" t="s">
        <v>2106</v>
      </c>
      <c r="G554" s="10" t="s">
        <v>2201</v>
      </c>
      <c r="H554" s="10"/>
      <c r="I554" s="10"/>
      <c r="J554" s="10"/>
      <c r="K554" s="10"/>
      <c r="L554" s="10"/>
      <c r="M554" s="10"/>
      <c r="N554" s="11"/>
      <c r="O554" s="10"/>
      <c r="P554" s="10"/>
      <c r="Q554" s="10"/>
      <c r="R554" s="10" t="s">
        <v>2387</v>
      </c>
      <c r="S554" s="10" t="s">
        <v>2387</v>
      </c>
      <c r="T554" s="10"/>
      <c r="U554" s="10"/>
      <c r="V554" s="10"/>
      <c r="W554" s="10"/>
      <c r="X554" s="10"/>
      <c r="Y554" s="10"/>
      <c r="Z554" s="10"/>
      <c r="AA554" s="10"/>
      <c r="AB554" s="10"/>
      <c r="AC554" s="10"/>
      <c r="AD554" t="s">
        <v>19</v>
      </c>
      <c r="AE554" t="s">
        <v>19</v>
      </c>
      <c r="AG554">
        <v>1</v>
      </c>
    </row>
    <row r="555" spans="1:33">
      <c r="A555" t="s">
        <v>792</v>
      </c>
      <c r="B555" s="4" t="s">
        <v>2107</v>
      </c>
      <c r="C555" s="4" t="s">
        <v>2108</v>
      </c>
      <c r="G555" s="10" t="s">
        <v>25</v>
      </c>
      <c r="H555" s="10"/>
      <c r="I555" s="10">
        <v>1</v>
      </c>
      <c r="J555" s="10">
        <v>3</v>
      </c>
      <c r="K555" s="10" t="s">
        <v>2168</v>
      </c>
      <c r="L555" s="10" t="s">
        <v>2159</v>
      </c>
      <c r="M555" s="10"/>
      <c r="N555" s="11"/>
      <c r="O555" s="10"/>
      <c r="P555" s="10">
        <v>1701</v>
      </c>
      <c r="Q555" s="10"/>
      <c r="R555" s="10" t="s">
        <v>2387</v>
      </c>
      <c r="S555" s="10" t="s">
        <v>2387</v>
      </c>
      <c r="T555" s="10"/>
      <c r="U555" s="10"/>
      <c r="V555" s="10"/>
      <c r="W555" s="10"/>
      <c r="X555" s="10"/>
      <c r="Y555" s="10"/>
      <c r="Z555" s="10"/>
      <c r="AA555" s="10"/>
      <c r="AB555" s="10"/>
      <c r="AC555" s="10"/>
      <c r="AD555" t="s">
        <v>19</v>
      </c>
      <c r="AE555" t="s">
        <v>19</v>
      </c>
      <c r="AG555">
        <v>1</v>
      </c>
    </row>
    <row r="556" spans="1:33">
      <c r="A556" t="s">
        <v>793</v>
      </c>
      <c r="B556" s="4" t="s">
        <v>2109</v>
      </c>
      <c r="C556" s="4" t="s">
        <v>2110</v>
      </c>
      <c r="G556" s="10" t="s">
        <v>24</v>
      </c>
      <c r="H556" s="10"/>
      <c r="I556" s="10">
        <v>1</v>
      </c>
      <c r="J556" s="10">
        <v>2</v>
      </c>
      <c r="K556" s="10" t="s">
        <v>2177</v>
      </c>
      <c r="L556" s="10" t="s">
        <v>2200</v>
      </c>
      <c r="M556" s="10"/>
      <c r="N556" s="11"/>
      <c r="O556" s="10"/>
      <c r="P556" s="10">
        <v>613</v>
      </c>
      <c r="Q556" s="10"/>
      <c r="R556" s="10" t="s">
        <v>2387</v>
      </c>
      <c r="S556" s="10" t="s">
        <v>2387</v>
      </c>
      <c r="T556" s="10"/>
      <c r="U556" s="10"/>
      <c r="V556" s="10"/>
      <c r="W556" s="10"/>
      <c r="X556" s="10"/>
      <c r="Y556" s="10"/>
      <c r="Z556" s="10"/>
      <c r="AA556" s="10"/>
      <c r="AB556" s="10"/>
      <c r="AC556" s="10"/>
      <c r="AD556" t="s">
        <v>20</v>
      </c>
      <c r="AE556" t="s">
        <v>19</v>
      </c>
      <c r="AG556">
        <v>0</v>
      </c>
    </row>
    <row r="557" spans="1:33">
      <c r="A557" t="s">
        <v>796</v>
      </c>
      <c r="B557" s="4" t="s">
        <v>2111</v>
      </c>
      <c r="C557" s="4" t="s">
        <v>2112</v>
      </c>
      <c r="G557" s="10" t="s">
        <v>2199</v>
      </c>
      <c r="H557" s="10"/>
      <c r="I557" s="10"/>
      <c r="J557" s="10"/>
      <c r="K557" s="10"/>
      <c r="L557" s="10"/>
      <c r="M557" s="10"/>
      <c r="N557" s="11"/>
      <c r="O557" s="10"/>
      <c r="P557" s="10"/>
      <c r="Q557" s="10">
        <v>4</v>
      </c>
      <c r="R557" s="10">
        <v>27</v>
      </c>
      <c r="S557" s="10">
        <v>31</v>
      </c>
      <c r="T557" s="10" t="s">
        <v>2198</v>
      </c>
      <c r="U557" s="10"/>
      <c r="V557" s="10"/>
      <c r="W557" s="10"/>
      <c r="X557" s="10"/>
      <c r="Y557" s="10"/>
      <c r="Z557" s="10"/>
      <c r="AA557" s="10"/>
      <c r="AB557" s="10"/>
      <c r="AC557" s="10"/>
      <c r="AD557" t="s">
        <v>19</v>
      </c>
      <c r="AE557" t="s">
        <v>19</v>
      </c>
      <c r="AG557">
        <v>1</v>
      </c>
    </row>
    <row r="558" spans="1:33">
      <c r="A558" t="s">
        <v>796</v>
      </c>
      <c r="B558" s="4" t="s">
        <v>2114</v>
      </c>
      <c r="C558" s="4" t="s">
        <v>2113</v>
      </c>
      <c r="G558" s="10" t="s">
        <v>24</v>
      </c>
      <c r="H558" s="10"/>
      <c r="I558" s="10">
        <v>1</v>
      </c>
      <c r="J558" s="10">
        <v>3</v>
      </c>
      <c r="K558" s="10" t="s">
        <v>2168</v>
      </c>
      <c r="L558" s="10" t="s">
        <v>2159</v>
      </c>
      <c r="M558" s="10"/>
      <c r="N558" s="11"/>
      <c r="O558" s="10"/>
      <c r="P558" s="10">
        <v>1701</v>
      </c>
      <c r="Q558" s="10"/>
      <c r="R558" s="10" t="s">
        <v>2387</v>
      </c>
      <c r="S558" s="10" t="s">
        <v>2387</v>
      </c>
      <c r="T558" s="10"/>
      <c r="U558" s="10"/>
      <c r="V558" s="10"/>
      <c r="W558" s="10"/>
      <c r="X558" s="10"/>
      <c r="Y558" s="10"/>
      <c r="Z558" s="10"/>
      <c r="AA558" s="10"/>
      <c r="AB558" s="10"/>
      <c r="AC558" s="10"/>
      <c r="AD558" t="s">
        <v>19</v>
      </c>
      <c r="AE558" t="s">
        <v>19</v>
      </c>
      <c r="AG558">
        <v>1</v>
      </c>
    </row>
    <row r="559" spans="1:33">
      <c r="A559" t="s">
        <v>796</v>
      </c>
      <c r="B559" s="4" t="s">
        <v>797</v>
      </c>
      <c r="C559" s="4" t="s">
        <v>798</v>
      </c>
      <c r="G559" s="10" t="s">
        <v>2201</v>
      </c>
      <c r="H559" s="10"/>
      <c r="I559" s="10"/>
      <c r="J559" s="10"/>
      <c r="K559" s="10"/>
      <c r="L559" s="10"/>
      <c r="M559" s="10"/>
      <c r="N559" s="11"/>
      <c r="O559" s="10"/>
      <c r="P559" s="10"/>
      <c r="Q559" s="10"/>
      <c r="R559" s="10" t="s">
        <v>2387</v>
      </c>
      <c r="S559" s="10" t="s">
        <v>2387</v>
      </c>
      <c r="T559" s="10"/>
      <c r="U559" s="10"/>
      <c r="V559" s="10"/>
      <c r="W559" s="10"/>
      <c r="X559" s="10"/>
      <c r="Y559" s="10"/>
      <c r="Z559" s="10"/>
      <c r="AA559" s="10"/>
      <c r="AB559" s="10"/>
      <c r="AC559" s="10"/>
      <c r="AD559" t="s">
        <v>19</v>
      </c>
      <c r="AE559" t="s">
        <v>19</v>
      </c>
      <c r="AG559">
        <v>1</v>
      </c>
    </row>
    <row r="560" spans="1:33" ht="29">
      <c r="A560" t="s">
        <v>799</v>
      </c>
      <c r="B560" s="4" t="s">
        <v>2116</v>
      </c>
      <c r="C560" s="4" t="s">
        <v>2115</v>
      </c>
      <c r="G560" s="10" t="s">
        <v>2201</v>
      </c>
      <c r="H560" s="10"/>
      <c r="I560" s="10"/>
      <c r="J560" s="10"/>
      <c r="K560" s="10"/>
      <c r="L560" s="10"/>
      <c r="M560" s="10"/>
      <c r="N560" s="11"/>
      <c r="O560" s="10"/>
      <c r="P560" s="10"/>
      <c r="Q560" s="10"/>
      <c r="R560" s="10" t="s">
        <v>2387</v>
      </c>
      <c r="S560" s="10" t="s">
        <v>2387</v>
      </c>
      <c r="T560" s="10"/>
      <c r="U560" s="10"/>
      <c r="V560" s="10"/>
      <c r="W560" s="10"/>
      <c r="X560" s="10"/>
      <c r="Y560" s="10"/>
      <c r="Z560" s="10"/>
      <c r="AA560" s="10"/>
      <c r="AB560" s="10"/>
      <c r="AC560" s="10"/>
      <c r="AD560" t="s">
        <v>19</v>
      </c>
      <c r="AE560" t="s">
        <v>19</v>
      </c>
      <c r="AG560">
        <v>1</v>
      </c>
    </row>
    <row r="561" spans="1:33">
      <c r="A561" t="s">
        <v>799</v>
      </c>
      <c r="B561" s="4" t="s">
        <v>2118</v>
      </c>
      <c r="C561" s="4" t="s">
        <v>2117</v>
      </c>
      <c r="G561" s="10" t="s">
        <v>2199</v>
      </c>
      <c r="H561" s="10"/>
      <c r="I561" s="10"/>
      <c r="J561" s="10"/>
      <c r="K561" s="10"/>
      <c r="L561" s="10"/>
      <c r="M561" s="10"/>
      <c r="N561" s="11"/>
      <c r="O561" s="10"/>
      <c r="P561" s="10"/>
      <c r="Q561" s="10">
        <v>-118</v>
      </c>
      <c r="R561" s="10">
        <v>204</v>
      </c>
      <c r="S561" s="10">
        <v>86</v>
      </c>
      <c r="T561" s="10"/>
      <c r="U561" s="10"/>
      <c r="V561" s="10"/>
      <c r="W561" s="10"/>
      <c r="X561" s="10"/>
      <c r="Y561" s="10"/>
      <c r="Z561" s="10"/>
      <c r="AA561" s="10"/>
      <c r="AB561" s="10"/>
      <c r="AC561" s="10"/>
      <c r="AD561" t="s">
        <v>19</v>
      </c>
      <c r="AE561" t="s">
        <v>19</v>
      </c>
      <c r="AG561">
        <v>1</v>
      </c>
    </row>
    <row r="562" spans="1:33" ht="29">
      <c r="A562" t="s">
        <v>799</v>
      </c>
      <c r="B562" s="4" t="s">
        <v>2120</v>
      </c>
      <c r="C562" s="4" t="s">
        <v>2119</v>
      </c>
      <c r="G562" s="10" t="s">
        <v>24</v>
      </c>
      <c r="H562" s="10"/>
      <c r="I562" s="10">
        <v>1</v>
      </c>
      <c r="J562" s="10">
        <v>3</v>
      </c>
      <c r="K562" s="10" t="s">
        <v>2158</v>
      </c>
      <c r="L562" s="10" t="s">
        <v>2159</v>
      </c>
      <c r="M562" s="10"/>
      <c r="N562" s="11"/>
      <c r="O562" s="10"/>
      <c r="P562" s="10">
        <v>2475</v>
      </c>
      <c r="Q562" s="10"/>
      <c r="R562" s="10" t="s">
        <v>2387</v>
      </c>
      <c r="S562" s="10" t="s">
        <v>2387</v>
      </c>
      <c r="T562" s="10"/>
      <c r="U562" s="10"/>
      <c r="V562" s="10"/>
      <c r="W562" s="10"/>
      <c r="X562" s="10"/>
      <c r="Y562" s="10"/>
      <c r="Z562" s="10"/>
      <c r="AA562" s="10"/>
      <c r="AB562" s="10"/>
      <c r="AC562" s="10"/>
      <c r="AD562" t="s">
        <v>19</v>
      </c>
      <c r="AE562" t="s">
        <v>19</v>
      </c>
      <c r="AG562">
        <v>1</v>
      </c>
    </row>
    <row r="563" spans="1:33">
      <c r="A563" t="s">
        <v>804</v>
      </c>
      <c r="B563" s="4" t="s">
        <v>2124</v>
      </c>
      <c r="C563" s="4" t="s">
        <v>2123</v>
      </c>
      <c r="G563" s="10" t="s">
        <v>2199</v>
      </c>
      <c r="H563" s="10"/>
      <c r="I563" s="10"/>
      <c r="J563" s="10"/>
      <c r="K563" s="10"/>
      <c r="L563" s="10"/>
      <c r="M563" s="10"/>
      <c r="N563" s="11"/>
      <c r="O563" s="10"/>
      <c r="P563" s="10"/>
      <c r="Q563" s="10">
        <v>447</v>
      </c>
      <c r="R563" s="10">
        <v>166</v>
      </c>
      <c r="S563" s="10">
        <v>613</v>
      </c>
      <c r="T563" s="10"/>
      <c r="U563" s="10"/>
      <c r="V563" s="10"/>
      <c r="W563" s="10"/>
      <c r="X563" s="10"/>
      <c r="Y563" s="10"/>
      <c r="Z563" s="10"/>
      <c r="AA563" s="10"/>
      <c r="AB563" s="10"/>
      <c r="AC563" s="10"/>
      <c r="AD563" t="s">
        <v>19</v>
      </c>
      <c r="AE563" t="s">
        <v>20</v>
      </c>
      <c r="AG563">
        <v>1</v>
      </c>
    </row>
    <row r="564" spans="1:33" ht="43.5">
      <c r="A564" t="s">
        <v>804</v>
      </c>
      <c r="B564" s="4" t="s">
        <v>2126</v>
      </c>
      <c r="C564" s="4" t="s">
        <v>2125</v>
      </c>
      <c r="G564" s="10" t="s">
        <v>26</v>
      </c>
      <c r="H564" s="10"/>
      <c r="I564" s="10"/>
      <c r="J564" s="10"/>
      <c r="K564" s="10"/>
      <c r="L564" s="10"/>
      <c r="M564" s="10"/>
      <c r="N564" s="11"/>
      <c r="O564" s="10"/>
      <c r="P564" s="10"/>
      <c r="Q564" s="10"/>
      <c r="R564" s="10" t="s">
        <v>2387</v>
      </c>
      <c r="S564" s="10" t="s">
        <v>2387</v>
      </c>
      <c r="T564" s="10"/>
      <c r="U564" s="10"/>
      <c r="V564" s="10"/>
      <c r="W564" s="10"/>
      <c r="X564" s="10"/>
      <c r="Y564" s="10"/>
      <c r="Z564" s="10"/>
      <c r="AA564" s="10"/>
      <c r="AB564" s="10"/>
      <c r="AC564" s="10"/>
      <c r="AD564" t="s">
        <v>19</v>
      </c>
      <c r="AE564" t="s">
        <v>19</v>
      </c>
      <c r="AG564">
        <v>1</v>
      </c>
    </row>
    <row r="565" spans="1:33" ht="29">
      <c r="A565" t="s">
        <v>807</v>
      </c>
      <c r="B565" s="4" t="s">
        <v>2128</v>
      </c>
      <c r="C565" s="4" t="s">
        <v>2127</v>
      </c>
      <c r="G565" s="10" t="s">
        <v>2199</v>
      </c>
      <c r="H565" s="10"/>
      <c r="I565" s="10"/>
      <c r="J565" s="10"/>
      <c r="K565" s="10"/>
      <c r="L565" s="10"/>
      <c r="M565" s="10"/>
      <c r="N565" s="11"/>
      <c r="O565" s="10"/>
      <c r="P565" s="10"/>
      <c r="Q565" s="10">
        <v>2400</v>
      </c>
      <c r="R565" s="10">
        <v>75</v>
      </c>
      <c r="S565" s="10">
        <v>2475</v>
      </c>
      <c r="T565" s="10"/>
      <c r="U565" s="10"/>
      <c r="V565" s="10"/>
      <c r="W565" s="10"/>
      <c r="X565" s="10"/>
      <c r="Y565" s="10"/>
      <c r="Z565" s="10"/>
      <c r="AA565" s="10"/>
      <c r="AB565" s="10"/>
      <c r="AC565" s="10"/>
      <c r="AD565" t="s">
        <v>19</v>
      </c>
      <c r="AE565" t="s">
        <v>19</v>
      </c>
      <c r="AG565">
        <v>1</v>
      </c>
    </row>
    <row r="566" spans="1:33" ht="29">
      <c r="A566" t="s">
        <v>807</v>
      </c>
      <c r="B566" s="4" t="s">
        <v>2130</v>
      </c>
      <c r="C566" s="4" t="s">
        <v>2129</v>
      </c>
      <c r="G566" s="10" t="s">
        <v>26</v>
      </c>
      <c r="H566" s="10"/>
      <c r="I566" s="10"/>
      <c r="J566" s="10"/>
      <c r="K566" s="10"/>
      <c r="L566" s="10"/>
      <c r="M566" s="10"/>
      <c r="N566" s="11"/>
      <c r="O566" s="10"/>
      <c r="P566" s="10"/>
      <c r="Q566" s="10"/>
      <c r="R566" s="10" t="s">
        <v>2387</v>
      </c>
      <c r="S566" s="10" t="s">
        <v>2387</v>
      </c>
      <c r="T566" s="10"/>
      <c r="U566" s="10"/>
      <c r="V566" s="10"/>
      <c r="W566" s="10"/>
      <c r="X566" s="10"/>
      <c r="Y566" s="10"/>
      <c r="Z566" s="10"/>
      <c r="AA566" s="10"/>
      <c r="AB566" s="10"/>
      <c r="AC566" s="10"/>
      <c r="AD566" t="s">
        <v>19</v>
      </c>
      <c r="AE566" t="s">
        <v>19</v>
      </c>
      <c r="AG566">
        <v>1</v>
      </c>
    </row>
    <row r="567" spans="1:33" ht="29">
      <c r="A567" t="s">
        <v>808</v>
      </c>
      <c r="B567" s="4" t="s">
        <v>2131</v>
      </c>
      <c r="C567" s="4" t="s">
        <v>2132</v>
      </c>
      <c r="G567" s="10" t="s">
        <v>24</v>
      </c>
      <c r="H567" s="10"/>
      <c r="I567" s="10">
        <v>1</v>
      </c>
      <c r="J567" s="10">
        <v>4</v>
      </c>
      <c r="K567" s="10" t="s">
        <v>2158</v>
      </c>
      <c r="L567" s="10" t="s">
        <v>2153</v>
      </c>
      <c r="M567" s="10" t="s">
        <v>2231</v>
      </c>
      <c r="N567" s="11" t="s">
        <v>2230</v>
      </c>
      <c r="O567" s="10"/>
      <c r="P567" s="10">
        <v>2475</v>
      </c>
      <c r="Q567" s="10"/>
      <c r="R567" s="10" t="s">
        <v>2387</v>
      </c>
      <c r="S567" s="10" t="s">
        <v>2387</v>
      </c>
      <c r="T567" s="10"/>
      <c r="U567" s="10"/>
      <c r="V567" s="10"/>
      <c r="W567" s="10"/>
      <c r="X567" s="10"/>
      <c r="Y567" s="10"/>
      <c r="Z567" s="10"/>
      <c r="AA567" s="10"/>
      <c r="AB567" s="10"/>
      <c r="AC567" s="10"/>
      <c r="AD567" t="s">
        <v>19</v>
      </c>
      <c r="AE567" t="s">
        <v>19</v>
      </c>
      <c r="AG567">
        <v>1</v>
      </c>
    </row>
    <row r="568" spans="1:33" ht="29">
      <c r="A568" t="s">
        <v>808</v>
      </c>
      <c r="B568" s="4" t="s">
        <v>2131</v>
      </c>
      <c r="C568" s="4" t="s">
        <v>2133</v>
      </c>
      <c r="G568" s="10" t="s">
        <v>24</v>
      </c>
      <c r="H568" s="10"/>
      <c r="I568" s="10">
        <v>1</v>
      </c>
      <c r="J568" s="10">
        <v>3</v>
      </c>
      <c r="K568" s="10" t="s">
        <v>2158</v>
      </c>
      <c r="L568" s="10" t="s">
        <v>2159</v>
      </c>
      <c r="M568" s="10"/>
      <c r="N568" s="11"/>
      <c r="O568" s="10"/>
      <c r="P568" s="10">
        <v>2475</v>
      </c>
      <c r="Q568" s="10"/>
      <c r="R568" s="10" t="s">
        <v>2387</v>
      </c>
      <c r="S568" s="10" t="s">
        <v>2387</v>
      </c>
      <c r="T568" s="10"/>
      <c r="U568" s="10"/>
      <c r="V568" s="10"/>
      <c r="W568" s="10"/>
      <c r="X568" s="10"/>
      <c r="Y568" s="10"/>
      <c r="Z568" s="10"/>
      <c r="AA568" s="10"/>
      <c r="AB568" s="10"/>
      <c r="AC568" s="10"/>
      <c r="AD568" t="s">
        <v>19</v>
      </c>
      <c r="AE568" t="s">
        <v>19</v>
      </c>
      <c r="AG568">
        <v>1</v>
      </c>
    </row>
    <row r="569" spans="1:33">
      <c r="A569" t="s">
        <v>809</v>
      </c>
      <c r="B569" s="4" t="s">
        <v>2135</v>
      </c>
      <c r="C569" s="4" t="s">
        <v>2134</v>
      </c>
      <c r="G569" s="10" t="s">
        <v>24</v>
      </c>
      <c r="H569" s="10"/>
      <c r="I569" s="10">
        <v>1</v>
      </c>
      <c r="J569" s="10">
        <v>4</v>
      </c>
      <c r="K569" s="10" t="s">
        <v>2158</v>
      </c>
      <c r="L569" s="10" t="s">
        <v>2153</v>
      </c>
      <c r="M569" s="10" t="s">
        <v>2231</v>
      </c>
      <c r="N569" s="11" t="s">
        <v>2230</v>
      </c>
      <c r="O569" s="10"/>
      <c r="P569" s="10">
        <v>2475</v>
      </c>
      <c r="Q569" s="10"/>
      <c r="R569" s="10" t="s">
        <v>2387</v>
      </c>
      <c r="S569" s="10" t="s">
        <v>2387</v>
      </c>
      <c r="T569" s="10"/>
      <c r="U569" s="10"/>
      <c r="V569" s="10"/>
      <c r="W569" s="10"/>
      <c r="X569" s="10"/>
      <c r="Y569" s="10"/>
      <c r="Z569" s="10"/>
      <c r="AA569" s="10"/>
      <c r="AB569" s="10"/>
      <c r="AC569" s="10"/>
      <c r="AD569" t="s">
        <v>19</v>
      </c>
      <c r="AE569" t="s">
        <v>19</v>
      </c>
      <c r="AG569">
        <v>1</v>
      </c>
    </row>
    <row r="570" spans="1:33">
      <c r="A570" t="s">
        <v>810</v>
      </c>
      <c r="B570" s="4" t="s">
        <v>2136</v>
      </c>
      <c r="C570" s="4" t="s">
        <v>2137</v>
      </c>
      <c r="G570" s="10" t="s">
        <v>2199</v>
      </c>
      <c r="H570" s="10"/>
      <c r="I570" s="10"/>
      <c r="J570" s="10"/>
      <c r="K570" s="10"/>
      <c r="L570" s="10"/>
      <c r="M570" s="10"/>
      <c r="N570" s="11"/>
      <c r="O570" s="10"/>
      <c r="P570" s="10"/>
      <c r="Q570" s="10">
        <v>1645</v>
      </c>
      <c r="R570" s="10">
        <v>830</v>
      </c>
      <c r="S570" s="10">
        <v>2475</v>
      </c>
      <c r="T570" s="10"/>
      <c r="U570" s="10"/>
      <c r="V570" s="10"/>
      <c r="W570" s="10"/>
      <c r="X570" s="10"/>
      <c r="Y570" s="10"/>
      <c r="Z570" s="10"/>
      <c r="AA570" s="10"/>
      <c r="AB570" s="10"/>
      <c r="AC570" s="10"/>
      <c r="AD570" t="s">
        <v>20</v>
      </c>
      <c r="AE570" t="s">
        <v>20</v>
      </c>
      <c r="AG570">
        <v>0</v>
      </c>
    </row>
    <row r="571" spans="1:33" ht="29">
      <c r="A571" t="s">
        <v>812</v>
      </c>
      <c r="B571" s="4" t="s">
        <v>2141</v>
      </c>
      <c r="C571" s="4" t="s">
        <v>2142</v>
      </c>
      <c r="G571" s="10" t="s">
        <v>24</v>
      </c>
      <c r="H571" s="10"/>
      <c r="I571" s="10">
        <v>2</v>
      </c>
      <c r="J571" s="10">
        <v>4</v>
      </c>
      <c r="K571" s="10"/>
      <c r="L571" s="10" t="s">
        <v>2159</v>
      </c>
      <c r="M571" s="10"/>
      <c r="N571" s="11"/>
      <c r="O571" s="10"/>
      <c r="P571" s="10">
        <v>613</v>
      </c>
      <c r="Q571" s="10"/>
      <c r="R571" s="10" t="s">
        <v>2387</v>
      </c>
      <c r="S571" s="10" t="s">
        <v>2387</v>
      </c>
      <c r="T571" s="10"/>
      <c r="U571" s="10"/>
      <c r="V571" s="10"/>
      <c r="W571" s="10"/>
      <c r="X571" s="10"/>
      <c r="Y571" s="10"/>
      <c r="Z571" s="10"/>
      <c r="AA571" s="10"/>
      <c r="AB571" s="10"/>
      <c r="AC571" s="10"/>
      <c r="AD571" t="s">
        <v>19</v>
      </c>
      <c r="AE571" t="s">
        <v>19</v>
      </c>
      <c r="AG571">
        <v>1</v>
      </c>
    </row>
    <row r="572" spans="1:33" ht="29">
      <c r="A572" t="s">
        <v>812</v>
      </c>
      <c r="B572" s="4" t="s">
        <v>2143</v>
      </c>
      <c r="C572" s="4" t="s">
        <v>2140</v>
      </c>
      <c r="G572" s="10" t="s">
        <v>25</v>
      </c>
      <c r="H572" s="10"/>
      <c r="I572" s="10">
        <v>1</v>
      </c>
      <c r="J572" s="10">
        <v>5</v>
      </c>
      <c r="K572" s="10" t="s">
        <v>2152</v>
      </c>
      <c r="L572" s="10" t="s">
        <v>2159</v>
      </c>
      <c r="M572" s="10"/>
      <c r="N572" s="11"/>
      <c r="O572" s="10"/>
      <c r="P572" s="10">
        <v>24</v>
      </c>
      <c r="Q572" s="10"/>
      <c r="R572" s="10" t="s">
        <v>2387</v>
      </c>
      <c r="S572" s="10" t="s">
        <v>2387</v>
      </c>
      <c r="T572" s="10"/>
      <c r="U572" s="10"/>
      <c r="V572" s="10"/>
      <c r="W572" s="10"/>
      <c r="X572" s="10"/>
      <c r="Y572" s="10"/>
      <c r="Z572" s="10"/>
      <c r="AA572" s="10"/>
      <c r="AB572" s="10"/>
      <c r="AC572" s="10"/>
      <c r="AD572" t="s">
        <v>19</v>
      </c>
      <c r="AE572" t="s">
        <v>19</v>
      </c>
      <c r="AG572">
        <v>1</v>
      </c>
    </row>
    <row r="573" spans="1:33">
      <c r="R573" s="10"/>
      <c r="S573" s="10"/>
    </row>
    <row r="574" spans="1:33">
      <c r="R574" s="10"/>
      <c r="S574" s="10"/>
    </row>
    <row r="575" spans="1:33">
      <c r="R575" s="10"/>
      <c r="S575" s="10"/>
    </row>
    <row r="576" spans="1:33">
      <c r="F576">
        <f>COUNTIF(F2:F572,"Yes")</f>
        <v>27</v>
      </c>
      <c r="R576" s="10"/>
      <c r="S576" s="10"/>
    </row>
    <row r="577" spans="18:19">
      <c r="R577" s="10"/>
      <c r="S577" s="10"/>
    </row>
    <row r="578" spans="18:19">
      <c r="R578" s="10"/>
      <c r="S578" s="10"/>
    </row>
    <row r="579" spans="18:19">
      <c r="R579" s="10"/>
      <c r="S579" s="10"/>
    </row>
    <row r="580" spans="18:19">
      <c r="R580" s="10"/>
      <c r="S580" s="10"/>
    </row>
    <row r="581" spans="18:19">
      <c r="R581" s="10"/>
      <c r="S581" s="10"/>
    </row>
    <row r="582" spans="18:19">
      <c r="R582" s="10"/>
      <c r="S582" s="10"/>
    </row>
  </sheetData>
  <conditionalFormatting sqref="G2:G572">
    <cfRule type="expression" dxfId="309" priority="9">
      <formula>$I2&lt;&gt;""</formula>
    </cfRule>
    <cfRule type="expression" dxfId="308" priority="10">
      <formula>$I2=""</formula>
    </cfRule>
  </conditionalFormatting>
  <conditionalFormatting sqref="H2:L572 O2:P572">
    <cfRule type="expression" dxfId="307" priority="26">
      <formula>AND(OR($I2="Addition",$I2="Omission"), H2="")</formula>
    </cfRule>
    <cfRule type="expression" dxfId="306" priority="27">
      <formula>AND($I2&lt;&gt;"Addition",$I2&lt;&gt;"Omission",$I2&lt;&gt;"Substitution - Word")</formula>
    </cfRule>
  </conditionalFormatting>
  <conditionalFormatting sqref="H2:P572">
    <cfRule type="expression" dxfId="305" priority="25">
      <formula>AND(OR($I2="Addition",$I2="Omission"), H2&lt;&gt;"")</formula>
    </cfRule>
  </conditionalFormatting>
  <conditionalFormatting sqref="K2:K572">
    <cfRule type="expression" dxfId="304" priority="20">
      <formula>AND($K2&lt;&gt;"",$K2&gt;1)</formula>
    </cfRule>
  </conditionalFormatting>
  <conditionalFormatting sqref="M2:N572">
    <cfRule type="expression" dxfId="303" priority="16">
      <formula>$N2="Absent"</formula>
    </cfRule>
    <cfRule type="expression" dxfId="302" priority="17">
      <formula>$N2="NA"</formula>
    </cfRule>
    <cfRule type="expression" dxfId="301" priority="18">
      <formula>AND(OR($I2="Addition",$I2="Omission"), M2="")</formula>
    </cfRule>
    <cfRule type="expression" dxfId="300" priority="19">
      <formula>AND($I2&lt;&gt;"Addition",$I2&lt;&gt;"Omission")</formula>
    </cfRule>
  </conditionalFormatting>
  <conditionalFormatting sqref="O2:O572">
    <cfRule type="expression" dxfId="299" priority="21">
      <formula>OR($I2="Addition",$I2="Omission",$I2 = "Substitution - Word")</formula>
    </cfRule>
  </conditionalFormatting>
  <conditionalFormatting sqref="Q2 Q3:S572">
    <cfRule type="expression" dxfId="298" priority="23">
      <formula>AND(AND(LEFT($I2,3)="Sub", RIGHT($I2,4)&lt;&gt;"Form"),$S2="")</formula>
    </cfRule>
    <cfRule type="expression" dxfId="297" priority="24">
      <formula>"&lt;&gt;AND(LEFT($J2,3)=""Sub"", RIGHT($J2,4)&lt;&gt;""Form"")"</formula>
    </cfRule>
  </conditionalFormatting>
  <conditionalFormatting sqref="Q3:S572 Q2">
    <cfRule type="expression" dxfId="296" priority="22">
      <formula>AND(AND(LEFT($I2,3)="Sub", RIGHT($I2,4)&lt;&gt;"Form"),$S2&lt;&gt;"")</formula>
    </cfRule>
  </conditionalFormatting>
  <conditionalFormatting sqref="R2:S582">
    <cfRule type="expression" dxfId="295" priority="6">
      <formula>AND(AND(LEFT($I2,3)="Sub", RIGHT($I2,4)&lt;&gt;"Form"),$S2&lt;&gt;"")</formula>
    </cfRule>
    <cfRule type="expression" dxfId="294" priority="7">
      <formula>AND(AND(LEFT($I2,3)="Sub", RIGHT($I2,4)&lt;&gt;"Form"),$S2="")</formula>
    </cfRule>
    <cfRule type="expression" dxfId="293" priority="8">
      <formula>"&lt;&gt;AND(LEFT($J2,3)=""Sub"", RIGHT($J2,4)&lt;&gt;""Form"")"</formula>
    </cfRule>
  </conditionalFormatting>
  <conditionalFormatting sqref="T2:T5 T7:T572">
    <cfRule type="expression" dxfId="292" priority="30">
      <formula>AND($AC2&lt;&gt;"Yes",$AD2="")</formula>
    </cfRule>
  </conditionalFormatting>
  <conditionalFormatting sqref="T2:T572">
    <cfRule type="expression" dxfId="291" priority="12">
      <formula>AND($V2&lt;&gt;"",OR($AC2="Yes",$AD2&lt;&gt;""))</formula>
    </cfRule>
    <cfRule type="expression" dxfId="290" priority="13">
      <formula>OR($AC2="Yes",$AD2&lt;&gt;"")</formula>
    </cfRule>
  </conditionalFormatting>
  <conditionalFormatting sqref="T6">
    <cfRule type="expression" dxfId="289" priority="3">
      <formula>AND($AC6&lt;&gt;"Yes",$AD6="")</formula>
    </cfRule>
  </conditionalFormatting>
  <conditionalFormatting sqref="T2:AC5 T7:AC572">
    <cfRule type="expression" dxfId="288" priority="28">
      <formula>AND($I2&lt;&gt;"",$I2&lt;&gt;"Unclear due to correction")</formula>
    </cfRule>
    <cfRule type="expression" dxfId="287" priority="29">
      <formula>OR($I2="",$I2="Unclear due to correction")</formula>
    </cfRule>
  </conditionalFormatting>
  <conditionalFormatting sqref="T6:AC6">
    <cfRule type="expression" dxfId="286" priority="1">
      <formula>AND($I6&lt;&gt;"",$I6&lt;&gt;"Unclear due to correction")</formula>
    </cfRule>
    <cfRule type="expression" dxfId="285" priority="2">
      <formula>OR($I6="",$I6="Unclear due to correction")</formula>
    </cfRule>
  </conditionalFormatting>
  <conditionalFormatting sqref="U2:U572">
    <cfRule type="expression" dxfId="284" priority="11">
      <formula>AND($I2&lt;&gt;"",$I2&lt;&gt;"Unclear due to correction",$W2="")</formula>
    </cfRule>
  </conditionalFormatting>
  <conditionalFormatting sqref="V2:V572">
    <cfRule type="expression" dxfId="283" priority="14">
      <formula>AND($W2="Yes",$X2="")</formula>
    </cfRule>
    <cfRule type="expression" dxfId="282" priority="15">
      <formula>$W2=""</formula>
    </cfRule>
  </conditionalFormatting>
  <conditionalFormatting sqref="AA2:AA572">
    <cfRule type="expression" dxfId="281" priority="31">
      <formula>AND(OR($AA2&lt;&gt;"",$AB2&lt;&gt;""),$AC2="")</formula>
    </cfRule>
  </conditionalFormatting>
  <dataValidations count="1">
    <dataValidation allowBlank="1" showInputMessage="1" sqref="U2 U4:U5 U7:U572" xr:uid="{8A22E612-CE56-42D1-93DC-FF54721392DA}"/>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94ECC510-658D-4678-BE8B-649B795E0F72}">
          <x14:formula1>
            <xm:f>'Data Regularization'!$Q$2:$Q$4</xm:f>
          </x14:formula1>
          <xm:sqref>AD2:AD572 AE2:AE20 AF2:AF572</xm:sqref>
        </x14:dataValidation>
        <x14:dataValidation type="list" allowBlank="1" showInputMessage="1" showErrorMessage="1" xr:uid="{5FBD9E73-EC1E-467F-9DAB-EF8A7380797D}">
          <x14:formula1>
            <xm:f>'Data Regularization'!$D$2:$D$1048576</xm:f>
          </x14:formula1>
          <xm:sqref>G2 G32:G572 G27:G30 G7:G25 G4:G5</xm:sqref>
        </x14:dataValidation>
        <x14:dataValidation type="list" allowBlank="1" showInputMessage="1" showErrorMessage="1" xr:uid="{C3F9FC46-B933-426D-833F-6D13D7B26E9E}">
          <x14:formula1>
            <xm:f>'Data Regularization'!$E$2:$E$1048576</xm:f>
          </x14:formula1>
          <xm:sqref>K2 K7:K572 K4:K5</xm:sqref>
        </x14:dataValidation>
        <x14:dataValidation type="list" allowBlank="1" showInputMessage="1" showErrorMessage="1" xr:uid="{5AC1950B-0B78-456C-9ADC-5E2E207CCEC6}">
          <x14:formula1>
            <xm:f>'Data Regularization'!$F$2:$F$1048576</xm:f>
          </x14:formula1>
          <xm:sqref>L2 L7:L572 L4:L5</xm:sqref>
        </x14:dataValidation>
        <x14:dataValidation type="list" allowBlank="1" showInputMessage="1" showErrorMessage="1" xr:uid="{1200A4D7-4DC4-4133-97E7-C846BA582542}">
          <x14:formula1>
            <xm:f>'Data Regularization'!$G$2:$G$1048576</xm:f>
          </x14:formula1>
          <xm:sqref>O2 O7:O572 O4:O5</xm:sqref>
        </x14:dataValidation>
        <x14:dataValidation type="list" allowBlank="1" showInputMessage="1" showErrorMessage="1" xr:uid="{2B20E402-36F0-4B14-BD99-33BDAA19BE95}">
          <x14:formula1>
            <xm:f>'Data Regularization'!$K$2:$K$1048576</xm:f>
          </x14:formula1>
          <xm:sqref>T2 V2 V4:V5 T4:T5 V7:V572 T7:T572</xm:sqref>
        </x14:dataValidation>
        <x14:dataValidation type="list" allowBlank="1" showInputMessage="1" showErrorMessage="1" xr:uid="{73AE34CF-ECD2-4315-9367-BDBED197951E}">
          <x14:formula1>
            <xm:f>'Data Regularization'!$L$2:$L$1048576</xm:f>
          </x14:formula1>
          <xm:sqref>W2 W4:W5 W7:W572</xm:sqref>
        </x14:dataValidation>
        <x14:dataValidation type="list" allowBlank="1" showInputMessage="1" showErrorMessage="1" xr:uid="{9102E840-AC7E-4517-879E-1B7A199BDA5A}">
          <x14:formula1>
            <xm:f>'Data Regularization'!$M$2:$M$1048576</xm:f>
          </x14:formula1>
          <xm:sqref>X2 X4:X5 X7:X572</xm:sqref>
        </x14:dataValidation>
        <x14:dataValidation type="list" allowBlank="1" showInputMessage="1" showErrorMessage="1" xr:uid="{968F324F-5009-48F7-9A1E-0E3DF13283AB}">
          <x14:formula1>
            <xm:f>'Data Regularization'!$N$2:$N$1048576</xm:f>
          </x14:formula1>
          <xm:sqref>Y2 Y4:Y5 Y7:Y572</xm:sqref>
        </x14:dataValidation>
        <x14:dataValidation type="list" allowBlank="1" showInputMessage="1" showErrorMessage="1" xr:uid="{CB1342E2-DD57-4AD5-92D4-1FC86535F233}">
          <x14:formula1>
            <xm:f>'Data Regularization'!$O$2:$O$1048576</xm:f>
          </x14:formula1>
          <xm:sqref>AA2 AA4:AA5 AA7:AA572</xm:sqref>
        </x14:dataValidation>
        <x14:dataValidation type="list" allowBlank="1" showInputMessage="1" showErrorMessage="1" xr:uid="{3D94537F-D779-4ED7-AE72-2ACDB3B655E9}">
          <x14:formula1>
            <xm:f>'Data Regularization'!$P$2:$P$1048576</xm:f>
          </x14:formula1>
          <xm:sqref>AB2 AB4:AB572</xm:sqref>
        </x14:dataValidation>
        <x14:dataValidation type="list" allowBlank="1" showInputMessage="1" showErrorMessage="1" xr:uid="{F29BABEA-5319-4AA8-82A2-DFB30E32B2A1}">
          <x14:formula1>
            <xm:f>'Data Regularization'!$Q$2:$Q$1048576</xm:f>
          </x14:formula1>
          <xm:sqref>AC2 AC4:AC572</xm:sqref>
        </x14:dataValidation>
        <x14:dataValidation type="list" allowBlank="1" showInputMessage="1" showErrorMessage="1" xr:uid="{E11EF365-214F-43B4-867F-FD5B07CA7385}">
          <x14:formula1>
            <xm:f>'Data Regularization'!$C$2:$C$29</xm:f>
          </x14:formula1>
          <xm:sqref>F2:F572</xm:sqref>
        </x14:dataValidation>
        <x14:dataValidation type="list" allowBlank="1" showInputMessage="1" showErrorMessage="1" xr:uid="{6FACBCD6-2C66-488B-BA59-1A8DF21547CE}">
          <x14:formula1>
            <xm:f>'Data Regularization'!$A$2:$A$1048576</xm:f>
          </x14:formula1>
          <xm:sqref>D2:D572</xm:sqref>
        </x14:dataValidation>
        <x14:dataValidation type="list" allowBlank="1" showInputMessage="1" showErrorMessage="1" xr:uid="{BBBBBEE8-FCDA-43C3-8D7A-5816D4E87660}">
          <x14:formula1>
            <xm:f>'Data Regularization'!$B$2:$B$1048576</xm:f>
          </x14:formula1>
          <xm:sqref>E2:E572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38FE-F68E-4A4C-ADAC-2482417913BF}">
  <dimension ref="A1:AJ310"/>
  <sheetViews>
    <sheetView workbookViewId="0">
      <pane xSplit="3" ySplit="1" topLeftCell="D253" activePane="bottomRight" state="frozen"/>
      <selection pane="topRight" activeCell="D1" sqref="D1"/>
      <selection pane="bottomLeft" activeCell="A2" sqref="A2"/>
      <selection pane="bottomRight" activeCell="A251" sqref="A251"/>
    </sheetView>
  </sheetViews>
  <sheetFormatPr defaultRowHeight="14.5"/>
  <cols>
    <col min="1" max="1" width="10.453125" bestFit="1" customWidth="1"/>
  </cols>
  <sheetData>
    <row r="1" spans="1:36" s="1" customFormat="1" ht="29">
      <c r="A1" s="1" t="s">
        <v>0</v>
      </c>
      <c r="B1" s="1" t="s">
        <v>5</v>
      </c>
      <c r="C1" s="3" t="s">
        <v>6</v>
      </c>
      <c r="D1" s="1" t="s">
        <v>2181</v>
      </c>
      <c r="E1" s="1" t="s">
        <v>2182</v>
      </c>
      <c r="F1" s="1" t="s">
        <v>2183</v>
      </c>
      <c r="G1" s="1" t="s">
        <v>3</v>
      </c>
      <c r="H1" s="1" t="s">
        <v>2184</v>
      </c>
      <c r="I1" s="1" t="s">
        <v>2185</v>
      </c>
      <c r="J1" s="1" t="s">
        <v>2186</v>
      </c>
      <c r="K1" s="1" t="s">
        <v>2187</v>
      </c>
      <c r="L1" s="1" t="s">
        <v>2146</v>
      </c>
      <c r="M1" s="1" t="s">
        <v>2188</v>
      </c>
      <c r="N1" s="9" t="s">
        <v>2189</v>
      </c>
      <c r="O1" s="1" t="s">
        <v>2147</v>
      </c>
      <c r="P1" s="1" t="s">
        <v>2190</v>
      </c>
      <c r="Q1" s="1" t="s">
        <v>2388</v>
      </c>
      <c r="R1" s="1" t="s">
        <v>2191</v>
      </c>
      <c r="S1" s="1" t="s">
        <v>2385</v>
      </c>
      <c r="T1" s="1" t="s">
        <v>2386</v>
      </c>
      <c r="U1" s="1" t="s">
        <v>2194</v>
      </c>
      <c r="V1" s="1" t="s">
        <v>2195</v>
      </c>
      <c r="W1" s="1" t="s">
        <v>2196</v>
      </c>
      <c r="X1" s="1" t="s">
        <v>2148</v>
      </c>
      <c r="Y1" s="1" t="s">
        <v>2149</v>
      </c>
      <c r="Z1" s="1" t="s">
        <v>2150</v>
      </c>
      <c r="AA1" s="1" t="s">
        <v>2192</v>
      </c>
      <c r="AB1" s="1" t="s">
        <v>2197</v>
      </c>
      <c r="AC1" s="1" t="s">
        <v>2151</v>
      </c>
      <c r="AD1" s="1" t="s">
        <v>2193</v>
      </c>
      <c r="AE1" s="1" t="s">
        <v>2215</v>
      </c>
      <c r="AF1" s="1" t="s">
        <v>2207</v>
      </c>
      <c r="AG1" s="1" t="s">
        <v>2214</v>
      </c>
    </row>
    <row r="2" spans="1:36" ht="43.5">
      <c r="A2" t="s">
        <v>42</v>
      </c>
      <c r="B2" s="4" t="s">
        <v>815</v>
      </c>
      <c r="C2" s="4" t="s">
        <v>816</v>
      </c>
      <c r="G2" s="10" t="s">
        <v>25</v>
      </c>
      <c r="H2" s="10"/>
      <c r="I2" s="10">
        <v>1</v>
      </c>
      <c r="J2" s="10">
        <v>4</v>
      </c>
      <c r="K2" s="10" t="s">
        <v>2219</v>
      </c>
      <c r="L2" s="10" t="s">
        <v>2159</v>
      </c>
      <c r="M2" s="10"/>
      <c r="N2" s="11"/>
      <c r="O2" s="10"/>
      <c r="P2" s="10">
        <v>295</v>
      </c>
      <c r="Q2" s="10">
        <f>IF(ISNUMBER(P2), (P2/$F$303)*10000, "")</f>
        <v>145.04867735273871</v>
      </c>
      <c r="R2" s="10"/>
      <c r="S2" s="10" t="s">
        <v>2387</v>
      </c>
      <c r="T2" s="10" t="s">
        <v>2387</v>
      </c>
      <c r="U2" s="10"/>
      <c r="V2" s="10"/>
      <c r="W2" s="10"/>
      <c r="X2" s="10"/>
      <c r="Y2" s="10"/>
      <c r="Z2" s="10"/>
      <c r="AA2" s="10"/>
      <c r="AB2" s="10"/>
      <c r="AC2" s="10"/>
      <c r="AD2" s="10"/>
      <c r="AE2" t="s">
        <v>19</v>
      </c>
      <c r="AF2" t="s">
        <v>20</v>
      </c>
      <c r="AG2" t="s">
        <v>20</v>
      </c>
      <c r="AH2">
        <v>1</v>
      </c>
      <c r="AI2" t="s">
        <v>2213</v>
      </c>
      <c r="AJ2">
        <v>0.3888888888888889</v>
      </c>
    </row>
    <row r="3" spans="1:36" ht="58">
      <c r="A3" t="s">
        <v>56</v>
      </c>
      <c r="B3" s="4" t="s">
        <v>821</v>
      </c>
      <c r="C3" s="4" t="s">
        <v>822</v>
      </c>
      <c r="F3" t="s">
        <v>19</v>
      </c>
      <c r="G3" s="10" t="s">
        <v>24</v>
      </c>
      <c r="H3" s="10"/>
      <c r="I3" s="10">
        <v>1</v>
      </c>
      <c r="J3" s="10">
        <v>8</v>
      </c>
      <c r="K3" s="10" t="s">
        <v>2173</v>
      </c>
      <c r="L3" s="10" t="s">
        <v>2153</v>
      </c>
      <c r="M3" s="10" t="s">
        <v>2231</v>
      </c>
      <c r="N3" s="11" t="s">
        <v>2232</v>
      </c>
      <c r="O3" s="10"/>
      <c r="P3" s="10">
        <v>0</v>
      </c>
      <c r="Q3" s="10">
        <f t="shared" ref="Q3:Q66" si="0">IF(ISNUMBER(P3), (P3/$F$303)*10000, "")</f>
        <v>0</v>
      </c>
      <c r="R3" s="10"/>
      <c r="S3" s="10" t="s">
        <v>2387</v>
      </c>
      <c r="T3" s="10" t="s">
        <v>2387</v>
      </c>
      <c r="U3" s="10"/>
      <c r="V3" s="10"/>
      <c r="W3" s="10"/>
      <c r="X3" s="10"/>
      <c r="Y3" s="10"/>
      <c r="Z3" s="10"/>
      <c r="AA3" s="10"/>
      <c r="AB3" s="10"/>
      <c r="AC3" s="10"/>
      <c r="AD3" s="10"/>
      <c r="AE3" t="s">
        <v>20</v>
      </c>
      <c r="AF3" t="s">
        <v>20</v>
      </c>
      <c r="AG3" t="s">
        <v>20</v>
      </c>
      <c r="AH3">
        <v>0</v>
      </c>
    </row>
    <row r="4" spans="1:36" ht="58">
      <c r="A4" t="s">
        <v>61</v>
      </c>
      <c r="B4" s="4" t="s">
        <v>824</v>
      </c>
      <c r="C4" s="4" t="s">
        <v>825</v>
      </c>
      <c r="G4" s="10" t="s">
        <v>24</v>
      </c>
      <c r="H4" s="10"/>
      <c r="I4" s="10">
        <v>1</v>
      </c>
      <c r="J4" s="10">
        <v>3</v>
      </c>
      <c r="K4" s="10" t="s">
        <v>2168</v>
      </c>
      <c r="L4" s="10" t="s">
        <v>2159</v>
      </c>
      <c r="M4" s="10"/>
      <c r="N4" s="11"/>
      <c r="O4" s="10"/>
      <c r="P4" s="10">
        <v>1701</v>
      </c>
      <c r="Q4" s="10">
        <f t="shared" si="0"/>
        <v>836.36542432884255</v>
      </c>
      <c r="R4" s="10"/>
      <c r="S4" s="10" t="s">
        <v>2387</v>
      </c>
      <c r="T4" s="10" t="s">
        <v>2387</v>
      </c>
      <c r="U4" s="10"/>
      <c r="V4" s="10"/>
      <c r="W4" s="10"/>
      <c r="X4" s="10"/>
      <c r="Y4" s="10"/>
      <c r="Z4" s="10"/>
      <c r="AA4" s="10"/>
      <c r="AB4" s="10"/>
      <c r="AC4" s="10"/>
      <c r="AD4" s="10"/>
      <c r="AE4" t="s">
        <v>19</v>
      </c>
      <c r="AF4" t="s">
        <v>19</v>
      </c>
      <c r="AG4" t="s">
        <v>19</v>
      </c>
      <c r="AH4">
        <v>1</v>
      </c>
    </row>
    <row r="5" spans="1:36" ht="29">
      <c r="A5" t="s">
        <v>73</v>
      </c>
      <c r="B5" s="4" t="s">
        <v>834</v>
      </c>
      <c r="C5" s="4" t="s">
        <v>833</v>
      </c>
      <c r="G5" s="10" t="s">
        <v>24</v>
      </c>
      <c r="H5" s="10"/>
      <c r="I5" s="10">
        <v>1</v>
      </c>
      <c r="J5" s="10">
        <v>3</v>
      </c>
      <c r="K5" s="10" t="s">
        <v>2158</v>
      </c>
      <c r="L5" s="10" t="s">
        <v>2159</v>
      </c>
      <c r="M5" s="10"/>
      <c r="N5" s="11"/>
      <c r="O5" s="10"/>
      <c r="P5" s="10">
        <v>2475</v>
      </c>
      <c r="Q5" s="10">
        <f t="shared" si="0"/>
        <v>1216.9338184678927</v>
      </c>
      <c r="R5" s="10"/>
      <c r="S5" s="10" t="s">
        <v>2387</v>
      </c>
      <c r="T5" s="10" t="s">
        <v>2387</v>
      </c>
      <c r="U5" s="10"/>
      <c r="V5" s="10"/>
      <c r="W5" s="10"/>
      <c r="X5" s="10"/>
      <c r="Y5" s="10"/>
      <c r="Z5" s="10"/>
      <c r="AA5" s="10"/>
      <c r="AB5" s="10"/>
      <c r="AC5" s="10"/>
      <c r="AD5" s="10"/>
      <c r="AE5" t="s">
        <v>19</v>
      </c>
      <c r="AF5" t="s">
        <v>20</v>
      </c>
      <c r="AG5" t="s">
        <v>20</v>
      </c>
      <c r="AH5">
        <v>1</v>
      </c>
    </row>
    <row r="6" spans="1:36" ht="58">
      <c r="A6" t="s">
        <v>80</v>
      </c>
      <c r="B6" s="4" t="s">
        <v>840</v>
      </c>
      <c r="C6" s="4" t="s">
        <v>839</v>
      </c>
      <c r="G6" s="10" t="s">
        <v>25</v>
      </c>
      <c r="H6" s="10"/>
      <c r="I6" s="10">
        <v>2</v>
      </c>
      <c r="J6" s="10">
        <v>9</v>
      </c>
      <c r="K6" s="10"/>
      <c r="L6" s="10" t="s">
        <v>2159</v>
      </c>
      <c r="M6" s="10"/>
      <c r="N6" s="11"/>
      <c r="O6" s="10"/>
      <c r="P6" s="10">
        <v>1</v>
      </c>
      <c r="Q6" s="10">
        <f t="shared" si="0"/>
        <v>0.49169043170419907</v>
      </c>
      <c r="R6" s="10"/>
      <c r="S6" s="10" t="s">
        <v>2387</v>
      </c>
      <c r="T6" s="10" t="s">
        <v>2387</v>
      </c>
      <c r="U6" s="10"/>
      <c r="V6" s="10"/>
      <c r="W6" s="10"/>
      <c r="X6" s="10"/>
      <c r="Y6" s="10"/>
      <c r="Z6" s="10"/>
      <c r="AA6" s="10"/>
      <c r="AB6" s="10"/>
      <c r="AC6" s="10"/>
      <c r="AD6" s="10"/>
      <c r="AE6" t="s">
        <v>19</v>
      </c>
      <c r="AF6" t="s">
        <v>19</v>
      </c>
      <c r="AG6" t="s">
        <v>20</v>
      </c>
      <c r="AH6">
        <v>1</v>
      </c>
    </row>
    <row r="7" spans="1:36" ht="29">
      <c r="A7" t="s">
        <v>87</v>
      </c>
      <c r="B7" s="4" t="s">
        <v>842</v>
      </c>
      <c r="C7" s="4" t="s">
        <v>841</v>
      </c>
      <c r="G7" s="10" t="s">
        <v>24</v>
      </c>
      <c r="H7" s="10"/>
      <c r="I7" s="10">
        <v>1</v>
      </c>
      <c r="J7" s="10">
        <v>1</v>
      </c>
      <c r="K7" s="10" t="s">
        <v>2158</v>
      </c>
      <c r="L7" s="10" t="s">
        <v>2200</v>
      </c>
      <c r="M7" s="10"/>
      <c r="N7" s="11"/>
      <c r="O7" s="10"/>
      <c r="P7" s="10">
        <v>2475</v>
      </c>
      <c r="Q7" s="10">
        <f t="shared" si="0"/>
        <v>1216.9338184678927</v>
      </c>
      <c r="R7" s="10"/>
      <c r="S7" s="10" t="s">
        <v>2387</v>
      </c>
      <c r="T7" s="10" t="s">
        <v>2387</v>
      </c>
      <c r="U7" s="10"/>
      <c r="V7" s="10"/>
      <c r="W7" s="10"/>
      <c r="X7" s="10"/>
      <c r="Y7" s="10"/>
      <c r="Z7" s="10"/>
      <c r="AA7" s="10"/>
      <c r="AB7" s="10"/>
      <c r="AC7" s="10"/>
      <c r="AD7" s="10"/>
      <c r="AE7" t="s">
        <v>19</v>
      </c>
      <c r="AF7" t="s">
        <v>19</v>
      </c>
      <c r="AG7" t="s">
        <v>19</v>
      </c>
      <c r="AH7">
        <v>1</v>
      </c>
    </row>
    <row r="8" spans="1:36" ht="58">
      <c r="A8" t="s">
        <v>111</v>
      </c>
      <c r="B8" s="4" t="s">
        <v>874</v>
      </c>
      <c r="C8" s="4" t="s">
        <v>873</v>
      </c>
      <c r="F8" t="s">
        <v>19</v>
      </c>
      <c r="G8" s="10" t="s">
        <v>25</v>
      </c>
      <c r="H8" s="10"/>
      <c r="I8" s="10">
        <v>2</v>
      </c>
      <c r="J8" s="10">
        <v>11</v>
      </c>
      <c r="K8" s="10"/>
      <c r="L8" s="10" t="s">
        <v>2153</v>
      </c>
      <c r="M8" s="10" t="s">
        <v>2277</v>
      </c>
      <c r="N8" s="11" t="s">
        <v>2338</v>
      </c>
      <c r="O8" s="10"/>
      <c r="P8" s="10">
        <v>2</v>
      </c>
      <c r="Q8" s="10">
        <f t="shared" si="0"/>
        <v>0.98338086340839814</v>
      </c>
      <c r="R8" s="10"/>
      <c r="S8" s="10" t="s">
        <v>2387</v>
      </c>
      <c r="T8" s="10" t="s">
        <v>2387</v>
      </c>
      <c r="U8" s="10"/>
      <c r="V8" s="10"/>
      <c r="W8" s="10"/>
      <c r="X8" s="10"/>
      <c r="Y8" s="10"/>
      <c r="Z8" s="10"/>
      <c r="AA8" s="10"/>
      <c r="AB8" s="10"/>
      <c r="AC8" s="10"/>
      <c r="AD8" s="10"/>
      <c r="AE8" t="s">
        <v>20</v>
      </c>
      <c r="AF8" t="s">
        <v>20</v>
      </c>
      <c r="AG8" t="s">
        <v>20</v>
      </c>
      <c r="AH8">
        <v>0</v>
      </c>
    </row>
    <row r="9" spans="1:36" ht="101.5">
      <c r="A9" t="s">
        <v>114</v>
      </c>
      <c r="B9" s="4" t="s">
        <v>875</v>
      </c>
      <c r="C9" s="4" t="s">
        <v>876</v>
      </c>
      <c r="G9" s="10" t="s">
        <v>24</v>
      </c>
      <c r="H9" s="10"/>
      <c r="I9" s="10">
        <v>1</v>
      </c>
      <c r="J9" s="10">
        <v>2</v>
      </c>
      <c r="K9" s="10" t="s">
        <v>2177</v>
      </c>
      <c r="L9" s="10" t="s">
        <v>2200</v>
      </c>
      <c r="M9" s="10"/>
      <c r="N9" s="11"/>
      <c r="O9" s="10"/>
      <c r="P9" s="10">
        <v>613</v>
      </c>
      <c r="Q9" s="10">
        <f t="shared" si="0"/>
        <v>301.40623463467404</v>
      </c>
      <c r="R9" s="10"/>
      <c r="S9" s="10" t="s">
        <v>2387</v>
      </c>
      <c r="T9" s="10" t="s">
        <v>2387</v>
      </c>
      <c r="U9" s="10"/>
      <c r="V9" s="10"/>
      <c r="W9" s="10"/>
      <c r="X9" s="10"/>
      <c r="Y9" s="10"/>
      <c r="Z9" s="10"/>
      <c r="AA9" s="10"/>
      <c r="AB9" s="10"/>
      <c r="AC9" s="10"/>
      <c r="AD9" s="10"/>
      <c r="AE9" t="s">
        <v>19</v>
      </c>
      <c r="AF9" t="s">
        <v>20</v>
      </c>
      <c r="AG9" t="s">
        <v>20</v>
      </c>
      <c r="AH9">
        <v>1</v>
      </c>
    </row>
    <row r="10" spans="1:36" ht="87">
      <c r="A10" t="s">
        <v>131</v>
      </c>
      <c r="B10" s="4" t="s">
        <v>888</v>
      </c>
      <c r="C10" s="4" t="s">
        <v>887</v>
      </c>
      <c r="G10" s="10" t="s">
        <v>25</v>
      </c>
      <c r="H10" s="10"/>
      <c r="I10" s="10">
        <v>1</v>
      </c>
      <c r="J10" s="10">
        <v>1</v>
      </c>
      <c r="K10" s="10" t="s">
        <v>2158</v>
      </c>
      <c r="L10" s="10" t="s">
        <v>2200</v>
      </c>
      <c r="M10" s="10"/>
      <c r="N10" s="11"/>
      <c r="O10" s="10"/>
      <c r="P10" s="10">
        <v>2475</v>
      </c>
      <c r="Q10" s="10">
        <f t="shared" si="0"/>
        <v>1216.9338184678927</v>
      </c>
      <c r="R10" s="10"/>
      <c r="S10" s="10" t="s">
        <v>2387</v>
      </c>
      <c r="T10" s="10" t="s">
        <v>2387</v>
      </c>
      <c r="U10" s="10"/>
      <c r="V10" s="10"/>
      <c r="W10" s="10"/>
      <c r="X10" s="10"/>
      <c r="Y10" s="10"/>
      <c r="Z10" s="10"/>
      <c r="AA10" s="10"/>
      <c r="AB10" s="10"/>
      <c r="AC10" s="10"/>
      <c r="AD10" s="10"/>
      <c r="AE10" t="s">
        <v>19</v>
      </c>
      <c r="AH10">
        <v>1</v>
      </c>
    </row>
    <row r="11" spans="1:36" ht="72.5">
      <c r="A11" t="s">
        <v>143</v>
      </c>
      <c r="B11" s="4" t="s">
        <v>914</v>
      </c>
      <c r="C11" s="4" t="s">
        <v>915</v>
      </c>
      <c r="G11" s="10" t="s">
        <v>24</v>
      </c>
      <c r="H11" s="10"/>
      <c r="I11" s="10">
        <v>1</v>
      </c>
      <c r="J11" s="10">
        <v>2</v>
      </c>
      <c r="K11" s="10" t="s">
        <v>2177</v>
      </c>
      <c r="L11" s="10" t="s">
        <v>2200</v>
      </c>
      <c r="M11" s="10"/>
      <c r="N11" s="11"/>
      <c r="O11" s="10"/>
      <c r="P11" s="10">
        <v>613</v>
      </c>
      <c r="Q11" s="10">
        <f t="shared" si="0"/>
        <v>301.40623463467404</v>
      </c>
      <c r="R11" s="10"/>
      <c r="S11" s="10" t="s">
        <v>2387</v>
      </c>
      <c r="T11" s="10" t="s">
        <v>2387</v>
      </c>
      <c r="U11" s="10"/>
      <c r="V11" s="10"/>
      <c r="W11" s="10"/>
      <c r="X11" s="10"/>
      <c r="Y11" s="10"/>
      <c r="Z11" s="10"/>
      <c r="AA11" s="10"/>
      <c r="AB11" s="10"/>
      <c r="AC11" s="10"/>
      <c r="AD11" s="10"/>
      <c r="AE11" t="s">
        <v>19</v>
      </c>
      <c r="AH11">
        <v>1</v>
      </c>
    </row>
    <row r="12" spans="1:36" ht="43.5">
      <c r="A12" t="s">
        <v>145</v>
      </c>
      <c r="B12" s="4" t="s">
        <v>918</v>
      </c>
      <c r="C12" s="4" t="s">
        <v>919</v>
      </c>
      <c r="F12" t="s">
        <v>19</v>
      </c>
      <c r="G12" s="10" t="s">
        <v>25</v>
      </c>
      <c r="H12" s="10"/>
      <c r="I12" s="10">
        <v>1</v>
      </c>
      <c r="J12" s="10">
        <v>5</v>
      </c>
      <c r="K12" s="10" t="s">
        <v>2152</v>
      </c>
      <c r="L12" s="10" t="s">
        <v>2159</v>
      </c>
      <c r="M12" s="10"/>
      <c r="N12" s="11"/>
      <c r="O12" s="10"/>
      <c r="P12" s="10">
        <v>8</v>
      </c>
      <c r="Q12" s="10">
        <f t="shared" si="0"/>
        <v>3.9335234536335926</v>
      </c>
      <c r="R12" s="10"/>
      <c r="S12" s="10" t="s">
        <v>2387</v>
      </c>
      <c r="T12" s="10" t="s">
        <v>2387</v>
      </c>
      <c r="U12" s="10"/>
      <c r="V12" s="10"/>
      <c r="W12" s="10"/>
      <c r="X12" s="10"/>
      <c r="Y12" s="10"/>
      <c r="Z12" s="10"/>
      <c r="AA12" s="10"/>
      <c r="AB12" s="10"/>
      <c r="AC12" s="10"/>
      <c r="AD12" s="10"/>
      <c r="AE12" t="s">
        <v>20</v>
      </c>
      <c r="AH12">
        <v>0</v>
      </c>
    </row>
    <row r="13" spans="1:36" ht="101.5">
      <c r="A13" t="s">
        <v>147</v>
      </c>
      <c r="B13" s="4" t="s">
        <v>920</v>
      </c>
      <c r="C13" s="4" t="s">
        <v>921</v>
      </c>
      <c r="F13" t="s">
        <v>19</v>
      </c>
      <c r="G13" s="10" t="s">
        <v>24</v>
      </c>
      <c r="H13" s="10"/>
      <c r="I13" s="10">
        <v>2</v>
      </c>
      <c r="J13" s="10">
        <v>11</v>
      </c>
      <c r="K13" s="10"/>
      <c r="L13" s="10" t="s">
        <v>2153</v>
      </c>
      <c r="M13" s="10" t="s">
        <v>2244</v>
      </c>
      <c r="N13" s="11" t="s">
        <v>2245</v>
      </c>
      <c r="O13" s="10"/>
      <c r="P13" s="10">
        <v>98</v>
      </c>
      <c r="Q13" s="10">
        <f t="shared" si="0"/>
        <v>48.185662307011505</v>
      </c>
      <c r="R13" s="10"/>
      <c r="S13" s="10" t="s">
        <v>2387</v>
      </c>
      <c r="T13" s="10" t="s">
        <v>2387</v>
      </c>
      <c r="U13" s="10"/>
      <c r="V13" s="10"/>
      <c r="W13" s="10"/>
      <c r="X13" s="10"/>
      <c r="Y13" s="10"/>
      <c r="Z13" s="10"/>
      <c r="AA13" s="10"/>
      <c r="AB13" s="10"/>
      <c r="AC13" s="10"/>
      <c r="AD13" s="10"/>
      <c r="AE13" t="s">
        <v>20</v>
      </c>
      <c r="AH13">
        <v>0</v>
      </c>
    </row>
    <row r="14" spans="1:36" ht="29">
      <c r="A14" t="s">
        <v>148</v>
      </c>
      <c r="B14" s="4" t="s">
        <v>923</v>
      </c>
      <c r="C14" s="4" t="s">
        <v>922</v>
      </c>
      <c r="G14" s="10" t="s">
        <v>24</v>
      </c>
      <c r="H14" s="10"/>
      <c r="I14" s="10">
        <v>1</v>
      </c>
      <c r="J14" s="10">
        <v>2</v>
      </c>
      <c r="K14" s="10" t="s">
        <v>2158</v>
      </c>
      <c r="L14" s="10" t="s">
        <v>2200</v>
      </c>
      <c r="M14" s="10"/>
      <c r="N14" s="11"/>
      <c r="O14" s="10"/>
      <c r="P14" s="10">
        <v>2475</v>
      </c>
      <c r="Q14" s="10">
        <f t="shared" si="0"/>
        <v>1216.9338184678927</v>
      </c>
      <c r="R14" s="10"/>
      <c r="S14" s="10" t="s">
        <v>2387</v>
      </c>
      <c r="T14" s="10" t="s">
        <v>2387</v>
      </c>
      <c r="U14" s="10"/>
      <c r="V14" s="10"/>
      <c r="W14" s="10"/>
      <c r="X14" s="10"/>
      <c r="Y14" s="10"/>
      <c r="Z14" s="10"/>
      <c r="AA14" s="10"/>
      <c r="AB14" s="10"/>
      <c r="AC14" s="10"/>
      <c r="AD14" s="10"/>
      <c r="AE14" t="s">
        <v>19</v>
      </c>
      <c r="AH14">
        <v>1</v>
      </c>
    </row>
    <row r="15" spans="1:36" ht="43.5">
      <c r="A15" t="s">
        <v>149</v>
      </c>
      <c r="B15" s="4" t="s">
        <v>925</v>
      </c>
      <c r="C15" s="4" t="s">
        <v>924</v>
      </c>
      <c r="G15" s="10" t="s">
        <v>25</v>
      </c>
      <c r="H15" s="10"/>
      <c r="I15" s="10">
        <v>1</v>
      </c>
      <c r="J15" s="10">
        <v>3</v>
      </c>
      <c r="K15" s="10" t="s">
        <v>2175</v>
      </c>
      <c r="L15" s="10" t="s">
        <v>2159</v>
      </c>
      <c r="M15" s="10"/>
      <c r="N15" s="11"/>
      <c r="O15" s="10"/>
      <c r="P15" s="10">
        <v>743</v>
      </c>
      <c r="Q15" s="10">
        <f t="shared" si="0"/>
        <v>365.32599075621988</v>
      </c>
      <c r="R15" s="10"/>
      <c r="S15" s="10" t="s">
        <v>2387</v>
      </c>
      <c r="T15" s="10" t="s">
        <v>2387</v>
      </c>
      <c r="U15" s="10"/>
      <c r="V15" s="10"/>
      <c r="W15" s="10"/>
      <c r="X15" s="10"/>
      <c r="Y15" s="10"/>
      <c r="Z15" s="10"/>
      <c r="AA15" s="10"/>
      <c r="AB15" s="10"/>
      <c r="AC15" s="10"/>
      <c r="AD15" s="10"/>
      <c r="AE15" t="s">
        <v>19</v>
      </c>
      <c r="AH15">
        <v>1</v>
      </c>
    </row>
    <row r="16" spans="1:36" ht="43.5">
      <c r="A16" t="s">
        <v>157</v>
      </c>
      <c r="B16" s="4" t="s">
        <v>930</v>
      </c>
      <c r="C16" s="4" t="s">
        <v>931</v>
      </c>
      <c r="G16" s="10" t="s">
        <v>24</v>
      </c>
      <c r="H16" s="10"/>
      <c r="I16" s="10">
        <v>1</v>
      </c>
      <c r="J16" s="10">
        <v>2</v>
      </c>
      <c r="K16" s="10" t="s">
        <v>2158</v>
      </c>
      <c r="L16" s="10" t="s">
        <v>2200</v>
      </c>
      <c r="M16" s="10"/>
      <c r="N16" s="11"/>
      <c r="O16" s="10"/>
      <c r="P16" s="10">
        <v>2475</v>
      </c>
      <c r="Q16" s="10">
        <f t="shared" si="0"/>
        <v>1216.9338184678927</v>
      </c>
      <c r="R16" s="10"/>
      <c r="S16" s="10" t="s">
        <v>2387</v>
      </c>
      <c r="T16" s="10" t="s">
        <v>2387</v>
      </c>
      <c r="U16" s="10"/>
      <c r="V16" s="10"/>
      <c r="W16" s="10"/>
      <c r="X16" s="10"/>
      <c r="Y16" s="10"/>
      <c r="Z16" s="10"/>
      <c r="AA16" s="10"/>
      <c r="AB16" s="10"/>
      <c r="AC16" s="10"/>
      <c r="AD16" s="10"/>
      <c r="AE16" t="s">
        <v>19</v>
      </c>
      <c r="AH16">
        <v>1</v>
      </c>
    </row>
    <row r="17" spans="1:34" ht="29">
      <c r="A17" t="s">
        <v>158</v>
      </c>
      <c r="B17" s="4" t="s">
        <v>933</v>
      </c>
      <c r="C17" s="4" t="s">
        <v>932</v>
      </c>
      <c r="G17" s="10" t="s">
        <v>24</v>
      </c>
      <c r="H17" s="10"/>
      <c r="I17" s="10">
        <v>1</v>
      </c>
      <c r="J17" s="10">
        <v>1</v>
      </c>
      <c r="K17" s="10" t="s">
        <v>2158</v>
      </c>
      <c r="L17" s="10" t="s">
        <v>2200</v>
      </c>
      <c r="M17" s="10"/>
      <c r="N17" s="11"/>
      <c r="O17" s="10"/>
      <c r="P17" s="10">
        <v>2475</v>
      </c>
      <c r="Q17" s="10">
        <f t="shared" si="0"/>
        <v>1216.9338184678927</v>
      </c>
      <c r="R17" s="10"/>
      <c r="S17" s="10" t="s">
        <v>2387</v>
      </c>
      <c r="T17" s="10" t="s">
        <v>2387</v>
      </c>
      <c r="U17" s="10"/>
      <c r="V17" s="10"/>
      <c r="W17" s="10"/>
      <c r="X17" s="10"/>
      <c r="Y17" s="10"/>
      <c r="Z17" s="10"/>
      <c r="AA17" s="10"/>
      <c r="AB17" s="10"/>
      <c r="AC17" s="10"/>
      <c r="AD17" s="10"/>
      <c r="AE17" t="s">
        <v>19</v>
      </c>
      <c r="AH17">
        <v>1</v>
      </c>
    </row>
    <row r="18" spans="1:34" ht="29">
      <c r="A18" t="s">
        <v>162</v>
      </c>
      <c r="B18" s="4" t="s">
        <v>936</v>
      </c>
      <c r="C18" s="4" t="s">
        <v>937</v>
      </c>
      <c r="F18" t="s">
        <v>19</v>
      </c>
      <c r="G18" s="10" t="s">
        <v>25</v>
      </c>
      <c r="H18" s="10"/>
      <c r="I18" s="10">
        <v>1</v>
      </c>
      <c r="J18" s="10">
        <v>3</v>
      </c>
      <c r="K18" s="10" t="s">
        <v>2158</v>
      </c>
      <c r="L18" s="10" t="s">
        <v>2159</v>
      </c>
      <c r="M18" s="10"/>
      <c r="N18" s="11"/>
      <c r="O18" s="10"/>
      <c r="P18" s="10">
        <v>2475</v>
      </c>
      <c r="Q18" s="10">
        <f t="shared" si="0"/>
        <v>1216.9338184678927</v>
      </c>
      <c r="R18" s="10"/>
      <c r="S18" s="10" t="s">
        <v>2387</v>
      </c>
      <c r="T18" s="10" t="s">
        <v>2387</v>
      </c>
      <c r="U18" s="10"/>
      <c r="V18" s="10"/>
      <c r="W18" s="10"/>
      <c r="X18" s="10"/>
      <c r="Y18" s="10"/>
      <c r="Z18" s="10"/>
      <c r="AA18" s="10"/>
      <c r="AB18" s="10"/>
      <c r="AC18" s="10"/>
      <c r="AD18" s="10"/>
      <c r="AE18" t="s">
        <v>20</v>
      </c>
      <c r="AH18">
        <v>0</v>
      </c>
    </row>
    <row r="19" spans="1:34" ht="72.5">
      <c r="A19" t="s">
        <v>163</v>
      </c>
      <c r="B19" s="4" t="s">
        <v>940</v>
      </c>
      <c r="C19" s="4" t="s">
        <v>941</v>
      </c>
      <c r="F19" t="s">
        <v>19</v>
      </c>
      <c r="G19" s="10" t="s">
        <v>25</v>
      </c>
      <c r="H19" s="10"/>
      <c r="I19" s="10">
        <v>1</v>
      </c>
      <c r="J19" s="10">
        <v>5</v>
      </c>
      <c r="K19" s="10" t="s">
        <v>2152</v>
      </c>
      <c r="L19" s="10" t="s">
        <v>2153</v>
      </c>
      <c r="M19" s="10" t="s">
        <v>2231</v>
      </c>
      <c r="N19" s="11" t="s">
        <v>2230</v>
      </c>
      <c r="O19" s="10"/>
      <c r="P19" s="10">
        <v>266</v>
      </c>
      <c r="Q19" s="10">
        <f t="shared" si="0"/>
        <v>130.78965483331694</v>
      </c>
      <c r="R19" s="10"/>
      <c r="S19" s="10" t="s">
        <v>2387</v>
      </c>
      <c r="T19" s="10" t="s">
        <v>2387</v>
      </c>
      <c r="U19" s="10"/>
      <c r="V19" s="10"/>
      <c r="W19" s="10"/>
      <c r="X19" s="10"/>
      <c r="Y19" s="10"/>
      <c r="Z19" s="10"/>
      <c r="AA19" s="10"/>
      <c r="AB19" s="10"/>
      <c r="AC19" s="10"/>
      <c r="AD19" s="10"/>
      <c r="AE19" t="s">
        <v>20</v>
      </c>
      <c r="AH19">
        <v>0</v>
      </c>
    </row>
    <row r="20" spans="1:34" ht="43.5">
      <c r="A20" t="s">
        <v>169</v>
      </c>
      <c r="B20" s="4" t="s">
        <v>949</v>
      </c>
      <c r="C20" s="4" t="s">
        <v>946</v>
      </c>
      <c r="G20" s="10" t="s">
        <v>25</v>
      </c>
      <c r="H20" s="10"/>
      <c r="I20" s="10">
        <v>1</v>
      </c>
      <c r="J20" s="10">
        <v>3</v>
      </c>
      <c r="K20" s="10" t="s">
        <v>2168</v>
      </c>
      <c r="L20" s="10" t="s">
        <v>2159</v>
      </c>
      <c r="M20" s="10"/>
      <c r="N20" s="11"/>
      <c r="O20" s="10"/>
      <c r="P20" s="10">
        <v>1701</v>
      </c>
      <c r="Q20" s="10">
        <f t="shared" si="0"/>
        <v>836.36542432884255</v>
      </c>
      <c r="R20" s="10"/>
      <c r="S20" s="10" t="s">
        <v>2387</v>
      </c>
      <c r="T20" s="10" t="s">
        <v>2387</v>
      </c>
      <c r="U20" s="10"/>
      <c r="V20" s="10"/>
      <c r="W20" s="10"/>
      <c r="X20" s="10"/>
      <c r="Y20" s="10"/>
      <c r="Z20" s="10"/>
      <c r="AA20" s="10"/>
      <c r="AB20" s="10"/>
      <c r="AC20" s="10"/>
      <c r="AD20" s="10"/>
      <c r="AE20" t="s">
        <v>19</v>
      </c>
      <c r="AH20">
        <v>1</v>
      </c>
    </row>
    <row r="21" spans="1:34" ht="43.5">
      <c r="A21" t="s">
        <v>184</v>
      </c>
      <c r="B21" s="4" t="s">
        <v>965</v>
      </c>
      <c r="C21" s="4" t="s">
        <v>964</v>
      </c>
      <c r="G21" s="10" t="s">
        <v>24</v>
      </c>
      <c r="H21" s="10"/>
      <c r="I21" s="10">
        <v>1</v>
      </c>
      <c r="J21" s="10">
        <v>3</v>
      </c>
      <c r="K21" s="10" t="s">
        <v>2168</v>
      </c>
      <c r="L21" s="10" t="s">
        <v>2159</v>
      </c>
      <c r="M21" s="10"/>
      <c r="N21" s="11"/>
      <c r="O21" s="10"/>
      <c r="P21" s="10">
        <v>1701</v>
      </c>
      <c r="Q21" s="10">
        <f t="shared" si="0"/>
        <v>836.36542432884255</v>
      </c>
      <c r="R21" s="10"/>
      <c r="S21" s="10" t="s">
        <v>2387</v>
      </c>
      <c r="T21" s="10" t="s">
        <v>2387</v>
      </c>
      <c r="U21" s="10"/>
      <c r="V21" s="10"/>
      <c r="W21" s="10"/>
      <c r="X21" s="10"/>
      <c r="Y21" s="10"/>
      <c r="Z21" s="10"/>
      <c r="AA21" s="10"/>
      <c r="AB21" s="10"/>
      <c r="AC21" s="10"/>
      <c r="AD21" s="10"/>
      <c r="AE21" t="s">
        <v>19</v>
      </c>
      <c r="AH21">
        <v>1</v>
      </c>
    </row>
    <row r="22" spans="1:34" ht="43.5">
      <c r="A22" t="s">
        <v>185</v>
      </c>
      <c r="B22" s="4" t="s">
        <v>967</v>
      </c>
      <c r="C22" s="4" t="s">
        <v>966</v>
      </c>
      <c r="G22" s="10" t="s">
        <v>24</v>
      </c>
      <c r="H22" s="10"/>
      <c r="I22" s="10">
        <v>1</v>
      </c>
      <c r="J22" s="10">
        <v>3</v>
      </c>
      <c r="K22" s="10" t="s">
        <v>2168</v>
      </c>
      <c r="L22" s="10" t="s">
        <v>2159</v>
      </c>
      <c r="M22" s="10"/>
      <c r="N22" s="11"/>
      <c r="O22" s="10"/>
      <c r="P22" s="10">
        <v>1701</v>
      </c>
      <c r="Q22" s="10">
        <f t="shared" si="0"/>
        <v>836.36542432884255</v>
      </c>
      <c r="R22" s="10"/>
      <c r="S22" s="10" t="s">
        <v>2387</v>
      </c>
      <c r="T22" s="10" t="s">
        <v>2387</v>
      </c>
      <c r="U22" s="10"/>
      <c r="V22" s="10"/>
      <c r="W22" s="10"/>
      <c r="X22" s="10"/>
      <c r="Y22" s="10"/>
      <c r="Z22" s="10"/>
      <c r="AA22" s="10"/>
      <c r="AB22" s="10"/>
      <c r="AC22" s="10"/>
      <c r="AD22" s="10"/>
      <c r="AE22" t="s">
        <v>19</v>
      </c>
      <c r="AH22">
        <v>1</v>
      </c>
    </row>
    <row r="23" spans="1:34" ht="58">
      <c r="A23" t="s">
        <v>185</v>
      </c>
      <c r="B23" s="4" t="s">
        <v>971</v>
      </c>
      <c r="C23" s="4" t="s">
        <v>968</v>
      </c>
      <c r="G23" s="10" t="s">
        <v>25</v>
      </c>
      <c r="H23" s="10"/>
      <c r="I23" s="10">
        <v>1</v>
      </c>
      <c r="J23" s="10">
        <v>2</v>
      </c>
      <c r="K23" s="10" t="s">
        <v>2177</v>
      </c>
      <c r="L23" s="10" t="s">
        <v>2200</v>
      </c>
      <c r="M23" s="10"/>
      <c r="N23" s="11"/>
      <c r="O23" s="10"/>
      <c r="P23" s="10">
        <v>613</v>
      </c>
      <c r="Q23" s="10">
        <f t="shared" si="0"/>
        <v>301.40623463467404</v>
      </c>
      <c r="R23" s="10"/>
      <c r="S23" s="10" t="s">
        <v>2387</v>
      </c>
      <c r="T23" s="10" t="s">
        <v>2387</v>
      </c>
      <c r="U23" s="10"/>
      <c r="V23" s="10"/>
      <c r="W23" s="10"/>
      <c r="X23" s="10"/>
      <c r="Y23" s="10"/>
      <c r="Z23" s="10"/>
      <c r="AA23" s="10"/>
      <c r="AB23" s="10"/>
      <c r="AC23" s="10"/>
      <c r="AD23" s="10"/>
      <c r="AE23" t="s">
        <v>19</v>
      </c>
      <c r="AH23">
        <v>1</v>
      </c>
    </row>
    <row r="24" spans="1:34" ht="43.5">
      <c r="A24" t="s">
        <v>186</v>
      </c>
      <c r="B24" s="4" t="s">
        <v>973</v>
      </c>
      <c r="C24" s="4" t="s">
        <v>972</v>
      </c>
      <c r="G24" s="10" t="s">
        <v>24</v>
      </c>
      <c r="H24" s="10"/>
      <c r="I24" s="10">
        <v>1</v>
      </c>
      <c r="J24" s="10">
        <v>2</v>
      </c>
      <c r="K24" s="10" t="s">
        <v>2164</v>
      </c>
      <c r="L24" s="10" t="s">
        <v>2200</v>
      </c>
      <c r="M24" s="10"/>
      <c r="N24" s="11"/>
      <c r="O24" s="10"/>
      <c r="P24" s="10">
        <v>129</v>
      </c>
      <c r="Q24" s="10">
        <f t="shared" si="0"/>
        <v>63.428065689841674</v>
      </c>
      <c r="R24" s="10"/>
      <c r="S24" s="10" t="s">
        <v>2387</v>
      </c>
      <c r="T24" s="10" t="s">
        <v>2387</v>
      </c>
      <c r="U24" s="10"/>
      <c r="V24" s="10"/>
      <c r="W24" s="10"/>
      <c r="X24" s="10"/>
      <c r="Y24" s="10"/>
      <c r="Z24" s="10"/>
      <c r="AA24" s="10"/>
      <c r="AB24" s="10"/>
      <c r="AC24" s="10"/>
      <c r="AD24" s="10"/>
      <c r="AE24" t="s">
        <v>19</v>
      </c>
      <c r="AH24">
        <v>1</v>
      </c>
    </row>
    <row r="25" spans="1:34" ht="43.5">
      <c r="A25" t="s">
        <v>195</v>
      </c>
      <c r="B25" s="4" t="s">
        <v>980</v>
      </c>
      <c r="C25" s="4" t="s">
        <v>979</v>
      </c>
      <c r="G25" s="10" t="s">
        <v>24</v>
      </c>
      <c r="H25" s="10"/>
      <c r="I25" s="10">
        <v>1</v>
      </c>
      <c r="J25" s="10">
        <v>2</v>
      </c>
      <c r="K25" s="10" t="s">
        <v>2177</v>
      </c>
      <c r="L25" s="10" t="s">
        <v>2200</v>
      </c>
      <c r="M25" s="10"/>
      <c r="N25" s="11"/>
      <c r="O25" s="10"/>
      <c r="P25" s="10">
        <v>613</v>
      </c>
      <c r="Q25" s="10">
        <f t="shared" si="0"/>
        <v>301.40623463467404</v>
      </c>
      <c r="R25" s="10"/>
      <c r="S25" s="10" t="s">
        <v>2387</v>
      </c>
      <c r="T25" s="10" t="s">
        <v>2387</v>
      </c>
      <c r="U25" s="10"/>
      <c r="V25" s="10"/>
      <c r="W25" s="10"/>
      <c r="X25" s="10"/>
      <c r="Y25" s="10"/>
      <c r="Z25" s="10"/>
      <c r="AA25" s="10"/>
      <c r="AB25" s="10"/>
      <c r="AC25" s="10"/>
      <c r="AD25" s="10"/>
      <c r="AE25" t="s">
        <v>19</v>
      </c>
      <c r="AH25">
        <v>1</v>
      </c>
    </row>
    <row r="26" spans="1:34" ht="29">
      <c r="A26" t="s">
        <v>200</v>
      </c>
      <c r="B26" s="4" t="s">
        <v>983</v>
      </c>
      <c r="C26" s="4" t="s">
        <v>984</v>
      </c>
      <c r="F26" t="s">
        <v>19</v>
      </c>
      <c r="G26" s="10" t="s">
        <v>25</v>
      </c>
      <c r="H26" s="10"/>
      <c r="I26" s="10">
        <v>1</v>
      </c>
      <c r="J26" s="10">
        <v>3</v>
      </c>
      <c r="K26" s="10" t="s">
        <v>2175</v>
      </c>
      <c r="L26" s="10" t="s">
        <v>2159</v>
      </c>
      <c r="M26" s="10"/>
      <c r="N26" s="11"/>
      <c r="O26" s="10"/>
      <c r="P26" s="10">
        <v>743</v>
      </c>
      <c r="Q26" s="10">
        <f t="shared" si="0"/>
        <v>365.32599075621988</v>
      </c>
      <c r="R26" s="10"/>
      <c r="S26" s="10" t="s">
        <v>2387</v>
      </c>
      <c r="T26" s="10" t="s">
        <v>2387</v>
      </c>
      <c r="U26" s="10"/>
      <c r="V26" s="10"/>
      <c r="W26" s="10"/>
      <c r="X26" s="10"/>
      <c r="Y26" s="10"/>
      <c r="Z26" s="10"/>
      <c r="AA26" s="10"/>
      <c r="AB26" s="10"/>
      <c r="AC26" s="10"/>
      <c r="AD26" s="10"/>
      <c r="AE26" t="s">
        <v>20</v>
      </c>
      <c r="AH26">
        <v>0</v>
      </c>
    </row>
    <row r="27" spans="1:34" ht="29">
      <c r="A27" t="s">
        <v>209</v>
      </c>
      <c r="B27" s="4" t="s">
        <v>991</v>
      </c>
      <c r="C27" s="4" t="s">
        <v>992</v>
      </c>
      <c r="G27" s="10" t="s">
        <v>25</v>
      </c>
      <c r="H27" s="10"/>
      <c r="I27" s="10">
        <v>1</v>
      </c>
      <c r="J27" s="10">
        <v>2</v>
      </c>
      <c r="K27" s="10" t="s">
        <v>2158</v>
      </c>
      <c r="L27" s="10" t="s">
        <v>2200</v>
      </c>
      <c r="M27" s="10"/>
      <c r="N27" s="11"/>
      <c r="O27" s="10"/>
      <c r="P27" s="10">
        <v>2475</v>
      </c>
      <c r="Q27" s="10">
        <f t="shared" si="0"/>
        <v>1216.9338184678927</v>
      </c>
      <c r="R27" s="10"/>
      <c r="S27" s="10" t="s">
        <v>2387</v>
      </c>
      <c r="T27" s="10" t="s">
        <v>2387</v>
      </c>
      <c r="U27" s="10"/>
      <c r="V27" s="10"/>
      <c r="W27" s="10"/>
      <c r="X27" s="10"/>
      <c r="Y27" s="10"/>
      <c r="Z27" s="10"/>
      <c r="AA27" s="10"/>
      <c r="AB27" s="10"/>
      <c r="AC27" s="10"/>
      <c r="AD27" s="10"/>
      <c r="AE27" t="s">
        <v>20</v>
      </c>
      <c r="AH27">
        <v>0</v>
      </c>
    </row>
    <row r="28" spans="1:34" ht="72.5">
      <c r="A28" t="s">
        <v>231</v>
      </c>
      <c r="B28" s="4" t="s">
        <v>1003</v>
      </c>
      <c r="C28" s="4" t="s">
        <v>1006</v>
      </c>
      <c r="G28" s="10" t="s">
        <v>24</v>
      </c>
      <c r="H28" s="10"/>
      <c r="I28" s="10">
        <v>1</v>
      </c>
      <c r="J28" s="10">
        <v>3</v>
      </c>
      <c r="K28" s="10" t="s">
        <v>2168</v>
      </c>
      <c r="L28" s="10" t="s">
        <v>2159</v>
      </c>
      <c r="M28" s="10"/>
      <c r="N28" s="11"/>
      <c r="O28" s="10"/>
      <c r="P28" s="10">
        <v>1701</v>
      </c>
      <c r="Q28" s="10">
        <f t="shared" si="0"/>
        <v>836.36542432884255</v>
      </c>
      <c r="R28" s="10"/>
      <c r="S28" s="10" t="s">
        <v>2387</v>
      </c>
      <c r="T28" s="10" t="s">
        <v>2387</v>
      </c>
      <c r="U28" s="10"/>
      <c r="V28" s="10"/>
      <c r="W28" s="10"/>
      <c r="X28" s="10"/>
      <c r="Y28" s="10"/>
      <c r="Z28" s="10"/>
      <c r="AA28" s="10"/>
      <c r="AB28" s="10"/>
      <c r="AC28" s="10"/>
      <c r="AD28" s="10"/>
      <c r="AE28" t="s">
        <v>19</v>
      </c>
      <c r="AH28">
        <v>1</v>
      </c>
    </row>
    <row r="29" spans="1:34" ht="101.5">
      <c r="A29" t="s">
        <v>232</v>
      </c>
      <c r="B29" s="4" t="s">
        <v>1010</v>
      </c>
      <c r="C29" s="4" t="s">
        <v>1007</v>
      </c>
      <c r="G29" s="10" t="s">
        <v>25</v>
      </c>
      <c r="H29" s="10"/>
      <c r="I29" s="10">
        <v>1</v>
      </c>
      <c r="J29" s="10">
        <v>3</v>
      </c>
      <c r="K29" s="10" t="s">
        <v>2168</v>
      </c>
      <c r="L29" s="10" t="s">
        <v>2153</v>
      </c>
      <c r="M29" s="10" t="s">
        <v>2231</v>
      </c>
      <c r="N29" s="11" t="s">
        <v>2230</v>
      </c>
      <c r="O29" s="10"/>
      <c r="P29" s="10">
        <v>1701</v>
      </c>
      <c r="Q29" s="10">
        <f t="shared" si="0"/>
        <v>836.36542432884255</v>
      </c>
      <c r="R29" s="10"/>
      <c r="S29" s="10" t="s">
        <v>2387</v>
      </c>
      <c r="T29" s="10" t="s">
        <v>2387</v>
      </c>
      <c r="U29" s="10"/>
      <c r="V29" s="10"/>
      <c r="W29" s="10"/>
      <c r="X29" s="10"/>
      <c r="Y29" s="10"/>
      <c r="Z29" s="10"/>
      <c r="AA29" s="10"/>
      <c r="AB29" s="10"/>
      <c r="AC29" s="10"/>
      <c r="AD29" s="10"/>
      <c r="AE29" t="s">
        <v>19</v>
      </c>
      <c r="AH29">
        <v>1</v>
      </c>
    </row>
    <row r="30" spans="1:34" ht="101.5">
      <c r="A30" t="s">
        <v>232</v>
      </c>
      <c r="B30" s="4" t="s">
        <v>1011</v>
      </c>
      <c r="C30" s="4" t="s">
        <v>1007</v>
      </c>
      <c r="G30" s="10" t="s">
        <v>25</v>
      </c>
      <c r="H30" s="10"/>
      <c r="I30" s="10">
        <v>1</v>
      </c>
      <c r="J30" s="10">
        <v>3</v>
      </c>
      <c r="K30" s="10" t="s">
        <v>2168</v>
      </c>
      <c r="L30" s="10" t="s">
        <v>2153</v>
      </c>
      <c r="M30" s="10" t="s">
        <v>2229</v>
      </c>
      <c r="N30" s="11" t="s">
        <v>2230</v>
      </c>
      <c r="O30" s="10"/>
      <c r="P30" s="10">
        <v>1701</v>
      </c>
      <c r="Q30" s="10">
        <f t="shared" si="0"/>
        <v>836.36542432884255</v>
      </c>
      <c r="R30" s="10"/>
      <c r="S30" s="10" t="s">
        <v>2387</v>
      </c>
      <c r="T30" s="10" t="s">
        <v>2387</v>
      </c>
      <c r="U30" s="10"/>
      <c r="V30" s="10"/>
      <c r="W30" s="10"/>
      <c r="X30" s="10"/>
      <c r="Y30" s="10"/>
      <c r="Z30" s="10"/>
      <c r="AA30" s="10"/>
      <c r="AB30" s="10"/>
      <c r="AC30" s="10"/>
      <c r="AD30" s="10"/>
      <c r="AE30" t="s">
        <v>19</v>
      </c>
      <c r="AH30">
        <v>1</v>
      </c>
    </row>
    <row r="31" spans="1:34" ht="116">
      <c r="A31" t="s">
        <v>236</v>
      </c>
      <c r="B31" s="4" t="s">
        <v>1015</v>
      </c>
      <c r="C31" s="4" t="s">
        <v>1012</v>
      </c>
      <c r="G31" s="10" t="s">
        <v>25</v>
      </c>
      <c r="H31" s="10"/>
      <c r="I31" s="10">
        <v>1</v>
      </c>
      <c r="J31" s="10">
        <v>3</v>
      </c>
      <c r="K31" s="10" t="s">
        <v>2168</v>
      </c>
      <c r="L31" s="10" t="s">
        <v>2159</v>
      </c>
      <c r="M31" s="10"/>
      <c r="N31" s="11"/>
      <c r="O31" s="10"/>
      <c r="P31" s="10">
        <v>1701</v>
      </c>
      <c r="Q31" s="10">
        <f t="shared" si="0"/>
        <v>836.36542432884255</v>
      </c>
      <c r="R31" s="10"/>
      <c r="S31" s="10" t="s">
        <v>2387</v>
      </c>
      <c r="T31" s="10" t="s">
        <v>2387</v>
      </c>
      <c r="U31" s="10"/>
      <c r="V31" s="10"/>
      <c r="W31" s="10"/>
      <c r="X31" s="10"/>
      <c r="Y31" s="10"/>
      <c r="Z31" s="10"/>
      <c r="AA31" s="10"/>
      <c r="AB31" s="10"/>
      <c r="AC31" s="10"/>
      <c r="AD31" s="10"/>
      <c r="AE31" t="s">
        <v>19</v>
      </c>
      <c r="AH31">
        <v>1</v>
      </c>
    </row>
    <row r="32" spans="1:34" ht="29">
      <c r="A32" t="s">
        <v>243</v>
      </c>
      <c r="B32" s="4" t="s">
        <v>1028</v>
      </c>
      <c r="C32" s="4" t="s">
        <v>1029</v>
      </c>
      <c r="G32" s="10" t="s">
        <v>25</v>
      </c>
      <c r="H32" s="10"/>
      <c r="I32" s="10">
        <v>1</v>
      </c>
      <c r="J32" s="10">
        <v>2</v>
      </c>
      <c r="K32" s="10" t="s">
        <v>2177</v>
      </c>
      <c r="L32" s="10" t="s">
        <v>2200</v>
      </c>
      <c r="M32" s="10"/>
      <c r="N32" s="11"/>
      <c r="O32" s="10"/>
      <c r="P32" s="10">
        <v>613</v>
      </c>
      <c r="Q32" s="10">
        <f t="shared" si="0"/>
        <v>301.40623463467404</v>
      </c>
      <c r="R32" s="10"/>
      <c r="S32" s="10" t="s">
        <v>2387</v>
      </c>
      <c r="T32" s="10" t="s">
        <v>2387</v>
      </c>
      <c r="U32" s="10"/>
      <c r="V32" s="10"/>
      <c r="W32" s="10"/>
      <c r="X32" s="10"/>
      <c r="Y32" s="10"/>
      <c r="Z32" s="10"/>
      <c r="AA32" s="10"/>
      <c r="AB32" s="10"/>
      <c r="AC32" s="10"/>
      <c r="AD32" s="10"/>
      <c r="AE32" t="s">
        <v>20</v>
      </c>
      <c r="AH32">
        <v>0</v>
      </c>
    </row>
    <row r="33" spans="1:34" ht="43.5">
      <c r="A33" t="s">
        <v>244</v>
      </c>
      <c r="B33" s="4" t="s">
        <v>1030</v>
      </c>
      <c r="C33" s="4" t="s">
        <v>1033</v>
      </c>
      <c r="G33" s="10" t="s">
        <v>24</v>
      </c>
      <c r="H33" s="10"/>
      <c r="I33" s="10">
        <v>1</v>
      </c>
      <c r="J33" s="10">
        <v>2</v>
      </c>
      <c r="K33" s="10" t="s">
        <v>2158</v>
      </c>
      <c r="L33" s="10" t="s">
        <v>2200</v>
      </c>
      <c r="M33" s="10"/>
      <c r="N33" s="11"/>
      <c r="O33" s="10"/>
      <c r="P33" s="10">
        <v>2475</v>
      </c>
      <c r="Q33" s="10">
        <f t="shared" si="0"/>
        <v>1216.9338184678927</v>
      </c>
      <c r="R33" s="10"/>
      <c r="S33" s="10" t="s">
        <v>2387</v>
      </c>
      <c r="T33" s="10" t="s">
        <v>2387</v>
      </c>
      <c r="U33" s="10"/>
      <c r="V33" s="10"/>
      <c r="W33" s="10"/>
      <c r="X33" s="10"/>
      <c r="Y33" s="10"/>
      <c r="Z33" s="10"/>
      <c r="AA33" s="10"/>
      <c r="AB33" s="10"/>
      <c r="AC33" s="10"/>
      <c r="AD33" s="10"/>
      <c r="AE33" t="s">
        <v>19</v>
      </c>
      <c r="AH33">
        <v>1</v>
      </c>
    </row>
    <row r="34" spans="1:34" ht="29">
      <c r="A34" t="s">
        <v>245</v>
      </c>
      <c r="B34" s="4" t="s">
        <v>1035</v>
      </c>
      <c r="C34" s="4" t="s">
        <v>1034</v>
      </c>
      <c r="G34" s="10" t="s">
        <v>24</v>
      </c>
      <c r="H34" s="10"/>
      <c r="I34" s="10">
        <v>1</v>
      </c>
      <c r="J34" s="10">
        <v>2</v>
      </c>
      <c r="K34" s="10" t="s">
        <v>2158</v>
      </c>
      <c r="L34" s="10" t="s">
        <v>2200</v>
      </c>
      <c r="M34" s="10"/>
      <c r="N34" s="11"/>
      <c r="O34" s="10"/>
      <c r="P34" s="10">
        <v>2475</v>
      </c>
      <c r="Q34" s="10">
        <f t="shared" si="0"/>
        <v>1216.9338184678927</v>
      </c>
      <c r="R34" s="10"/>
      <c r="S34" s="10" t="s">
        <v>2387</v>
      </c>
      <c r="T34" s="10" t="s">
        <v>2387</v>
      </c>
      <c r="U34" s="10"/>
      <c r="V34" s="10"/>
      <c r="W34" s="10"/>
      <c r="X34" s="10"/>
      <c r="Y34" s="10"/>
      <c r="Z34" s="10"/>
      <c r="AA34" s="10"/>
      <c r="AB34" s="10"/>
      <c r="AC34" s="10"/>
      <c r="AD34" s="10"/>
      <c r="AE34" t="s">
        <v>20</v>
      </c>
      <c r="AH34">
        <v>0</v>
      </c>
    </row>
    <row r="35" spans="1:34" ht="87">
      <c r="A35" t="s">
        <v>246</v>
      </c>
      <c r="B35" s="4" t="s">
        <v>1037</v>
      </c>
      <c r="C35" s="4" t="s">
        <v>1040</v>
      </c>
      <c r="G35" s="10" t="s">
        <v>24</v>
      </c>
      <c r="H35" s="10"/>
      <c r="I35" s="10">
        <v>1</v>
      </c>
      <c r="J35" s="10">
        <v>3</v>
      </c>
      <c r="K35" s="10" t="s">
        <v>2175</v>
      </c>
      <c r="L35" s="10" t="s">
        <v>2159</v>
      </c>
      <c r="M35" s="10"/>
      <c r="N35" s="11"/>
      <c r="O35" s="10"/>
      <c r="P35" s="10">
        <v>312</v>
      </c>
      <c r="Q35" s="10">
        <f t="shared" si="0"/>
        <v>153.4074146917101</v>
      </c>
      <c r="R35" s="10"/>
      <c r="S35" s="10" t="s">
        <v>2387</v>
      </c>
      <c r="T35" s="10" t="s">
        <v>2387</v>
      </c>
      <c r="U35" s="10"/>
      <c r="V35" s="10"/>
      <c r="W35" s="10"/>
      <c r="X35" s="10"/>
      <c r="Y35" s="10"/>
      <c r="Z35" s="10"/>
      <c r="AA35" s="10"/>
      <c r="AB35" s="10"/>
      <c r="AC35" s="10"/>
      <c r="AD35" s="10"/>
      <c r="AE35" t="s">
        <v>19</v>
      </c>
      <c r="AH35">
        <v>1</v>
      </c>
    </row>
    <row r="36" spans="1:34" ht="101.5">
      <c r="A36" t="s">
        <v>246</v>
      </c>
      <c r="B36" s="4" t="s">
        <v>1043</v>
      </c>
      <c r="C36" s="4" t="s">
        <v>1044</v>
      </c>
      <c r="G36" s="10" t="s">
        <v>24</v>
      </c>
      <c r="H36" s="10"/>
      <c r="I36" s="10">
        <v>3</v>
      </c>
      <c r="J36" s="10">
        <v>13</v>
      </c>
      <c r="K36" s="10"/>
      <c r="L36" s="10" t="s">
        <v>2159</v>
      </c>
      <c r="M36" s="10"/>
      <c r="N36" s="11"/>
      <c r="O36" s="10"/>
      <c r="P36" s="10">
        <v>7</v>
      </c>
      <c r="Q36" s="10">
        <f t="shared" si="0"/>
        <v>3.4418330219293933</v>
      </c>
      <c r="R36" s="10"/>
      <c r="S36" s="10" t="s">
        <v>2387</v>
      </c>
      <c r="T36" s="10" t="s">
        <v>2387</v>
      </c>
      <c r="U36" s="10"/>
      <c r="V36" s="10"/>
      <c r="W36" s="10"/>
      <c r="X36" s="10"/>
      <c r="Y36" s="10"/>
      <c r="Z36" s="10"/>
      <c r="AA36" s="10"/>
      <c r="AB36" s="10"/>
      <c r="AC36" s="10"/>
      <c r="AD36" s="10"/>
      <c r="AE36" t="s">
        <v>19</v>
      </c>
      <c r="AH36">
        <v>1</v>
      </c>
    </row>
    <row r="37" spans="1:34" ht="43.5">
      <c r="A37" t="s">
        <v>247</v>
      </c>
      <c r="B37" s="4" t="s">
        <v>814</v>
      </c>
      <c r="C37" s="4" t="s">
        <v>1045</v>
      </c>
      <c r="G37" s="10" t="s">
        <v>24</v>
      </c>
      <c r="H37" s="10"/>
      <c r="I37" s="10">
        <v>1</v>
      </c>
      <c r="J37" s="10">
        <v>3</v>
      </c>
      <c r="K37" s="10" t="s">
        <v>2175</v>
      </c>
      <c r="L37" s="10" t="s">
        <v>2159</v>
      </c>
      <c r="M37" s="10"/>
      <c r="N37" s="11"/>
      <c r="O37" s="10"/>
      <c r="P37" s="10">
        <v>743</v>
      </c>
      <c r="Q37" s="10">
        <f t="shared" si="0"/>
        <v>365.32599075621988</v>
      </c>
      <c r="R37" s="10"/>
      <c r="S37" s="10" t="s">
        <v>2387</v>
      </c>
      <c r="T37" s="10" t="s">
        <v>2387</v>
      </c>
      <c r="U37" s="10"/>
      <c r="V37" s="10"/>
      <c r="W37" s="10"/>
      <c r="X37" s="10"/>
      <c r="Y37" s="10"/>
      <c r="Z37" s="10"/>
      <c r="AA37" s="10"/>
      <c r="AB37" s="10"/>
      <c r="AC37" s="10"/>
      <c r="AD37" s="10"/>
      <c r="AE37" t="s">
        <v>19</v>
      </c>
      <c r="AH37">
        <v>1</v>
      </c>
    </row>
    <row r="38" spans="1:34" ht="58">
      <c r="A38" t="s">
        <v>250</v>
      </c>
      <c r="B38" s="4" t="s">
        <v>1051</v>
      </c>
      <c r="C38" s="4" t="s">
        <v>1048</v>
      </c>
      <c r="G38" s="10" t="s">
        <v>25</v>
      </c>
      <c r="H38" s="10"/>
      <c r="I38" s="10">
        <v>1</v>
      </c>
      <c r="J38" s="10">
        <v>3</v>
      </c>
      <c r="K38" s="10" t="s">
        <v>2158</v>
      </c>
      <c r="L38" s="10" t="s">
        <v>2159</v>
      </c>
      <c r="M38" s="10"/>
      <c r="N38" s="11"/>
      <c r="O38" s="10"/>
      <c r="P38" s="10">
        <v>2475</v>
      </c>
      <c r="Q38" s="10">
        <f t="shared" si="0"/>
        <v>1216.9338184678927</v>
      </c>
      <c r="R38" s="10"/>
      <c r="S38" s="10" t="s">
        <v>2387</v>
      </c>
      <c r="T38" s="10" t="s">
        <v>2387</v>
      </c>
      <c r="U38" s="10"/>
      <c r="V38" s="10"/>
      <c r="W38" s="10"/>
      <c r="X38" s="10"/>
      <c r="Y38" s="10"/>
      <c r="Z38" s="10"/>
      <c r="AA38" s="10"/>
      <c r="AB38" s="10"/>
      <c r="AC38" s="10"/>
      <c r="AD38" s="10"/>
      <c r="AE38" t="s">
        <v>19</v>
      </c>
      <c r="AH38">
        <v>1</v>
      </c>
    </row>
    <row r="39" spans="1:34" ht="29">
      <c r="A39" t="s">
        <v>251</v>
      </c>
      <c r="B39" s="4" t="s">
        <v>1052</v>
      </c>
      <c r="C39" s="4" t="s">
        <v>1053</v>
      </c>
      <c r="G39" s="10" t="s">
        <v>25</v>
      </c>
      <c r="H39" s="10"/>
      <c r="I39" s="10">
        <v>1</v>
      </c>
      <c r="J39" s="10">
        <v>3</v>
      </c>
      <c r="K39" s="10" t="s">
        <v>2177</v>
      </c>
      <c r="L39" s="10" t="s">
        <v>2159</v>
      </c>
      <c r="M39" s="10"/>
      <c r="N39" s="11"/>
      <c r="O39" s="10"/>
      <c r="P39" s="10">
        <v>210</v>
      </c>
      <c r="Q39" s="10">
        <f t="shared" si="0"/>
        <v>103.25499065788181</v>
      </c>
      <c r="R39" s="10"/>
      <c r="S39" s="10" t="s">
        <v>2387</v>
      </c>
      <c r="T39" s="10" t="s">
        <v>2387</v>
      </c>
      <c r="U39" s="10"/>
      <c r="V39" s="10"/>
      <c r="W39" s="10"/>
      <c r="X39" s="10"/>
      <c r="Y39" s="10"/>
      <c r="Z39" s="10"/>
      <c r="AA39" s="10"/>
      <c r="AB39" s="10"/>
      <c r="AC39" s="10"/>
      <c r="AD39" s="10"/>
      <c r="AE39" t="s">
        <v>19</v>
      </c>
      <c r="AH39">
        <v>1</v>
      </c>
    </row>
    <row r="40" spans="1:34" ht="29">
      <c r="A40" t="s">
        <v>261</v>
      </c>
      <c r="B40" s="4" t="s">
        <v>1062</v>
      </c>
      <c r="C40" s="4" t="s">
        <v>1065</v>
      </c>
      <c r="G40" s="10" t="s">
        <v>24</v>
      </c>
      <c r="H40" s="10"/>
      <c r="I40" s="10">
        <v>1</v>
      </c>
      <c r="J40" s="10">
        <v>1</v>
      </c>
      <c r="K40" s="10" t="s">
        <v>2158</v>
      </c>
      <c r="L40" s="10" t="s">
        <v>2200</v>
      </c>
      <c r="M40" s="10"/>
      <c r="N40" s="11"/>
      <c r="O40" s="10"/>
      <c r="P40" s="10">
        <v>2475</v>
      </c>
      <c r="Q40" s="10">
        <f t="shared" si="0"/>
        <v>1216.9338184678927</v>
      </c>
      <c r="R40" s="10"/>
      <c r="S40" s="10" t="s">
        <v>2387</v>
      </c>
      <c r="T40" s="10" t="s">
        <v>2387</v>
      </c>
      <c r="U40" s="10"/>
      <c r="V40" s="10"/>
      <c r="W40" s="10"/>
      <c r="X40" s="10"/>
      <c r="Y40" s="10"/>
      <c r="Z40" s="10"/>
      <c r="AA40" s="10"/>
      <c r="AB40" s="10"/>
      <c r="AC40" s="10"/>
      <c r="AD40" s="10"/>
      <c r="AE40" t="s">
        <v>19</v>
      </c>
      <c r="AH40">
        <v>1</v>
      </c>
    </row>
    <row r="41" spans="1:34" ht="29">
      <c r="A41" t="s">
        <v>261</v>
      </c>
      <c r="B41" s="4" t="s">
        <v>1067</v>
      </c>
      <c r="C41" s="4" t="s">
        <v>1066</v>
      </c>
      <c r="G41" s="10" t="s">
        <v>25</v>
      </c>
      <c r="H41" s="10"/>
      <c r="I41" s="10">
        <v>1</v>
      </c>
      <c r="J41" s="10">
        <v>3</v>
      </c>
      <c r="K41" s="10" t="s">
        <v>2158</v>
      </c>
      <c r="L41" s="10" t="s">
        <v>2159</v>
      </c>
      <c r="M41" s="10"/>
      <c r="N41" s="11"/>
      <c r="O41" s="10"/>
      <c r="P41" s="10">
        <v>2475</v>
      </c>
      <c r="Q41" s="10">
        <f t="shared" si="0"/>
        <v>1216.9338184678927</v>
      </c>
      <c r="R41" s="10"/>
      <c r="S41" s="10" t="s">
        <v>2387</v>
      </c>
      <c r="T41" s="10" t="s">
        <v>2387</v>
      </c>
      <c r="U41" s="10"/>
      <c r="V41" s="10"/>
      <c r="W41" s="10"/>
      <c r="X41" s="10"/>
      <c r="Y41" s="10"/>
      <c r="Z41" s="10"/>
      <c r="AA41" s="10"/>
      <c r="AB41" s="10"/>
      <c r="AC41" s="10"/>
      <c r="AD41" s="10"/>
      <c r="AE41" t="s">
        <v>19</v>
      </c>
      <c r="AH41">
        <v>1</v>
      </c>
    </row>
    <row r="42" spans="1:34" ht="87">
      <c r="A42" t="s">
        <v>264</v>
      </c>
      <c r="B42" s="4" t="s">
        <v>1078</v>
      </c>
      <c r="C42" s="4" t="s">
        <v>1079</v>
      </c>
      <c r="G42" s="10" t="s">
        <v>24</v>
      </c>
      <c r="H42" s="10"/>
      <c r="I42" s="10">
        <v>1</v>
      </c>
      <c r="J42" s="10">
        <v>2</v>
      </c>
      <c r="K42" s="10" t="s">
        <v>2158</v>
      </c>
      <c r="L42" s="10" t="s">
        <v>2200</v>
      </c>
      <c r="M42" s="10"/>
      <c r="N42" s="11"/>
      <c r="O42" s="10"/>
      <c r="P42" s="10">
        <v>2475</v>
      </c>
      <c r="Q42" s="10">
        <f t="shared" si="0"/>
        <v>1216.9338184678927</v>
      </c>
      <c r="R42" s="10"/>
      <c r="S42" s="10" t="s">
        <v>2387</v>
      </c>
      <c r="T42" s="10" t="s">
        <v>2387</v>
      </c>
      <c r="U42" s="10"/>
      <c r="V42" s="10"/>
      <c r="W42" s="10"/>
      <c r="X42" s="10"/>
      <c r="Y42" s="10"/>
      <c r="Z42" s="10"/>
      <c r="AA42" s="10"/>
      <c r="AB42" s="10"/>
      <c r="AC42" s="10"/>
      <c r="AD42" s="10"/>
      <c r="AE42" t="s">
        <v>19</v>
      </c>
      <c r="AH42">
        <v>1</v>
      </c>
    </row>
    <row r="43" spans="1:34" ht="87">
      <c r="A43" t="s">
        <v>264</v>
      </c>
      <c r="B43" s="4" t="s">
        <v>1078</v>
      </c>
      <c r="C43" s="4" t="s">
        <v>1084</v>
      </c>
      <c r="G43" s="10" t="s">
        <v>24</v>
      </c>
      <c r="H43" s="10"/>
      <c r="I43" s="10">
        <v>1</v>
      </c>
      <c r="J43" s="10">
        <v>3</v>
      </c>
      <c r="K43" s="10" t="s">
        <v>2177</v>
      </c>
      <c r="L43" s="10" t="s">
        <v>2159</v>
      </c>
      <c r="M43" s="10"/>
      <c r="N43" s="11"/>
      <c r="O43" s="10"/>
      <c r="P43" s="10">
        <v>10</v>
      </c>
      <c r="Q43" s="10">
        <f t="shared" si="0"/>
        <v>4.9169043170419897</v>
      </c>
      <c r="R43" s="10"/>
      <c r="S43" s="10" t="s">
        <v>2387</v>
      </c>
      <c r="T43" s="10" t="s">
        <v>2387</v>
      </c>
      <c r="U43" s="10"/>
      <c r="V43" s="10"/>
      <c r="W43" s="10"/>
      <c r="X43" s="10"/>
      <c r="Y43" s="10"/>
      <c r="Z43" s="10"/>
      <c r="AA43" s="10"/>
      <c r="AB43" s="10"/>
      <c r="AC43" s="10"/>
      <c r="AD43" s="10"/>
      <c r="AE43" t="s">
        <v>19</v>
      </c>
      <c r="AH43">
        <v>1</v>
      </c>
    </row>
    <row r="44" spans="1:34" ht="29">
      <c r="A44" t="s">
        <v>264</v>
      </c>
      <c r="B44" s="4" t="s">
        <v>1086</v>
      </c>
      <c r="C44" s="4" t="s">
        <v>1085</v>
      </c>
      <c r="G44" s="10" t="s">
        <v>25</v>
      </c>
      <c r="H44" s="10"/>
      <c r="I44" s="10">
        <v>1</v>
      </c>
      <c r="J44" s="10">
        <v>1</v>
      </c>
      <c r="K44" s="10" t="s">
        <v>2158</v>
      </c>
      <c r="L44" s="10" t="s">
        <v>2200</v>
      </c>
      <c r="M44" s="10"/>
      <c r="N44" s="11"/>
      <c r="O44" s="10"/>
      <c r="P44" s="10">
        <v>2475</v>
      </c>
      <c r="Q44" s="10">
        <f t="shared" si="0"/>
        <v>1216.9338184678927</v>
      </c>
      <c r="R44" s="10"/>
      <c r="S44" s="10" t="s">
        <v>2387</v>
      </c>
      <c r="T44" s="10" t="s">
        <v>2387</v>
      </c>
      <c r="U44" s="10"/>
      <c r="V44" s="10"/>
      <c r="W44" s="10"/>
      <c r="X44" s="10"/>
      <c r="Y44" s="10"/>
      <c r="Z44" s="10"/>
      <c r="AA44" s="10"/>
      <c r="AB44" s="10"/>
      <c r="AC44" s="10"/>
      <c r="AD44" s="10"/>
      <c r="AE44" t="s">
        <v>19</v>
      </c>
      <c r="AH44">
        <v>1</v>
      </c>
    </row>
    <row r="45" spans="1:34" ht="29">
      <c r="A45" t="s">
        <v>267</v>
      </c>
      <c r="B45" s="4" t="s">
        <v>1091</v>
      </c>
      <c r="C45" s="4" t="s">
        <v>1092</v>
      </c>
      <c r="G45" s="10" t="s">
        <v>25</v>
      </c>
      <c r="H45" s="10"/>
      <c r="I45" s="10">
        <v>1</v>
      </c>
      <c r="J45" s="10">
        <v>3</v>
      </c>
      <c r="K45" s="10" t="s">
        <v>2173</v>
      </c>
      <c r="L45" s="10" t="s">
        <v>2159</v>
      </c>
      <c r="M45" s="10"/>
      <c r="N45" s="11"/>
      <c r="O45" s="10"/>
      <c r="P45" s="10">
        <v>75</v>
      </c>
      <c r="Q45" s="10">
        <f t="shared" si="0"/>
        <v>36.876782377814926</v>
      </c>
      <c r="R45" s="10"/>
      <c r="S45" s="10" t="s">
        <v>2387</v>
      </c>
      <c r="T45" s="10" t="s">
        <v>2387</v>
      </c>
      <c r="U45" s="10"/>
      <c r="V45" s="10"/>
      <c r="W45" s="10"/>
      <c r="X45" s="10"/>
      <c r="Y45" s="10"/>
      <c r="Z45" s="10"/>
      <c r="AA45" s="10"/>
      <c r="AB45" s="10"/>
      <c r="AC45" s="10"/>
      <c r="AD45" s="10"/>
      <c r="AE45" t="s">
        <v>19</v>
      </c>
      <c r="AH45">
        <v>1</v>
      </c>
    </row>
    <row r="46" spans="1:34" ht="58">
      <c r="A46" t="s">
        <v>267</v>
      </c>
      <c r="B46" s="4" t="s">
        <v>1098</v>
      </c>
      <c r="C46" s="4" t="s">
        <v>1099</v>
      </c>
      <c r="G46" s="10" t="s">
        <v>24</v>
      </c>
      <c r="H46" s="10"/>
      <c r="I46" s="10">
        <v>1</v>
      </c>
      <c r="J46" s="10">
        <v>3</v>
      </c>
      <c r="K46" s="10" t="s">
        <v>2168</v>
      </c>
      <c r="L46" s="10" t="s">
        <v>2159</v>
      </c>
      <c r="M46" s="10"/>
      <c r="N46" s="11"/>
      <c r="O46" s="10"/>
      <c r="P46" s="10">
        <v>1701</v>
      </c>
      <c r="Q46" s="10">
        <f t="shared" si="0"/>
        <v>836.36542432884255</v>
      </c>
      <c r="R46" s="10"/>
      <c r="S46" s="10" t="s">
        <v>2387</v>
      </c>
      <c r="T46" s="10" t="s">
        <v>2387</v>
      </c>
      <c r="U46" s="10"/>
      <c r="V46" s="10"/>
      <c r="W46" s="10"/>
      <c r="X46" s="10"/>
      <c r="Y46" s="10"/>
      <c r="Z46" s="10"/>
      <c r="AA46" s="10"/>
      <c r="AB46" s="10"/>
      <c r="AC46" s="10"/>
      <c r="AD46" s="10"/>
      <c r="AE46" t="s">
        <v>19</v>
      </c>
      <c r="AH46">
        <v>1</v>
      </c>
    </row>
    <row r="47" spans="1:34" ht="87">
      <c r="A47" t="s">
        <v>269</v>
      </c>
      <c r="B47" s="4" t="s">
        <v>1100</v>
      </c>
      <c r="C47" s="4" t="s">
        <v>1101</v>
      </c>
      <c r="G47" s="10" t="s">
        <v>25</v>
      </c>
      <c r="H47" s="10"/>
      <c r="I47" s="10">
        <v>3</v>
      </c>
      <c r="J47" s="10">
        <v>12</v>
      </c>
      <c r="K47" s="10"/>
      <c r="L47" s="10" t="s">
        <v>2153</v>
      </c>
      <c r="M47" s="10" t="s">
        <v>2244</v>
      </c>
      <c r="N47" s="11" t="s">
        <v>2259</v>
      </c>
      <c r="O47" s="10"/>
      <c r="P47" s="10">
        <v>115</v>
      </c>
      <c r="Q47" s="10">
        <f t="shared" si="0"/>
        <v>56.544399645982892</v>
      </c>
      <c r="R47" s="10"/>
      <c r="S47" s="10" t="s">
        <v>2387</v>
      </c>
      <c r="T47" s="10" t="s">
        <v>2387</v>
      </c>
      <c r="U47" s="10"/>
      <c r="V47" s="10"/>
      <c r="W47" s="10"/>
      <c r="X47" s="10"/>
      <c r="Y47" s="10"/>
      <c r="Z47" s="10"/>
      <c r="AA47" s="10"/>
      <c r="AB47" s="10"/>
      <c r="AC47" s="10"/>
      <c r="AD47" s="10"/>
      <c r="AE47" t="s">
        <v>19</v>
      </c>
      <c r="AH47">
        <v>1</v>
      </c>
    </row>
    <row r="48" spans="1:34" ht="72.5">
      <c r="A48" t="s">
        <v>270</v>
      </c>
      <c r="B48" s="4" t="s">
        <v>1102</v>
      </c>
      <c r="C48" s="4" t="s">
        <v>1103</v>
      </c>
      <c r="G48" s="10" t="s">
        <v>24</v>
      </c>
      <c r="H48" s="10"/>
      <c r="I48" s="10">
        <v>1</v>
      </c>
      <c r="J48" s="10">
        <v>3</v>
      </c>
      <c r="K48" s="10" t="s">
        <v>2175</v>
      </c>
      <c r="L48" s="10" t="s">
        <v>2159</v>
      </c>
      <c r="M48" s="10"/>
      <c r="N48" s="11"/>
      <c r="O48" s="10"/>
      <c r="P48" s="10">
        <v>743</v>
      </c>
      <c r="Q48" s="10">
        <f t="shared" si="0"/>
        <v>365.32599075621988</v>
      </c>
      <c r="R48" s="10"/>
      <c r="S48" s="10" t="s">
        <v>2387</v>
      </c>
      <c r="T48" s="10" t="s">
        <v>2387</v>
      </c>
      <c r="U48" s="10"/>
      <c r="V48" s="10"/>
      <c r="W48" s="10"/>
      <c r="X48" s="10"/>
      <c r="Y48" s="10"/>
      <c r="Z48" s="10"/>
      <c r="AA48" s="10"/>
      <c r="AB48" s="10"/>
      <c r="AC48" s="10"/>
      <c r="AD48" s="10"/>
      <c r="AE48" t="s">
        <v>19</v>
      </c>
      <c r="AH48">
        <v>1</v>
      </c>
    </row>
    <row r="49" spans="1:34" ht="101.5">
      <c r="A49" t="s">
        <v>271</v>
      </c>
      <c r="B49" s="4" t="s">
        <v>2260</v>
      </c>
      <c r="C49" s="4" t="s">
        <v>1106</v>
      </c>
      <c r="G49" s="10" t="s">
        <v>25</v>
      </c>
      <c r="H49" s="10"/>
      <c r="I49" s="10">
        <v>1</v>
      </c>
      <c r="J49" s="10">
        <v>3</v>
      </c>
      <c r="K49" s="10" t="s">
        <v>2168</v>
      </c>
      <c r="L49" s="10" t="s">
        <v>2159</v>
      </c>
      <c r="M49" s="10"/>
      <c r="N49" s="11"/>
      <c r="O49" s="10"/>
      <c r="P49" s="10">
        <v>60</v>
      </c>
      <c r="Q49" s="10">
        <f t="shared" si="0"/>
        <v>29.501425902251942</v>
      </c>
      <c r="R49" s="10"/>
      <c r="S49" s="10" t="s">
        <v>2387</v>
      </c>
      <c r="T49" s="10" t="s">
        <v>2387</v>
      </c>
      <c r="U49" s="10"/>
      <c r="V49" s="10"/>
      <c r="W49" s="10"/>
      <c r="X49" s="10"/>
      <c r="Y49" s="10"/>
      <c r="Z49" s="10"/>
      <c r="AA49" s="10"/>
      <c r="AB49" s="10"/>
      <c r="AC49" s="10"/>
      <c r="AD49" s="10"/>
      <c r="AE49" t="s">
        <v>19</v>
      </c>
      <c r="AH49">
        <v>1</v>
      </c>
    </row>
    <row r="50" spans="1:34" ht="101.5">
      <c r="A50" t="s">
        <v>271</v>
      </c>
      <c r="B50" s="4" t="s">
        <v>1109</v>
      </c>
      <c r="C50" s="4" t="s">
        <v>1106</v>
      </c>
      <c r="G50" s="10" t="s">
        <v>25</v>
      </c>
      <c r="H50" s="10"/>
      <c r="I50" s="10">
        <v>1</v>
      </c>
      <c r="J50" s="10">
        <v>3</v>
      </c>
      <c r="K50" s="10" t="s">
        <v>2158</v>
      </c>
      <c r="L50" s="10" t="s">
        <v>2159</v>
      </c>
      <c r="M50" s="10"/>
      <c r="N50" s="11"/>
      <c r="O50" s="10"/>
      <c r="P50" s="10">
        <v>2475</v>
      </c>
      <c r="Q50" s="10">
        <f t="shared" si="0"/>
        <v>1216.9338184678927</v>
      </c>
      <c r="R50" s="10"/>
      <c r="S50" s="10" t="s">
        <v>2387</v>
      </c>
      <c r="T50" s="10" t="s">
        <v>2387</v>
      </c>
      <c r="U50" s="10"/>
      <c r="V50" s="10"/>
      <c r="W50" s="10"/>
      <c r="X50" s="10"/>
      <c r="Y50" s="10"/>
      <c r="Z50" s="10"/>
      <c r="AA50" s="10"/>
      <c r="AB50" s="10"/>
      <c r="AC50" s="10"/>
      <c r="AD50" s="10"/>
      <c r="AE50" t="s">
        <v>19</v>
      </c>
      <c r="AH50">
        <v>1</v>
      </c>
    </row>
    <row r="51" spans="1:34" ht="101.5">
      <c r="A51" t="s">
        <v>271</v>
      </c>
      <c r="B51" s="4" t="s">
        <v>1107</v>
      </c>
      <c r="C51" s="4" t="s">
        <v>1110</v>
      </c>
      <c r="G51" s="10" t="s">
        <v>24</v>
      </c>
      <c r="H51" s="10"/>
      <c r="I51" s="10">
        <v>2</v>
      </c>
      <c r="J51" s="10">
        <v>7</v>
      </c>
      <c r="K51" s="10"/>
      <c r="L51" s="10" t="s">
        <v>2159</v>
      </c>
      <c r="M51" s="10"/>
      <c r="N51" s="11"/>
      <c r="O51" s="10"/>
      <c r="P51" s="10">
        <v>132</v>
      </c>
      <c r="Q51" s="10">
        <f t="shared" si="0"/>
        <v>64.903136984954273</v>
      </c>
      <c r="R51" s="10"/>
      <c r="S51" s="10" t="s">
        <v>2387</v>
      </c>
      <c r="T51" s="10" t="s">
        <v>2387</v>
      </c>
      <c r="U51" s="10"/>
      <c r="V51" s="10"/>
      <c r="W51" s="10"/>
      <c r="X51" s="10"/>
      <c r="Y51" s="10"/>
      <c r="Z51" s="10"/>
      <c r="AA51" s="10"/>
      <c r="AB51" s="10"/>
      <c r="AC51" s="10"/>
      <c r="AD51" s="10"/>
      <c r="AE51" t="s">
        <v>19</v>
      </c>
      <c r="AH51">
        <v>1</v>
      </c>
    </row>
    <row r="52" spans="1:34" ht="29">
      <c r="A52" t="s">
        <v>271</v>
      </c>
      <c r="B52" s="4" t="s">
        <v>1112</v>
      </c>
      <c r="C52" s="4" t="s">
        <v>1111</v>
      </c>
      <c r="G52" s="10" t="s">
        <v>24</v>
      </c>
      <c r="H52" s="10"/>
      <c r="I52" s="10">
        <v>1</v>
      </c>
      <c r="J52" s="10">
        <v>3</v>
      </c>
      <c r="K52" s="10" t="s">
        <v>2158</v>
      </c>
      <c r="L52" s="10" t="s">
        <v>2159</v>
      </c>
      <c r="M52" s="10"/>
      <c r="N52" s="11"/>
      <c r="O52" s="10"/>
      <c r="P52" s="10">
        <v>2475</v>
      </c>
      <c r="Q52" s="10">
        <f t="shared" si="0"/>
        <v>1216.9338184678927</v>
      </c>
      <c r="R52" s="10"/>
      <c r="S52" s="10" t="s">
        <v>2387</v>
      </c>
      <c r="T52" s="10" t="s">
        <v>2387</v>
      </c>
      <c r="U52" s="10"/>
      <c r="V52" s="10"/>
      <c r="W52" s="10"/>
      <c r="X52" s="10"/>
      <c r="Y52" s="10"/>
      <c r="Z52" s="10"/>
      <c r="AA52" s="10"/>
      <c r="AB52" s="10"/>
      <c r="AC52" s="10"/>
      <c r="AD52" s="10"/>
      <c r="AE52" t="s">
        <v>19</v>
      </c>
      <c r="AH52">
        <v>1</v>
      </c>
    </row>
    <row r="53" spans="1:34" ht="58">
      <c r="A53" t="s">
        <v>271</v>
      </c>
      <c r="B53" s="4" t="s">
        <v>1114</v>
      </c>
      <c r="C53" s="4" t="s">
        <v>1113</v>
      </c>
      <c r="G53" s="10" t="s">
        <v>24</v>
      </c>
      <c r="H53" s="10"/>
      <c r="I53" s="10">
        <v>1</v>
      </c>
      <c r="J53" s="10">
        <v>7</v>
      </c>
      <c r="K53" s="10" t="s">
        <v>2173</v>
      </c>
      <c r="L53" s="10" t="s">
        <v>2153</v>
      </c>
      <c r="M53" s="10" t="s">
        <v>2262</v>
      </c>
      <c r="N53" s="11" t="s">
        <v>2230</v>
      </c>
      <c r="O53" s="10"/>
      <c r="P53" s="10">
        <v>47</v>
      </c>
      <c r="Q53" s="10">
        <f t="shared" si="0"/>
        <v>23.109450290097357</v>
      </c>
      <c r="R53" s="10"/>
      <c r="S53" s="10" t="s">
        <v>2387</v>
      </c>
      <c r="T53" s="10" t="s">
        <v>2387</v>
      </c>
      <c r="U53" s="10"/>
      <c r="V53" s="10"/>
      <c r="W53" s="10"/>
      <c r="X53" s="10"/>
      <c r="Y53" s="10"/>
      <c r="Z53" s="10"/>
      <c r="AA53" s="10"/>
      <c r="AB53" s="10"/>
      <c r="AC53" s="10"/>
      <c r="AD53" s="10" t="s">
        <v>19</v>
      </c>
      <c r="AE53" t="s">
        <v>19</v>
      </c>
      <c r="AH53">
        <v>1</v>
      </c>
    </row>
    <row r="54" spans="1:34" ht="58">
      <c r="A54" t="s">
        <v>285</v>
      </c>
      <c r="B54" s="4" t="s">
        <v>1126</v>
      </c>
      <c r="C54" s="4" t="s">
        <v>1125</v>
      </c>
      <c r="G54" s="10" t="s">
        <v>24</v>
      </c>
      <c r="H54" s="10"/>
      <c r="I54" s="10">
        <v>1</v>
      </c>
      <c r="J54" s="10">
        <v>2</v>
      </c>
      <c r="K54" s="10" t="s">
        <v>2175</v>
      </c>
      <c r="L54" s="10" t="s">
        <v>2200</v>
      </c>
      <c r="M54" s="10"/>
      <c r="N54" s="11"/>
      <c r="O54" s="10" t="s">
        <v>2154</v>
      </c>
      <c r="P54" s="10">
        <v>99</v>
      </c>
      <c r="Q54" s="10">
        <f t="shared" si="0"/>
        <v>48.677352738715705</v>
      </c>
      <c r="R54" s="10"/>
      <c r="S54" s="10" t="s">
        <v>2387</v>
      </c>
      <c r="T54" s="10" t="s">
        <v>2387</v>
      </c>
      <c r="U54" s="10"/>
      <c r="V54" s="10"/>
      <c r="W54" s="10"/>
      <c r="X54" s="10"/>
      <c r="Y54" s="10"/>
      <c r="Z54" s="10"/>
      <c r="AA54" s="10"/>
      <c r="AB54" s="10"/>
      <c r="AC54" s="10"/>
      <c r="AD54" s="10"/>
      <c r="AE54" t="s">
        <v>19</v>
      </c>
      <c r="AH54">
        <v>1</v>
      </c>
    </row>
    <row r="55" spans="1:34" ht="43.5">
      <c r="A55" t="s">
        <v>285</v>
      </c>
      <c r="B55" s="4" t="s">
        <v>1127</v>
      </c>
      <c r="C55" s="4" t="s">
        <v>1128</v>
      </c>
      <c r="F55" t="s">
        <v>19</v>
      </c>
      <c r="G55" s="10" t="s">
        <v>25</v>
      </c>
      <c r="H55" s="10"/>
      <c r="I55" s="10">
        <v>1</v>
      </c>
      <c r="J55" s="10">
        <v>2</v>
      </c>
      <c r="K55" s="10" t="s">
        <v>2168</v>
      </c>
      <c r="L55" s="10" t="s">
        <v>2200</v>
      </c>
      <c r="M55" s="10"/>
      <c r="N55" s="11"/>
      <c r="O55" s="10" t="s">
        <v>2154</v>
      </c>
      <c r="P55" s="10">
        <v>129</v>
      </c>
      <c r="Q55" s="10">
        <f t="shared" si="0"/>
        <v>63.428065689841674</v>
      </c>
      <c r="R55" s="10"/>
      <c r="S55" s="10" t="s">
        <v>2387</v>
      </c>
      <c r="T55" s="10" t="s">
        <v>2387</v>
      </c>
      <c r="U55" s="10"/>
      <c r="V55" s="10"/>
      <c r="W55" s="10"/>
      <c r="X55" s="10"/>
      <c r="Y55" s="10"/>
      <c r="Z55" s="10"/>
      <c r="AA55" s="10"/>
      <c r="AB55" s="10"/>
      <c r="AC55" s="10"/>
      <c r="AD55" s="10"/>
      <c r="AE55" t="s">
        <v>19</v>
      </c>
      <c r="AH55">
        <v>1</v>
      </c>
    </row>
    <row r="56" spans="1:34" ht="87">
      <c r="A56" t="s">
        <v>300</v>
      </c>
      <c r="B56" s="4" t="s">
        <v>1141</v>
      </c>
      <c r="C56" s="4" t="s">
        <v>1140</v>
      </c>
      <c r="G56" s="10" t="s">
        <v>24</v>
      </c>
      <c r="H56" s="10"/>
      <c r="I56" s="10">
        <v>1</v>
      </c>
      <c r="J56" s="10">
        <v>3</v>
      </c>
      <c r="K56" s="10" t="s">
        <v>2168</v>
      </c>
      <c r="L56" s="10" t="s">
        <v>2159</v>
      </c>
      <c r="M56" s="10"/>
      <c r="N56" s="11"/>
      <c r="O56" s="10"/>
      <c r="P56" s="10">
        <v>1701</v>
      </c>
      <c r="Q56" s="10">
        <f t="shared" si="0"/>
        <v>836.36542432884255</v>
      </c>
      <c r="R56" s="10"/>
      <c r="S56" s="10" t="s">
        <v>2387</v>
      </c>
      <c r="T56" s="10" t="s">
        <v>2387</v>
      </c>
      <c r="U56" s="10"/>
      <c r="V56" s="10"/>
      <c r="W56" s="10"/>
      <c r="X56" s="10"/>
      <c r="Y56" s="10"/>
      <c r="Z56" s="10"/>
      <c r="AA56" s="10"/>
      <c r="AB56" s="10"/>
      <c r="AC56" s="10"/>
      <c r="AD56" s="10"/>
      <c r="AE56" t="s">
        <v>19</v>
      </c>
      <c r="AH56">
        <v>1</v>
      </c>
    </row>
    <row r="57" spans="1:34" ht="29">
      <c r="A57" t="s">
        <v>300</v>
      </c>
      <c r="B57" s="4" t="s">
        <v>1143</v>
      </c>
      <c r="C57" s="4" t="s">
        <v>1142</v>
      </c>
      <c r="G57" s="10" t="s">
        <v>25</v>
      </c>
      <c r="H57" s="10"/>
      <c r="I57" s="10">
        <v>1</v>
      </c>
      <c r="J57" s="10">
        <v>3</v>
      </c>
      <c r="K57" s="10" t="s">
        <v>2158</v>
      </c>
      <c r="L57" s="10" t="s">
        <v>2159</v>
      </c>
      <c r="M57" s="10"/>
      <c r="N57" s="11"/>
      <c r="O57" s="10"/>
      <c r="P57" s="10">
        <v>2475</v>
      </c>
      <c r="Q57" s="10">
        <f t="shared" si="0"/>
        <v>1216.9338184678927</v>
      </c>
      <c r="R57" s="10"/>
      <c r="S57" s="10" t="s">
        <v>2387</v>
      </c>
      <c r="T57" s="10" t="s">
        <v>2387</v>
      </c>
      <c r="U57" s="10"/>
      <c r="V57" s="10"/>
      <c r="W57" s="10"/>
      <c r="X57" s="10"/>
      <c r="Y57" s="10"/>
      <c r="Z57" s="10"/>
      <c r="AA57" s="10"/>
      <c r="AB57" s="10"/>
      <c r="AC57" s="10"/>
      <c r="AD57" s="10"/>
      <c r="AE57" t="s">
        <v>19</v>
      </c>
      <c r="AH57">
        <v>1</v>
      </c>
    </row>
    <row r="58" spans="1:34" ht="43.5">
      <c r="A58" t="s">
        <v>300</v>
      </c>
      <c r="B58" s="4" t="s">
        <v>1148</v>
      </c>
      <c r="C58" s="4" t="s">
        <v>1147</v>
      </c>
      <c r="G58" s="10" t="s">
        <v>24</v>
      </c>
      <c r="H58" s="10"/>
      <c r="I58" s="10">
        <v>1</v>
      </c>
      <c r="J58" s="10">
        <v>2</v>
      </c>
      <c r="K58" s="10" t="s">
        <v>2164</v>
      </c>
      <c r="L58" s="10" t="s">
        <v>2200</v>
      </c>
      <c r="M58" s="10"/>
      <c r="N58" s="11"/>
      <c r="O58" s="10"/>
      <c r="P58" s="10">
        <v>129</v>
      </c>
      <c r="Q58" s="10">
        <f t="shared" si="0"/>
        <v>63.428065689841674</v>
      </c>
      <c r="R58" s="10"/>
      <c r="S58" s="10" t="s">
        <v>2387</v>
      </c>
      <c r="T58" s="10" t="s">
        <v>2387</v>
      </c>
      <c r="U58" s="10"/>
      <c r="V58" s="10"/>
      <c r="W58" s="10"/>
      <c r="X58" s="10"/>
      <c r="Y58" s="10"/>
      <c r="Z58" s="10"/>
      <c r="AA58" s="10"/>
      <c r="AB58" s="10"/>
      <c r="AC58" s="10"/>
      <c r="AD58" s="10"/>
      <c r="AE58" t="s">
        <v>19</v>
      </c>
      <c r="AH58">
        <v>1</v>
      </c>
    </row>
    <row r="59" spans="1:34" ht="43.5">
      <c r="A59" t="s">
        <v>311</v>
      </c>
      <c r="B59" s="4" t="s">
        <v>1150</v>
      </c>
      <c r="C59" s="4" t="s">
        <v>1149</v>
      </c>
      <c r="G59" s="10" t="s">
        <v>25</v>
      </c>
      <c r="H59" s="10"/>
      <c r="I59" s="10">
        <v>1</v>
      </c>
      <c r="J59" s="10">
        <v>3</v>
      </c>
      <c r="K59" s="10" t="s">
        <v>2158</v>
      </c>
      <c r="L59" s="10" t="s">
        <v>2159</v>
      </c>
      <c r="M59" s="10"/>
      <c r="N59" s="11"/>
      <c r="O59" s="10"/>
      <c r="P59" s="10">
        <v>2475</v>
      </c>
      <c r="Q59" s="10">
        <f t="shared" si="0"/>
        <v>1216.9338184678927</v>
      </c>
      <c r="R59" s="10"/>
      <c r="S59" s="10" t="s">
        <v>2387</v>
      </c>
      <c r="T59" s="10" t="s">
        <v>2387</v>
      </c>
      <c r="U59" s="10"/>
      <c r="V59" s="10"/>
      <c r="W59" s="10"/>
      <c r="X59" s="10"/>
      <c r="Y59" s="10"/>
      <c r="Z59" s="10"/>
      <c r="AA59" s="10"/>
      <c r="AB59" s="10"/>
      <c r="AC59" s="10"/>
      <c r="AD59" s="10"/>
      <c r="AE59" t="s">
        <v>19</v>
      </c>
      <c r="AH59">
        <v>1</v>
      </c>
    </row>
    <row r="60" spans="1:34" ht="72.5">
      <c r="A60" t="s">
        <v>316</v>
      </c>
      <c r="B60" s="4" t="s">
        <v>1157</v>
      </c>
      <c r="C60" s="4" t="s">
        <v>1156</v>
      </c>
      <c r="G60" s="10" t="s">
        <v>25</v>
      </c>
      <c r="H60" s="10"/>
      <c r="I60" s="10">
        <v>2</v>
      </c>
      <c r="J60" s="10">
        <v>4</v>
      </c>
      <c r="K60" s="10"/>
      <c r="L60" s="10" t="s">
        <v>2159</v>
      </c>
      <c r="M60" s="10"/>
      <c r="N60" s="11"/>
      <c r="O60" s="10"/>
      <c r="P60" s="10">
        <v>124</v>
      </c>
      <c r="Q60" s="10">
        <f t="shared" si="0"/>
        <v>60.969613531320682</v>
      </c>
      <c r="R60" s="10"/>
      <c r="S60" s="10" t="s">
        <v>2387</v>
      </c>
      <c r="T60" s="10" t="s">
        <v>2387</v>
      </c>
      <c r="U60" s="10"/>
      <c r="V60" s="10"/>
      <c r="W60" s="10"/>
      <c r="X60" s="10"/>
      <c r="Y60" s="10"/>
      <c r="Z60" s="10"/>
      <c r="AA60" s="10"/>
      <c r="AB60" s="10"/>
      <c r="AC60" s="10"/>
      <c r="AD60" s="10"/>
      <c r="AE60" t="s">
        <v>19</v>
      </c>
      <c r="AH60">
        <v>1</v>
      </c>
    </row>
    <row r="61" spans="1:34" ht="58">
      <c r="A61" t="s">
        <v>327</v>
      </c>
      <c r="B61" s="4" t="s">
        <v>1163</v>
      </c>
      <c r="C61" s="4" t="s">
        <v>1162</v>
      </c>
      <c r="G61" s="10" t="s">
        <v>24</v>
      </c>
      <c r="H61" s="10"/>
      <c r="I61" s="10">
        <v>1</v>
      </c>
      <c r="J61" s="10">
        <v>3</v>
      </c>
      <c r="K61" s="10" t="s">
        <v>2158</v>
      </c>
      <c r="L61" s="10" t="s">
        <v>2159</v>
      </c>
      <c r="M61" s="10"/>
      <c r="N61" s="11"/>
      <c r="O61" s="10"/>
      <c r="P61" s="10">
        <v>2475</v>
      </c>
      <c r="Q61" s="10">
        <f t="shared" si="0"/>
        <v>1216.9338184678927</v>
      </c>
      <c r="R61" s="10"/>
      <c r="S61" s="10" t="s">
        <v>2387</v>
      </c>
      <c r="T61" s="10" t="s">
        <v>2387</v>
      </c>
      <c r="U61" s="10"/>
      <c r="V61" s="10"/>
      <c r="W61" s="10"/>
      <c r="X61" s="10"/>
      <c r="Y61" s="10"/>
      <c r="Z61" s="10"/>
      <c r="AA61" s="10"/>
      <c r="AB61" s="10"/>
      <c r="AC61" s="10"/>
      <c r="AD61" s="10"/>
      <c r="AE61" t="s">
        <v>19</v>
      </c>
      <c r="AH61">
        <v>1</v>
      </c>
    </row>
    <row r="62" spans="1:34" ht="43.5">
      <c r="A62" t="s">
        <v>332</v>
      </c>
      <c r="B62" s="4" t="s">
        <v>1173</v>
      </c>
      <c r="C62" s="4" t="s">
        <v>1172</v>
      </c>
      <c r="G62" s="10" t="s">
        <v>25</v>
      </c>
      <c r="H62" s="10"/>
      <c r="I62" s="10">
        <v>1</v>
      </c>
      <c r="J62" s="10">
        <v>3</v>
      </c>
      <c r="K62" s="10" t="s">
        <v>2168</v>
      </c>
      <c r="L62" s="10" t="s">
        <v>2159</v>
      </c>
      <c r="M62" s="10"/>
      <c r="N62" s="11"/>
      <c r="O62" s="10"/>
      <c r="P62" s="10">
        <v>1701</v>
      </c>
      <c r="Q62" s="10">
        <f t="shared" si="0"/>
        <v>836.36542432884255</v>
      </c>
      <c r="R62" s="10"/>
      <c r="S62" s="10" t="s">
        <v>2387</v>
      </c>
      <c r="T62" s="10" t="s">
        <v>2387</v>
      </c>
      <c r="U62" s="10"/>
      <c r="V62" s="10"/>
      <c r="W62" s="10"/>
      <c r="X62" s="10"/>
      <c r="Y62" s="10"/>
      <c r="Z62" s="10"/>
      <c r="AA62" s="10"/>
      <c r="AB62" s="10"/>
      <c r="AC62" s="10"/>
      <c r="AD62" s="10"/>
      <c r="AE62" t="s">
        <v>19</v>
      </c>
      <c r="AH62">
        <v>1</v>
      </c>
    </row>
    <row r="63" spans="1:34" ht="58">
      <c r="A63" t="s">
        <v>333</v>
      </c>
      <c r="B63" s="4" t="s">
        <v>1175</v>
      </c>
      <c r="C63" s="4" t="s">
        <v>1174</v>
      </c>
      <c r="G63" s="10" t="s">
        <v>24</v>
      </c>
      <c r="H63" s="10"/>
      <c r="I63" s="10">
        <v>1</v>
      </c>
      <c r="J63" s="10">
        <v>3</v>
      </c>
      <c r="K63" s="10" t="s">
        <v>2168</v>
      </c>
      <c r="L63" s="10" t="s">
        <v>2159</v>
      </c>
      <c r="M63" s="10"/>
      <c r="N63" s="11"/>
      <c r="O63" s="10"/>
      <c r="P63" s="10">
        <v>1701</v>
      </c>
      <c r="Q63" s="10">
        <f t="shared" si="0"/>
        <v>836.36542432884255</v>
      </c>
      <c r="R63" s="10"/>
      <c r="S63" s="10" t="s">
        <v>2387</v>
      </c>
      <c r="T63" s="10" t="s">
        <v>2387</v>
      </c>
      <c r="U63" s="10"/>
      <c r="V63" s="10"/>
      <c r="W63" s="10"/>
      <c r="X63" s="10"/>
      <c r="Y63" s="10"/>
      <c r="Z63" s="10"/>
      <c r="AA63" s="10"/>
      <c r="AB63" s="10"/>
      <c r="AC63" s="10"/>
      <c r="AD63" s="10"/>
      <c r="AE63" t="s">
        <v>19</v>
      </c>
      <c r="AH63">
        <v>1</v>
      </c>
    </row>
    <row r="64" spans="1:34" ht="29">
      <c r="A64" t="s">
        <v>334</v>
      </c>
      <c r="B64" s="4" t="s">
        <v>1177</v>
      </c>
      <c r="C64" s="4" t="s">
        <v>1176</v>
      </c>
      <c r="G64" s="10" t="s">
        <v>24</v>
      </c>
      <c r="H64" s="10"/>
      <c r="I64" s="10">
        <v>1</v>
      </c>
      <c r="J64" s="10">
        <v>2</v>
      </c>
      <c r="K64" s="10" t="s">
        <v>2168</v>
      </c>
      <c r="L64" s="10" t="s">
        <v>2200</v>
      </c>
      <c r="M64" s="10"/>
      <c r="N64" s="11"/>
      <c r="O64" s="10"/>
      <c r="P64" s="10">
        <v>171</v>
      </c>
      <c r="Q64" s="10">
        <f t="shared" si="0"/>
        <v>84.079063821418046</v>
      </c>
      <c r="R64" s="10"/>
      <c r="S64" s="10" t="s">
        <v>2387</v>
      </c>
      <c r="T64" s="10" t="s">
        <v>2387</v>
      </c>
      <c r="U64" s="10"/>
      <c r="V64" s="10"/>
      <c r="W64" s="10"/>
      <c r="X64" s="10"/>
      <c r="Y64" s="10"/>
      <c r="Z64" s="10"/>
      <c r="AA64" s="10"/>
      <c r="AB64" s="10"/>
      <c r="AC64" s="10"/>
      <c r="AD64" s="10"/>
      <c r="AE64" t="s">
        <v>19</v>
      </c>
      <c r="AH64">
        <v>1</v>
      </c>
    </row>
    <row r="65" spans="1:34" ht="58">
      <c r="A65" t="s">
        <v>334</v>
      </c>
      <c r="B65" s="4" t="s">
        <v>1179</v>
      </c>
      <c r="C65" s="4" t="s">
        <v>1178</v>
      </c>
      <c r="G65" s="10" t="s">
        <v>25</v>
      </c>
      <c r="H65" s="10"/>
      <c r="I65" s="10">
        <v>1</v>
      </c>
      <c r="J65" s="10">
        <v>1</v>
      </c>
      <c r="K65" s="10" t="s">
        <v>2158</v>
      </c>
      <c r="L65" s="10" t="s">
        <v>2200</v>
      </c>
      <c r="M65" s="10"/>
      <c r="N65" s="11"/>
      <c r="O65" s="10"/>
      <c r="P65" s="10">
        <v>2475</v>
      </c>
      <c r="Q65" s="10">
        <f t="shared" si="0"/>
        <v>1216.9338184678927</v>
      </c>
      <c r="R65" s="10"/>
      <c r="S65" s="10" t="s">
        <v>2387</v>
      </c>
      <c r="T65" s="10" t="s">
        <v>2387</v>
      </c>
      <c r="U65" s="10"/>
      <c r="V65" s="10"/>
      <c r="W65" s="10"/>
      <c r="X65" s="10"/>
      <c r="Y65" s="10"/>
      <c r="Z65" s="10"/>
      <c r="AA65" s="10"/>
      <c r="AB65" s="10"/>
      <c r="AC65" s="10"/>
      <c r="AD65" s="10"/>
      <c r="AE65" t="s">
        <v>19</v>
      </c>
      <c r="AH65">
        <v>1</v>
      </c>
    </row>
    <row r="66" spans="1:34" ht="29">
      <c r="A66" t="s">
        <v>335</v>
      </c>
      <c r="B66" s="4" t="s">
        <v>1181</v>
      </c>
      <c r="C66" s="4" t="s">
        <v>1180</v>
      </c>
      <c r="G66" s="10" t="s">
        <v>25</v>
      </c>
      <c r="H66" s="10"/>
      <c r="I66" s="10">
        <v>1</v>
      </c>
      <c r="J66" s="10">
        <v>2</v>
      </c>
      <c r="K66" s="10" t="s">
        <v>2177</v>
      </c>
      <c r="L66" s="10" t="s">
        <v>2200</v>
      </c>
      <c r="M66" s="10"/>
      <c r="N66" s="11"/>
      <c r="O66" s="10"/>
      <c r="P66" s="10">
        <v>613</v>
      </c>
      <c r="Q66" s="10">
        <f t="shared" si="0"/>
        <v>301.40623463467404</v>
      </c>
      <c r="R66" s="10"/>
      <c r="S66" s="10" t="s">
        <v>2387</v>
      </c>
      <c r="T66" s="10" t="s">
        <v>2387</v>
      </c>
      <c r="U66" s="10"/>
      <c r="V66" s="10"/>
      <c r="W66" s="10"/>
      <c r="X66" s="10"/>
      <c r="Y66" s="10"/>
      <c r="Z66" s="10"/>
      <c r="AA66" s="10"/>
      <c r="AB66" s="10"/>
      <c r="AC66" s="10"/>
      <c r="AD66" s="10"/>
      <c r="AE66" t="s">
        <v>19</v>
      </c>
      <c r="AH66">
        <v>1</v>
      </c>
    </row>
    <row r="67" spans="1:34" ht="29">
      <c r="A67" t="s">
        <v>342</v>
      </c>
      <c r="B67" s="4" t="s">
        <v>1191</v>
      </c>
      <c r="C67" s="4" t="s">
        <v>1190</v>
      </c>
      <c r="G67" s="10" t="s">
        <v>25</v>
      </c>
      <c r="H67" s="10"/>
      <c r="I67" s="10">
        <v>1</v>
      </c>
      <c r="J67" s="10">
        <v>2</v>
      </c>
      <c r="K67" s="10" t="s">
        <v>2158</v>
      </c>
      <c r="L67" s="10" t="s">
        <v>2200</v>
      </c>
      <c r="M67" s="10"/>
      <c r="N67" s="11"/>
      <c r="O67" s="10"/>
      <c r="P67" s="10">
        <v>2475</v>
      </c>
      <c r="Q67" s="10">
        <f t="shared" ref="Q67:Q130" si="1">IF(ISNUMBER(P67), (P67/$F$303)*10000, "")</f>
        <v>1216.9338184678927</v>
      </c>
      <c r="R67" s="10"/>
      <c r="S67" s="10" t="s">
        <v>2387</v>
      </c>
      <c r="T67" s="10" t="s">
        <v>2387</v>
      </c>
      <c r="U67" s="10"/>
      <c r="V67" s="10"/>
      <c r="W67" s="10"/>
      <c r="X67" s="10"/>
      <c r="Y67" s="10"/>
      <c r="Z67" s="10"/>
      <c r="AA67" s="10"/>
      <c r="AB67" s="10"/>
      <c r="AC67" s="10"/>
      <c r="AD67" s="10"/>
      <c r="AE67" t="s">
        <v>19</v>
      </c>
      <c r="AH67">
        <v>1</v>
      </c>
    </row>
    <row r="68" spans="1:34" ht="58">
      <c r="A68" t="s">
        <v>342</v>
      </c>
      <c r="B68" s="4" t="s">
        <v>1193</v>
      </c>
      <c r="C68" s="4" t="s">
        <v>1192</v>
      </c>
      <c r="G68" s="10" t="s">
        <v>25</v>
      </c>
      <c r="H68" s="10"/>
      <c r="I68" s="10">
        <v>1</v>
      </c>
      <c r="J68" s="10">
        <v>3</v>
      </c>
      <c r="K68" s="10" t="s">
        <v>2168</v>
      </c>
      <c r="L68" s="10" t="s">
        <v>2159</v>
      </c>
      <c r="M68" s="10"/>
      <c r="N68" s="11"/>
      <c r="O68" s="10"/>
      <c r="P68" s="10">
        <v>1701</v>
      </c>
      <c r="Q68" s="10">
        <f t="shared" si="1"/>
        <v>836.36542432884255</v>
      </c>
      <c r="R68" s="10"/>
      <c r="S68" s="10" t="s">
        <v>2387</v>
      </c>
      <c r="T68" s="10" t="s">
        <v>2387</v>
      </c>
      <c r="U68" s="10"/>
      <c r="V68" s="10"/>
      <c r="W68" s="10"/>
      <c r="X68" s="10"/>
      <c r="Y68" s="10"/>
      <c r="Z68" s="10"/>
      <c r="AA68" s="10"/>
      <c r="AB68" s="10"/>
      <c r="AC68" s="10"/>
      <c r="AD68" s="10"/>
      <c r="AE68" t="s">
        <v>19</v>
      </c>
      <c r="AH68">
        <v>1</v>
      </c>
    </row>
    <row r="69" spans="1:34" ht="72.5">
      <c r="A69" t="s">
        <v>344</v>
      </c>
      <c r="B69" s="4" t="s">
        <v>1203</v>
      </c>
      <c r="C69" s="4" t="s">
        <v>1202</v>
      </c>
      <c r="G69" s="10" t="s">
        <v>24</v>
      </c>
      <c r="H69" s="10"/>
      <c r="I69" s="10">
        <v>1</v>
      </c>
      <c r="J69" s="10">
        <v>3</v>
      </c>
      <c r="K69" s="10" t="s">
        <v>2168</v>
      </c>
      <c r="L69" s="10" t="s">
        <v>2159</v>
      </c>
      <c r="M69" s="10"/>
      <c r="N69" s="11"/>
      <c r="O69" s="10"/>
      <c r="P69" s="10">
        <v>1701</v>
      </c>
      <c r="Q69" s="10">
        <f t="shared" si="1"/>
        <v>836.36542432884255</v>
      </c>
      <c r="R69" s="10"/>
      <c r="S69" s="10" t="s">
        <v>2387</v>
      </c>
      <c r="T69" s="10" t="s">
        <v>2387</v>
      </c>
      <c r="U69" s="10"/>
      <c r="V69" s="10"/>
      <c r="W69" s="10"/>
      <c r="X69" s="10"/>
      <c r="Y69" s="10"/>
      <c r="Z69" s="10"/>
      <c r="AA69" s="10"/>
      <c r="AB69" s="10"/>
      <c r="AC69" s="10"/>
      <c r="AD69" s="10"/>
      <c r="AE69" t="s">
        <v>19</v>
      </c>
      <c r="AH69">
        <v>1</v>
      </c>
    </row>
    <row r="70" spans="1:34" ht="29">
      <c r="A70" t="s">
        <v>350</v>
      </c>
      <c r="B70" s="4" t="s">
        <v>1208</v>
      </c>
      <c r="C70" s="4" t="s">
        <v>1207</v>
      </c>
      <c r="G70" s="10" t="s">
        <v>25</v>
      </c>
      <c r="H70" s="10"/>
      <c r="I70" s="10">
        <v>1</v>
      </c>
      <c r="J70" s="10">
        <v>3</v>
      </c>
      <c r="K70" s="10" t="s">
        <v>2158</v>
      </c>
      <c r="L70" s="10" t="s">
        <v>2159</v>
      </c>
      <c r="M70" s="10"/>
      <c r="N70" s="11"/>
      <c r="O70" s="10"/>
      <c r="P70" s="10">
        <v>2475</v>
      </c>
      <c r="Q70" s="10">
        <f t="shared" si="1"/>
        <v>1216.9338184678927</v>
      </c>
      <c r="R70" s="10"/>
      <c r="S70" s="10" t="s">
        <v>2387</v>
      </c>
      <c r="T70" s="10" t="s">
        <v>2387</v>
      </c>
      <c r="U70" s="10"/>
      <c r="V70" s="10"/>
      <c r="W70" s="10"/>
      <c r="X70" s="10"/>
      <c r="Y70" s="10"/>
      <c r="Z70" s="10"/>
      <c r="AA70" s="10"/>
      <c r="AB70" s="10"/>
      <c r="AC70" s="10"/>
      <c r="AD70" s="10"/>
      <c r="AE70" t="s">
        <v>19</v>
      </c>
      <c r="AH70">
        <v>1</v>
      </c>
    </row>
    <row r="71" spans="1:34" ht="101.5">
      <c r="A71" t="s">
        <v>352</v>
      </c>
      <c r="B71" s="4" t="s">
        <v>1209</v>
      </c>
      <c r="C71" s="4" t="s">
        <v>1210</v>
      </c>
      <c r="G71" s="10" t="s">
        <v>25</v>
      </c>
      <c r="H71" s="10"/>
      <c r="I71" s="10">
        <v>1</v>
      </c>
      <c r="J71" s="10">
        <v>3</v>
      </c>
      <c r="K71" s="10" t="s">
        <v>2173</v>
      </c>
      <c r="L71" s="10" t="s">
        <v>2159</v>
      </c>
      <c r="M71" s="10"/>
      <c r="N71" s="11"/>
      <c r="O71" s="10"/>
      <c r="P71" s="10">
        <v>52</v>
      </c>
      <c r="Q71" s="10">
        <f t="shared" si="1"/>
        <v>25.567902448618351</v>
      </c>
      <c r="R71" s="10"/>
      <c r="S71" s="10" t="s">
        <v>2387</v>
      </c>
      <c r="T71" s="10" t="s">
        <v>2387</v>
      </c>
      <c r="U71" s="10"/>
      <c r="V71" s="10"/>
      <c r="W71" s="10"/>
      <c r="X71" s="10"/>
      <c r="Y71" s="10"/>
      <c r="Z71" s="10"/>
      <c r="AA71" s="10"/>
      <c r="AB71" s="10"/>
      <c r="AC71" s="10"/>
      <c r="AD71" s="10"/>
      <c r="AE71" t="s">
        <v>19</v>
      </c>
      <c r="AH71">
        <v>1</v>
      </c>
    </row>
    <row r="72" spans="1:34" ht="43.5">
      <c r="A72" t="s">
        <v>356</v>
      </c>
      <c r="B72" s="4" t="s">
        <v>1212</v>
      </c>
      <c r="C72" s="4" t="s">
        <v>1211</v>
      </c>
      <c r="G72" s="10" t="s">
        <v>24</v>
      </c>
      <c r="H72" s="10"/>
      <c r="I72" s="10">
        <v>1</v>
      </c>
      <c r="J72" s="10">
        <v>3</v>
      </c>
      <c r="K72" s="10" t="s">
        <v>2175</v>
      </c>
      <c r="L72" s="10" t="s">
        <v>2159</v>
      </c>
      <c r="M72" s="10"/>
      <c r="N72" s="11"/>
      <c r="O72" s="10"/>
      <c r="P72" s="10">
        <v>743</v>
      </c>
      <c r="Q72" s="10">
        <f t="shared" si="1"/>
        <v>365.32599075621988</v>
      </c>
      <c r="R72" s="10"/>
      <c r="S72" s="10" t="s">
        <v>2387</v>
      </c>
      <c r="T72" s="10" t="s">
        <v>2387</v>
      </c>
      <c r="U72" s="10"/>
      <c r="V72" s="10"/>
      <c r="W72" s="10"/>
      <c r="X72" s="10"/>
      <c r="Y72" s="10"/>
      <c r="Z72" s="10"/>
      <c r="AA72" s="10"/>
      <c r="AB72" s="10"/>
      <c r="AC72" s="10"/>
      <c r="AD72" s="10"/>
      <c r="AE72" t="s">
        <v>19</v>
      </c>
      <c r="AH72">
        <v>1</v>
      </c>
    </row>
    <row r="73" spans="1:34" ht="29">
      <c r="A73" t="s">
        <v>356</v>
      </c>
      <c r="B73" s="4" t="s">
        <v>1213</v>
      </c>
      <c r="C73" s="4" t="s">
        <v>1214</v>
      </c>
      <c r="G73" s="10" t="s">
        <v>25</v>
      </c>
      <c r="H73" s="10"/>
      <c r="I73" s="10">
        <v>1</v>
      </c>
      <c r="J73" s="10">
        <v>1</v>
      </c>
      <c r="K73" s="10" t="s">
        <v>2158</v>
      </c>
      <c r="L73" s="10" t="s">
        <v>2200</v>
      </c>
      <c r="M73" s="10"/>
      <c r="N73" s="11"/>
      <c r="O73" s="10"/>
      <c r="P73" s="10">
        <v>2475</v>
      </c>
      <c r="Q73" s="10">
        <f t="shared" si="1"/>
        <v>1216.9338184678927</v>
      </c>
      <c r="R73" s="10"/>
      <c r="S73" s="10" t="s">
        <v>2387</v>
      </c>
      <c r="T73" s="10" t="s">
        <v>2387</v>
      </c>
      <c r="U73" s="10"/>
      <c r="V73" s="10"/>
      <c r="W73" s="10"/>
      <c r="X73" s="10"/>
      <c r="Y73" s="10"/>
      <c r="Z73" s="10"/>
      <c r="AA73" s="10"/>
      <c r="AB73" s="10"/>
      <c r="AC73" s="10"/>
      <c r="AD73" s="10"/>
      <c r="AE73" t="s">
        <v>19</v>
      </c>
      <c r="AH73">
        <v>1</v>
      </c>
    </row>
    <row r="74" spans="1:34" ht="43.5">
      <c r="A74" t="s">
        <v>356</v>
      </c>
      <c r="B74" s="4" t="s">
        <v>1217</v>
      </c>
      <c r="C74" s="4" t="s">
        <v>1218</v>
      </c>
      <c r="G74" s="10" t="s">
        <v>25</v>
      </c>
      <c r="H74" s="10"/>
      <c r="I74" s="10">
        <v>1</v>
      </c>
      <c r="J74" s="10">
        <v>2</v>
      </c>
      <c r="K74" s="10" t="s">
        <v>2158</v>
      </c>
      <c r="L74" s="10" t="s">
        <v>2200</v>
      </c>
      <c r="M74" s="10"/>
      <c r="N74" s="11"/>
      <c r="O74" s="10"/>
      <c r="P74" s="10">
        <v>2475</v>
      </c>
      <c r="Q74" s="10">
        <f t="shared" si="1"/>
        <v>1216.9338184678927</v>
      </c>
      <c r="R74" s="10"/>
      <c r="S74" s="10" t="s">
        <v>2387</v>
      </c>
      <c r="T74" s="10" t="s">
        <v>2387</v>
      </c>
      <c r="U74" s="10"/>
      <c r="V74" s="10"/>
      <c r="W74" s="10"/>
      <c r="X74" s="10"/>
      <c r="Y74" s="10"/>
      <c r="Z74" s="10"/>
      <c r="AA74" s="10"/>
      <c r="AB74" s="10"/>
      <c r="AC74" s="10"/>
      <c r="AD74" s="10"/>
      <c r="AE74" t="s">
        <v>19</v>
      </c>
      <c r="AH74">
        <v>1</v>
      </c>
    </row>
    <row r="75" spans="1:34" ht="43.5">
      <c r="A75" t="s">
        <v>357</v>
      </c>
      <c r="B75" s="4" t="s">
        <v>1224</v>
      </c>
      <c r="C75" s="4" t="s">
        <v>1223</v>
      </c>
      <c r="G75" s="10" t="s">
        <v>25</v>
      </c>
      <c r="H75" s="10"/>
      <c r="I75" s="10">
        <v>1</v>
      </c>
      <c r="J75" s="10">
        <v>3</v>
      </c>
      <c r="K75" s="10" t="s">
        <v>2175</v>
      </c>
      <c r="L75" s="10" t="s">
        <v>2159</v>
      </c>
      <c r="M75" s="10"/>
      <c r="N75" s="11"/>
      <c r="O75" s="10"/>
      <c r="P75" s="10">
        <v>743</v>
      </c>
      <c r="Q75" s="10">
        <f t="shared" si="1"/>
        <v>365.32599075621988</v>
      </c>
      <c r="R75" s="10"/>
      <c r="S75" s="10" t="s">
        <v>2387</v>
      </c>
      <c r="T75" s="10" t="s">
        <v>2387</v>
      </c>
      <c r="U75" s="10"/>
      <c r="V75" s="10"/>
      <c r="W75" s="10"/>
      <c r="X75" s="10"/>
      <c r="Y75" s="10"/>
      <c r="Z75" s="10"/>
      <c r="AA75" s="10"/>
      <c r="AB75" s="10"/>
      <c r="AC75" s="10"/>
      <c r="AD75" s="10"/>
      <c r="AE75" t="s">
        <v>19</v>
      </c>
      <c r="AH75">
        <v>1</v>
      </c>
    </row>
    <row r="76" spans="1:34" ht="29">
      <c r="A76" t="s">
        <v>358</v>
      </c>
      <c r="B76" s="4" t="s">
        <v>1226</v>
      </c>
      <c r="C76" s="4" t="s">
        <v>1225</v>
      </c>
      <c r="G76" s="10" t="s">
        <v>25</v>
      </c>
      <c r="H76" s="10"/>
      <c r="I76" s="10">
        <v>1</v>
      </c>
      <c r="J76" s="10">
        <v>3</v>
      </c>
      <c r="K76" s="10" t="s">
        <v>2175</v>
      </c>
      <c r="L76" s="10" t="s">
        <v>2159</v>
      </c>
      <c r="M76" s="10"/>
      <c r="N76" s="11"/>
      <c r="O76" s="10"/>
      <c r="P76" s="10">
        <v>743</v>
      </c>
      <c r="Q76" s="10">
        <f t="shared" si="1"/>
        <v>365.32599075621988</v>
      </c>
      <c r="R76" s="10"/>
      <c r="S76" s="10" t="s">
        <v>2387</v>
      </c>
      <c r="T76" s="10" t="s">
        <v>2387</v>
      </c>
      <c r="U76" s="10"/>
      <c r="V76" s="10"/>
      <c r="W76" s="10"/>
      <c r="X76" s="10"/>
      <c r="Y76" s="10"/>
      <c r="Z76" s="10"/>
      <c r="AA76" s="10"/>
      <c r="AB76" s="10"/>
      <c r="AC76" s="10"/>
      <c r="AD76" s="10"/>
      <c r="AE76" t="s">
        <v>19</v>
      </c>
      <c r="AH76">
        <v>1</v>
      </c>
    </row>
    <row r="77" spans="1:34" ht="43.5">
      <c r="A77" t="s">
        <v>362</v>
      </c>
      <c r="B77" s="4" t="s">
        <v>1228</v>
      </c>
      <c r="C77" s="4" t="s">
        <v>2266</v>
      </c>
      <c r="G77" s="10" t="s">
        <v>24</v>
      </c>
      <c r="H77" s="10"/>
      <c r="I77" s="10">
        <v>1</v>
      </c>
      <c r="J77" s="10">
        <v>2</v>
      </c>
      <c r="K77" s="10" t="s">
        <v>2158</v>
      </c>
      <c r="L77" s="10" t="s">
        <v>2200</v>
      </c>
      <c r="M77" s="10"/>
      <c r="N77" s="11"/>
      <c r="O77" s="10"/>
      <c r="P77" s="10">
        <v>2475</v>
      </c>
      <c r="Q77" s="10">
        <f t="shared" si="1"/>
        <v>1216.9338184678927</v>
      </c>
      <c r="R77" s="10"/>
      <c r="S77" s="10" t="s">
        <v>2387</v>
      </c>
      <c r="T77" s="10" t="s">
        <v>2387</v>
      </c>
      <c r="U77" s="10"/>
      <c r="V77" s="10"/>
      <c r="W77" s="10"/>
      <c r="X77" s="10"/>
      <c r="Y77" s="10"/>
      <c r="Z77" s="10"/>
      <c r="AA77" s="10"/>
      <c r="AB77" s="10"/>
      <c r="AC77" s="10"/>
      <c r="AD77" s="10"/>
      <c r="AE77" t="s">
        <v>19</v>
      </c>
      <c r="AH77">
        <v>1</v>
      </c>
    </row>
    <row r="78" spans="1:34" ht="43.5">
      <c r="A78" t="s">
        <v>364</v>
      </c>
      <c r="B78" s="4" t="s">
        <v>1233</v>
      </c>
      <c r="C78" s="4" t="s">
        <v>1234</v>
      </c>
      <c r="F78" t="s">
        <v>19</v>
      </c>
      <c r="G78" s="10" t="s">
        <v>24</v>
      </c>
      <c r="H78" s="10"/>
      <c r="I78" s="10">
        <v>1</v>
      </c>
      <c r="J78" s="10">
        <v>5</v>
      </c>
      <c r="K78" s="10" t="s">
        <v>2175</v>
      </c>
      <c r="L78" s="10" t="s">
        <v>2159</v>
      </c>
      <c r="M78" s="10"/>
      <c r="N78" s="11"/>
      <c r="O78" s="10"/>
      <c r="P78" s="10">
        <v>830</v>
      </c>
      <c r="Q78" s="10">
        <f t="shared" si="1"/>
        <v>408.10305831448517</v>
      </c>
      <c r="R78" s="10"/>
      <c r="S78" s="10" t="s">
        <v>2387</v>
      </c>
      <c r="T78" s="10" t="s">
        <v>2387</v>
      </c>
      <c r="U78" s="10"/>
      <c r="V78" s="10"/>
      <c r="W78" s="10"/>
      <c r="X78" s="10"/>
      <c r="Y78" s="10"/>
      <c r="Z78" s="10"/>
      <c r="AA78" s="10"/>
      <c r="AB78" s="10"/>
      <c r="AC78" s="10"/>
      <c r="AD78" s="10"/>
      <c r="AE78" t="s">
        <v>20</v>
      </c>
      <c r="AH78">
        <v>0</v>
      </c>
    </row>
    <row r="79" spans="1:34" ht="29">
      <c r="A79" t="s">
        <v>365</v>
      </c>
      <c r="B79" s="4" t="s">
        <v>1238</v>
      </c>
      <c r="C79" s="4" t="s">
        <v>1237</v>
      </c>
      <c r="G79" s="10" t="s">
        <v>24</v>
      </c>
      <c r="H79" s="10"/>
      <c r="I79" s="10">
        <v>1</v>
      </c>
      <c r="J79" s="10">
        <v>3</v>
      </c>
      <c r="K79" s="10" t="s">
        <v>2158</v>
      </c>
      <c r="L79" s="10" t="s">
        <v>2159</v>
      </c>
      <c r="M79" s="10"/>
      <c r="N79" s="11"/>
      <c r="O79" s="10"/>
      <c r="P79" s="10">
        <v>2475</v>
      </c>
      <c r="Q79" s="10">
        <f t="shared" si="1"/>
        <v>1216.9338184678927</v>
      </c>
      <c r="R79" s="10"/>
      <c r="S79" s="10" t="s">
        <v>2387</v>
      </c>
      <c r="T79" s="10" t="s">
        <v>2387</v>
      </c>
      <c r="U79" s="10"/>
      <c r="V79" s="10"/>
      <c r="W79" s="10"/>
      <c r="X79" s="10"/>
      <c r="Y79" s="10"/>
      <c r="Z79" s="10"/>
      <c r="AA79" s="10"/>
      <c r="AB79" s="10"/>
      <c r="AC79" s="10"/>
      <c r="AD79" s="10"/>
      <c r="AE79" t="s">
        <v>19</v>
      </c>
      <c r="AH79">
        <v>1</v>
      </c>
    </row>
    <row r="80" spans="1:34" ht="87">
      <c r="A80" t="s">
        <v>374</v>
      </c>
      <c r="B80" s="4" t="s">
        <v>1248</v>
      </c>
      <c r="C80" s="4" t="s">
        <v>1245</v>
      </c>
      <c r="G80" s="10" t="s">
        <v>25</v>
      </c>
      <c r="H80" s="10"/>
      <c r="I80" s="10">
        <v>1</v>
      </c>
      <c r="J80" s="10">
        <v>2</v>
      </c>
      <c r="K80" s="10" t="s">
        <v>2158</v>
      </c>
      <c r="L80" s="10" t="s">
        <v>2200</v>
      </c>
      <c r="M80" s="10"/>
      <c r="N80" s="11"/>
      <c r="O80" s="10"/>
      <c r="P80" s="10">
        <v>2475</v>
      </c>
      <c r="Q80" s="10">
        <f t="shared" si="1"/>
        <v>1216.9338184678927</v>
      </c>
      <c r="R80" s="10"/>
      <c r="S80" s="10" t="s">
        <v>2387</v>
      </c>
      <c r="T80" s="10" t="s">
        <v>2387</v>
      </c>
      <c r="U80" s="10"/>
      <c r="V80" s="10"/>
      <c r="W80" s="10"/>
      <c r="X80" s="10"/>
      <c r="Y80" s="10"/>
      <c r="Z80" s="10"/>
      <c r="AA80" s="10"/>
      <c r="AB80" s="10"/>
      <c r="AC80" s="10"/>
      <c r="AD80" s="10"/>
      <c r="AE80" t="s">
        <v>19</v>
      </c>
      <c r="AH80">
        <v>1</v>
      </c>
    </row>
    <row r="81" spans="1:34" ht="101.5">
      <c r="A81" t="s">
        <v>374</v>
      </c>
      <c r="B81" s="4" t="s">
        <v>1249</v>
      </c>
      <c r="C81" s="4" t="s">
        <v>1245</v>
      </c>
      <c r="G81" s="10" t="s">
        <v>25</v>
      </c>
      <c r="H81" s="10"/>
      <c r="I81" s="10">
        <v>1</v>
      </c>
      <c r="J81" s="10">
        <v>2</v>
      </c>
      <c r="K81" s="10" t="s">
        <v>2158</v>
      </c>
      <c r="L81" s="10" t="s">
        <v>2200</v>
      </c>
      <c r="M81" s="10"/>
      <c r="N81" s="11"/>
      <c r="O81" s="10"/>
      <c r="P81" s="10">
        <v>2475</v>
      </c>
      <c r="Q81" s="10">
        <f t="shared" si="1"/>
        <v>1216.9338184678927</v>
      </c>
      <c r="R81" s="10"/>
      <c r="S81" s="10" t="s">
        <v>2387</v>
      </c>
      <c r="T81" s="10" t="s">
        <v>2387</v>
      </c>
      <c r="U81" s="10"/>
      <c r="V81" s="10"/>
      <c r="W81" s="10"/>
      <c r="X81" s="10"/>
      <c r="Y81" s="10"/>
      <c r="Z81" s="10"/>
      <c r="AA81" s="10"/>
      <c r="AB81" s="10"/>
      <c r="AC81" s="10"/>
      <c r="AD81" s="10"/>
      <c r="AE81" t="s">
        <v>19</v>
      </c>
      <c r="AH81">
        <v>1</v>
      </c>
    </row>
    <row r="82" spans="1:34" ht="29">
      <c r="A82" t="s">
        <v>378</v>
      </c>
      <c r="B82" s="4" t="s">
        <v>1250</v>
      </c>
      <c r="C82" s="4" t="s">
        <v>1251</v>
      </c>
      <c r="G82" s="10" t="s">
        <v>24</v>
      </c>
      <c r="H82" s="10"/>
      <c r="I82" s="10">
        <v>1</v>
      </c>
      <c r="J82" s="10">
        <v>2</v>
      </c>
      <c r="K82" s="10" t="s">
        <v>2177</v>
      </c>
      <c r="L82" s="10" t="s">
        <v>2200</v>
      </c>
      <c r="M82" s="10"/>
      <c r="N82" s="11"/>
      <c r="O82" s="10"/>
      <c r="P82" s="10">
        <v>613</v>
      </c>
      <c r="Q82" s="10">
        <f t="shared" si="1"/>
        <v>301.40623463467404</v>
      </c>
      <c r="R82" s="10"/>
      <c r="S82" s="10" t="s">
        <v>2387</v>
      </c>
      <c r="T82" s="10" t="s">
        <v>2387</v>
      </c>
      <c r="U82" s="10"/>
      <c r="V82" s="10"/>
      <c r="W82" s="10"/>
      <c r="X82" s="10"/>
      <c r="Y82" s="10"/>
      <c r="Z82" s="10"/>
      <c r="AA82" s="10"/>
      <c r="AB82" s="10"/>
      <c r="AC82" s="10"/>
      <c r="AD82" s="10"/>
      <c r="AE82" t="s">
        <v>19</v>
      </c>
      <c r="AH82">
        <v>1</v>
      </c>
    </row>
    <row r="83" spans="1:34" ht="43.5">
      <c r="A83" t="s">
        <v>378</v>
      </c>
      <c r="B83" s="4" t="s">
        <v>1252</v>
      </c>
      <c r="C83" s="4" t="s">
        <v>1253</v>
      </c>
      <c r="G83" s="10" t="s">
        <v>25</v>
      </c>
      <c r="H83" s="10"/>
      <c r="I83" s="10">
        <v>1</v>
      </c>
      <c r="J83" s="10">
        <v>2</v>
      </c>
      <c r="K83" s="10" t="s">
        <v>2177</v>
      </c>
      <c r="L83" s="10" t="s">
        <v>2200</v>
      </c>
      <c r="M83" s="10"/>
      <c r="N83" s="11"/>
      <c r="O83" s="10"/>
      <c r="P83" s="10">
        <v>79</v>
      </c>
      <c r="Q83" s="10">
        <f t="shared" si="1"/>
        <v>38.843544104631725</v>
      </c>
      <c r="R83" s="10"/>
      <c r="S83" s="10" t="s">
        <v>2387</v>
      </c>
      <c r="T83" s="10" t="s">
        <v>2387</v>
      </c>
      <c r="U83" s="10"/>
      <c r="V83" s="10"/>
      <c r="W83" s="10"/>
      <c r="X83" s="10"/>
      <c r="Y83" s="10"/>
      <c r="Z83" s="10"/>
      <c r="AA83" s="10"/>
      <c r="AB83" s="10"/>
      <c r="AC83" s="10"/>
      <c r="AD83" s="10"/>
      <c r="AE83" t="s">
        <v>19</v>
      </c>
      <c r="AH83">
        <v>1</v>
      </c>
    </row>
    <row r="84" spans="1:34" ht="87">
      <c r="A84" t="s">
        <v>381</v>
      </c>
      <c r="B84" s="4" t="s">
        <v>1268</v>
      </c>
      <c r="C84" s="4" t="s">
        <v>1265</v>
      </c>
      <c r="G84" s="10" t="s">
        <v>25</v>
      </c>
      <c r="H84" s="10"/>
      <c r="I84" s="10">
        <v>2</v>
      </c>
      <c r="J84" s="10">
        <v>6</v>
      </c>
      <c r="K84" s="10"/>
      <c r="L84" s="10" t="s">
        <v>2159</v>
      </c>
      <c r="M84" s="10"/>
      <c r="N84" s="11"/>
      <c r="O84" s="10"/>
      <c r="P84" s="10">
        <v>2</v>
      </c>
      <c r="Q84" s="10">
        <f t="shared" si="1"/>
        <v>0.98338086340839814</v>
      </c>
      <c r="R84" s="10"/>
      <c r="S84" s="10" t="s">
        <v>2387</v>
      </c>
      <c r="T84" s="10" t="s">
        <v>2387</v>
      </c>
      <c r="U84" s="10"/>
      <c r="V84" s="10"/>
      <c r="W84" s="10"/>
      <c r="X84" s="10"/>
      <c r="Y84" s="10"/>
      <c r="Z84" s="10"/>
      <c r="AA84" s="10"/>
      <c r="AB84" s="10"/>
      <c r="AC84" s="10"/>
      <c r="AD84" s="10"/>
      <c r="AE84" t="s">
        <v>19</v>
      </c>
      <c r="AH84">
        <v>1</v>
      </c>
    </row>
    <row r="85" spans="1:34" ht="29">
      <c r="A85" t="s">
        <v>387</v>
      </c>
      <c r="B85" s="4" t="s">
        <v>1273</v>
      </c>
      <c r="C85" s="4" t="s">
        <v>1272</v>
      </c>
      <c r="G85" s="10" t="s">
        <v>24</v>
      </c>
      <c r="H85" s="10"/>
      <c r="I85" s="10">
        <v>1</v>
      </c>
      <c r="J85" s="10">
        <v>3</v>
      </c>
      <c r="K85" s="10" t="s">
        <v>2168</v>
      </c>
      <c r="L85" s="10" t="s">
        <v>2159</v>
      </c>
      <c r="M85" s="10"/>
      <c r="N85" s="11"/>
      <c r="O85" s="10"/>
      <c r="P85" s="10">
        <v>2475</v>
      </c>
      <c r="Q85" s="10">
        <f t="shared" si="1"/>
        <v>1216.9338184678927</v>
      </c>
      <c r="R85" s="10"/>
      <c r="S85" s="10" t="s">
        <v>2387</v>
      </c>
      <c r="T85" s="10" t="s">
        <v>2387</v>
      </c>
      <c r="U85" s="10"/>
      <c r="V85" s="10"/>
      <c r="W85" s="10"/>
      <c r="X85" s="10"/>
      <c r="Y85" s="10"/>
      <c r="Z85" s="10"/>
      <c r="AA85" s="10"/>
      <c r="AB85" s="10"/>
      <c r="AC85" s="10"/>
      <c r="AD85" s="10"/>
      <c r="AE85" t="s">
        <v>19</v>
      </c>
      <c r="AH85">
        <v>1</v>
      </c>
    </row>
    <row r="86" spans="1:34" ht="58">
      <c r="A86" t="s">
        <v>402</v>
      </c>
      <c r="B86" s="4" t="s">
        <v>2272</v>
      </c>
      <c r="C86" s="4" t="s">
        <v>2273</v>
      </c>
      <c r="G86" s="10" t="s">
        <v>24</v>
      </c>
      <c r="H86" s="10"/>
      <c r="I86" s="10">
        <v>1</v>
      </c>
      <c r="J86" s="10">
        <v>3</v>
      </c>
      <c r="K86" s="10" t="s">
        <v>2168</v>
      </c>
      <c r="L86" s="10" t="s">
        <v>2159</v>
      </c>
      <c r="M86" s="10"/>
      <c r="N86" s="11"/>
      <c r="O86" s="10"/>
      <c r="P86" s="10">
        <v>1701</v>
      </c>
      <c r="Q86" s="10">
        <f t="shared" si="1"/>
        <v>836.36542432884255</v>
      </c>
      <c r="R86" s="10"/>
      <c r="S86" s="10" t="s">
        <v>2387</v>
      </c>
      <c r="T86" s="10" t="s">
        <v>2387</v>
      </c>
      <c r="U86" s="10"/>
      <c r="V86" s="10"/>
      <c r="W86" s="10"/>
      <c r="X86" s="10"/>
      <c r="Y86" s="10"/>
      <c r="Z86" s="10"/>
      <c r="AA86" s="10"/>
      <c r="AB86" s="10"/>
      <c r="AC86" s="10"/>
      <c r="AD86" s="10"/>
      <c r="AE86" t="s">
        <v>19</v>
      </c>
      <c r="AH86">
        <v>1</v>
      </c>
    </row>
    <row r="87" spans="1:34" ht="43.5">
      <c r="A87" t="s">
        <v>408</v>
      </c>
      <c r="B87" s="4" t="s">
        <v>1304</v>
      </c>
      <c r="C87" s="4" t="s">
        <v>1303</v>
      </c>
      <c r="G87" s="10" t="s">
        <v>24</v>
      </c>
      <c r="H87" s="10"/>
      <c r="I87" s="10">
        <v>1</v>
      </c>
      <c r="J87" s="10">
        <v>3</v>
      </c>
      <c r="K87" s="10" t="s">
        <v>2175</v>
      </c>
      <c r="L87" s="10" t="s">
        <v>2159</v>
      </c>
      <c r="M87" s="10"/>
      <c r="N87" s="11"/>
      <c r="O87" s="10"/>
      <c r="P87" s="10">
        <v>743</v>
      </c>
      <c r="Q87" s="10">
        <f t="shared" si="1"/>
        <v>365.32599075621988</v>
      </c>
      <c r="R87" s="10"/>
      <c r="S87" s="10" t="s">
        <v>2387</v>
      </c>
      <c r="T87" s="10" t="s">
        <v>2387</v>
      </c>
      <c r="U87" s="10"/>
      <c r="V87" s="10"/>
      <c r="W87" s="10"/>
      <c r="X87" s="10"/>
      <c r="Y87" s="10"/>
      <c r="Z87" s="10"/>
      <c r="AA87" s="10"/>
      <c r="AB87" s="10"/>
      <c r="AC87" s="10"/>
      <c r="AD87" s="10"/>
      <c r="AE87" t="s">
        <v>19</v>
      </c>
      <c r="AH87">
        <v>1</v>
      </c>
    </row>
    <row r="88" spans="1:34" ht="43.5">
      <c r="A88" t="s">
        <v>412</v>
      </c>
      <c r="B88" s="4" t="s">
        <v>1308</v>
      </c>
      <c r="C88" s="4" t="s">
        <v>1307</v>
      </c>
      <c r="G88" s="10" t="s">
        <v>25</v>
      </c>
      <c r="H88" s="10"/>
      <c r="I88" s="10">
        <v>1</v>
      </c>
      <c r="J88" s="10">
        <v>3</v>
      </c>
      <c r="K88" s="10" t="s">
        <v>2177</v>
      </c>
      <c r="L88" s="10" t="s">
        <v>2159</v>
      </c>
      <c r="M88" s="10"/>
      <c r="N88" s="11"/>
      <c r="O88" s="10"/>
      <c r="P88" s="10">
        <v>10</v>
      </c>
      <c r="Q88" s="10">
        <f t="shared" si="1"/>
        <v>4.9169043170419897</v>
      </c>
      <c r="R88" s="10"/>
      <c r="S88" s="10" t="s">
        <v>2387</v>
      </c>
      <c r="T88" s="10" t="s">
        <v>2387</v>
      </c>
      <c r="U88" s="10"/>
      <c r="V88" s="10"/>
      <c r="W88" s="10"/>
      <c r="X88" s="10"/>
      <c r="Y88" s="10"/>
      <c r="Z88" s="10"/>
      <c r="AA88" s="10"/>
      <c r="AB88" s="10"/>
      <c r="AC88" s="10"/>
      <c r="AD88" s="10"/>
      <c r="AE88" t="s">
        <v>19</v>
      </c>
      <c r="AH88">
        <v>1</v>
      </c>
    </row>
    <row r="89" spans="1:34" ht="43.5">
      <c r="A89" t="s">
        <v>413</v>
      </c>
      <c r="B89" s="4" t="s">
        <v>1309</v>
      </c>
      <c r="C89" s="4" t="s">
        <v>1312</v>
      </c>
      <c r="G89" s="10" t="s">
        <v>24</v>
      </c>
      <c r="H89" s="10"/>
      <c r="I89" s="10">
        <v>1</v>
      </c>
      <c r="J89" s="10">
        <v>3</v>
      </c>
      <c r="K89" s="10" t="s">
        <v>2168</v>
      </c>
      <c r="L89" s="10" t="s">
        <v>2159</v>
      </c>
      <c r="M89" s="10"/>
      <c r="N89" s="11"/>
      <c r="O89" s="10"/>
      <c r="P89" s="10">
        <v>1701</v>
      </c>
      <c r="Q89" s="10">
        <f t="shared" si="1"/>
        <v>836.36542432884255</v>
      </c>
      <c r="R89" s="10"/>
      <c r="S89" s="10" t="s">
        <v>2387</v>
      </c>
      <c r="T89" s="10" t="s">
        <v>2387</v>
      </c>
      <c r="U89" s="10"/>
      <c r="V89" s="10"/>
      <c r="W89" s="10"/>
      <c r="X89" s="10"/>
      <c r="Y89" s="10"/>
      <c r="Z89" s="10"/>
      <c r="AA89" s="10"/>
      <c r="AB89" s="10"/>
      <c r="AC89" s="10"/>
      <c r="AD89" s="10"/>
      <c r="AE89" t="s">
        <v>19</v>
      </c>
      <c r="AH89">
        <v>1</v>
      </c>
    </row>
    <row r="90" spans="1:34" ht="145">
      <c r="A90" t="s">
        <v>415</v>
      </c>
      <c r="B90" s="4" t="s">
        <v>1317</v>
      </c>
      <c r="C90" s="4" t="s">
        <v>1318</v>
      </c>
      <c r="G90" s="10" t="s">
        <v>24</v>
      </c>
      <c r="H90" s="10"/>
      <c r="I90" s="10">
        <v>2</v>
      </c>
      <c r="J90" s="10">
        <v>21</v>
      </c>
      <c r="K90" s="10"/>
      <c r="L90" s="10" t="s">
        <v>2153</v>
      </c>
      <c r="M90" s="10" t="s">
        <v>2274</v>
      </c>
      <c r="N90" s="11" t="s">
        <v>2275</v>
      </c>
      <c r="O90" s="10"/>
      <c r="P90" s="10">
        <v>11</v>
      </c>
      <c r="Q90" s="10">
        <f t="shared" si="1"/>
        <v>5.4085947487461903</v>
      </c>
      <c r="R90" s="10"/>
      <c r="S90" s="10" t="s">
        <v>2387</v>
      </c>
      <c r="T90" s="10" t="s">
        <v>2387</v>
      </c>
      <c r="U90" s="10"/>
      <c r="V90" s="10"/>
      <c r="W90" s="10"/>
      <c r="X90" s="10"/>
      <c r="Y90" s="10"/>
      <c r="Z90" s="10"/>
      <c r="AA90" s="10"/>
      <c r="AB90" s="10"/>
      <c r="AC90" s="10"/>
      <c r="AD90" s="10"/>
      <c r="AE90" t="s">
        <v>19</v>
      </c>
      <c r="AH90">
        <v>1</v>
      </c>
    </row>
    <row r="91" spans="1:34" ht="116">
      <c r="A91" t="s">
        <v>415</v>
      </c>
      <c r="B91" s="4" t="s">
        <v>1319</v>
      </c>
      <c r="C91" s="4" t="s">
        <v>1320</v>
      </c>
      <c r="G91" s="10" t="s">
        <v>24</v>
      </c>
      <c r="H91" s="10"/>
      <c r="I91" s="10">
        <v>1</v>
      </c>
      <c r="J91" s="10">
        <v>12</v>
      </c>
      <c r="K91" s="10" t="s">
        <v>2219</v>
      </c>
      <c r="L91" s="10" t="s">
        <v>2153</v>
      </c>
      <c r="M91" s="10" t="s">
        <v>2229</v>
      </c>
      <c r="N91" s="11" t="s">
        <v>2276</v>
      </c>
      <c r="O91" s="10" t="s">
        <v>2154</v>
      </c>
      <c r="P91" s="10">
        <v>11</v>
      </c>
      <c r="Q91" s="10">
        <f t="shared" si="1"/>
        <v>5.4085947487461903</v>
      </c>
      <c r="R91" s="10"/>
      <c r="S91" s="10" t="s">
        <v>2387</v>
      </c>
      <c r="T91" s="10" t="s">
        <v>2387</v>
      </c>
      <c r="U91" s="10"/>
      <c r="V91" s="10"/>
      <c r="W91" s="10"/>
      <c r="X91" s="10"/>
      <c r="Y91" s="10"/>
      <c r="Z91" s="10"/>
      <c r="AA91" s="10"/>
      <c r="AB91" s="10"/>
      <c r="AC91" s="10"/>
      <c r="AD91" s="10"/>
      <c r="AE91" t="s">
        <v>20</v>
      </c>
      <c r="AH91">
        <v>0</v>
      </c>
    </row>
    <row r="92" spans="1:34" ht="43.5">
      <c r="A92" t="s">
        <v>416</v>
      </c>
      <c r="B92" s="4" t="s">
        <v>1321</v>
      </c>
      <c r="C92" s="4" t="s">
        <v>1322</v>
      </c>
      <c r="G92" s="10" t="s">
        <v>24</v>
      </c>
      <c r="H92" s="10"/>
      <c r="I92" s="10">
        <v>1</v>
      </c>
      <c r="J92" s="10">
        <v>2</v>
      </c>
      <c r="K92" s="10" t="s">
        <v>2158</v>
      </c>
      <c r="L92" s="10" t="s">
        <v>2200</v>
      </c>
      <c r="M92" s="10"/>
      <c r="N92" s="11"/>
      <c r="O92" s="10"/>
      <c r="P92" s="10">
        <v>2475</v>
      </c>
      <c r="Q92" s="10">
        <f t="shared" si="1"/>
        <v>1216.9338184678927</v>
      </c>
      <c r="R92" s="10"/>
      <c r="S92" s="10" t="s">
        <v>2387</v>
      </c>
      <c r="T92" s="10" t="s">
        <v>2387</v>
      </c>
      <c r="U92" s="10"/>
      <c r="V92" s="10"/>
      <c r="W92" s="10"/>
      <c r="X92" s="10"/>
      <c r="Y92" s="10"/>
      <c r="Z92" s="10"/>
      <c r="AA92" s="10"/>
      <c r="AB92" s="10"/>
      <c r="AC92" s="10"/>
      <c r="AD92" s="10"/>
      <c r="AE92" t="s">
        <v>19</v>
      </c>
      <c r="AH92">
        <v>1</v>
      </c>
    </row>
    <row r="93" spans="1:34" ht="145">
      <c r="A93" t="s">
        <v>422</v>
      </c>
      <c r="B93" s="4" t="s">
        <v>1332</v>
      </c>
      <c r="C93" s="4" t="s">
        <v>1331</v>
      </c>
      <c r="G93" s="10" t="s">
        <v>25</v>
      </c>
      <c r="H93" s="10"/>
      <c r="I93" s="10">
        <v>5</v>
      </c>
      <c r="J93" s="10">
        <v>27</v>
      </c>
      <c r="K93" s="10"/>
      <c r="L93" s="10" t="s">
        <v>2153</v>
      </c>
      <c r="M93" s="10" t="s">
        <v>2277</v>
      </c>
      <c r="N93" s="11" t="s">
        <v>2278</v>
      </c>
      <c r="O93" s="10"/>
      <c r="P93" s="10">
        <v>3</v>
      </c>
      <c r="Q93" s="10">
        <f t="shared" si="1"/>
        <v>1.4750712951125973</v>
      </c>
      <c r="R93" s="10"/>
      <c r="S93" s="10" t="s">
        <v>2387</v>
      </c>
      <c r="T93" s="10" t="s">
        <v>2387</v>
      </c>
      <c r="U93" s="10"/>
      <c r="V93" s="10"/>
      <c r="W93" s="10"/>
      <c r="X93" s="10"/>
      <c r="Y93" s="10"/>
      <c r="Z93" s="10"/>
      <c r="AA93" s="10"/>
      <c r="AB93" s="10"/>
      <c r="AC93" s="10"/>
      <c r="AD93" s="10" t="s">
        <v>19</v>
      </c>
      <c r="AE93" t="s">
        <v>19</v>
      </c>
      <c r="AH93">
        <v>1</v>
      </c>
    </row>
    <row r="94" spans="1:34" ht="130.5">
      <c r="A94" t="s">
        <v>422</v>
      </c>
      <c r="B94" s="4" t="s">
        <v>1330</v>
      </c>
      <c r="C94" s="4" t="s">
        <v>1333</v>
      </c>
      <c r="F94" t="s">
        <v>19</v>
      </c>
      <c r="G94" s="10" t="s">
        <v>24</v>
      </c>
      <c r="H94" s="10"/>
      <c r="I94" s="10">
        <v>1</v>
      </c>
      <c r="J94" s="10">
        <v>1</v>
      </c>
      <c r="K94" s="10" t="s">
        <v>2168</v>
      </c>
      <c r="L94" s="10" t="s">
        <v>2200</v>
      </c>
      <c r="M94" s="10"/>
      <c r="N94" s="11"/>
      <c r="O94" s="10"/>
      <c r="P94" s="10">
        <v>171</v>
      </c>
      <c r="Q94" s="10">
        <f t="shared" si="1"/>
        <v>84.079063821418046</v>
      </c>
      <c r="R94" s="10"/>
      <c r="S94" s="10" t="s">
        <v>2387</v>
      </c>
      <c r="T94" s="10" t="s">
        <v>2387</v>
      </c>
      <c r="U94" s="10"/>
      <c r="V94" s="10"/>
      <c r="W94" s="10"/>
      <c r="X94" s="10"/>
      <c r="Y94" s="10"/>
      <c r="Z94" s="10"/>
      <c r="AA94" s="10"/>
      <c r="AB94" s="10"/>
      <c r="AC94" s="10"/>
      <c r="AD94" s="10"/>
      <c r="AE94" t="s">
        <v>20</v>
      </c>
      <c r="AH94">
        <v>0</v>
      </c>
    </row>
    <row r="95" spans="1:34" ht="29">
      <c r="A95" t="s">
        <v>437</v>
      </c>
      <c r="B95" s="4" t="s">
        <v>1339</v>
      </c>
      <c r="C95" s="4" t="s">
        <v>1338</v>
      </c>
      <c r="G95" s="10" t="s">
        <v>24</v>
      </c>
      <c r="H95" s="10"/>
      <c r="I95" s="10">
        <v>1</v>
      </c>
      <c r="J95" s="10">
        <v>3</v>
      </c>
      <c r="K95" s="10" t="s">
        <v>2158</v>
      </c>
      <c r="L95" s="10" t="s">
        <v>2159</v>
      </c>
      <c r="M95" s="10"/>
      <c r="N95" s="11"/>
      <c r="O95" s="10"/>
      <c r="P95" s="10">
        <v>2475</v>
      </c>
      <c r="Q95" s="10">
        <f t="shared" si="1"/>
        <v>1216.9338184678927</v>
      </c>
      <c r="R95" s="10"/>
      <c r="S95" s="10" t="s">
        <v>2387</v>
      </c>
      <c r="T95" s="10" t="s">
        <v>2387</v>
      </c>
      <c r="U95" s="10"/>
      <c r="V95" s="10"/>
      <c r="W95" s="10"/>
      <c r="X95" s="10"/>
      <c r="Y95" s="10"/>
      <c r="Z95" s="10"/>
      <c r="AA95" s="10"/>
      <c r="AB95" s="10"/>
      <c r="AC95" s="10"/>
      <c r="AD95" s="10"/>
      <c r="AE95" t="s">
        <v>19</v>
      </c>
      <c r="AH95">
        <v>1</v>
      </c>
    </row>
    <row r="96" spans="1:34" ht="72.5">
      <c r="A96" t="s">
        <v>442</v>
      </c>
      <c r="B96" s="4" t="s">
        <v>1347</v>
      </c>
      <c r="C96" s="4" t="s">
        <v>1348</v>
      </c>
      <c r="G96" s="10" t="s">
        <v>24</v>
      </c>
      <c r="H96" s="10"/>
      <c r="I96" s="10">
        <v>1</v>
      </c>
      <c r="J96" s="10">
        <v>3</v>
      </c>
      <c r="K96" s="10" t="s">
        <v>2158</v>
      </c>
      <c r="L96" s="10" t="s">
        <v>2153</v>
      </c>
      <c r="M96" s="10" t="s">
        <v>2229</v>
      </c>
      <c r="N96" s="11" t="s">
        <v>2230</v>
      </c>
      <c r="O96" s="10"/>
      <c r="P96" s="10">
        <v>2475</v>
      </c>
      <c r="Q96" s="10">
        <f t="shared" si="1"/>
        <v>1216.9338184678927</v>
      </c>
      <c r="R96" s="10"/>
      <c r="S96" s="10" t="s">
        <v>2387</v>
      </c>
      <c r="T96" s="10" t="s">
        <v>2387</v>
      </c>
      <c r="U96" s="10"/>
      <c r="V96" s="10"/>
      <c r="W96" s="10"/>
      <c r="X96" s="10"/>
      <c r="Y96" s="10"/>
      <c r="Z96" s="10"/>
      <c r="AA96" s="10"/>
      <c r="AB96" s="10"/>
      <c r="AC96" s="10"/>
      <c r="AD96" s="10"/>
      <c r="AE96" t="s">
        <v>20</v>
      </c>
      <c r="AH96">
        <v>0</v>
      </c>
    </row>
    <row r="97" spans="1:34" ht="72.5">
      <c r="A97" t="s">
        <v>442</v>
      </c>
      <c r="B97" s="4" t="s">
        <v>1349</v>
      </c>
      <c r="C97" s="4" t="s">
        <v>1350</v>
      </c>
      <c r="G97" s="10" t="s">
        <v>24</v>
      </c>
      <c r="H97" s="10"/>
      <c r="I97" s="10">
        <v>1</v>
      </c>
      <c r="J97" s="10">
        <v>2</v>
      </c>
      <c r="K97" s="10" t="s">
        <v>2158</v>
      </c>
      <c r="L97" s="10" t="s">
        <v>2200</v>
      </c>
      <c r="M97" s="10"/>
      <c r="N97" s="11"/>
      <c r="O97" s="10"/>
      <c r="P97" s="10">
        <v>2475</v>
      </c>
      <c r="Q97" s="10">
        <f t="shared" si="1"/>
        <v>1216.9338184678927</v>
      </c>
      <c r="R97" s="10"/>
      <c r="S97" s="10" t="s">
        <v>2387</v>
      </c>
      <c r="T97" s="10" t="s">
        <v>2387</v>
      </c>
      <c r="U97" s="10"/>
      <c r="V97" s="10"/>
      <c r="W97" s="10"/>
      <c r="X97" s="10"/>
      <c r="Y97" s="10"/>
      <c r="Z97" s="10"/>
      <c r="AA97" s="10"/>
      <c r="AB97" s="10"/>
      <c r="AC97" s="10"/>
      <c r="AD97" s="10"/>
      <c r="AE97" t="s">
        <v>19</v>
      </c>
      <c r="AH97">
        <v>1</v>
      </c>
    </row>
    <row r="98" spans="1:34" ht="72.5">
      <c r="A98" t="s">
        <v>442</v>
      </c>
      <c r="B98" s="4" t="s">
        <v>1349</v>
      </c>
      <c r="C98" s="4" t="s">
        <v>1351</v>
      </c>
      <c r="G98" s="10" t="s">
        <v>24</v>
      </c>
      <c r="H98" s="10"/>
      <c r="I98" s="10">
        <v>1</v>
      </c>
      <c r="J98" s="10">
        <v>3</v>
      </c>
      <c r="K98" s="10" t="s">
        <v>2158</v>
      </c>
      <c r="L98" s="10" t="s">
        <v>2159</v>
      </c>
      <c r="M98" s="10"/>
      <c r="N98" s="11"/>
      <c r="O98" s="10"/>
      <c r="P98" s="10">
        <v>2475</v>
      </c>
      <c r="Q98" s="10">
        <f t="shared" si="1"/>
        <v>1216.9338184678927</v>
      </c>
      <c r="R98" s="10"/>
      <c r="S98" s="10" t="s">
        <v>2387</v>
      </c>
      <c r="T98" s="10" t="s">
        <v>2387</v>
      </c>
      <c r="U98" s="10"/>
      <c r="V98" s="10"/>
      <c r="W98" s="10"/>
      <c r="X98" s="10"/>
      <c r="Y98" s="10"/>
      <c r="Z98" s="10"/>
      <c r="AA98" s="10"/>
      <c r="AB98" s="10"/>
      <c r="AC98" s="10"/>
      <c r="AD98" s="10"/>
      <c r="AE98" t="s">
        <v>19</v>
      </c>
      <c r="AH98">
        <v>1</v>
      </c>
    </row>
    <row r="99" spans="1:34" ht="43.5">
      <c r="A99" t="s">
        <v>446</v>
      </c>
      <c r="B99" s="4" t="s">
        <v>1365</v>
      </c>
      <c r="C99" s="4" t="s">
        <v>1364</v>
      </c>
      <c r="G99" s="10" t="s">
        <v>24</v>
      </c>
      <c r="H99" s="10"/>
      <c r="I99" s="10">
        <v>1</v>
      </c>
      <c r="J99" s="10">
        <v>3</v>
      </c>
      <c r="K99" s="10" t="s">
        <v>2158</v>
      </c>
      <c r="L99" s="10" t="s">
        <v>2159</v>
      </c>
      <c r="M99" s="10"/>
      <c r="N99" s="11"/>
      <c r="O99" s="10"/>
      <c r="P99" s="10">
        <v>2475</v>
      </c>
      <c r="Q99" s="10">
        <f t="shared" si="1"/>
        <v>1216.9338184678927</v>
      </c>
      <c r="R99" s="10"/>
      <c r="S99" s="10" t="s">
        <v>2387</v>
      </c>
      <c r="T99" s="10" t="s">
        <v>2387</v>
      </c>
      <c r="U99" s="10"/>
      <c r="V99" s="10"/>
      <c r="W99" s="10"/>
      <c r="X99" s="10"/>
      <c r="Y99" s="10"/>
      <c r="Z99" s="10"/>
      <c r="AA99" s="10"/>
      <c r="AB99" s="10"/>
      <c r="AC99" s="10"/>
      <c r="AD99" s="10"/>
      <c r="AE99" t="s">
        <v>20</v>
      </c>
      <c r="AH99">
        <v>0</v>
      </c>
    </row>
    <row r="100" spans="1:34" ht="58">
      <c r="A100" t="s">
        <v>449</v>
      </c>
      <c r="B100" s="4" t="s">
        <v>1372</v>
      </c>
      <c r="C100" s="4" t="s">
        <v>1373</v>
      </c>
      <c r="G100" s="10" t="s">
        <v>24</v>
      </c>
      <c r="H100" s="10"/>
      <c r="I100" s="10">
        <v>1</v>
      </c>
      <c r="J100" s="10">
        <v>2</v>
      </c>
      <c r="K100" s="10" t="s">
        <v>2168</v>
      </c>
      <c r="L100" s="10" t="s">
        <v>2200</v>
      </c>
      <c r="M100" s="10"/>
      <c r="N100" s="11"/>
      <c r="O100" s="10"/>
      <c r="P100" s="10">
        <v>171</v>
      </c>
      <c r="Q100" s="10">
        <f t="shared" si="1"/>
        <v>84.079063821418046</v>
      </c>
      <c r="R100" s="10"/>
      <c r="S100" s="10" t="s">
        <v>2387</v>
      </c>
      <c r="T100" s="10" t="s">
        <v>2387</v>
      </c>
      <c r="U100" s="10"/>
      <c r="V100" s="10"/>
      <c r="W100" s="10"/>
      <c r="X100" s="10"/>
      <c r="Y100" s="10"/>
      <c r="Z100" s="10"/>
      <c r="AA100" s="10"/>
      <c r="AB100" s="10"/>
      <c r="AC100" s="10"/>
      <c r="AD100" s="10"/>
      <c r="AE100" t="s">
        <v>19</v>
      </c>
      <c r="AH100">
        <v>1</v>
      </c>
    </row>
    <row r="101" spans="1:34" ht="130.5">
      <c r="A101" t="s">
        <v>451</v>
      </c>
      <c r="B101" s="4" t="s">
        <v>2439</v>
      </c>
      <c r="C101" s="4" t="s">
        <v>1378</v>
      </c>
      <c r="G101" s="10" t="s">
        <v>25</v>
      </c>
      <c r="H101" s="10"/>
      <c r="I101" s="10">
        <v>5</v>
      </c>
      <c r="J101" s="10">
        <v>27</v>
      </c>
      <c r="K101" s="10"/>
      <c r="L101" s="10" t="s">
        <v>2159</v>
      </c>
      <c r="M101" s="10"/>
      <c r="N101" s="11"/>
      <c r="O101" s="10"/>
      <c r="P101" s="10">
        <v>18</v>
      </c>
      <c r="Q101" s="10">
        <f t="shared" si="1"/>
        <v>8.8504277706755818</v>
      </c>
      <c r="R101" s="10"/>
      <c r="S101" s="10" t="s">
        <v>2387</v>
      </c>
      <c r="T101" s="10" t="s">
        <v>2387</v>
      </c>
      <c r="U101" s="10"/>
      <c r="V101" s="10"/>
      <c r="W101" s="10"/>
      <c r="X101" s="10"/>
      <c r="Y101" s="10"/>
      <c r="Z101" s="10"/>
      <c r="AA101" s="10"/>
      <c r="AB101" s="10"/>
      <c r="AC101" s="10"/>
      <c r="AD101" s="10"/>
      <c r="AE101" t="s">
        <v>19</v>
      </c>
      <c r="AH101">
        <v>1</v>
      </c>
    </row>
    <row r="102" spans="1:34" ht="43.5">
      <c r="A102" t="s">
        <v>455</v>
      </c>
      <c r="B102" s="4" t="s">
        <v>2282</v>
      </c>
      <c r="C102" s="4" t="s">
        <v>2283</v>
      </c>
      <c r="F102" t="s">
        <v>19</v>
      </c>
      <c r="G102" s="10" t="s">
        <v>24</v>
      </c>
      <c r="H102" s="10"/>
      <c r="I102" s="10">
        <v>1</v>
      </c>
      <c r="J102" s="10">
        <v>1</v>
      </c>
      <c r="K102" s="10" t="s">
        <v>2152</v>
      </c>
      <c r="L102" s="10" t="s">
        <v>2200</v>
      </c>
      <c r="M102" s="10"/>
      <c r="N102" s="11"/>
      <c r="O102" s="10"/>
      <c r="P102" s="10">
        <v>9</v>
      </c>
      <c r="Q102" s="10">
        <f t="shared" si="1"/>
        <v>4.4252138853377909</v>
      </c>
      <c r="R102" s="10"/>
      <c r="S102" s="10" t="s">
        <v>2387</v>
      </c>
      <c r="T102" s="10" t="s">
        <v>2387</v>
      </c>
      <c r="U102" s="10"/>
      <c r="V102" s="10"/>
      <c r="W102" s="10"/>
      <c r="X102" s="10"/>
      <c r="Y102" s="10"/>
      <c r="Z102" s="10"/>
      <c r="AA102" s="10"/>
      <c r="AB102" s="10"/>
      <c r="AC102" s="10"/>
      <c r="AD102" s="10"/>
      <c r="AE102" t="s">
        <v>20</v>
      </c>
      <c r="AH102">
        <v>0</v>
      </c>
    </row>
    <row r="103" spans="1:34" ht="43.5">
      <c r="A103" t="s">
        <v>459</v>
      </c>
      <c r="B103" s="4" t="s">
        <v>1386</v>
      </c>
      <c r="C103" s="4" t="s">
        <v>1387</v>
      </c>
      <c r="G103" s="10" t="s">
        <v>24</v>
      </c>
      <c r="H103" s="10"/>
      <c r="I103" s="10">
        <v>1</v>
      </c>
      <c r="J103" s="10">
        <v>2</v>
      </c>
      <c r="K103" s="10" t="s">
        <v>2168</v>
      </c>
      <c r="L103" s="10" t="s">
        <v>2200</v>
      </c>
      <c r="M103" s="10"/>
      <c r="N103" s="11"/>
      <c r="O103" s="10"/>
      <c r="P103" s="10">
        <v>129</v>
      </c>
      <c r="Q103" s="10">
        <f t="shared" si="1"/>
        <v>63.428065689841674</v>
      </c>
      <c r="R103" s="10"/>
      <c r="S103" s="10" t="s">
        <v>2387</v>
      </c>
      <c r="T103" s="10" t="s">
        <v>2387</v>
      </c>
      <c r="U103" s="10"/>
      <c r="V103" s="10"/>
      <c r="W103" s="10"/>
      <c r="X103" s="10"/>
      <c r="Y103" s="10"/>
      <c r="Z103" s="10"/>
      <c r="AA103" s="10"/>
      <c r="AB103" s="10"/>
      <c r="AC103" s="10"/>
      <c r="AD103" s="10"/>
      <c r="AE103" t="s">
        <v>20</v>
      </c>
      <c r="AH103">
        <v>0</v>
      </c>
    </row>
    <row r="104" spans="1:34" ht="29">
      <c r="A104" t="s">
        <v>469</v>
      </c>
      <c r="B104" s="4" t="s">
        <v>1401</v>
      </c>
      <c r="C104" s="4" t="s">
        <v>1400</v>
      </c>
      <c r="G104" s="10" t="s">
        <v>24</v>
      </c>
      <c r="H104" s="10"/>
      <c r="I104" s="10">
        <v>1</v>
      </c>
      <c r="J104" s="10">
        <v>2</v>
      </c>
      <c r="K104" s="10" t="s">
        <v>2158</v>
      </c>
      <c r="L104" s="10" t="s">
        <v>2200</v>
      </c>
      <c r="M104" s="10"/>
      <c r="N104" s="11"/>
      <c r="O104" s="10"/>
      <c r="P104" s="10">
        <v>2475</v>
      </c>
      <c r="Q104" s="10">
        <f t="shared" si="1"/>
        <v>1216.9338184678927</v>
      </c>
      <c r="R104" s="10"/>
      <c r="S104" s="10" t="s">
        <v>2387</v>
      </c>
      <c r="T104" s="10" t="s">
        <v>2387</v>
      </c>
      <c r="U104" s="10"/>
      <c r="V104" s="10"/>
      <c r="W104" s="10"/>
      <c r="X104" s="10"/>
      <c r="Y104" s="10"/>
      <c r="Z104" s="10"/>
      <c r="AA104" s="10"/>
      <c r="AB104" s="10"/>
      <c r="AC104" s="10"/>
      <c r="AD104" s="10"/>
      <c r="AE104" t="s">
        <v>19</v>
      </c>
      <c r="AH104">
        <v>1</v>
      </c>
    </row>
    <row r="105" spans="1:34" ht="58">
      <c r="A105" t="s">
        <v>475</v>
      </c>
      <c r="B105" s="4" t="s">
        <v>1413</v>
      </c>
      <c r="C105" s="4" t="s">
        <v>1412</v>
      </c>
      <c r="G105" s="10" t="s">
        <v>24</v>
      </c>
      <c r="H105" s="10"/>
      <c r="I105" s="10">
        <v>1</v>
      </c>
      <c r="J105" s="10">
        <v>5</v>
      </c>
      <c r="K105" s="10" t="s">
        <v>2152</v>
      </c>
      <c r="L105" s="10" t="s">
        <v>2159</v>
      </c>
      <c r="M105" s="10"/>
      <c r="N105" s="11"/>
      <c r="O105" s="10"/>
      <c r="P105" s="10">
        <v>266</v>
      </c>
      <c r="Q105" s="10">
        <f t="shared" si="1"/>
        <v>130.78965483331694</v>
      </c>
      <c r="R105" s="10"/>
      <c r="S105" s="10" t="s">
        <v>2387</v>
      </c>
      <c r="T105" s="10" t="s">
        <v>2387</v>
      </c>
      <c r="U105" s="10"/>
      <c r="V105" s="10"/>
      <c r="W105" s="10"/>
      <c r="X105" s="10"/>
      <c r="Y105" s="10"/>
      <c r="Z105" s="10"/>
      <c r="AA105" s="10"/>
      <c r="AB105" s="10"/>
      <c r="AC105" s="10"/>
      <c r="AD105" s="10"/>
      <c r="AE105" t="s">
        <v>19</v>
      </c>
      <c r="AH105">
        <v>1</v>
      </c>
    </row>
    <row r="106" spans="1:34" ht="58">
      <c r="A106" t="s">
        <v>475</v>
      </c>
      <c r="B106" s="4" t="s">
        <v>1417</v>
      </c>
      <c r="C106" s="4" t="s">
        <v>1414</v>
      </c>
      <c r="G106" s="10" t="s">
        <v>25</v>
      </c>
      <c r="H106" s="10"/>
      <c r="I106" s="10">
        <v>1</v>
      </c>
      <c r="J106" s="10">
        <v>2</v>
      </c>
      <c r="K106" s="10" t="s">
        <v>2173</v>
      </c>
      <c r="L106" s="10" t="s">
        <v>2200</v>
      </c>
      <c r="M106" s="10"/>
      <c r="N106" s="11"/>
      <c r="O106" s="10"/>
      <c r="P106" s="10">
        <v>250</v>
      </c>
      <c r="Q106" s="10">
        <f t="shared" si="1"/>
        <v>122.92260792604976</v>
      </c>
      <c r="R106" s="10"/>
      <c r="S106" s="10" t="s">
        <v>2387</v>
      </c>
      <c r="T106" s="10" t="s">
        <v>2387</v>
      </c>
      <c r="U106" s="10"/>
      <c r="V106" s="10"/>
      <c r="W106" s="10"/>
      <c r="X106" s="10"/>
      <c r="Y106" s="10"/>
      <c r="Z106" s="10"/>
      <c r="AA106" s="10"/>
      <c r="AB106" s="10"/>
      <c r="AC106" s="10"/>
      <c r="AD106" s="10"/>
      <c r="AE106" t="s">
        <v>19</v>
      </c>
      <c r="AH106">
        <v>1</v>
      </c>
    </row>
    <row r="107" spans="1:34" ht="58">
      <c r="A107" t="s">
        <v>479</v>
      </c>
      <c r="B107" s="4" t="s">
        <v>1425</v>
      </c>
      <c r="C107" s="4" t="s">
        <v>1424</v>
      </c>
      <c r="G107" s="10" t="s">
        <v>24</v>
      </c>
      <c r="H107" s="10"/>
      <c r="I107" s="10">
        <v>1</v>
      </c>
      <c r="J107" s="10">
        <v>3</v>
      </c>
      <c r="K107" s="10" t="s">
        <v>2168</v>
      </c>
      <c r="L107" s="10" t="s">
        <v>2159</v>
      </c>
      <c r="M107" s="10"/>
      <c r="N107" s="11"/>
      <c r="O107" s="10"/>
      <c r="P107" s="10">
        <v>1701</v>
      </c>
      <c r="Q107" s="10">
        <f t="shared" si="1"/>
        <v>836.36542432884255</v>
      </c>
      <c r="R107" s="10"/>
      <c r="S107" s="10" t="s">
        <v>2387</v>
      </c>
      <c r="T107" s="10" t="s">
        <v>2387</v>
      </c>
      <c r="U107" s="10"/>
      <c r="V107" s="10"/>
      <c r="W107" s="10"/>
      <c r="X107" s="10"/>
      <c r="Y107" s="10"/>
      <c r="Z107" s="10"/>
      <c r="AA107" s="10"/>
      <c r="AB107" s="10"/>
      <c r="AC107" s="10"/>
      <c r="AD107" s="10"/>
      <c r="AE107" t="s">
        <v>19</v>
      </c>
      <c r="AH107">
        <v>1</v>
      </c>
    </row>
    <row r="108" spans="1:34" ht="72.5">
      <c r="A108" t="s">
        <v>485</v>
      </c>
      <c r="B108" s="4" t="s">
        <v>1430</v>
      </c>
      <c r="C108" s="4" t="s">
        <v>1433</v>
      </c>
      <c r="G108" s="10" t="s">
        <v>24</v>
      </c>
      <c r="H108" s="10"/>
      <c r="I108" s="10">
        <v>1</v>
      </c>
      <c r="J108" s="10">
        <v>1</v>
      </c>
      <c r="K108" s="10" t="s">
        <v>2158</v>
      </c>
      <c r="L108" s="10" t="s">
        <v>2200</v>
      </c>
      <c r="M108" s="10"/>
      <c r="N108" s="11"/>
      <c r="O108" s="10" t="s">
        <v>2154</v>
      </c>
      <c r="P108" s="10">
        <v>2475</v>
      </c>
      <c r="Q108" s="10">
        <f t="shared" si="1"/>
        <v>1216.9338184678927</v>
      </c>
      <c r="R108" s="10"/>
      <c r="S108" s="10" t="s">
        <v>2387</v>
      </c>
      <c r="T108" s="10" t="s">
        <v>2387</v>
      </c>
      <c r="U108" s="10"/>
      <c r="V108" s="10"/>
      <c r="W108" s="10"/>
      <c r="X108" s="10"/>
      <c r="Y108" s="10"/>
      <c r="Z108" s="10"/>
      <c r="AA108" s="10"/>
      <c r="AB108" s="10"/>
      <c r="AC108" s="10"/>
      <c r="AD108" s="10"/>
      <c r="AE108" t="s">
        <v>19</v>
      </c>
      <c r="AH108">
        <v>1</v>
      </c>
    </row>
    <row r="109" spans="1:34" ht="29">
      <c r="A109" t="s">
        <v>487</v>
      </c>
      <c r="B109" s="4" t="s">
        <v>1438</v>
      </c>
      <c r="C109" s="4" t="s">
        <v>1439</v>
      </c>
      <c r="G109" s="10" t="s">
        <v>25</v>
      </c>
      <c r="H109" s="10"/>
      <c r="I109" s="10">
        <v>1</v>
      </c>
      <c r="J109" s="10">
        <v>1</v>
      </c>
      <c r="K109" s="10" t="s">
        <v>2158</v>
      </c>
      <c r="L109" s="10" t="s">
        <v>2200</v>
      </c>
      <c r="M109" s="10"/>
      <c r="N109" s="11"/>
      <c r="O109" s="10" t="s">
        <v>2154</v>
      </c>
      <c r="P109" s="10">
        <v>2475</v>
      </c>
      <c r="Q109" s="10">
        <f t="shared" si="1"/>
        <v>1216.9338184678927</v>
      </c>
      <c r="R109" s="10"/>
      <c r="S109" s="10" t="s">
        <v>2387</v>
      </c>
      <c r="T109" s="10" t="s">
        <v>2387</v>
      </c>
      <c r="U109" s="10"/>
      <c r="V109" s="10"/>
      <c r="W109" s="10"/>
      <c r="X109" s="10"/>
      <c r="Y109" s="10"/>
      <c r="Z109" s="10"/>
      <c r="AA109" s="10"/>
      <c r="AB109" s="10"/>
      <c r="AC109" s="10"/>
      <c r="AD109" s="10"/>
      <c r="AE109" t="s">
        <v>19</v>
      </c>
      <c r="AH109">
        <v>1</v>
      </c>
    </row>
    <row r="110" spans="1:34" ht="72.5">
      <c r="A110" t="s">
        <v>491</v>
      </c>
      <c r="B110" s="4" t="s">
        <v>1447</v>
      </c>
      <c r="C110" s="4" t="s">
        <v>1449</v>
      </c>
      <c r="G110" s="10" t="s">
        <v>24</v>
      </c>
      <c r="H110" s="10"/>
      <c r="I110" s="10">
        <v>1</v>
      </c>
      <c r="J110" s="10">
        <v>3</v>
      </c>
      <c r="K110" s="10" t="s">
        <v>2158</v>
      </c>
      <c r="L110" s="10" t="s">
        <v>2159</v>
      </c>
      <c r="M110" s="10"/>
      <c r="N110" s="11"/>
      <c r="O110" s="10"/>
      <c r="P110" s="10">
        <v>2475</v>
      </c>
      <c r="Q110" s="10">
        <f t="shared" si="1"/>
        <v>1216.9338184678927</v>
      </c>
      <c r="R110" s="10"/>
      <c r="S110" s="10" t="s">
        <v>2387</v>
      </c>
      <c r="T110" s="10" t="s">
        <v>2387</v>
      </c>
      <c r="U110" s="10"/>
      <c r="V110" s="10"/>
      <c r="W110" s="10"/>
      <c r="X110" s="10"/>
      <c r="Y110" s="10"/>
      <c r="Z110" s="10"/>
      <c r="AA110" s="10"/>
      <c r="AB110" s="10"/>
      <c r="AC110" s="10"/>
      <c r="AD110" s="10"/>
      <c r="AE110" t="s">
        <v>19</v>
      </c>
      <c r="AH110">
        <v>1</v>
      </c>
    </row>
    <row r="111" spans="1:34" ht="72.5">
      <c r="A111" t="s">
        <v>491</v>
      </c>
      <c r="B111" s="4" t="s">
        <v>1447</v>
      </c>
      <c r="C111" s="4" t="s">
        <v>1450</v>
      </c>
      <c r="G111" s="10" t="s">
        <v>24</v>
      </c>
      <c r="H111" s="10"/>
      <c r="I111" s="10">
        <v>1</v>
      </c>
      <c r="J111" s="10">
        <v>3</v>
      </c>
      <c r="K111" s="10" t="s">
        <v>2158</v>
      </c>
      <c r="L111" s="10" t="s">
        <v>2159</v>
      </c>
      <c r="M111" s="10"/>
      <c r="N111" s="11"/>
      <c r="O111" s="10"/>
      <c r="P111" s="10">
        <v>2475</v>
      </c>
      <c r="Q111" s="10">
        <f t="shared" si="1"/>
        <v>1216.9338184678927</v>
      </c>
      <c r="R111" s="10"/>
      <c r="S111" s="10" t="s">
        <v>2387</v>
      </c>
      <c r="T111" s="10" t="s">
        <v>2387</v>
      </c>
      <c r="U111" s="10"/>
      <c r="V111" s="10"/>
      <c r="W111" s="10"/>
      <c r="X111" s="10"/>
      <c r="Y111" s="10"/>
      <c r="Z111" s="10"/>
      <c r="AA111" s="10"/>
      <c r="AB111" s="10"/>
      <c r="AC111" s="10"/>
      <c r="AD111" s="10"/>
      <c r="AE111" t="s">
        <v>20</v>
      </c>
      <c r="AH111">
        <v>0</v>
      </c>
    </row>
    <row r="112" spans="1:34" ht="43.5">
      <c r="A112" t="s">
        <v>493</v>
      </c>
      <c r="B112" s="4" t="s">
        <v>1459</v>
      </c>
      <c r="C112" s="4" t="s">
        <v>1460</v>
      </c>
      <c r="G112" s="10" t="s">
        <v>25</v>
      </c>
      <c r="H112" s="10"/>
      <c r="I112" s="10">
        <v>2</v>
      </c>
      <c r="J112" s="10">
        <v>8</v>
      </c>
      <c r="K112" s="10"/>
      <c r="L112" s="10" t="s">
        <v>2159</v>
      </c>
      <c r="M112" s="10"/>
      <c r="N112" s="11"/>
      <c r="O112" s="10"/>
      <c r="P112" s="10">
        <v>116</v>
      </c>
      <c r="Q112" s="10">
        <f t="shared" si="1"/>
        <v>57.036090077687085</v>
      </c>
      <c r="R112" s="10"/>
      <c r="S112" s="10" t="s">
        <v>2387</v>
      </c>
      <c r="T112" s="10" t="s">
        <v>2387</v>
      </c>
      <c r="U112" s="10"/>
      <c r="V112" s="10"/>
      <c r="W112" s="10"/>
      <c r="X112" s="10"/>
      <c r="Y112" s="10"/>
      <c r="Z112" s="10"/>
      <c r="AA112" s="10"/>
      <c r="AB112" s="10"/>
      <c r="AC112" s="10"/>
      <c r="AD112" s="10"/>
      <c r="AE112" t="s">
        <v>19</v>
      </c>
      <c r="AH112">
        <v>1</v>
      </c>
    </row>
    <row r="113" spans="1:34" ht="43.5">
      <c r="A113" t="s">
        <v>493</v>
      </c>
      <c r="B113" s="4" t="s">
        <v>1464</v>
      </c>
      <c r="C113" s="4" t="s">
        <v>1461</v>
      </c>
      <c r="G113" s="10" t="s">
        <v>25</v>
      </c>
      <c r="H113" s="10"/>
      <c r="I113" s="10">
        <v>1</v>
      </c>
      <c r="J113" s="10">
        <v>3</v>
      </c>
      <c r="K113" s="10" t="s">
        <v>2168</v>
      </c>
      <c r="L113" s="10" t="s">
        <v>2153</v>
      </c>
      <c r="M113" s="10" t="s">
        <v>2231</v>
      </c>
      <c r="N113" s="11" t="s">
        <v>2230</v>
      </c>
      <c r="O113" s="10"/>
      <c r="P113" s="10">
        <v>1701</v>
      </c>
      <c r="Q113" s="10">
        <f t="shared" si="1"/>
        <v>836.36542432884255</v>
      </c>
      <c r="R113" s="10"/>
      <c r="S113" s="10" t="s">
        <v>2387</v>
      </c>
      <c r="T113" s="10" t="s">
        <v>2387</v>
      </c>
      <c r="U113" s="10"/>
      <c r="V113" s="10"/>
      <c r="W113" s="10"/>
      <c r="X113" s="10"/>
      <c r="Y113" s="10"/>
      <c r="Z113" s="10"/>
      <c r="AA113" s="10"/>
      <c r="AB113" s="10"/>
      <c r="AC113" s="10"/>
      <c r="AD113" s="10"/>
      <c r="AE113" t="s">
        <v>19</v>
      </c>
      <c r="AH113">
        <v>1</v>
      </c>
    </row>
    <row r="114" spans="1:34" ht="72.5">
      <c r="A114" t="s">
        <v>494</v>
      </c>
      <c r="B114" s="4" t="s">
        <v>1465</v>
      </c>
      <c r="C114" s="4" t="s">
        <v>1466</v>
      </c>
      <c r="F114" t="s">
        <v>19</v>
      </c>
      <c r="G114" s="10" t="s">
        <v>24</v>
      </c>
      <c r="H114" s="10"/>
      <c r="I114" s="10">
        <v>1</v>
      </c>
      <c r="J114" s="10">
        <v>6</v>
      </c>
      <c r="K114" s="10" t="s">
        <v>2173</v>
      </c>
      <c r="L114" s="10" t="s">
        <v>2159</v>
      </c>
      <c r="M114" s="10"/>
      <c r="N114" s="11"/>
      <c r="O114" s="10"/>
      <c r="P114" s="10">
        <v>250</v>
      </c>
      <c r="Q114" s="10">
        <f t="shared" si="1"/>
        <v>122.92260792604976</v>
      </c>
      <c r="R114" s="10"/>
      <c r="S114" s="10" t="s">
        <v>2387</v>
      </c>
      <c r="T114" s="10" t="s">
        <v>2387</v>
      </c>
      <c r="U114" s="10"/>
      <c r="V114" s="10"/>
      <c r="W114" s="10"/>
      <c r="X114" s="10"/>
      <c r="Y114" s="10"/>
      <c r="Z114" s="10"/>
      <c r="AA114" s="10"/>
      <c r="AB114" s="10"/>
      <c r="AC114" s="10"/>
      <c r="AD114" s="10"/>
      <c r="AE114" t="s">
        <v>20</v>
      </c>
      <c r="AH114">
        <v>0</v>
      </c>
    </row>
    <row r="115" spans="1:34" ht="72.5">
      <c r="A115" t="s">
        <v>495</v>
      </c>
      <c r="B115" s="4" t="s">
        <v>1479</v>
      </c>
      <c r="C115" s="4" t="s">
        <v>1476</v>
      </c>
      <c r="G115" s="10" t="s">
        <v>25</v>
      </c>
      <c r="H115" s="10"/>
      <c r="I115" s="10">
        <v>1</v>
      </c>
      <c r="J115" s="10">
        <v>3</v>
      </c>
      <c r="K115" s="10" t="s">
        <v>2168</v>
      </c>
      <c r="L115" s="10" t="s">
        <v>2153</v>
      </c>
      <c r="M115" s="10" t="s">
        <v>2229</v>
      </c>
      <c r="N115" s="11" t="s">
        <v>2230</v>
      </c>
      <c r="O115" s="10"/>
      <c r="P115" s="10">
        <v>1701</v>
      </c>
      <c r="Q115" s="10">
        <f t="shared" si="1"/>
        <v>836.36542432884255</v>
      </c>
      <c r="R115" s="10"/>
      <c r="S115" s="10" t="s">
        <v>2387</v>
      </c>
      <c r="T115" s="10" t="s">
        <v>2387</v>
      </c>
      <c r="U115" s="10"/>
      <c r="V115" s="10"/>
      <c r="W115" s="10"/>
      <c r="X115" s="10"/>
      <c r="Y115" s="10"/>
      <c r="Z115" s="10"/>
      <c r="AA115" s="10"/>
      <c r="AB115" s="10"/>
      <c r="AC115" s="10"/>
      <c r="AD115" s="10"/>
      <c r="AE115" t="s">
        <v>19</v>
      </c>
      <c r="AH115">
        <v>1</v>
      </c>
    </row>
    <row r="116" spans="1:34" ht="43.5">
      <c r="A116" t="s">
        <v>495</v>
      </c>
      <c r="B116" s="4" t="s">
        <v>1481</v>
      </c>
      <c r="C116" s="4" t="s">
        <v>1480</v>
      </c>
      <c r="G116" s="10" t="s">
        <v>25</v>
      </c>
      <c r="H116" s="10"/>
      <c r="I116" s="10">
        <v>1</v>
      </c>
      <c r="J116" s="10">
        <v>2</v>
      </c>
      <c r="K116" s="10" t="s">
        <v>2158</v>
      </c>
      <c r="L116" s="10" t="s">
        <v>2200</v>
      </c>
      <c r="M116" s="10"/>
      <c r="N116" s="11"/>
      <c r="O116" s="10"/>
      <c r="P116" s="10">
        <v>2475</v>
      </c>
      <c r="Q116" s="10">
        <f t="shared" si="1"/>
        <v>1216.9338184678927</v>
      </c>
      <c r="R116" s="10"/>
      <c r="S116" s="10" t="s">
        <v>2387</v>
      </c>
      <c r="T116" s="10" t="s">
        <v>2387</v>
      </c>
      <c r="U116" s="10"/>
      <c r="V116" s="10"/>
      <c r="W116" s="10"/>
      <c r="X116" s="10"/>
      <c r="Y116" s="10"/>
      <c r="Z116" s="10"/>
      <c r="AA116" s="10"/>
      <c r="AB116" s="10"/>
      <c r="AC116" s="10"/>
      <c r="AD116" s="10"/>
      <c r="AE116" t="s">
        <v>19</v>
      </c>
      <c r="AH116">
        <v>1</v>
      </c>
    </row>
    <row r="117" spans="1:34" ht="72.5">
      <c r="A117" t="s">
        <v>498</v>
      </c>
      <c r="B117" s="4" t="s">
        <v>1482</v>
      </c>
      <c r="C117" s="4" t="s">
        <v>1483</v>
      </c>
      <c r="G117" s="10" t="s">
        <v>24</v>
      </c>
      <c r="H117" s="10"/>
      <c r="I117" s="10">
        <v>1</v>
      </c>
      <c r="J117" s="10">
        <v>3</v>
      </c>
      <c r="K117" s="10" t="s">
        <v>2158</v>
      </c>
      <c r="L117" s="10" t="s">
        <v>2159</v>
      </c>
      <c r="M117" s="10"/>
      <c r="N117" s="11"/>
      <c r="O117" s="10"/>
      <c r="P117" s="10">
        <v>2475</v>
      </c>
      <c r="Q117" s="10">
        <f t="shared" si="1"/>
        <v>1216.9338184678927</v>
      </c>
      <c r="R117" s="10"/>
      <c r="S117" s="10" t="s">
        <v>2387</v>
      </c>
      <c r="T117" s="10" t="s">
        <v>2387</v>
      </c>
      <c r="U117" s="10"/>
      <c r="V117" s="10"/>
      <c r="W117" s="10"/>
      <c r="X117" s="10"/>
      <c r="Y117" s="10"/>
      <c r="Z117" s="10"/>
      <c r="AA117" s="10"/>
      <c r="AB117" s="10"/>
      <c r="AC117" s="10"/>
      <c r="AD117" s="10"/>
      <c r="AE117" t="s">
        <v>19</v>
      </c>
      <c r="AH117">
        <v>1</v>
      </c>
    </row>
    <row r="118" spans="1:34" ht="72.5">
      <c r="A118" t="s">
        <v>498</v>
      </c>
      <c r="B118" s="4" t="s">
        <v>1482</v>
      </c>
      <c r="C118" s="4" t="s">
        <v>1484</v>
      </c>
      <c r="G118" s="10" t="s">
        <v>24</v>
      </c>
      <c r="H118" s="10"/>
      <c r="I118" s="10">
        <v>1</v>
      </c>
      <c r="J118" s="10">
        <v>3</v>
      </c>
      <c r="K118" s="10" t="s">
        <v>2158</v>
      </c>
      <c r="L118" s="10" t="s">
        <v>2159</v>
      </c>
      <c r="M118" s="10"/>
      <c r="N118" s="11"/>
      <c r="O118" s="10"/>
      <c r="P118" s="10">
        <v>2475</v>
      </c>
      <c r="Q118" s="10">
        <f t="shared" si="1"/>
        <v>1216.9338184678927</v>
      </c>
      <c r="R118" s="10"/>
      <c r="S118" s="10" t="s">
        <v>2387</v>
      </c>
      <c r="T118" s="10" t="s">
        <v>2387</v>
      </c>
      <c r="U118" s="10"/>
      <c r="V118" s="10"/>
      <c r="W118" s="10"/>
      <c r="X118" s="10"/>
      <c r="Y118" s="10"/>
      <c r="Z118" s="10"/>
      <c r="AA118" s="10"/>
      <c r="AB118" s="10"/>
      <c r="AC118" s="10"/>
      <c r="AD118" s="10"/>
      <c r="AE118" t="s">
        <v>19</v>
      </c>
      <c r="AH118">
        <v>1</v>
      </c>
    </row>
    <row r="119" spans="1:34" ht="43.5">
      <c r="A119" t="s">
        <v>507</v>
      </c>
      <c r="B119" s="4" t="s">
        <v>1487</v>
      </c>
      <c r="C119" s="4" t="s">
        <v>1488</v>
      </c>
      <c r="G119" s="10" t="s">
        <v>25</v>
      </c>
      <c r="H119" s="10"/>
      <c r="I119" s="10">
        <v>1</v>
      </c>
      <c r="J119" s="10">
        <v>2</v>
      </c>
      <c r="K119" s="10" t="s">
        <v>2168</v>
      </c>
      <c r="L119" s="10" t="s">
        <v>2200</v>
      </c>
      <c r="M119" s="10"/>
      <c r="N119" s="11"/>
      <c r="O119" s="10"/>
      <c r="P119" s="10">
        <v>171</v>
      </c>
      <c r="Q119" s="10">
        <f t="shared" si="1"/>
        <v>84.079063821418046</v>
      </c>
      <c r="R119" s="10"/>
      <c r="S119" s="10" t="s">
        <v>2387</v>
      </c>
      <c r="T119" s="10" t="s">
        <v>2387</v>
      </c>
      <c r="U119" s="10"/>
      <c r="V119" s="10"/>
      <c r="W119" s="10"/>
      <c r="X119" s="10"/>
      <c r="Y119" s="10"/>
      <c r="Z119" s="10"/>
      <c r="AA119" s="10"/>
      <c r="AB119" s="10"/>
      <c r="AC119" s="10"/>
      <c r="AD119" s="10"/>
      <c r="AE119" t="s">
        <v>19</v>
      </c>
      <c r="AH119">
        <v>1</v>
      </c>
    </row>
    <row r="120" spans="1:34" ht="43.5">
      <c r="A120" t="s">
        <v>508</v>
      </c>
      <c r="B120" s="4" t="s">
        <v>1490</v>
      </c>
      <c r="C120" s="4" t="s">
        <v>1489</v>
      </c>
      <c r="G120" s="10" t="s">
        <v>25</v>
      </c>
      <c r="H120" s="10"/>
      <c r="I120" s="10">
        <v>1</v>
      </c>
      <c r="J120" s="10">
        <v>3</v>
      </c>
      <c r="K120" s="10" t="s">
        <v>2168</v>
      </c>
      <c r="L120" s="10" t="s">
        <v>2159</v>
      </c>
      <c r="M120" s="10"/>
      <c r="N120" s="11"/>
      <c r="O120" s="10"/>
      <c r="P120" s="10">
        <v>86</v>
      </c>
      <c r="Q120" s="10">
        <f t="shared" si="1"/>
        <v>42.285377126561116</v>
      </c>
      <c r="R120" s="10"/>
      <c r="S120" s="10" t="s">
        <v>2387</v>
      </c>
      <c r="T120" s="10" t="s">
        <v>2387</v>
      </c>
      <c r="U120" s="10"/>
      <c r="V120" s="10"/>
      <c r="W120" s="10"/>
      <c r="X120" s="10"/>
      <c r="Y120" s="10"/>
      <c r="Z120" s="10"/>
      <c r="AA120" s="10"/>
      <c r="AB120" s="10"/>
      <c r="AC120" s="10"/>
      <c r="AD120" s="10"/>
      <c r="AE120" t="s">
        <v>19</v>
      </c>
      <c r="AH120">
        <v>1</v>
      </c>
    </row>
    <row r="121" spans="1:34" ht="43.5">
      <c r="A121" t="s">
        <v>508</v>
      </c>
      <c r="B121" s="4" t="s">
        <v>1492</v>
      </c>
      <c r="C121" s="4" t="s">
        <v>1491</v>
      </c>
      <c r="G121" s="10" t="s">
        <v>24</v>
      </c>
      <c r="H121" s="10"/>
      <c r="I121" s="10">
        <v>1</v>
      </c>
      <c r="J121" s="10">
        <v>2</v>
      </c>
      <c r="K121" s="10" t="s">
        <v>2177</v>
      </c>
      <c r="L121" s="10" t="s">
        <v>2200</v>
      </c>
      <c r="M121" s="10"/>
      <c r="N121" s="11"/>
      <c r="O121" s="10"/>
      <c r="P121" s="10">
        <v>112</v>
      </c>
      <c r="Q121" s="10">
        <f t="shared" si="1"/>
        <v>55.069328350870293</v>
      </c>
      <c r="R121" s="10"/>
      <c r="S121" s="10" t="s">
        <v>2387</v>
      </c>
      <c r="T121" s="10" t="s">
        <v>2387</v>
      </c>
      <c r="U121" s="10"/>
      <c r="V121" s="10"/>
      <c r="W121" s="10"/>
      <c r="X121" s="10"/>
      <c r="Y121" s="10"/>
      <c r="Z121" s="10"/>
      <c r="AA121" s="10"/>
      <c r="AB121" s="10"/>
      <c r="AC121" s="10"/>
      <c r="AD121" s="10"/>
      <c r="AE121" t="s">
        <v>19</v>
      </c>
      <c r="AH121">
        <v>1</v>
      </c>
    </row>
    <row r="122" spans="1:34" ht="188.5">
      <c r="A122" t="s">
        <v>510</v>
      </c>
      <c r="B122" s="4" t="s">
        <v>2290</v>
      </c>
      <c r="C122" s="4" t="s">
        <v>1495</v>
      </c>
      <c r="G122" s="10" t="s">
        <v>25</v>
      </c>
      <c r="H122" s="10"/>
      <c r="I122" s="10">
        <v>8</v>
      </c>
      <c r="J122" s="10">
        <v>41</v>
      </c>
      <c r="K122" s="10"/>
      <c r="L122" s="10" t="s">
        <v>2159</v>
      </c>
      <c r="M122" s="10"/>
      <c r="N122" s="11"/>
      <c r="O122" s="10"/>
      <c r="P122" s="10">
        <v>1</v>
      </c>
      <c r="Q122" s="10">
        <f t="shared" si="1"/>
        <v>0.49169043170419907</v>
      </c>
      <c r="R122" s="10"/>
      <c r="S122" s="10" t="s">
        <v>2387</v>
      </c>
      <c r="T122" s="10" t="s">
        <v>2387</v>
      </c>
      <c r="U122" s="10"/>
      <c r="V122" s="10"/>
      <c r="W122" s="10"/>
      <c r="X122" s="10"/>
      <c r="Y122" s="10"/>
      <c r="Z122" s="10"/>
      <c r="AA122" s="10"/>
      <c r="AB122" s="10"/>
      <c r="AC122" s="10"/>
      <c r="AD122" s="10"/>
      <c r="AE122" t="s">
        <v>19</v>
      </c>
      <c r="AH122">
        <v>1</v>
      </c>
    </row>
    <row r="123" spans="1:34" ht="72.5">
      <c r="A123" t="s">
        <v>512</v>
      </c>
      <c r="B123" s="4" t="s">
        <v>1500</v>
      </c>
      <c r="C123" s="4" t="s">
        <v>1499</v>
      </c>
      <c r="G123" s="10" t="s">
        <v>25</v>
      </c>
      <c r="H123" s="10"/>
      <c r="I123" s="10">
        <v>1</v>
      </c>
      <c r="J123" s="10">
        <v>3</v>
      </c>
      <c r="K123" s="10" t="s">
        <v>2168</v>
      </c>
      <c r="L123" s="10" t="s">
        <v>2159</v>
      </c>
      <c r="M123" s="10"/>
      <c r="N123" s="11"/>
      <c r="O123" s="10"/>
      <c r="P123" s="10">
        <v>280</v>
      </c>
      <c r="Q123" s="10">
        <f t="shared" si="1"/>
        <v>137.67332087717574</v>
      </c>
      <c r="R123" s="10"/>
      <c r="S123" s="10" t="s">
        <v>2387</v>
      </c>
      <c r="T123" s="10" t="s">
        <v>2387</v>
      </c>
      <c r="U123" s="10"/>
      <c r="V123" s="10"/>
      <c r="W123" s="10"/>
      <c r="X123" s="10"/>
      <c r="Y123" s="10"/>
      <c r="Z123" s="10"/>
      <c r="AA123" s="10"/>
      <c r="AB123" s="10"/>
      <c r="AC123" s="10"/>
      <c r="AD123" s="10"/>
      <c r="AE123" t="s">
        <v>19</v>
      </c>
      <c r="AH123">
        <v>1</v>
      </c>
    </row>
    <row r="124" spans="1:34" ht="72.5">
      <c r="A124" t="s">
        <v>517</v>
      </c>
      <c r="B124" s="4" t="s">
        <v>1513</v>
      </c>
      <c r="C124" s="4" t="s">
        <v>1514</v>
      </c>
      <c r="G124" s="10" t="s">
        <v>25</v>
      </c>
      <c r="H124" s="10"/>
      <c r="I124" s="10">
        <v>1</v>
      </c>
      <c r="J124" s="10">
        <v>3</v>
      </c>
      <c r="K124" s="10" t="s">
        <v>2168</v>
      </c>
      <c r="L124" s="10" t="s">
        <v>2159</v>
      </c>
      <c r="M124" s="10"/>
      <c r="N124" s="11"/>
      <c r="O124" s="10"/>
      <c r="P124" s="10">
        <v>1701</v>
      </c>
      <c r="Q124" s="10">
        <f t="shared" si="1"/>
        <v>836.36542432884255</v>
      </c>
      <c r="R124" s="10"/>
      <c r="S124" s="10" t="s">
        <v>2387</v>
      </c>
      <c r="T124" s="10" t="s">
        <v>2387</v>
      </c>
      <c r="U124" s="10"/>
      <c r="V124" s="10"/>
      <c r="W124" s="10"/>
      <c r="X124" s="10"/>
      <c r="Y124" s="10"/>
      <c r="Z124" s="10"/>
      <c r="AA124" s="10"/>
      <c r="AB124" s="10"/>
      <c r="AC124" s="10"/>
      <c r="AD124" s="10"/>
      <c r="AE124" t="s">
        <v>19</v>
      </c>
      <c r="AH124">
        <v>1</v>
      </c>
    </row>
    <row r="125" spans="1:34" ht="43.5">
      <c r="A125" t="s">
        <v>523</v>
      </c>
      <c r="B125" s="4" t="s">
        <v>1522</v>
      </c>
      <c r="C125" s="4" t="s">
        <v>1521</v>
      </c>
      <c r="G125" s="10" t="s">
        <v>24</v>
      </c>
      <c r="H125" s="10"/>
      <c r="I125" s="10">
        <v>1</v>
      </c>
      <c r="J125" s="10">
        <v>3</v>
      </c>
      <c r="K125" s="10" t="s">
        <v>2158</v>
      </c>
      <c r="L125" s="10" t="s">
        <v>2159</v>
      </c>
      <c r="M125" s="10"/>
      <c r="N125" s="11"/>
      <c r="O125" s="10"/>
      <c r="P125" s="10">
        <v>2475</v>
      </c>
      <c r="Q125" s="10">
        <f t="shared" si="1"/>
        <v>1216.9338184678927</v>
      </c>
      <c r="R125" s="10"/>
      <c r="S125" s="10" t="s">
        <v>2387</v>
      </c>
      <c r="T125" s="10" t="s">
        <v>2387</v>
      </c>
      <c r="U125" s="10"/>
      <c r="V125" s="10"/>
      <c r="W125" s="10"/>
      <c r="X125" s="10"/>
      <c r="Y125" s="10"/>
      <c r="Z125" s="10"/>
      <c r="AA125" s="10"/>
      <c r="AB125" s="10"/>
      <c r="AC125" s="10"/>
      <c r="AD125" s="10"/>
      <c r="AE125" t="s">
        <v>19</v>
      </c>
      <c r="AH125">
        <v>1</v>
      </c>
    </row>
    <row r="126" spans="1:34">
      <c r="A126" t="s">
        <v>523</v>
      </c>
      <c r="B126" t="s">
        <v>1523</v>
      </c>
      <c r="C126" t="s">
        <v>1524</v>
      </c>
      <c r="G126" s="10" t="s">
        <v>24</v>
      </c>
      <c r="H126" s="10"/>
      <c r="I126" s="10">
        <v>1</v>
      </c>
      <c r="J126" s="10">
        <v>3</v>
      </c>
      <c r="K126" s="10" t="s">
        <v>2158</v>
      </c>
      <c r="L126" s="10" t="s">
        <v>2159</v>
      </c>
      <c r="M126" s="10"/>
      <c r="N126" s="11"/>
      <c r="O126" s="10"/>
      <c r="P126" s="10">
        <v>2475</v>
      </c>
      <c r="Q126" s="10">
        <f t="shared" si="1"/>
        <v>1216.9338184678927</v>
      </c>
      <c r="R126" s="10"/>
      <c r="S126" s="10" t="s">
        <v>2387</v>
      </c>
      <c r="T126" s="10" t="s">
        <v>2387</v>
      </c>
      <c r="U126" s="10"/>
      <c r="V126" s="10"/>
      <c r="W126" s="10"/>
      <c r="X126" s="10"/>
      <c r="Y126" s="10"/>
      <c r="Z126" s="10"/>
      <c r="AA126" s="10"/>
      <c r="AB126" s="10"/>
      <c r="AC126" s="10"/>
      <c r="AD126" s="10"/>
      <c r="AE126" t="s">
        <v>19</v>
      </c>
      <c r="AH126">
        <v>1</v>
      </c>
    </row>
    <row r="127" spans="1:34" ht="29">
      <c r="A127" t="s">
        <v>523</v>
      </c>
      <c r="B127" s="4" t="s">
        <v>1525</v>
      </c>
      <c r="C127" s="4" t="s">
        <v>1526</v>
      </c>
      <c r="G127" s="10" t="s">
        <v>25</v>
      </c>
      <c r="H127" s="10"/>
      <c r="I127" s="10">
        <v>1</v>
      </c>
      <c r="J127" s="10">
        <v>2</v>
      </c>
      <c r="K127" s="10" t="s">
        <v>2158</v>
      </c>
      <c r="L127" s="10" t="s">
        <v>2200</v>
      </c>
      <c r="M127" s="10"/>
      <c r="N127" s="11"/>
      <c r="O127" s="10"/>
      <c r="P127" s="10">
        <v>2475</v>
      </c>
      <c r="Q127" s="10">
        <f t="shared" si="1"/>
        <v>1216.9338184678927</v>
      </c>
      <c r="R127" s="10"/>
      <c r="S127" s="10" t="s">
        <v>2387</v>
      </c>
      <c r="T127" s="10" t="s">
        <v>2387</v>
      </c>
      <c r="U127" s="10"/>
      <c r="V127" s="10"/>
      <c r="W127" s="10"/>
      <c r="X127" s="10"/>
      <c r="Y127" s="10"/>
      <c r="Z127" s="10"/>
      <c r="AA127" s="10"/>
      <c r="AB127" s="10"/>
      <c r="AC127" s="10"/>
      <c r="AD127" s="10"/>
      <c r="AE127" t="s">
        <v>19</v>
      </c>
      <c r="AH127">
        <v>1</v>
      </c>
    </row>
    <row r="128" spans="1:34" ht="58">
      <c r="A128" t="s">
        <v>524</v>
      </c>
      <c r="B128" s="4" t="s">
        <v>1528</v>
      </c>
      <c r="C128" s="4" t="s">
        <v>1527</v>
      </c>
      <c r="G128" s="10" t="s">
        <v>25</v>
      </c>
      <c r="H128" s="10"/>
      <c r="I128" s="10">
        <v>1</v>
      </c>
      <c r="J128" s="10">
        <v>1</v>
      </c>
      <c r="K128" s="10" t="s">
        <v>2158</v>
      </c>
      <c r="L128" s="10" t="s">
        <v>2200</v>
      </c>
      <c r="M128" s="10"/>
      <c r="N128" s="11"/>
      <c r="O128" s="10" t="s">
        <v>2154</v>
      </c>
      <c r="P128" s="10">
        <v>2475</v>
      </c>
      <c r="Q128" s="10">
        <f t="shared" si="1"/>
        <v>1216.9338184678927</v>
      </c>
      <c r="R128" s="10"/>
      <c r="S128" s="10" t="s">
        <v>2387</v>
      </c>
      <c r="T128" s="10" t="s">
        <v>2387</v>
      </c>
      <c r="U128" s="10"/>
      <c r="V128" s="10"/>
      <c r="W128" s="10"/>
      <c r="X128" s="10"/>
      <c r="Y128" s="10"/>
      <c r="Z128" s="10"/>
      <c r="AA128" s="10"/>
      <c r="AB128" s="10"/>
      <c r="AC128" s="10"/>
      <c r="AD128" s="10"/>
      <c r="AE128" t="s">
        <v>19</v>
      </c>
      <c r="AH128">
        <v>1</v>
      </c>
    </row>
    <row r="129" spans="1:34" ht="29">
      <c r="A129" t="s">
        <v>525</v>
      </c>
      <c r="B129" s="4" t="s">
        <v>1530</v>
      </c>
      <c r="C129" s="4" t="s">
        <v>1529</v>
      </c>
      <c r="G129" s="10" t="s">
        <v>25</v>
      </c>
      <c r="H129" s="10"/>
      <c r="I129" s="10">
        <v>1</v>
      </c>
      <c r="J129" s="10">
        <v>3</v>
      </c>
      <c r="K129" s="10" t="s">
        <v>2168</v>
      </c>
      <c r="L129" s="10" t="s">
        <v>2159</v>
      </c>
      <c r="M129" s="10"/>
      <c r="N129" s="11"/>
      <c r="O129" s="10"/>
      <c r="P129" s="10">
        <v>186</v>
      </c>
      <c r="Q129" s="10">
        <f t="shared" si="1"/>
        <v>91.454420296981013</v>
      </c>
      <c r="R129" s="10"/>
      <c r="S129" s="10" t="s">
        <v>2387</v>
      </c>
      <c r="T129" s="10" t="s">
        <v>2387</v>
      </c>
      <c r="U129" s="10"/>
      <c r="V129" s="10"/>
      <c r="W129" s="10"/>
      <c r="X129" s="10"/>
      <c r="Y129" s="10"/>
      <c r="Z129" s="10"/>
      <c r="AA129" s="10"/>
      <c r="AB129" s="10"/>
      <c r="AC129" s="10"/>
      <c r="AD129" s="10"/>
      <c r="AE129" t="s">
        <v>19</v>
      </c>
      <c r="AH129">
        <v>1</v>
      </c>
    </row>
    <row r="130" spans="1:34" ht="58">
      <c r="A130" t="s">
        <v>527</v>
      </c>
      <c r="B130" s="4" t="s">
        <v>1540</v>
      </c>
      <c r="C130" s="4" t="s">
        <v>1539</v>
      </c>
      <c r="G130" s="10" t="s">
        <v>24</v>
      </c>
      <c r="H130" s="10"/>
      <c r="I130" s="10">
        <v>1</v>
      </c>
      <c r="J130" s="10">
        <v>3</v>
      </c>
      <c r="K130" s="10" t="s">
        <v>2175</v>
      </c>
      <c r="L130" s="10" t="s">
        <v>2159</v>
      </c>
      <c r="M130" s="10"/>
      <c r="N130" s="11"/>
      <c r="O130" s="10"/>
      <c r="P130" s="10">
        <v>743</v>
      </c>
      <c r="Q130" s="10">
        <f t="shared" si="1"/>
        <v>365.32599075621988</v>
      </c>
      <c r="R130" s="10"/>
      <c r="S130" s="10" t="s">
        <v>2387</v>
      </c>
      <c r="T130" s="10" t="s">
        <v>2387</v>
      </c>
      <c r="U130" s="10"/>
      <c r="V130" s="10"/>
      <c r="W130" s="10"/>
      <c r="X130" s="10"/>
      <c r="Y130" s="10"/>
      <c r="Z130" s="10"/>
      <c r="AA130" s="10"/>
      <c r="AB130" s="10"/>
      <c r="AC130" s="10"/>
      <c r="AD130" s="10"/>
      <c r="AE130" t="s">
        <v>19</v>
      </c>
      <c r="AH130">
        <v>1</v>
      </c>
    </row>
    <row r="131" spans="1:34" ht="58">
      <c r="A131" t="s">
        <v>537</v>
      </c>
      <c r="B131" s="4" t="s">
        <v>1556</v>
      </c>
      <c r="C131" s="4" t="s">
        <v>1555</v>
      </c>
      <c r="G131" s="10" t="s">
        <v>25</v>
      </c>
      <c r="H131" s="10"/>
      <c r="I131" s="10">
        <v>1</v>
      </c>
      <c r="J131" s="10">
        <v>3</v>
      </c>
      <c r="K131" s="10" t="s">
        <v>2168</v>
      </c>
      <c r="L131" s="10" t="s">
        <v>2159</v>
      </c>
      <c r="M131" s="10"/>
      <c r="N131" s="11"/>
      <c r="O131" s="10"/>
      <c r="P131" s="10">
        <v>1701</v>
      </c>
      <c r="Q131" s="10">
        <f t="shared" ref="Q131:Q194" si="2">IF(ISNUMBER(P131), (P131/$F$303)*10000, "")</f>
        <v>836.36542432884255</v>
      </c>
      <c r="R131" s="10"/>
      <c r="S131" s="10" t="s">
        <v>2387</v>
      </c>
      <c r="T131" s="10" t="s">
        <v>2387</v>
      </c>
      <c r="U131" s="10"/>
      <c r="V131" s="10"/>
      <c r="W131" s="10"/>
      <c r="X131" s="10"/>
      <c r="Y131" s="10"/>
      <c r="Z131" s="10"/>
      <c r="AA131" s="10"/>
      <c r="AB131" s="10"/>
      <c r="AC131" s="10"/>
      <c r="AD131" s="10"/>
      <c r="AE131" t="s">
        <v>19</v>
      </c>
      <c r="AH131">
        <v>1</v>
      </c>
    </row>
    <row r="132" spans="1:34" ht="58">
      <c r="A132" t="s">
        <v>537</v>
      </c>
      <c r="B132" s="4" t="s">
        <v>1570</v>
      </c>
      <c r="C132" s="4" t="s">
        <v>1571</v>
      </c>
      <c r="G132" s="10" t="s">
        <v>25</v>
      </c>
      <c r="H132" s="10"/>
      <c r="I132" s="10">
        <v>1</v>
      </c>
      <c r="J132" s="10">
        <v>4</v>
      </c>
      <c r="K132" s="10" t="s">
        <v>2175</v>
      </c>
      <c r="L132" s="10" t="s">
        <v>2159</v>
      </c>
      <c r="M132" s="10"/>
      <c r="N132" s="11"/>
      <c r="O132" s="10"/>
      <c r="P132" s="10">
        <v>312</v>
      </c>
      <c r="Q132" s="10">
        <f t="shared" si="2"/>
        <v>153.4074146917101</v>
      </c>
      <c r="R132" s="10"/>
      <c r="S132" s="10" t="s">
        <v>2387</v>
      </c>
      <c r="T132" s="10" t="s">
        <v>2387</v>
      </c>
      <c r="U132" s="10"/>
      <c r="V132" s="10"/>
      <c r="W132" s="10"/>
      <c r="X132" s="10"/>
      <c r="Y132" s="10"/>
      <c r="Z132" s="10"/>
      <c r="AA132" s="10"/>
      <c r="AB132" s="10"/>
      <c r="AC132" s="10"/>
      <c r="AD132" s="10"/>
      <c r="AE132" t="s">
        <v>19</v>
      </c>
      <c r="AH132">
        <v>1</v>
      </c>
    </row>
    <row r="133" spans="1:34" ht="72.5">
      <c r="A133" t="s">
        <v>538</v>
      </c>
      <c r="B133" s="4" t="s">
        <v>1573</v>
      </c>
      <c r="C133" s="4" t="s">
        <v>1572</v>
      </c>
      <c r="G133" s="10" t="s">
        <v>25</v>
      </c>
      <c r="H133" s="10"/>
      <c r="I133" s="10">
        <v>1</v>
      </c>
      <c r="J133" s="10">
        <v>1</v>
      </c>
      <c r="K133" s="10" t="s">
        <v>2158</v>
      </c>
      <c r="L133" s="10" t="s">
        <v>2200</v>
      </c>
      <c r="M133" s="10"/>
      <c r="N133" s="11"/>
      <c r="O133" s="10"/>
      <c r="P133" s="10">
        <v>2475</v>
      </c>
      <c r="Q133" s="10">
        <f t="shared" si="2"/>
        <v>1216.9338184678927</v>
      </c>
      <c r="R133" s="10"/>
      <c r="S133" s="10" t="s">
        <v>2387</v>
      </c>
      <c r="T133" s="10" t="s">
        <v>2387</v>
      </c>
      <c r="U133" s="10"/>
      <c r="V133" s="10"/>
      <c r="W133" s="10"/>
      <c r="X133" s="10"/>
      <c r="Y133" s="10"/>
      <c r="Z133" s="10"/>
      <c r="AA133" s="10"/>
      <c r="AB133" s="10"/>
      <c r="AC133" s="10"/>
      <c r="AD133" s="10"/>
      <c r="AE133" t="s">
        <v>19</v>
      </c>
      <c r="AH133">
        <v>1</v>
      </c>
    </row>
    <row r="134" spans="1:34" ht="72.5">
      <c r="A134" t="s">
        <v>538</v>
      </c>
      <c r="B134" s="4" t="s">
        <v>1574</v>
      </c>
      <c r="C134" s="4" t="s">
        <v>1572</v>
      </c>
      <c r="G134" s="10" t="s">
        <v>25</v>
      </c>
      <c r="H134" s="10"/>
      <c r="I134" s="10">
        <v>1</v>
      </c>
      <c r="J134" s="10">
        <v>3</v>
      </c>
      <c r="K134" s="10" t="s">
        <v>2158</v>
      </c>
      <c r="L134" s="10" t="s">
        <v>2159</v>
      </c>
      <c r="M134" s="10"/>
      <c r="N134" s="11"/>
      <c r="O134" s="10"/>
      <c r="P134" s="10">
        <v>2475</v>
      </c>
      <c r="Q134" s="10">
        <f t="shared" si="2"/>
        <v>1216.9338184678927</v>
      </c>
      <c r="R134" s="10"/>
      <c r="S134" s="10" t="s">
        <v>2387</v>
      </c>
      <c r="T134" s="10" t="s">
        <v>2387</v>
      </c>
      <c r="U134" s="10"/>
      <c r="V134" s="10"/>
      <c r="W134" s="10"/>
      <c r="X134" s="10"/>
      <c r="Y134" s="10"/>
      <c r="Z134" s="10"/>
      <c r="AA134" s="10"/>
      <c r="AB134" s="10"/>
      <c r="AC134" s="10"/>
      <c r="AD134" s="10"/>
      <c r="AE134" t="s">
        <v>19</v>
      </c>
      <c r="AH134">
        <v>1</v>
      </c>
    </row>
    <row r="135" spans="1:34" ht="101.5">
      <c r="A135" t="s">
        <v>542</v>
      </c>
      <c r="B135" s="4" t="s">
        <v>1578</v>
      </c>
      <c r="C135" s="4" t="s">
        <v>1581</v>
      </c>
      <c r="F135" t="s">
        <v>19</v>
      </c>
      <c r="G135" s="10" t="s">
        <v>24</v>
      </c>
      <c r="H135" s="10"/>
      <c r="I135" s="10">
        <v>4</v>
      </c>
      <c r="J135" s="10">
        <v>17</v>
      </c>
      <c r="K135" s="10"/>
      <c r="L135" s="10" t="s">
        <v>2159</v>
      </c>
      <c r="M135" s="10"/>
      <c r="N135" s="11"/>
      <c r="O135" s="10"/>
      <c r="P135" s="10">
        <v>19</v>
      </c>
      <c r="Q135" s="10">
        <f t="shared" si="2"/>
        <v>9.3421182023797815</v>
      </c>
      <c r="R135" s="10"/>
      <c r="S135" s="10" t="s">
        <v>2387</v>
      </c>
      <c r="T135" s="10" t="s">
        <v>2387</v>
      </c>
      <c r="U135" s="10"/>
      <c r="V135" s="10"/>
      <c r="W135" s="10"/>
      <c r="X135" s="10"/>
      <c r="Y135" s="10"/>
      <c r="Z135" s="10"/>
      <c r="AA135" s="10"/>
      <c r="AB135" s="10"/>
      <c r="AC135" s="10"/>
      <c r="AD135" s="10"/>
      <c r="AE135" t="s">
        <v>20</v>
      </c>
      <c r="AH135">
        <v>0</v>
      </c>
    </row>
    <row r="136" spans="1:34" ht="29">
      <c r="A136" t="s">
        <v>545</v>
      </c>
      <c r="B136" s="4" t="s">
        <v>1583</v>
      </c>
      <c r="C136" s="4" t="s">
        <v>1582</v>
      </c>
      <c r="G136" s="10" t="s">
        <v>25</v>
      </c>
      <c r="H136" s="10"/>
      <c r="I136" s="10">
        <v>1</v>
      </c>
      <c r="J136" s="10">
        <v>5</v>
      </c>
      <c r="K136" s="10" t="s">
        <v>2219</v>
      </c>
      <c r="L136" s="10" t="s">
        <v>2159</v>
      </c>
      <c r="M136" s="10"/>
      <c r="N136" s="11"/>
      <c r="O136" s="10"/>
      <c r="P136" s="10">
        <v>295</v>
      </c>
      <c r="Q136" s="10">
        <f t="shared" si="2"/>
        <v>145.04867735273871</v>
      </c>
      <c r="R136" s="10"/>
      <c r="S136" s="10" t="s">
        <v>2387</v>
      </c>
      <c r="T136" s="10" t="s">
        <v>2387</v>
      </c>
      <c r="U136" s="10"/>
      <c r="V136" s="10"/>
      <c r="W136" s="10"/>
      <c r="X136" s="10"/>
      <c r="Y136" s="10"/>
      <c r="Z136" s="10"/>
      <c r="AA136" s="10"/>
      <c r="AB136" s="10"/>
      <c r="AC136" s="10"/>
      <c r="AD136" s="10"/>
      <c r="AE136" t="s">
        <v>19</v>
      </c>
      <c r="AH136">
        <v>1</v>
      </c>
    </row>
    <row r="137" spans="1:34" ht="43.5">
      <c r="A137" t="s">
        <v>549</v>
      </c>
      <c r="B137" s="4" t="s">
        <v>1589</v>
      </c>
      <c r="C137" s="4" t="s">
        <v>1588</v>
      </c>
      <c r="G137" s="10" t="s">
        <v>24</v>
      </c>
      <c r="H137" s="10"/>
      <c r="I137" s="10">
        <v>1</v>
      </c>
      <c r="J137" s="10">
        <v>3</v>
      </c>
      <c r="K137" s="10" t="s">
        <v>2158</v>
      </c>
      <c r="L137" s="10" t="s">
        <v>2159</v>
      </c>
      <c r="M137" s="10"/>
      <c r="N137" s="11"/>
      <c r="O137" s="10"/>
      <c r="P137" s="10">
        <v>2475</v>
      </c>
      <c r="Q137" s="10">
        <f t="shared" si="2"/>
        <v>1216.9338184678927</v>
      </c>
      <c r="R137" s="10"/>
      <c r="S137" s="10" t="s">
        <v>2387</v>
      </c>
      <c r="T137" s="10" t="s">
        <v>2387</v>
      </c>
      <c r="U137" s="10"/>
      <c r="V137" s="10"/>
      <c r="W137" s="10"/>
      <c r="X137" s="10"/>
      <c r="Y137" s="10"/>
      <c r="Z137" s="10"/>
      <c r="AA137" s="10"/>
      <c r="AB137" s="10"/>
      <c r="AC137" s="10"/>
      <c r="AD137" s="10"/>
      <c r="AE137" t="s">
        <v>19</v>
      </c>
      <c r="AH137">
        <v>1</v>
      </c>
    </row>
    <row r="138" spans="1:34" ht="72.5">
      <c r="A138" t="s">
        <v>564</v>
      </c>
      <c r="B138" s="4" t="s">
        <v>1603</v>
      </c>
      <c r="C138" s="4" t="s">
        <v>1602</v>
      </c>
      <c r="G138" s="10" t="s">
        <v>25</v>
      </c>
      <c r="H138" s="10"/>
      <c r="I138" s="10">
        <v>1</v>
      </c>
      <c r="J138" s="10">
        <v>3</v>
      </c>
      <c r="K138" s="10" t="s">
        <v>2173</v>
      </c>
      <c r="L138" s="10" t="s">
        <v>2159</v>
      </c>
      <c r="M138" s="10"/>
      <c r="N138" s="11"/>
      <c r="O138" s="10"/>
      <c r="P138" s="10">
        <v>52</v>
      </c>
      <c r="Q138" s="10">
        <f t="shared" si="2"/>
        <v>25.567902448618351</v>
      </c>
      <c r="R138" s="10"/>
      <c r="S138" s="10" t="s">
        <v>2387</v>
      </c>
      <c r="T138" s="10" t="s">
        <v>2387</v>
      </c>
      <c r="U138" s="10"/>
      <c r="V138" s="10"/>
      <c r="W138" s="10"/>
      <c r="X138" s="10"/>
      <c r="Y138" s="10"/>
      <c r="Z138" s="10"/>
      <c r="AA138" s="10"/>
      <c r="AB138" s="10"/>
      <c r="AC138" s="10"/>
      <c r="AD138" s="10"/>
      <c r="AE138" t="s">
        <v>20</v>
      </c>
      <c r="AH138">
        <v>0</v>
      </c>
    </row>
    <row r="139" spans="1:34" ht="29">
      <c r="A139" t="s">
        <v>565</v>
      </c>
      <c r="B139" s="4" t="s">
        <v>1604</v>
      </c>
      <c r="C139" s="4" t="s">
        <v>1605</v>
      </c>
      <c r="G139" s="10" t="s">
        <v>25</v>
      </c>
      <c r="H139" s="10"/>
      <c r="I139" s="10">
        <v>1</v>
      </c>
      <c r="J139" s="10">
        <v>2</v>
      </c>
      <c r="K139" s="10" t="s">
        <v>2175</v>
      </c>
      <c r="L139" s="10" t="s">
        <v>2200</v>
      </c>
      <c r="M139" s="10"/>
      <c r="N139" s="11"/>
      <c r="O139" s="10"/>
      <c r="P139" s="10">
        <v>312</v>
      </c>
      <c r="Q139" s="10">
        <f t="shared" si="2"/>
        <v>153.4074146917101</v>
      </c>
      <c r="R139" s="10"/>
      <c r="S139" s="10" t="s">
        <v>2387</v>
      </c>
      <c r="T139" s="10" t="s">
        <v>2387</v>
      </c>
      <c r="U139" s="10"/>
      <c r="V139" s="10"/>
      <c r="W139" s="10"/>
      <c r="X139" s="10"/>
      <c r="Y139" s="10"/>
      <c r="Z139" s="10"/>
      <c r="AA139" s="10"/>
      <c r="AB139" s="10"/>
      <c r="AC139" s="10"/>
      <c r="AD139" s="10"/>
      <c r="AE139" t="s">
        <v>19</v>
      </c>
      <c r="AH139">
        <v>1</v>
      </c>
    </row>
    <row r="140" spans="1:34" ht="43.5">
      <c r="A140" t="s">
        <v>567</v>
      </c>
      <c r="B140" s="4" t="s">
        <v>1611</v>
      </c>
      <c r="C140" s="4" t="s">
        <v>1610</v>
      </c>
      <c r="G140" s="10" t="s">
        <v>25</v>
      </c>
      <c r="H140" s="10"/>
      <c r="I140" s="10">
        <v>1</v>
      </c>
      <c r="J140" s="10">
        <v>2</v>
      </c>
      <c r="K140" s="10" t="s">
        <v>2175</v>
      </c>
      <c r="L140" s="10" t="s">
        <v>2200</v>
      </c>
      <c r="M140" s="10"/>
      <c r="N140" s="11"/>
      <c r="O140" s="10"/>
      <c r="P140" s="10">
        <v>743</v>
      </c>
      <c r="Q140" s="10">
        <f t="shared" si="2"/>
        <v>365.32599075621988</v>
      </c>
      <c r="R140" s="10"/>
      <c r="S140" s="10" t="s">
        <v>2387</v>
      </c>
      <c r="T140" s="10" t="s">
        <v>2387</v>
      </c>
      <c r="U140" s="10"/>
      <c r="V140" s="10"/>
      <c r="W140" s="10"/>
      <c r="X140" s="10"/>
      <c r="Y140" s="10"/>
      <c r="Z140" s="10"/>
      <c r="AA140" s="10"/>
      <c r="AB140" s="10"/>
      <c r="AC140" s="10"/>
      <c r="AD140" s="10"/>
      <c r="AE140" t="s">
        <v>19</v>
      </c>
      <c r="AH140">
        <v>1</v>
      </c>
    </row>
    <row r="141" spans="1:34" ht="43.5">
      <c r="A141" t="s">
        <v>571</v>
      </c>
      <c r="B141" s="4" t="s">
        <v>1617</v>
      </c>
      <c r="C141" s="4" t="s">
        <v>1616</v>
      </c>
      <c r="G141" s="10" t="s">
        <v>25</v>
      </c>
      <c r="H141" s="10"/>
      <c r="I141" s="10">
        <v>1</v>
      </c>
      <c r="J141" s="10">
        <v>4</v>
      </c>
      <c r="K141" s="10" t="s">
        <v>2158</v>
      </c>
      <c r="L141" s="10" t="s">
        <v>2153</v>
      </c>
      <c r="M141" s="10" t="s">
        <v>2231</v>
      </c>
      <c r="N141" s="11" t="s">
        <v>2230</v>
      </c>
      <c r="O141" s="10"/>
      <c r="P141" s="10">
        <v>2475</v>
      </c>
      <c r="Q141" s="10">
        <f t="shared" si="2"/>
        <v>1216.9338184678927</v>
      </c>
      <c r="R141" s="10"/>
      <c r="S141" s="10" t="s">
        <v>2387</v>
      </c>
      <c r="T141" s="10" t="s">
        <v>2387</v>
      </c>
      <c r="U141" s="10"/>
      <c r="V141" s="10"/>
      <c r="W141" s="10"/>
      <c r="X141" s="10"/>
      <c r="Y141" s="10"/>
      <c r="Z141" s="10"/>
      <c r="AA141" s="10"/>
      <c r="AB141" s="10"/>
      <c r="AC141" s="10"/>
      <c r="AD141" s="10"/>
      <c r="AE141" t="s">
        <v>20</v>
      </c>
      <c r="AH141">
        <v>0</v>
      </c>
    </row>
    <row r="142" spans="1:34" ht="29">
      <c r="A142" t="s">
        <v>571</v>
      </c>
      <c r="B142" s="4" t="s">
        <v>1621</v>
      </c>
      <c r="C142" s="4" t="s">
        <v>1620</v>
      </c>
      <c r="G142" s="10" t="s">
        <v>24</v>
      </c>
      <c r="H142" s="10"/>
      <c r="I142" s="10">
        <v>1</v>
      </c>
      <c r="J142" s="10">
        <v>1</v>
      </c>
      <c r="K142" s="10" t="s">
        <v>2158</v>
      </c>
      <c r="L142" s="10" t="s">
        <v>2200</v>
      </c>
      <c r="M142" s="10"/>
      <c r="N142" s="11"/>
      <c r="O142" s="10"/>
      <c r="P142" s="10">
        <v>2475</v>
      </c>
      <c r="Q142" s="10">
        <f t="shared" si="2"/>
        <v>1216.9338184678927</v>
      </c>
      <c r="R142" s="10"/>
      <c r="S142" s="10" t="s">
        <v>2387</v>
      </c>
      <c r="T142" s="10" t="s">
        <v>2387</v>
      </c>
      <c r="U142" s="10"/>
      <c r="V142" s="10"/>
      <c r="W142" s="10"/>
      <c r="X142" s="10"/>
      <c r="Y142" s="10"/>
      <c r="Z142" s="10"/>
      <c r="AA142" s="10"/>
      <c r="AB142" s="10"/>
      <c r="AC142" s="10"/>
      <c r="AD142" s="10"/>
      <c r="AE142" t="s">
        <v>19</v>
      </c>
      <c r="AH142">
        <v>1</v>
      </c>
    </row>
    <row r="143" spans="1:34" ht="58">
      <c r="A143" t="s">
        <v>578</v>
      </c>
      <c r="B143" s="4" t="s">
        <v>1633</v>
      </c>
      <c r="C143" s="4" t="s">
        <v>1632</v>
      </c>
      <c r="G143" s="10" t="s">
        <v>25</v>
      </c>
      <c r="H143" s="10"/>
      <c r="I143" s="10">
        <v>1</v>
      </c>
      <c r="J143" s="10">
        <v>3</v>
      </c>
      <c r="K143" s="10" t="s">
        <v>2168</v>
      </c>
      <c r="L143" s="10" t="s">
        <v>2159</v>
      </c>
      <c r="M143" s="10"/>
      <c r="N143" s="11"/>
      <c r="O143" s="10"/>
      <c r="P143" s="10">
        <v>1701</v>
      </c>
      <c r="Q143" s="10">
        <f t="shared" si="2"/>
        <v>836.36542432884255</v>
      </c>
      <c r="R143" s="10"/>
      <c r="S143" s="10" t="s">
        <v>2387</v>
      </c>
      <c r="T143" s="10" t="s">
        <v>2387</v>
      </c>
      <c r="U143" s="10"/>
      <c r="V143" s="10"/>
      <c r="W143" s="10"/>
      <c r="X143" s="10"/>
      <c r="Y143" s="10"/>
      <c r="Z143" s="10"/>
      <c r="AA143" s="10"/>
      <c r="AB143" s="10"/>
      <c r="AC143" s="10"/>
      <c r="AD143" s="10"/>
      <c r="AE143" t="s">
        <v>19</v>
      </c>
      <c r="AH143">
        <v>1</v>
      </c>
    </row>
    <row r="144" spans="1:34" ht="72.5">
      <c r="A144" t="s">
        <v>578</v>
      </c>
      <c r="B144" s="4" t="s">
        <v>1635</v>
      </c>
      <c r="C144" s="4" t="s">
        <v>1634</v>
      </c>
      <c r="G144" s="10" t="s">
        <v>24</v>
      </c>
      <c r="H144" s="10"/>
      <c r="I144" s="10">
        <v>1</v>
      </c>
      <c r="J144" s="10">
        <v>3</v>
      </c>
      <c r="K144" s="10" t="s">
        <v>2175</v>
      </c>
      <c r="L144" s="10" t="s">
        <v>2159</v>
      </c>
      <c r="M144" s="10"/>
      <c r="N144" s="11"/>
      <c r="O144" s="10"/>
      <c r="P144" s="10">
        <v>743</v>
      </c>
      <c r="Q144" s="10">
        <f t="shared" si="2"/>
        <v>365.32599075621988</v>
      </c>
      <c r="R144" s="10"/>
      <c r="S144" s="10" t="s">
        <v>2387</v>
      </c>
      <c r="T144" s="10" t="s">
        <v>2387</v>
      </c>
      <c r="U144" s="10"/>
      <c r="V144" s="10"/>
      <c r="W144" s="10"/>
      <c r="X144" s="10"/>
      <c r="Y144" s="10"/>
      <c r="Z144" s="10"/>
      <c r="AA144" s="10"/>
      <c r="AB144" s="10"/>
      <c r="AC144" s="10"/>
      <c r="AD144" s="10"/>
      <c r="AE144" t="s">
        <v>19</v>
      </c>
      <c r="AH144">
        <v>1</v>
      </c>
    </row>
    <row r="145" spans="1:34" ht="72.5">
      <c r="A145" t="s">
        <v>579</v>
      </c>
      <c r="B145" s="4" t="s">
        <v>1639</v>
      </c>
      <c r="C145" s="4" t="s">
        <v>1638</v>
      </c>
      <c r="G145" s="10" t="s">
        <v>25</v>
      </c>
      <c r="H145" s="10"/>
      <c r="I145" s="10">
        <v>1</v>
      </c>
      <c r="J145" s="10">
        <v>1</v>
      </c>
      <c r="K145" s="10" t="s">
        <v>2158</v>
      </c>
      <c r="L145" s="10" t="s">
        <v>2200</v>
      </c>
      <c r="M145" s="10"/>
      <c r="N145" s="11"/>
      <c r="O145" s="10"/>
      <c r="P145" s="10">
        <v>2475</v>
      </c>
      <c r="Q145" s="10">
        <f t="shared" si="2"/>
        <v>1216.9338184678927</v>
      </c>
      <c r="R145" s="10"/>
      <c r="S145" s="10" t="s">
        <v>2387</v>
      </c>
      <c r="T145" s="10" t="s">
        <v>2387</v>
      </c>
      <c r="U145" s="10"/>
      <c r="V145" s="10"/>
      <c r="W145" s="10"/>
      <c r="X145" s="10"/>
      <c r="Y145" s="10"/>
      <c r="Z145" s="10"/>
      <c r="AA145" s="10"/>
      <c r="AB145" s="10"/>
      <c r="AC145" s="10"/>
      <c r="AD145" s="10"/>
      <c r="AE145" t="s">
        <v>19</v>
      </c>
      <c r="AH145">
        <v>1</v>
      </c>
    </row>
    <row r="146" spans="1:34" ht="29">
      <c r="A146" t="s">
        <v>580</v>
      </c>
      <c r="B146" s="4" t="s">
        <v>1645</v>
      </c>
      <c r="C146" s="4" t="s">
        <v>1642</v>
      </c>
      <c r="G146" s="10" t="s">
        <v>25</v>
      </c>
      <c r="H146" s="10"/>
      <c r="I146" s="10">
        <v>1</v>
      </c>
      <c r="J146" s="10">
        <v>3</v>
      </c>
      <c r="K146" s="10" t="s">
        <v>2168</v>
      </c>
      <c r="L146" s="10" t="s">
        <v>2159</v>
      </c>
      <c r="M146" s="10"/>
      <c r="N146" s="11"/>
      <c r="O146" s="10"/>
      <c r="P146" s="10">
        <v>186</v>
      </c>
      <c r="Q146" s="10">
        <f t="shared" si="2"/>
        <v>91.454420296981013</v>
      </c>
      <c r="R146" s="10"/>
      <c r="S146" s="10" t="s">
        <v>2387</v>
      </c>
      <c r="T146" s="10" t="s">
        <v>2387</v>
      </c>
      <c r="U146" s="10"/>
      <c r="V146" s="10"/>
      <c r="W146" s="10"/>
      <c r="X146" s="10"/>
      <c r="Y146" s="10"/>
      <c r="Z146" s="10"/>
      <c r="AA146" s="10"/>
      <c r="AB146" s="10"/>
      <c r="AC146" s="10"/>
      <c r="AD146" s="10"/>
      <c r="AE146" t="s">
        <v>19</v>
      </c>
      <c r="AH146">
        <v>1</v>
      </c>
    </row>
    <row r="147" spans="1:34" ht="58">
      <c r="A147" t="s">
        <v>580</v>
      </c>
      <c r="B147" s="4" t="s">
        <v>1649</v>
      </c>
      <c r="C147" s="4" t="s">
        <v>1646</v>
      </c>
      <c r="G147" s="10" t="s">
        <v>25</v>
      </c>
      <c r="H147" s="10"/>
      <c r="I147" s="10">
        <v>1</v>
      </c>
      <c r="J147" s="10">
        <v>6</v>
      </c>
      <c r="K147" s="10" t="s">
        <v>2152</v>
      </c>
      <c r="L147" s="10" t="s">
        <v>2153</v>
      </c>
      <c r="M147" s="10" t="s">
        <v>2229</v>
      </c>
      <c r="N147" s="11" t="s">
        <v>2232</v>
      </c>
      <c r="O147" s="10"/>
      <c r="P147" s="10">
        <v>24</v>
      </c>
      <c r="Q147" s="10">
        <f t="shared" si="2"/>
        <v>11.800570360900778</v>
      </c>
      <c r="R147" s="10"/>
      <c r="S147" s="10" t="s">
        <v>2387</v>
      </c>
      <c r="T147" s="10" t="s">
        <v>2387</v>
      </c>
      <c r="U147" s="10"/>
      <c r="V147" s="10"/>
      <c r="W147" s="10"/>
      <c r="X147" s="10"/>
      <c r="Y147" s="10"/>
      <c r="Z147" s="10"/>
      <c r="AA147" s="10"/>
      <c r="AB147" s="10"/>
      <c r="AC147" s="10"/>
      <c r="AD147" s="10"/>
      <c r="AE147" t="s">
        <v>19</v>
      </c>
      <c r="AH147">
        <v>1</v>
      </c>
    </row>
    <row r="148" spans="1:34" ht="29">
      <c r="A148" t="s">
        <v>581</v>
      </c>
      <c r="B148" s="4" t="s">
        <v>1651</v>
      </c>
      <c r="C148" s="4" t="s">
        <v>1650</v>
      </c>
      <c r="G148" s="10" t="s">
        <v>25</v>
      </c>
      <c r="H148" s="10"/>
      <c r="I148" s="10">
        <v>1</v>
      </c>
      <c r="J148" s="10">
        <v>2</v>
      </c>
      <c r="K148" s="10" t="s">
        <v>2177</v>
      </c>
      <c r="L148" s="10" t="s">
        <v>2200</v>
      </c>
      <c r="M148" s="10"/>
      <c r="N148" s="11"/>
      <c r="O148" s="10"/>
      <c r="P148" s="10">
        <v>613</v>
      </c>
      <c r="Q148" s="10">
        <f t="shared" si="2"/>
        <v>301.40623463467404</v>
      </c>
      <c r="R148" s="10"/>
      <c r="S148" s="10" t="s">
        <v>2387</v>
      </c>
      <c r="T148" s="10" t="s">
        <v>2387</v>
      </c>
      <c r="U148" s="10"/>
      <c r="V148" s="10"/>
      <c r="W148" s="10"/>
      <c r="X148" s="10"/>
      <c r="Y148" s="10"/>
      <c r="Z148" s="10"/>
      <c r="AA148" s="10"/>
      <c r="AB148" s="10"/>
      <c r="AC148" s="10"/>
      <c r="AD148" s="10"/>
      <c r="AE148" t="s">
        <v>19</v>
      </c>
      <c r="AH148">
        <v>1</v>
      </c>
    </row>
    <row r="149" spans="1:34" ht="29">
      <c r="A149" t="s">
        <v>591</v>
      </c>
      <c r="B149" s="4" t="s">
        <v>1667</v>
      </c>
      <c r="C149" s="4" t="s">
        <v>1666</v>
      </c>
      <c r="G149" s="10" t="s">
        <v>25</v>
      </c>
      <c r="H149" s="10"/>
      <c r="I149" s="10">
        <v>1</v>
      </c>
      <c r="J149" s="10">
        <v>3</v>
      </c>
      <c r="K149" s="10" t="s">
        <v>2168</v>
      </c>
      <c r="L149" s="10" t="s">
        <v>2159</v>
      </c>
      <c r="M149" s="10"/>
      <c r="N149" s="11"/>
      <c r="O149" s="10"/>
      <c r="P149" s="10">
        <v>1701</v>
      </c>
      <c r="Q149" s="10">
        <f t="shared" si="2"/>
        <v>836.36542432884255</v>
      </c>
      <c r="R149" s="10"/>
      <c r="S149" s="10" t="s">
        <v>2387</v>
      </c>
      <c r="T149" s="10" t="s">
        <v>2387</v>
      </c>
      <c r="U149" s="10"/>
      <c r="V149" s="10"/>
      <c r="W149" s="10"/>
      <c r="X149" s="10"/>
      <c r="Y149" s="10"/>
      <c r="Z149" s="10"/>
      <c r="AA149" s="10"/>
      <c r="AB149" s="10"/>
      <c r="AC149" s="10"/>
      <c r="AD149" s="10"/>
      <c r="AE149" t="s">
        <v>19</v>
      </c>
      <c r="AH149">
        <v>1</v>
      </c>
    </row>
    <row r="150" spans="1:34" ht="43.5">
      <c r="A150" t="s">
        <v>599</v>
      </c>
      <c r="B150" s="4" t="s">
        <v>1678</v>
      </c>
      <c r="C150" s="4" t="s">
        <v>1677</v>
      </c>
      <c r="G150" s="10" t="s">
        <v>24</v>
      </c>
      <c r="H150" s="10"/>
      <c r="I150" s="10">
        <v>1</v>
      </c>
      <c r="J150" s="10">
        <v>2</v>
      </c>
      <c r="K150" s="10" t="s">
        <v>2175</v>
      </c>
      <c r="L150" s="10" t="s">
        <v>2200</v>
      </c>
      <c r="M150" s="10"/>
      <c r="N150" s="11"/>
      <c r="O150" s="10" t="s">
        <v>2154</v>
      </c>
      <c r="P150" s="10">
        <v>312</v>
      </c>
      <c r="Q150" s="10">
        <f t="shared" si="2"/>
        <v>153.4074146917101</v>
      </c>
      <c r="R150" s="10"/>
      <c r="S150" s="10" t="s">
        <v>2387</v>
      </c>
      <c r="T150" s="10" t="s">
        <v>2387</v>
      </c>
      <c r="U150" s="10"/>
      <c r="V150" s="10"/>
      <c r="W150" s="10"/>
      <c r="X150" s="10"/>
      <c r="Y150" s="10"/>
      <c r="Z150" s="10"/>
      <c r="AA150" s="10"/>
      <c r="AB150" s="10"/>
      <c r="AC150" s="10"/>
      <c r="AD150" s="10"/>
      <c r="AE150" t="s">
        <v>19</v>
      </c>
      <c r="AH150">
        <v>1</v>
      </c>
    </row>
    <row r="151" spans="1:34" ht="29">
      <c r="A151" t="s">
        <v>601</v>
      </c>
      <c r="B151" s="4" t="s">
        <v>1679</v>
      </c>
      <c r="C151" s="4" t="s">
        <v>1680</v>
      </c>
      <c r="G151" s="10" t="s">
        <v>24</v>
      </c>
      <c r="H151" s="10"/>
      <c r="I151" s="10">
        <v>1</v>
      </c>
      <c r="J151" s="10">
        <v>3</v>
      </c>
      <c r="K151" s="10" t="s">
        <v>2168</v>
      </c>
      <c r="L151" s="10" t="s">
        <v>2159</v>
      </c>
      <c r="M151" s="10"/>
      <c r="N151" s="11"/>
      <c r="O151" s="10"/>
      <c r="P151" s="10">
        <v>1701</v>
      </c>
      <c r="Q151" s="10">
        <f t="shared" si="2"/>
        <v>836.36542432884255</v>
      </c>
      <c r="R151" s="10"/>
      <c r="S151" s="10" t="s">
        <v>2387</v>
      </c>
      <c r="T151" s="10" t="s">
        <v>2387</v>
      </c>
      <c r="U151" s="10"/>
      <c r="V151" s="10"/>
      <c r="W151" s="10"/>
      <c r="X151" s="10"/>
      <c r="Y151" s="10"/>
      <c r="Z151" s="10"/>
      <c r="AA151" s="10"/>
      <c r="AB151" s="10"/>
      <c r="AC151" s="10"/>
      <c r="AD151" s="10"/>
      <c r="AE151" t="s">
        <v>19</v>
      </c>
      <c r="AH151">
        <v>1</v>
      </c>
    </row>
    <row r="152" spans="1:34" ht="29">
      <c r="A152" t="s">
        <v>602</v>
      </c>
      <c r="B152" s="4" t="s">
        <v>1689</v>
      </c>
      <c r="C152" s="4" t="s">
        <v>1688</v>
      </c>
      <c r="G152" s="10" t="s">
        <v>24</v>
      </c>
      <c r="H152" s="10"/>
      <c r="I152" s="10">
        <v>1</v>
      </c>
      <c r="J152" s="10">
        <v>1</v>
      </c>
      <c r="K152" s="10" t="s">
        <v>2158</v>
      </c>
      <c r="L152" s="10" t="s">
        <v>2200</v>
      </c>
      <c r="M152" s="10"/>
      <c r="N152" s="11"/>
      <c r="O152" s="10"/>
      <c r="P152" s="10">
        <v>2475</v>
      </c>
      <c r="Q152" s="10">
        <f t="shared" si="2"/>
        <v>1216.9338184678927</v>
      </c>
      <c r="R152" s="10"/>
      <c r="S152" s="10" t="s">
        <v>2387</v>
      </c>
      <c r="T152" s="10" t="s">
        <v>2387</v>
      </c>
      <c r="U152" s="10"/>
      <c r="V152" s="10"/>
      <c r="W152" s="10"/>
      <c r="X152" s="10"/>
      <c r="Y152" s="10"/>
      <c r="Z152" s="10"/>
      <c r="AA152" s="10"/>
      <c r="AB152" s="10"/>
      <c r="AC152" s="10"/>
      <c r="AD152" s="10"/>
      <c r="AE152" t="s">
        <v>19</v>
      </c>
      <c r="AH152">
        <v>1</v>
      </c>
    </row>
    <row r="153" spans="1:34" ht="58">
      <c r="A153" t="s">
        <v>602</v>
      </c>
      <c r="B153" s="4" t="s">
        <v>1690</v>
      </c>
      <c r="C153" s="4" t="s">
        <v>1691</v>
      </c>
      <c r="G153" s="10" t="s">
        <v>25</v>
      </c>
      <c r="H153" s="10"/>
      <c r="I153" s="10">
        <v>1</v>
      </c>
      <c r="J153" s="10">
        <v>3</v>
      </c>
      <c r="K153" s="10" t="s">
        <v>2158</v>
      </c>
      <c r="L153" s="10" t="s">
        <v>2159</v>
      </c>
      <c r="M153" s="10"/>
      <c r="N153" s="11"/>
      <c r="O153" s="10"/>
      <c r="P153" s="10">
        <v>2475</v>
      </c>
      <c r="Q153" s="10">
        <f t="shared" si="2"/>
        <v>1216.9338184678927</v>
      </c>
      <c r="R153" s="10"/>
      <c r="S153" s="10" t="s">
        <v>2387</v>
      </c>
      <c r="T153" s="10" t="s">
        <v>2387</v>
      </c>
      <c r="U153" s="10"/>
      <c r="V153" s="10"/>
      <c r="W153" s="10"/>
      <c r="X153" s="10"/>
      <c r="Y153" s="10"/>
      <c r="Z153" s="10"/>
      <c r="AA153" s="10"/>
      <c r="AB153" s="10"/>
      <c r="AC153" s="10"/>
      <c r="AD153" s="10"/>
      <c r="AE153" t="s">
        <v>19</v>
      </c>
      <c r="AH153">
        <v>1</v>
      </c>
    </row>
    <row r="154" spans="1:34" ht="87">
      <c r="A154" t="s">
        <v>603</v>
      </c>
      <c r="B154" s="4" t="s">
        <v>1693</v>
      </c>
      <c r="C154" s="4" t="s">
        <v>1692</v>
      </c>
      <c r="G154" s="10" t="s">
        <v>25</v>
      </c>
      <c r="H154" s="10"/>
      <c r="I154" s="10">
        <v>1</v>
      </c>
      <c r="J154" s="10">
        <v>3</v>
      </c>
      <c r="K154" s="10" t="s">
        <v>2168</v>
      </c>
      <c r="L154" s="10" t="s">
        <v>2159</v>
      </c>
      <c r="M154" s="10"/>
      <c r="N154" s="11"/>
      <c r="O154" s="10"/>
      <c r="P154" s="10">
        <v>86</v>
      </c>
      <c r="Q154" s="10">
        <f t="shared" si="2"/>
        <v>42.285377126561116</v>
      </c>
      <c r="R154" s="10"/>
      <c r="S154" s="10" t="s">
        <v>2387</v>
      </c>
      <c r="T154" s="10" t="s">
        <v>2387</v>
      </c>
      <c r="U154" s="10"/>
      <c r="V154" s="10"/>
      <c r="W154" s="10"/>
      <c r="X154" s="10"/>
      <c r="Y154" s="10"/>
      <c r="Z154" s="10"/>
      <c r="AA154" s="10"/>
      <c r="AB154" s="10"/>
      <c r="AC154" s="10"/>
      <c r="AD154" s="10"/>
      <c r="AE154" t="s">
        <v>19</v>
      </c>
      <c r="AH154">
        <v>1</v>
      </c>
    </row>
    <row r="155" spans="1:34" ht="87">
      <c r="A155" t="s">
        <v>603</v>
      </c>
      <c r="B155" s="4" t="s">
        <v>1694</v>
      </c>
      <c r="C155" s="4" t="s">
        <v>1692</v>
      </c>
      <c r="G155" s="10" t="s">
        <v>25</v>
      </c>
      <c r="H155" s="10"/>
      <c r="I155" s="10">
        <v>1</v>
      </c>
      <c r="J155" s="10">
        <v>3</v>
      </c>
      <c r="K155" s="10" t="s">
        <v>2168</v>
      </c>
      <c r="L155" s="10" t="s">
        <v>2159</v>
      </c>
      <c r="M155" s="10"/>
      <c r="N155" s="11"/>
      <c r="O155" s="10"/>
      <c r="P155" s="10">
        <v>1701</v>
      </c>
      <c r="Q155" s="10">
        <f t="shared" si="2"/>
        <v>836.36542432884255</v>
      </c>
      <c r="R155" s="10"/>
      <c r="S155" s="10" t="s">
        <v>2387</v>
      </c>
      <c r="T155" s="10" t="s">
        <v>2387</v>
      </c>
      <c r="U155" s="10"/>
      <c r="V155" s="10"/>
      <c r="W155" s="10"/>
      <c r="X155" s="10"/>
      <c r="Y155" s="10"/>
      <c r="Z155" s="10"/>
      <c r="AA155" s="10"/>
      <c r="AB155" s="10"/>
      <c r="AC155" s="10"/>
      <c r="AD155" s="10"/>
      <c r="AE155" t="s">
        <v>19</v>
      </c>
      <c r="AH155">
        <v>1</v>
      </c>
    </row>
    <row r="156" spans="1:34" ht="43.5">
      <c r="A156" t="s">
        <v>603</v>
      </c>
      <c r="B156" s="4" t="s">
        <v>1697</v>
      </c>
      <c r="C156" s="4" t="s">
        <v>1698</v>
      </c>
      <c r="G156" s="10" t="s">
        <v>25</v>
      </c>
      <c r="H156" s="10"/>
      <c r="I156" s="10">
        <v>1</v>
      </c>
      <c r="J156" s="10">
        <v>2</v>
      </c>
      <c r="K156" s="10" t="s">
        <v>2158</v>
      </c>
      <c r="L156" s="10" t="s">
        <v>2200</v>
      </c>
      <c r="M156" s="10"/>
      <c r="N156" s="11"/>
      <c r="O156" s="10"/>
      <c r="P156" s="10">
        <v>2475</v>
      </c>
      <c r="Q156" s="10">
        <f t="shared" si="2"/>
        <v>1216.9338184678927</v>
      </c>
      <c r="R156" s="10"/>
      <c r="S156" s="10" t="s">
        <v>2387</v>
      </c>
      <c r="T156" s="10" t="s">
        <v>2387</v>
      </c>
      <c r="U156" s="10"/>
      <c r="V156" s="10"/>
      <c r="W156" s="10"/>
      <c r="X156" s="10"/>
      <c r="Y156" s="10"/>
      <c r="Z156" s="10"/>
      <c r="AA156" s="10"/>
      <c r="AB156" s="10"/>
      <c r="AC156" s="10"/>
      <c r="AD156" s="10"/>
      <c r="AE156" t="s">
        <v>19</v>
      </c>
      <c r="AH156">
        <v>1</v>
      </c>
    </row>
    <row r="157" spans="1:34" ht="29">
      <c r="A157" t="s">
        <v>604</v>
      </c>
      <c r="B157" s="4" t="s">
        <v>1700</v>
      </c>
      <c r="C157" s="4" t="s">
        <v>1699</v>
      </c>
      <c r="G157" s="10" t="s">
        <v>24</v>
      </c>
      <c r="H157" s="10"/>
      <c r="I157" s="10">
        <v>1</v>
      </c>
      <c r="J157" s="10">
        <v>2</v>
      </c>
      <c r="K157" s="10" t="s">
        <v>2168</v>
      </c>
      <c r="L157" s="10" t="s">
        <v>2200</v>
      </c>
      <c r="M157" s="10"/>
      <c r="N157" s="11"/>
      <c r="O157" s="10"/>
      <c r="P157" s="10">
        <v>171</v>
      </c>
      <c r="Q157" s="10">
        <f t="shared" si="2"/>
        <v>84.079063821418046</v>
      </c>
      <c r="R157" s="10"/>
      <c r="S157" s="10" t="s">
        <v>2387</v>
      </c>
      <c r="T157" s="10" t="s">
        <v>2387</v>
      </c>
      <c r="U157" s="10"/>
      <c r="V157" s="10"/>
      <c r="W157" s="10"/>
      <c r="X157" s="10"/>
      <c r="Y157" s="10"/>
      <c r="Z157" s="10"/>
      <c r="AA157" s="10"/>
      <c r="AB157" s="10"/>
      <c r="AC157" s="10"/>
      <c r="AD157" s="10"/>
      <c r="AE157" t="s">
        <v>19</v>
      </c>
      <c r="AH157">
        <v>1</v>
      </c>
    </row>
    <row r="158" spans="1:34" ht="58">
      <c r="A158" t="s">
        <v>605</v>
      </c>
      <c r="B158" s="4" t="s">
        <v>1703</v>
      </c>
      <c r="C158" s="4" t="s">
        <v>1706</v>
      </c>
      <c r="G158" s="10" t="s">
        <v>24</v>
      </c>
      <c r="H158" s="10"/>
      <c r="I158" s="10">
        <v>1</v>
      </c>
      <c r="J158" s="10">
        <v>2</v>
      </c>
      <c r="K158" s="10" t="s">
        <v>2177</v>
      </c>
      <c r="L158" s="10" t="s">
        <v>2200</v>
      </c>
      <c r="M158" s="10"/>
      <c r="N158" s="11"/>
      <c r="O158" s="10"/>
      <c r="P158" s="10">
        <v>613</v>
      </c>
      <c r="Q158" s="10">
        <f t="shared" si="2"/>
        <v>301.40623463467404</v>
      </c>
      <c r="R158" s="10"/>
      <c r="S158" s="10" t="s">
        <v>2387</v>
      </c>
      <c r="T158" s="10" t="s">
        <v>2387</v>
      </c>
      <c r="U158" s="10"/>
      <c r="V158" s="10"/>
      <c r="W158" s="10"/>
      <c r="X158" s="10"/>
      <c r="Y158" s="10"/>
      <c r="Z158" s="10"/>
      <c r="AA158" s="10"/>
      <c r="AB158" s="10"/>
      <c r="AC158" s="10"/>
      <c r="AD158" s="10"/>
      <c r="AE158" t="s">
        <v>19</v>
      </c>
      <c r="AH158">
        <v>1</v>
      </c>
    </row>
    <row r="159" spans="1:34" ht="43.5">
      <c r="A159" t="s">
        <v>608</v>
      </c>
      <c r="B159" s="4" t="s">
        <v>1716</v>
      </c>
      <c r="C159" s="4" t="s">
        <v>1715</v>
      </c>
      <c r="G159" s="10" t="s">
        <v>25</v>
      </c>
      <c r="H159" s="10"/>
      <c r="I159" s="10">
        <v>1</v>
      </c>
      <c r="J159" s="10">
        <v>3</v>
      </c>
      <c r="K159" s="10" t="s">
        <v>2175</v>
      </c>
      <c r="L159" s="10" t="s">
        <v>2159</v>
      </c>
      <c r="M159" s="10"/>
      <c r="N159" s="11"/>
      <c r="O159" s="10"/>
      <c r="P159" s="10">
        <v>768</v>
      </c>
      <c r="Q159" s="10">
        <f t="shared" si="2"/>
        <v>377.6182515488249</v>
      </c>
      <c r="R159" s="10"/>
      <c r="S159" s="10" t="s">
        <v>2387</v>
      </c>
      <c r="T159" s="10" t="s">
        <v>2387</v>
      </c>
      <c r="U159" s="10"/>
      <c r="V159" s="10"/>
      <c r="W159" s="10"/>
      <c r="X159" s="10"/>
      <c r="Y159" s="10"/>
      <c r="Z159" s="10"/>
      <c r="AA159" s="10"/>
      <c r="AB159" s="10"/>
      <c r="AC159" s="10"/>
      <c r="AD159" s="10"/>
      <c r="AE159" t="s">
        <v>19</v>
      </c>
      <c r="AH159">
        <v>1</v>
      </c>
    </row>
    <row r="160" spans="1:34" ht="29">
      <c r="A160" t="s">
        <v>609</v>
      </c>
      <c r="B160" s="4" t="s">
        <v>1717</v>
      </c>
      <c r="C160" s="4" t="s">
        <v>1718</v>
      </c>
      <c r="F160" t="s">
        <v>23</v>
      </c>
      <c r="G160" s="10" t="s">
        <v>25</v>
      </c>
      <c r="H160" s="10"/>
      <c r="I160" s="10">
        <v>1</v>
      </c>
      <c r="J160" s="10">
        <v>3</v>
      </c>
      <c r="K160" s="10" t="s">
        <v>2158</v>
      </c>
      <c r="L160" s="10" t="s">
        <v>2159</v>
      </c>
      <c r="M160" s="10"/>
      <c r="N160" s="11"/>
      <c r="O160" s="10"/>
      <c r="P160" s="10">
        <v>2475</v>
      </c>
      <c r="Q160" s="10">
        <f t="shared" si="2"/>
        <v>1216.9338184678927</v>
      </c>
      <c r="R160" s="10"/>
      <c r="S160" s="10" t="s">
        <v>2387</v>
      </c>
      <c r="T160" s="10" t="s">
        <v>2387</v>
      </c>
      <c r="U160" s="10"/>
      <c r="V160" s="10"/>
      <c r="W160" s="10"/>
      <c r="X160" s="10"/>
      <c r="Y160" s="10"/>
      <c r="Z160" s="10"/>
      <c r="AA160" s="10"/>
      <c r="AB160" s="10"/>
      <c r="AC160" s="10"/>
      <c r="AD160" s="10"/>
      <c r="AE160" t="s">
        <v>20</v>
      </c>
      <c r="AH160">
        <v>0</v>
      </c>
    </row>
    <row r="161" spans="1:34" ht="43.5">
      <c r="A161" t="s">
        <v>610</v>
      </c>
      <c r="B161" s="4" t="s">
        <v>1722</v>
      </c>
      <c r="C161" s="4" t="s">
        <v>1719</v>
      </c>
      <c r="G161" s="10" t="s">
        <v>25</v>
      </c>
      <c r="H161" s="10"/>
      <c r="I161" s="10">
        <v>1</v>
      </c>
      <c r="J161" s="10">
        <v>3</v>
      </c>
      <c r="K161" s="10" t="s">
        <v>2168</v>
      </c>
      <c r="L161" s="10" t="s">
        <v>2159</v>
      </c>
      <c r="M161" s="10"/>
      <c r="N161" s="11"/>
      <c r="O161" s="10"/>
      <c r="P161" s="10">
        <v>1701</v>
      </c>
      <c r="Q161" s="10">
        <f t="shared" si="2"/>
        <v>836.36542432884255</v>
      </c>
      <c r="R161" s="10"/>
      <c r="S161" s="10" t="s">
        <v>2387</v>
      </c>
      <c r="T161" s="10" t="s">
        <v>2387</v>
      </c>
      <c r="U161" s="10"/>
      <c r="V161" s="10"/>
      <c r="W161" s="10"/>
      <c r="X161" s="10"/>
      <c r="Y161" s="10"/>
      <c r="Z161" s="10"/>
      <c r="AA161" s="10"/>
      <c r="AB161" s="10"/>
      <c r="AC161" s="10"/>
      <c r="AD161" s="10"/>
      <c r="AE161" t="s">
        <v>19</v>
      </c>
      <c r="AH161">
        <v>1</v>
      </c>
    </row>
    <row r="162" spans="1:34" ht="29">
      <c r="A162" t="s">
        <v>613</v>
      </c>
      <c r="B162" s="4" t="s">
        <v>1724</v>
      </c>
      <c r="C162" s="4" t="s">
        <v>1723</v>
      </c>
      <c r="G162" s="10" t="s">
        <v>24</v>
      </c>
      <c r="H162" s="10"/>
      <c r="I162" s="10">
        <v>1</v>
      </c>
      <c r="J162" s="10">
        <v>2</v>
      </c>
      <c r="K162" s="10" t="s">
        <v>2158</v>
      </c>
      <c r="L162" s="10" t="s">
        <v>2200</v>
      </c>
      <c r="M162" s="10"/>
      <c r="N162" s="11"/>
      <c r="O162" s="10"/>
      <c r="P162" s="10">
        <v>2475</v>
      </c>
      <c r="Q162" s="10">
        <f t="shared" si="2"/>
        <v>1216.9338184678927</v>
      </c>
      <c r="R162" s="10"/>
      <c r="S162" s="10" t="s">
        <v>2387</v>
      </c>
      <c r="T162" s="10" t="s">
        <v>2387</v>
      </c>
      <c r="U162" s="10"/>
      <c r="V162" s="10"/>
      <c r="W162" s="10"/>
      <c r="X162" s="10"/>
      <c r="Y162" s="10"/>
      <c r="Z162" s="10"/>
      <c r="AA162" s="10"/>
      <c r="AB162" s="10"/>
      <c r="AC162" s="10"/>
      <c r="AD162" s="10"/>
      <c r="AE162" t="s">
        <v>19</v>
      </c>
      <c r="AH162">
        <v>1</v>
      </c>
    </row>
    <row r="163" spans="1:34" ht="29">
      <c r="A163" t="s">
        <v>614</v>
      </c>
      <c r="B163" s="4" t="s">
        <v>1727</v>
      </c>
      <c r="C163" s="4" t="s">
        <v>1728</v>
      </c>
      <c r="G163" s="10" t="s">
        <v>25</v>
      </c>
      <c r="H163" s="10"/>
      <c r="I163" s="10">
        <v>1</v>
      </c>
      <c r="J163" s="10">
        <v>3</v>
      </c>
      <c r="K163" s="10" t="s">
        <v>2158</v>
      </c>
      <c r="L163" s="10" t="s">
        <v>2159</v>
      </c>
      <c r="M163" s="10"/>
      <c r="N163" s="11"/>
      <c r="O163" s="10"/>
      <c r="P163" s="10">
        <v>2475</v>
      </c>
      <c r="Q163" s="10">
        <f t="shared" si="2"/>
        <v>1216.9338184678927</v>
      </c>
      <c r="R163" s="10"/>
      <c r="S163" s="10" t="s">
        <v>2387</v>
      </c>
      <c r="T163" s="10" t="s">
        <v>2387</v>
      </c>
      <c r="U163" s="10"/>
      <c r="V163" s="10"/>
      <c r="W163" s="10"/>
      <c r="X163" s="10"/>
      <c r="Y163" s="10"/>
      <c r="Z163" s="10"/>
      <c r="AA163" s="10"/>
      <c r="AB163" s="10"/>
      <c r="AC163" s="10"/>
      <c r="AD163" s="10"/>
      <c r="AE163" t="s">
        <v>19</v>
      </c>
      <c r="AH163">
        <v>1</v>
      </c>
    </row>
    <row r="164" spans="1:34" ht="87">
      <c r="A164" t="s">
        <v>616</v>
      </c>
      <c r="B164" s="4" t="s">
        <v>1733</v>
      </c>
      <c r="C164" s="4" t="s">
        <v>2299</v>
      </c>
      <c r="G164" s="10" t="s">
        <v>24</v>
      </c>
      <c r="H164" s="10"/>
      <c r="I164" s="10">
        <v>1</v>
      </c>
      <c r="J164" s="10">
        <v>3</v>
      </c>
      <c r="K164" s="10" t="s">
        <v>2168</v>
      </c>
      <c r="L164" s="10" t="s">
        <v>2159</v>
      </c>
      <c r="M164" s="10"/>
      <c r="N164" s="11"/>
      <c r="O164" s="10"/>
      <c r="P164" s="10">
        <v>1701</v>
      </c>
      <c r="Q164" s="10">
        <f t="shared" si="2"/>
        <v>836.36542432884255</v>
      </c>
      <c r="R164" s="10"/>
      <c r="S164" s="10" t="s">
        <v>2387</v>
      </c>
      <c r="T164" s="10" t="s">
        <v>2387</v>
      </c>
      <c r="U164" s="10"/>
      <c r="V164" s="10"/>
      <c r="W164" s="10"/>
      <c r="X164" s="10"/>
      <c r="Y164" s="10"/>
      <c r="Z164" s="10"/>
      <c r="AA164" s="10"/>
      <c r="AB164" s="10"/>
      <c r="AC164" s="10"/>
      <c r="AD164" s="10"/>
      <c r="AE164" t="s">
        <v>20</v>
      </c>
      <c r="AH164">
        <v>0</v>
      </c>
    </row>
    <row r="165" spans="1:34" ht="29">
      <c r="A165" t="s">
        <v>616</v>
      </c>
      <c r="B165" s="4" t="s">
        <v>1734</v>
      </c>
      <c r="C165" s="4" t="s">
        <v>1735</v>
      </c>
      <c r="G165" s="10" t="s">
        <v>25</v>
      </c>
      <c r="H165" s="10"/>
      <c r="I165" s="10">
        <v>1</v>
      </c>
      <c r="J165" s="10">
        <v>1</v>
      </c>
      <c r="K165" s="10" t="s">
        <v>2152</v>
      </c>
      <c r="L165" s="10" t="s">
        <v>2200</v>
      </c>
      <c r="M165" s="10"/>
      <c r="N165" s="11"/>
      <c r="O165" s="10"/>
      <c r="P165" s="10">
        <v>5</v>
      </c>
      <c r="Q165" s="10">
        <f t="shared" si="2"/>
        <v>2.4584521585209949</v>
      </c>
      <c r="R165" s="10"/>
      <c r="S165" s="10" t="s">
        <v>2387</v>
      </c>
      <c r="T165" s="10" t="s">
        <v>2387</v>
      </c>
      <c r="U165" s="10"/>
      <c r="V165" s="10"/>
      <c r="W165" s="10"/>
      <c r="X165" s="10"/>
      <c r="Y165" s="10"/>
      <c r="Z165" s="10"/>
      <c r="AA165" s="10"/>
      <c r="AB165" s="10"/>
      <c r="AC165" s="10"/>
      <c r="AD165" s="10"/>
      <c r="AE165" t="s">
        <v>19</v>
      </c>
      <c r="AH165">
        <v>1</v>
      </c>
    </row>
    <row r="166" spans="1:34" ht="43.5">
      <c r="A166" t="s">
        <v>620</v>
      </c>
      <c r="B166" s="4" t="s">
        <v>1739</v>
      </c>
      <c r="C166" s="4" t="s">
        <v>1738</v>
      </c>
      <c r="G166" s="10" t="s">
        <v>25</v>
      </c>
      <c r="H166" s="10"/>
      <c r="I166" s="10">
        <v>1</v>
      </c>
      <c r="J166" s="10">
        <v>3</v>
      </c>
      <c r="K166" s="10" t="s">
        <v>2175</v>
      </c>
      <c r="L166" s="10" t="s">
        <v>2159</v>
      </c>
      <c r="M166" s="10"/>
      <c r="N166" s="11"/>
      <c r="O166" s="10"/>
      <c r="P166" s="10">
        <v>743</v>
      </c>
      <c r="Q166" s="10">
        <f t="shared" si="2"/>
        <v>365.32599075621988</v>
      </c>
      <c r="R166" s="10"/>
      <c r="S166" s="10" t="s">
        <v>2387</v>
      </c>
      <c r="T166" s="10" t="s">
        <v>2387</v>
      </c>
      <c r="U166" s="10"/>
      <c r="V166" s="10"/>
      <c r="W166" s="10"/>
      <c r="X166" s="10"/>
      <c r="Y166" s="10"/>
      <c r="Z166" s="10"/>
      <c r="AA166" s="10"/>
      <c r="AB166" s="10"/>
      <c r="AC166" s="10"/>
      <c r="AD166" s="10"/>
      <c r="AE166" t="s">
        <v>19</v>
      </c>
      <c r="AH166">
        <v>1</v>
      </c>
    </row>
    <row r="167" spans="1:34" ht="29">
      <c r="A167" t="s">
        <v>621</v>
      </c>
      <c r="B167" s="4" t="s">
        <v>1741</v>
      </c>
      <c r="C167" s="4" t="s">
        <v>1740</v>
      </c>
      <c r="G167" s="10" t="s">
        <v>25</v>
      </c>
      <c r="H167" s="10"/>
      <c r="I167" s="10">
        <v>1</v>
      </c>
      <c r="J167" s="10">
        <v>3</v>
      </c>
      <c r="K167" s="10" t="s">
        <v>2158</v>
      </c>
      <c r="L167" s="10" t="s">
        <v>2159</v>
      </c>
      <c r="M167" s="10"/>
      <c r="N167" s="11"/>
      <c r="O167" s="10"/>
      <c r="P167" s="10">
        <v>2475</v>
      </c>
      <c r="Q167" s="10">
        <f t="shared" si="2"/>
        <v>1216.9338184678927</v>
      </c>
      <c r="R167" s="10"/>
      <c r="S167" s="10" t="s">
        <v>2387</v>
      </c>
      <c r="T167" s="10" t="s">
        <v>2387</v>
      </c>
      <c r="U167" s="10"/>
      <c r="V167" s="10"/>
      <c r="W167" s="10"/>
      <c r="X167" s="10"/>
      <c r="Y167" s="10"/>
      <c r="Z167" s="10"/>
      <c r="AA167" s="10"/>
      <c r="AB167" s="10"/>
      <c r="AC167" s="10"/>
      <c r="AD167" s="10"/>
      <c r="AE167" t="s">
        <v>19</v>
      </c>
      <c r="AH167">
        <v>1</v>
      </c>
    </row>
    <row r="168" spans="1:34" ht="29">
      <c r="A168" t="s">
        <v>625</v>
      </c>
      <c r="B168" s="4" t="s">
        <v>1744</v>
      </c>
      <c r="C168" s="4" t="s">
        <v>1745</v>
      </c>
      <c r="G168" s="10" t="s">
        <v>24</v>
      </c>
      <c r="H168" s="10"/>
      <c r="I168" s="10">
        <v>1</v>
      </c>
      <c r="J168" s="10">
        <v>2</v>
      </c>
      <c r="K168" s="10" t="s">
        <v>2168</v>
      </c>
      <c r="L168" s="10" t="s">
        <v>2200</v>
      </c>
      <c r="M168" s="10"/>
      <c r="N168" s="11"/>
      <c r="O168" s="10"/>
      <c r="P168" s="10">
        <v>171</v>
      </c>
      <c r="Q168" s="10">
        <f t="shared" si="2"/>
        <v>84.079063821418046</v>
      </c>
      <c r="R168" s="10"/>
      <c r="S168" s="10" t="s">
        <v>2387</v>
      </c>
      <c r="T168" s="10" t="s">
        <v>2387</v>
      </c>
      <c r="U168" s="10"/>
      <c r="V168" s="10"/>
      <c r="W168" s="10"/>
      <c r="X168" s="10"/>
      <c r="Y168" s="10"/>
      <c r="Z168" s="10"/>
      <c r="AA168" s="10"/>
      <c r="AB168" s="10"/>
      <c r="AC168" s="10"/>
      <c r="AD168" s="10"/>
      <c r="AE168" t="s">
        <v>19</v>
      </c>
      <c r="AH168">
        <v>1</v>
      </c>
    </row>
    <row r="169" spans="1:34" ht="43.5">
      <c r="A169" t="s">
        <v>627</v>
      </c>
      <c r="B169" s="4" t="s">
        <v>1748</v>
      </c>
      <c r="C169" s="4" t="s">
        <v>1749</v>
      </c>
      <c r="G169" s="10" t="s">
        <v>25</v>
      </c>
      <c r="H169" s="10"/>
      <c r="I169" s="10">
        <v>1</v>
      </c>
      <c r="J169" s="10">
        <v>2</v>
      </c>
      <c r="K169" s="10" t="s">
        <v>2158</v>
      </c>
      <c r="L169" s="10" t="s">
        <v>2200</v>
      </c>
      <c r="M169" s="10"/>
      <c r="N169" s="11"/>
      <c r="O169" s="10"/>
      <c r="P169" s="10">
        <v>2475</v>
      </c>
      <c r="Q169" s="10">
        <f t="shared" si="2"/>
        <v>1216.9338184678927</v>
      </c>
      <c r="R169" s="10"/>
      <c r="S169" s="10" t="s">
        <v>2387</v>
      </c>
      <c r="T169" s="10" t="s">
        <v>2387</v>
      </c>
      <c r="U169" s="10"/>
      <c r="V169" s="10"/>
      <c r="W169" s="10"/>
      <c r="X169" s="10"/>
      <c r="Y169" s="10"/>
      <c r="Z169" s="10"/>
      <c r="AA169" s="10"/>
      <c r="AB169" s="10"/>
      <c r="AC169" s="10"/>
      <c r="AD169" s="10"/>
      <c r="AE169" t="s">
        <v>19</v>
      </c>
      <c r="AH169">
        <v>1</v>
      </c>
    </row>
    <row r="170" spans="1:34" ht="29">
      <c r="A170" t="s">
        <v>630</v>
      </c>
      <c r="B170" s="4" t="s">
        <v>1752</v>
      </c>
      <c r="C170" s="4" t="s">
        <v>1753</v>
      </c>
      <c r="G170" s="10" t="s">
        <v>25</v>
      </c>
      <c r="H170" s="10"/>
      <c r="I170" s="10">
        <v>1</v>
      </c>
      <c r="J170" s="10">
        <v>2</v>
      </c>
      <c r="K170" s="10" t="s">
        <v>2168</v>
      </c>
      <c r="L170" s="10" t="s">
        <v>2200</v>
      </c>
      <c r="M170" s="10"/>
      <c r="N170" s="11"/>
      <c r="O170" s="10"/>
      <c r="P170" s="10">
        <v>171</v>
      </c>
      <c r="Q170" s="10">
        <f t="shared" si="2"/>
        <v>84.079063821418046</v>
      </c>
      <c r="R170" s="10"/>
      <c r="S170" s="10" t="s">
        <v>2387</v>
      </c>
      <c r="T170" s="10" t="s">
        <v>2387</v>
      </c>
      <c r="U170" s="10"/>
      <c r="V170" s="10"/>
      <c r="W170" s="10"/>
      <c r="X170" s="10"/>
      <c r="Y170" s="10"/>
      <c r="Z170" s="10"/>
      <c r="AA170" s="10"/>
      <c r="AB170" s="10"/>
      <c r="AC170" s="10"/>
      <c r="AD170" s="10"/>
      <c r="AE170" t="s">
        <v>19</v>
      </c>
      <c r="AH170">
        <v>1</v>
      </c>
    </row>
    <row r="171" spans="1:34" ht="43.5">
      <c r="A171" t="s">
        <v>633</v>
      </c>
      <c r="B171" s="4" t="s">
        <v>1756</v>
      </c>
      <c r="C171" s="4" t="s">
        <v>1757</v>
      </c>
      <c r="G171" s="10" t="s">
        <v>25</v>
      </c>
      <c r="H171" s="10"/>
      <c r="I171" s="10">
        <v>1</v>
      </c>
      <c r="J171" s="10">
        <v>3</v>
      </c>
      <c r="K171" s="10" t="s">
        <v>2158</v>
      </c>
      <c r="L171" s="10" t="s">
        <v>2159</v>
      </c>
      <c r="M171" s="10"/>
      <c r="N171" s="11"/>
      <c r="O171" s="10"/>
      <c r="P171" s="10">
        <v>2475</v>
      </c>
      <c r="Q171" s="10">
        <f t="shared" si="2"/>
        <v>1216.9338184678927</v>
      </c>
      <c r="R171" s="10"/>
      <c r="S171" s="10" t="s">
        <v>2387</v>
      </c>
      <c r="T171" s="10" t="s">
        <v>2387</v>
      </c>
      <c r="U171" s="10"/>
      <c r="V171" s="10"/>
      <c r="W171" s="10"/>
      <c r="X171" s="10"/>
      <c r="Y171" s="10"/>
      <c r="Z171" s="10"/>
      <c r="AA171" s="10"/>
      <c r="AB171" s="10"/>
      <c r="AC171" s="10"/>
      <c r="AD171" s="10"/>
      <c r="AE171" t="s">
        <v>19</v>
      </c>
      <c r="AH171">
        <v>1</v>
      </c>
    </row>
    <row r="172" spans="1:34" ht="72.5">
      <c r="A172" t="s">
        <v>638</v>
      </c>
      <c r="B172" s="4" t="s">
        <v>1763</v>
      </c>
      <c r="C172" s="4" t="s">
        <v>1760</v>
      </c>
      <c r="G172" s="10" t="s">
        <v>25</v>
      </c>
      <c r="H172" s="10"/>
      <c r="I172" s="10">
        <v>1</v>
      </c>
      <c r="J172" s="10">
        <v>3</v>
      </c>
      <c r="K172" s="10" t="s">
        <v>2158</v>
      </c>
      <c r="L172" s="10" t="s">
        <v>2159</v>
      </c>
      <c r="M172" s="10"/>
      <c r="N172" s="11"/>
      <c r="O172" s="10"/>
      <c r="P172" s="10">
        <v>2475</v>
      </c>
      <c r="Q172" s="10">
        <f t="shared" si="2"/>
        <v>1216.9338184678927</v>
      </c>
      <c r="R172" s="10"/>
      <c r="S172" s="10" t="s">
        <v>2387</v>
      </c>
      <c r="T172" s="10" t="s">
        <v>2387</v>
      </c>
      <c r="U172" s="10"/>
      <c r="V172" s="10"/>
      <c r="W172" s="10"/>
      <c r="X172" s="10"/>
      <c r="Y172" s="10"/>
      <c r="Z172" s="10"/>
      <c r="AA172" s="10"/>
      <c r="AB172" s="10"/>
      <c r="AC172" s="10"/>
      <c r="AD172" s="10"/>
      <c r="AE172" t="s">
        <v>19</v>
      </c>
      <c r="AH172">
        <v>1</v>
      </c>
    </row>
    <row r="173" spans="1:34" ht="58">
      <c r="A173" t="s">
        <v>641</v>
      </c>
      <c r="B173" s="4" t="s">
        <v>1770</v>
      </c>
      <c r="C173" s="4" t="s">
        <v>1769</v>
      </c>
      <c r="G173" s="10" t="s">
        <v>25</v>
      </c>
      <c r="H173" s="10"/>
      <c r="I173" s="10">
        <v>1</v>
      </c>
      <c r="J173" s="10">
        <v>5</v>
      </c>
      <c r="K173" s="10" t="s">
        <v>2152</v>
      </c>
      <c r="L173" s="10" t="s">
        <v>2159</v>
      </c>
      <c r="M173" s="10"/>
      <c r="N173" s="11"/>
      <c r="O173" s="10"/>
      <c r="P173" s="10">
        <v>15</v>
      </c>
      <c r="Q173" s="10">
        <f t="shared" si="2"/>
        <v>7.3753564755629855</v>
      </c>
      <c r="R173" s="10"/>
      <c r="S173" s="10" t="s">
        <v>2387</v>
      </c>
      <c r="T173" s="10" t="s">
        <v>2387</v>
      </c>
      <c r="U173" s="10"/>
      <c r="V173" s="10"/>
      <c r="W173" s="10"/>
      <c r="X173" s="10"/>
      <c r="Y173" s="10"/>
      <c r="Z173" s="10"/>
      <c r="AA173" s="10"/>
      <c r="AB173" s="10"/>
      <c r="AC173" s="10"/>
      <c r="AD173" s="10"/>
      <c r="AE173" t="s">
        <v>19</v>
      </c>
      <c r="AH173">
        <v>1</v>
      </c>
    </row>
    <row r="174" spans="1:34" ht="29">
      <c r="A174" t="s">
        <v>641</v>
      </c>
      <c r="B174" s="4" t="s">
        <v>1773</v>
      </c>
      <c r="C174" s="4" t="s">
        <v>1774</v>
      </c>
      <c r="G174" s="10" t="s">
        <v>24</v>
      </c>
      <c r="H174" s="10"/>
      <c r="I174" s="10">
        <v>1</v>
      </c>
      <c r="J174" s="10">
        <v>3</v>
      </c>
      <c r="K174" s="10" t="s">
        <v>2168</v>
      </c>
      <c r="L174" s="10" t="s">
        <v>2159</v>
      </c>
      <c r="M174" s="10"/>
      <c r="N174" s="11"/>
      <c r="O174" s="10"/>
      <c r="P174" s="10">
        <v>1701</v>
      </c>
      <c r="Q174" s="10">
        <f t="shared" si="2"/>
        <v>836.36542432884255</v>
      </c>
      <c r="R174" s="10"/>
      <c r="S174" s="10" t="s">
        <v>2387</v>
      </c>
      <c r="T174" s="10" t="s">
        <v>2387</v>
      </c>
      <c r="U174" s="10"/>
      <c r="V174" s="10"/>
      <c r="W174" s="10"/>
      <c r="X174" s="10"/>
      <c r="Y174" s="10"/>
      <c r="Z174" s="10"/>
      <c r="AA174" s="10"/>
      <c r="AB174" s="10"/>
      <c r="AC174" s="10"/>
      <c r="AD174" s="10"/>
      <c r="AE174" t="s">
        <v>19</v>
      </c>
      <c r="AH174">
        <v>1</v>
      </c>
    </row>
    <row r="175" spans="1:34" ht="188.5">
      <c r="A175" t="s">
        <v>642</v>
      </c>
      <c r="B175" s="4" t="s">
        <v>1775</v>
      </c>
      <c r="C175" s="4" t="s">
        <v>1780</v>
      </c>
      <c r="G175" s="10" t="s">
        <v>24</v>
      </c>
      <c r="H175" s="10"/>
      <c r="I175" s="10">
        <v>1</v>
      </c>
      <c r="J175" s="10">
        <v>3</v>
      </c>
      <c r="K175" s="10" t="s">
        <v>2168</v>
      </c>
      <c r="L175" s="10" t="s">
        <v>2159</v>
      </c>
      <c r="M175" s="10"/>
      <c r="N175" s="10"/>
      <c r="O175" s="10"/>
      <c r="P175" s="10">
        <v>1701</v>
      </c>
      <c r="Q175" s="10">
        <f t="shared" si="2"/>
        <v>836.36542432884255</v>
      </c>
      <c r="R175" s="10"/>
      <c r="S175" s="10" t="s">
        <v>2387</v>
      </c>
      <c r="T175" s="10" t="s">
        <v>2387</v>
      </c>
      <c r="U175" s="10"/>
      <c r="V175" s="10"/>
      <c r="W175" s="10"/>
      <c r="X175" s="10"/>
      <c r="Y175" s="10"/>
      <c r="Z175" s="10"/>
      <c r="AA175" s="10"/>
      <c r="AB175" s="10"/>
      <c r="AC175" s="10"/>
      <c r="AD175" s="10"/>
      <c r="AE175" t="s">
        <v>19</v>
      </c>
      <c r="AH175">
        <v>1</v>
      </c>
    </row>
    <row r="176" spans="1:34" ht="188.5">
      <c r="A176" t="s">
        <v>647</v>
      </c>
      <c r="B176" s="4" t="s">
        <v>1792</v>
      </c>
      <c r="C176" s="4" t="s">
        <v>1793</v>
      </c>
      <c r="F176" t="s">
        <v>19</v>
      </c>
      <c r="G176" s="10" t="s">
        <v>25</v>
      </c>
      <c r="H176" s="10"/>
      <c r="I176" s="10">
        <v>8</v>
      </c>
      <c r="J176" s="10">
        <v>45</v>
      </c>
      <c r="K176" s="10"/>
      <c r="L176" s="10" t="s">
        <v>2153</v>
      </c>
      <c r="M176" s="10" t="s">
        <v>2244</v>
      </c>
      <c r="N176" s="11" t="s">
        <v>2275</v>
      </c>
      <c r="O176" s="10"/>
      <c r="P176" s="10">
        <v>1</v>
      </c>
      <c r="Q176" s="10">
        <f t="shared" si="2"/>
        <v>0.49169043170419907</v>
      </c>
      <c r="R176" s="10"/>
      <c r="S176" s="10" t="s">
        <v>2387</v>
      </c>
      <c r="T176" s="10" t="s">
        <v>2387</v>
      </c>
      <c r="U176" s="10"/>
      <c r="V176" s="10"/>
      <c r="W176" s="10"/>
      <c r="X176" s="10"/>
      <c r="Y176" s="10"/>
      <c r="Z176" s="10"/>
      <c r="AA176" s="10"/>
      <c r="AB176" s="10"/>
      <c r="AC176" s="10"/>
      <c r="AD176" s="10"/>
      <c r="AE176" t="s">
        <v>19</v>
      </c>
      <c r="AH176">
        <v>1</v>
      </c>
    </row>
    <row r="177" spans="1:34" ht="58">
      <c r="A177" t="s">
        <v>648</v>
      </c>
      <c r="B177" s="4" t="s">
        <v>1799</v>
      </c>
      <c r="C177" s="4" t="s">
        <v>1796</v>
      </c>
      <c r="G177" s="10" t="s">
        <v>25</v>
      </c>
      <c r="H177" s="10"/>
      <c r="I177" s="10">
        <v>1</v>
      </c>
      <c r="J177" s="10">
        <v>3</v>
      </c>
      <c r="K177" s="10" t="s">
        <v>2158</v>
      </c>
      <c r="L177" s="10" t="s">
        <v>2153</v>
      </c>
      <c r="M177" s="10" t="s">
        <v>2231</v>
      </c>
      <c r="N177" s="11" t="s">
        <v>2230</v>
      </c>
      <c r="O177" s="10"/>
      <c r="P177" s="10">
        <v>2475</v>
      </c>
      <c r="Q177" s="10">
        <f t="shared" si="2"/>
        <v>1216.9338184678927</v>
      </c>
      <c r="R177" s="10"/>
      <c r="S177" s="10" t="s">
        <v>2387</v>
      </c>
      <c r="T177" s="10" t="s">
        <v>2387</v>
      </c>
      <c r="U177" s="10"/>
      <c r="V177" s="10"/>
      <c r="W177" s="10"/>
      <c r="X177" s="10"/>
      <c r="Y177" s="10"/>
      <c r="Z177" s="10"/>
      <c r="AA177" s="10"/>
      <c r="AB177" s="10"/>
      <c r="AC177" s="10"/>
      <c r="AD177" s="10"/>
      <c r="AE177" t="s">
        <v>19</v>
      </c>
      <c r="AH177">
        <v>1</v>
      </c>
    </row>
    <row r="178" spans="1:34" ht="29">
      <c r="A178" t="s">
        <v>649</v>
      </c>
      <c r="B178" s="4" t="s">
        <v>1800</v>
      </c>
      <c r="C178" s="4" t="s">
        <v>1801</v>
      </c>
      <c r="G178" s="10" t="s">
        <v>25</v>
      </c>
      <c r="H178" s="10"/>
      <c r="I178" s="10">
        <v>1</v>
      </c>
      <c r="J178" s="10">
        <v>3</v>
      </c>
      <c r="K178" s="10" t="s">
        <v>2152</v>
      </c>
      <c r="L178" s="10" t="s">
        <v>2159</v>
      </c>
      <c r="M178" s="10"/>
      <c r="N178" s="11"/>
      <c r="O178" s="10"/>
      <c r="P178" s="10">
        <v>44</v>
      </c>
      <c r="Q178" s="10">
        <f t="shared" si="2"/>
        <v>21.634378994984761</v>
      </c>
      <c r="R178" s="10"/>
      <c r="S178" s="10" t="s">
        <v>2387</v>
      </c>
      <c r="T178" s="10" t="s">
        <v>2387</v>
      </c>
      <c r="U178" s="10" t="s">
        <v>2198</v>
      </c>
      <c r="V178" s="10"/>
      <c r="W178" s="10"/>
      <c r="X178" s="10"/>
      <c r="Y178" s="10"/>
      <c r="Z178" s="10"/>
      <c r="AA178" s="10"/>
      <c r="AB178" s="10"/>
      <c r="AC178" s="10"/>
      <c r="AD178" s="10"/>
      <c r="AE178" t="s">
        <v>19</v>
      </c>
      <c r="AH178">
        <v>1</v>
      </c>
    </row>
    <row r="179" spans="1:34" ht="72.5">
      <c r="A179" t="s">
        <v>652</v>
      </c>
      <c r="B179" s="4" t="s">
        <v>1807</v>
      </c>
      <c r="C179" s="4" t="s">
        <v>1802</v>
      </c>
      <c r="G179" s="10" t="s">
        <v>25</v>
      </c>
      <c r="H179" s="10"/>
      <c r="I179" s="10">
        <v>1</v>
      </c>
      <c r="J179" s="10">
        <v>3</v>
      </c>
      <c r="K179" s="10" t="s">
        <v>2168</v>
      </c>
      <c r="L179" s="10" t="s">
        <v>2159</v>
      </c>
      <c r="M179" s="10"/>
      <c r="N179" s="11"/>
      <c r="O179" s="10"/>
      <c r="P179" s="10">
        <v>186</v>
      </c>
      <c r="Q179" s="10">
        <f t="shared" si="2"/>
        <v>91.454420296981013</v>
      </c>
      <c r="R179" s="10"/>
      <c r="S179" s="10" t="s">
        <v>2387</v>
      </c>
      <c r="T179" s="10" t="s">
        <v>2387</v>
      </c>
      <c r="U179" s="10"/>
      <c r="V179" s="10"/>
      <c r="W179" s="10"/>
      <c r="X179" s="10"/>
      <c r="Y179" s="10"/>
      <c r="Z179" s="10"/>
      <c r="AA179" s="10"/>
      <c r="AB179" s="10"/>
      <c r="AC179" s="10"/>
      <c r="AD179" s="10"/>
      <c r="AE179" t="s">
        <v>19</v>
      </c>
      <c r="AH179">
        <v>1</v>
      </c>
    </row>
    <row r="180" spans="1:34" ht="29">
      <c r="A180" t="s">
        <v>653</v>
      </c>
      <c r="B180" s="4" t="s">
        <v>1808</v>
      </c>
      <c r="C180" s="4" t="s">
        <v>1809</v>
      </c>
      <c r="F180" t="s">
        <v>19</v>
      </c>
      <c r="G180" s="10" t="s">
        <v>25</v>
      </c>
      <c r="H180" s="10"/>
      <c r="I180" s="10">
        <v>1</v>
      </c>
      <c r="J180" s="10">
        <v>3</v>
      </c>
      <c r="K180" s="10" t="s">
        <v>2179</v>
      </c>
      <c r="L180" s="10" t="s">
        <v>2159</v>
      </c>
      <c r="M180" s="10"/>
      <c r="N180" s="11"/>
      <c r="O180" s="10"/>
      <c r="P180" s="10">
        <v>204</v>
      </c>
      <c r="Q180" s="10">
        <f t="shared" si="2"/>
        <v>100.30484806765661</v>
      </c>
      <c r="R180" s="10"/>
      <c r="S180" s="10" t="s">
        <v>2387</v>
      </c>
      <c r="T180" s="10" t="s">
        <v>2387</v>
      </c>
      <c r="U180" s="10"/>
      <c r="V180" s="10"/>
      <c r="W180" s="10"/>
      <c r="X180" s="10"/>
      <c r="Y180" s="10"/>
      <c r="Z180" s="10"/>
      <c r="AA180" s="10"/>
      <c r="AB180" s="10"/>
      <c r="AC180" s="10"/>
      <c r="AD180" s="10"/>
      <c r="AE180" t="s">
        <v>20</v>
      </c>
      <c r="AH180">
        <v>0</v>
      </c>
    </row>
    <row r="181" spans="1:34" ht="43.5">
      <c r="A181" t="s">
        <v>653</v>
      </c>
      <c r="B181" s="4" t="s">
        <v>1810</v>
      </c>
      <c r="C181" s="4" t="s">
        <v>1811</v>
      </c>
      <c r="G181" s="10" t="s">
        <v>24</v>
      </c>
      <c r="H181" s="10"/>
      <c r="I181" s="10">
        <v>1</v>
      </c>
      <c r="J181" s="10">
        <v>1</v>
      </c>
      <c r="K181" s="10" t="s">
        <v>2158</v>
      </c>
      <c r="L181" s="10" t="s">
        <v>2200</v>
      </c>
      <c r="M181" s="10"/>
      <c r="N181" s="11"/>
      <c r="O181" s="10"/>
      <c r="P181" s="10">
        <v>2475</v>
      </c>
      <c r="Q181" s="10">
        <f t="shared" si="2"/>
        <v>1216.9338184678927</v>
      </c>
      <c r="R181" s="10"/>
      <c r="S181" s="10" t="s">
        <v>2387</v>
      </c>
      <c r="T181" s="10" t="s">
        <v>2387</v>
      </c>
      <c r="U181" s="10"/>
      <c r="V181" s="10"/>
      <c r="W181" s="10"/>
      <c r="X181" s="10"/>
      <c r="Y181" s="10"/>
      <c r="Z181" s="10"/>
      <c r="AA181" s="10"/>
      <c r="AB181" s="10"/>
      <c r="AC181" s="10"/>
      <c r="AD181" s="10"/>
      <c r="AE181" t="s">
        <v>19</v>
      </c>
      <c r="AH181">
        <v>1</v>
      </c>
    </row>
    <row r="182" spans="1:34" ht="72.5">
      <c r="A182" t="s">
        <v>661</v>
      </c>
      <c r="B182" s="4" t="s">
        <v>1813</v>
      </c>
      <c r="C182" s="4" t="s">
        <v>1812</v>
      </c>
      <c r="G182" s="10" t="s">
        <v>25</v>
      </c>
      <c r="H182" s="10"/>
      <c r="I182" s="10">
        <v>1</v>
      </c>
      <c r="J182" s="10">
        <v>5</v>
      </c>
      <c r="K182" s="10" t="s">
        <v>2175</v>
      </c>
      <c r="L182" s="10" t="s">
        <v>2159</v>
      </c>
      <c r="M182" s="10"/>
      <c r="N182" s="11"/>
      <c r="O182" s="10"/>
      <c r="P182" s="10">
        <v>830</v>
      </c>
      <c r="Q182" s="10">
        <f t="shared" si="2"/>
        <v>408.10305831448517</v>
      </c>
      <c r="R182" s="10"/>
      <c r="S182" s="10" t="s">
        <v>2387</v>
      </c>
      <c r="T182" s="10" t="s">
        <v>2387</v>
      </c>
      <c r="U182" s="10"/>
      <c r="V182" s="10"/>
      <c r="W182" s="10"/>
      <c r="X182" s="10"/>
      <c r="Y182" s="10"/>
      <c r="Z182" s="10"/>
      <c r="AA182" s="10"/>
      <c r="AB182" s="10"/>
      <c r="AC182" s="10"/>
      <c r="AD182" s="10"/>
      <c r="AE182" t="s">
        <v>19</v>
      </c>
      <c r="AH182">
        <v>1</v>
      </c>
    </row>
    <row r="183" spans="1:34" ht="58">
      <c r="A183" t="s">
        <v>669</v>
      </c>
      <c r="B183" s="4" t="s">
        <v>1824</v>
      </c>
      <c r="C183" s="4" t="s">
        <v>1827</v>
      </c>
      <c r="G183" s="10" t="s">
        <v>24</v>
      </c>
      <c r="H183" s="10"/>
      <c r="I183" s="10">
        <v>1</v>
      </c>
      <c r="J183" s="10">
        <v>4</v>
      </c>
      <c r="K183" s="10" t="s">
        <v>2158</v>
      </c>
      <c r="L183" s="10" t="s">
        <v>2153</v>
      </c>
      <c r="M183" s="10" t="s">
        <v>2231</v>
      </c>
      <c r="N183" s="11" t="s">
        <v>2230</v>
      </c>
      <c r="O183" s="10"/>
      <c r="P183" s="10">
        <v>2475</v>
      </c>
      <c r="Q183" s="10">
        <f t="shared" si="2"/>
        <v>1216.9338184678927</v>
      </c>
      <c r="R183" s="10"/>
      <c r="S183" s="10" t="s">
        <v>2387</v>
      </c>
      <c r="T183" s="10" t="s">
        <v>2387</v>
      </c>
      <c r="U183" s="10" t="s">
        <v>2198</v>
      </c>
      <c r="V183" s="10"/>
      <c r="W183" s="10"/>
      <c r="X183" s="10"/>
      <c r="Y183" s="10"/>
      <c r="Z183" s="10"/>
      <c r="AA183" s="10"/>
      <c r="AB183" s="10"/>
      <c r="AC183" s="10"/>
      <c r="AD183" s="10"/>
      <c r="AE183" t="s">
        <v>19</v>
      </c>
      <c r="AH183">
        <v>1</v>
      </c>
    </row>
    <row r="184" spans="1:34" ht="29">
      <c r="A184" t="s">
        <v>669</v>
      </c>
      <c r="B184" s="4" t="s">
        <v>1828</v>
      </c>
      <c r="C184" s="4" t="s">
        <v>1829</v>
      </c>
      <c r="G184" s="10" t="s">
        <v>25</v>
      </c>
      <c r="H184" s="10"/>
      <c r="I184" s="10">
        <v>1</v>
      </c>
      <c r="J184" s="10">
        <v>1</v>
      </c>
      <c r="K184" s="10" t="s">
        <v>2158</v>
      </c>
      <c r="L184" s="10" t="s">
        <v>2200</v>
      </c>
      <c r="M184" s="10"/>
      <c r="N184" s="11"/>
      <c r="O184" s="10"/>
      <c r="P184" s="10">
        <v>2475</v>
      </c>
      <c r="Q184" s="10">
        <f t="shared" si="2"/>
        <v>1216.9338184678927</v>
      </c>
      <c r="R184" s="10"/>
      <c r="S184" s="10" t="s">
        <v>2387</v>
      </c>
      <c r="T184" s="10" t="s">
        <v>2387</v>
      </c>
      <c r="U184" s="10"/>
      <c r="V184" s="10"/>
      <c r="W184" s="10"/>
      <c r="X184" s="10"/>
      <c r="Y184" s="10"/>
      <c r="Z184" s="10"/>
      <c r="AA184" s="10"/>
      <c r="AB184" s="10"/>
      <c r="AC184" s="10"/>
      <c r="AD184" s="10"/>
      <c r="AE184" t="s">
        <v>19</v>
      </c>
      <c r="AH184">
        <v>1</v>
      </c>
    </row>
    <row r="185" spans="1:34" ht="87">
      <c r="A185" t="s">
        <v>671</v>
      </c>
      <c r="B185" s="4" t="s">
        <v>2445</v>
      </c>
      <c r="C185" s="4" t="s">
        <v>1831</v>
      </c>
      <c r="G185" s="10" t="s">
        <v>24</v>
      </c>
      <c r="H185" s="10"/>
      <c r="I185" s="10">
        <v>1</v>
      </c>
      <c r="J185" s="10">
        <v>2</v>
      </c>
      <c r="K185" s="10" t="s">
        <v>2158</v>
      </c>
      <c r="L185" s="10" t="s">
        <v>2200</v>
      </c>
      <c r="M185" s="10"/>
      <c r="N185" s="11"/>
      <c r="O185" s="10"/>
      <c r="P185" s="10">
        <v>2475</v>
      </c>
      <c r="Q185" s="10">
        <f t="shared" si="2"/>
        <v>1216.9338184678927</v>
      </c>
      <c r="R185" s="10"/>
      <c r="S185" s="10" t="s">
        <v>2387</v>
      </c>
      <c r="T185" s="10" t="s">
        <v>2387</v>
      </c>
      <c r="U185" s="10"/>
      <c r="V185" s="10"/>
      <c r="W185" s="10"/>
      <c r="X185" s="10"/>
      <c r="Y185" s="10"/>
      <c r="Z185" s="10"/>
      <c r="AA185" s="10"/>
      <c r="AB185" s="10"/>
      <c r="AC185" s="10"/>
      <c r="AD185" s="10"/>
      <c r="AE185" t="s">
        <v>19</v>
      </c>
      <c r="AH185">
        <v>1</v>
      </c>
    </row>
    <row r="186" spans="1:34" ht="29">
      <c r="A186" t="s">
        <v>672</v>
      </c>
      <c r="B186" s="4" t="s">
        <v>1833</v>
      </c>
      <c r="C186" s="4" t="s">
        <v>1832</v>
      </c>
      <c r="G186" s="10" t="s">
        <v>24</v>
      </c>
      <c r="H186" s="10"/>
      <c r="I186" s="10">
        <v>1</v>
      </c>
      <c r="J186" s="10">
        <v>4</v>
      </c>
      <c r="K186" s="10" t="s">
        <v>2219</v>
      </c>
      <c r="L186" s="10" t="s">
        <v>2159</v>
      </c>
      <c r="M186" s="10"/>
      <c r="N186" s="11"/>
      <c r="O186" s="10"/>
      <c r="P186" s="10">
        <v>295</v>
      </c>
      <c r="Q186" s="10">
        <f t="shared" si="2"/>
        <v>145.04867735273871</v>
      </c>
      <c r="R186" s="10"/>
      <c r="S186" s="10" t="s">
        <v>2387</v>
      </c>
      <c r="T186" s="10" t="s">
        <v>2387</v>
      </c>
      <c r="U186" s="10"/>
      <c r="V186" s="10"/>
      <c r="W186" s="10"/>
      <c r="X186" s="10"/>
      <c r="Y186" s="10"/>
      <c r="Z186" s="10"/>
      <c r="AA186" s="10"/>
      <c r="AB186" s="10"/>
      <c r="AC186" s="10"/>
      <c r="AD186" s="10"/>
      <c r="AE186" t="s">
        <v>19</v>
      </c>
      <c r="AH186">
        <v>1</v>
      </c>
    </row>
    <row r="187" spans="1:34" ht="29">
      <c r="A187" t="s">
        <v>672</v>
      </c>
      <c r="B187" s="4" t="s">
        <v>1835</v>
      </c>
      <c r="C187" s="4" t="s">
        <v>1834</v>
      </c>
      <c r="G187" s="10" t="s">
        <v>25</v>
      </c>
      <c r="H187" s="10"/>
      <c r="I187" s="10">
        <v>1</v>
      </c>
      <c r="J187" s="10">
        <v>3</v>
      </c>
      <c r="K187" s="10" t="s">
        <v>2158</v>
      </c>
      <c r="L187" s="10" t="s">
        <v>2159</v>
      </c>
      <c r="M187" s="10"/>
      <c r="N187" s="11"/>
      <c r="O187" s="10"/>
      <c r="P187" s="10">
        <v>2475</v>
      </c>
      <c r="Q187" s="10">
        <f t="shared" si="2"/>
        <v>1216.9338184678927</v>
      </c>
      <c r="R187" s="10"/>
      <c r="S187" s="10" t="s">
        <v>2387</v>
      </c>
      <c r="T187" s="10" t="s">
        <v>2387</v>
      </c>
      <c r="U187" s="10"/>
      <c r="V187" s="10"/>
      <c r="W187" s="10"/>
      <c r="X187" s="10"/>
      <c r="Y187" s="10"/>
      <c r="Z187" s="10"/>
      <c r="AA187" s="10"/>
      <c r="AB187" s="10"/>
      <c r="AC187" s="10"/>
      <c r="AD187" s="10"/>
      <c r="AE187" t="s">
        <v>19</v>
      </c>
      <c r="AH187">
        <v>1</v>
      </c>
    </row>
    <row r="188" spans="1:34" ht="29">
      <c r="A188" t="s">
        <v>675</v>
      </c>
      <c r="B188" s="4" t="s">
        <v>1837</v>
      </c>
      <c r="C188" s="4" t="s">
        <v>1836</v>
      </c>
      <c r="G188" s="10" t="s">
        <v>25</v>
      </c>
      <c r="H188" s="10"/>
      <c r="I188" s="10">
        <v>1</v>
      </c>
      <c r="J188" s="10">
        <v>3</v>
      </c>
      <c r="K188" s="10" t="s">
        <v>2158</v>
      </c>
      <c r="L188" s="10" t="s">
        <v>2159</v>
      </c>
      <c r="M188" s="10"/>
      <c r="N188" s="11"/>
      <c r="O188" s="10"/>
      <c r="P188" s="10">
        <v>2475</v>
      </c>
      <c r="Q188" s="10">
        <f t="shared" si="2"/>
        <v>1216.9338184678927</v>
      </c>
      <c r="R188" s="10"/>
      <c r="S188" s="10" t="s">
        <v>2387</v>
      </c>
      <c r="T188" s="10" t="s">
        <v>2387</v>
      </c>
      <c r="U188" s="10"/>
      <c r="V188" s="10"/>
      <c r="W188" s="10"/>
      <c r="X188" s="10"/>
      <c r="Y188" s="10"/>
      <c r="Z188" s="10"/>
      <c r="AA188" s="10"/>
      <c r="AB188" s="10"/>
      <c r="AC188" s="10"/>
      <c r="AD188" s="10"/>
      <c r="AE188" t="s">
        <v>19</v>
      </c>
      <c r="AH188">
        <v>1</v>
      </c>
    </row>
    <row r="189" spans="1:34" ht="43.5">
      <c r="A189" t="s">
        <v>676</v>
      </c>
      <c r="B189" s="4" t="s">
        <v>1838</v>
      </c>
      <c r="C189" s="4" t="s">
        <v>1839</v>
      </c>
      <c r="F189" t="s">
        <v>19</v>
      </c>
      <c r="G189" s="10" t="s">
        <v>25</v>
      </c>
      <c r="H189" s="10"/>
      <c r="I189" s="10">
        <v>1</v>
      </c>
      <c r="J189" s="10">
        <v>4</v>
      </c>
      <c r="K189" s="10" t="s">
        <v>2177</v>
      </c>
      <c r="L189" s="10" t="s">
        <v>2159</v>
      </c>
      <c r="M189" s="10"/>
      <c r="N189" s="11"/>
      <c r="O189" s="10"/>
      <c r="P189" s="10">
        <v>99</v>
      </c>
      <c r="Q189" s="10">
        <f t="shared" si="2"/>
        <v>48.677352738715705</v>
      </c>
      <c r="R189" s="10"/>
      <c r="S189" s="10" t="s">
        <v>2387</v>
      </c>
      <c r="T189" s="10" t="s">
        <v>2387</v>
      </c>
      <c r="U189" s="10"/>
      <c r="V189" s="10"/>
      <c r="W189" s="10"/>
      <c r="X189" s="10"/>
      <c r="Y189" s="10"/>
      <c r="Z189" s="10"/>
      <c r="AA189" s="10"/>
      <c r="AB189" s="10"/>
      <c r="AC189" s="10"/>
      <c r="AD189" s="10"/>
      <c r="AE189" t="s">
        <v>20</v>
      </c>
      <c r="AH189">
        <v>0</v>
      </c>
    </row>
    <row r="190" spans="1:34" ht="72.5">
      <c r="A190" t="s">
        <v>680</v>
      </c>
      <c r="B190" s="4" t="s">
        <v>1845</v>
      </c>
      <c r="C190" s="4" t="s">
        <v>1842</v>
      </c>
      <c r="G190" s="10" t="s">
        <v>25</v>
      </c>
      <c r="H190" s="10"/>
      <c r="I190" s="10">
        <v>1</v>
      </c>
      <c r="J190" s="10">
        <v>3</v>
      </c>
      <c r="K190" s="10" t="s">
        <v>2158</v>
      </c>
      <c r="L190" s="10" t="s">
        <v>2159</v>
      </c>
      <c r="M190" s="10"/>
      <c r="N190" s="11"/>
      <c r="O190" s="10"/>
      <c r="P190" s="10">
        <v>2475</v>
      </c>
      <c r="Q190" s="10">
        <f t="shared" si="2"/>
        <v>1216.9338184678927</v>
      </c>
      <c r="R190" s="10"/>
      <c r="S190" s="10" t="s">
        <v>2387</v>
      </c>
      <c r="T190" s="10" t="s">
        <v>2387</v>
      </c>
      <c r="U190" s="10"/>
      <c r="V190" s="10"/>
      <c r="W190" s="10"/>
      <c r="X190" s="10"/>
      <c r="Y190" s="10"/>
      <c r="Z190" s="10"/>
      <c r="AA190" s="10"/>
      <c r="AB190" s="10"/>
      <c r="AC190" s="10"/>
      <c r="AD190" s="10"/>
      <c r="AE190" t="s">
        <v>19</v>
      </c>
      <c r="AH190">
        <v>1</v>
      </c>
    </row>
    <row r="191" spans="1:34" ht="29">
      <c r="A191" t="s">
        <v>681</v>
      </c>
      <c r="B191" s="4" t="s">
        <v>1849</v>
      </c>
      <c r="C191" s="4" t="s">
        <v>1846</v>
      </c>
      <c r="G191" s="10" t="s">
        <v>25</v>
      </c>
      <c r="H191" s="10"/>
      <c r="I191" s="10">
        <v>1</v>
      </c>
      <c r="J191" s="10">
        <v>1</v>
      </c>
      <c r="K191" s="10" t="s">
        <v>2158</v>
      </c>
      <c r="L191" s="10" t="s">
        <v>2200</v>
      </c>
      <c r="M191" s="10"/>
      <c r="N191" s="11"/>
      <c r="O191" s="10"/>
      <c r="P191" s="10">
        <v>2475</v>
      </c>
      <c r="Q191" s="10">
        <f t="shared" si="2"/>
        <v>1216.9338184678927</v>
      </c>
      <c r="R191" s="10"/>
      <c r="S191" s="10" t="s">
        <v>2387</v>
      </c>
      <c r="T191" s="10" t="s">
        <v>2387</v>
      </c>
      <c r="U191" s="10"/>
      <c r="V191" s="10"/>
      <c r="W191" s="10"/>
      <c r="X191" s="10"/>
      <c r="Y191" s="10"/>
      <c r="Z191" s="10"/>
      <c r="AA191" s="10"/>
      <c r="AB191" s="10"/>
      <c r="AC191" s="10"/>
      <c r="AD191" s="10"/>
      <c r="AE191" t="s">
        <v>19</v>
      </c>
      <c r="AH191">
        <v>1</v>
      </c>
    </row>
    <row r="192" spans="1:34" ht="58">
      <c r="A192" t="s">
        <v>681</v>
      </c>
      <c r="B192" s="4" t="s">
        <v>1853</v>
      </c>
      <c r="C192" s="4" t="s">
        <v>1852</v>
      </c>
      <c r="G192" s="10" t="s">
        <v>25</v>
      </c>
      <c r="H192" s="10"/>
      <c r="I192" s="10">
        <v>1</v>
      </c>
      <c r="J192" s="10">
        <v>2</v>
      </c>
      <c r="K192" s="10" t="s">
        <v>2158</v>
      </c>
      <c r="L192" s="10" t="s">
        <v>2200</v>
      </c>
      <c r="M192" s="10"/>
      <c r="N192" s="11"/>
      <c r="O192" s="10"/>
      <c r="P192" s="10">
        <v>2475</v>
      </c>
      <c r="Q192" s="10">
        <f t="shared" si="2"/>
        <v>1216.9338184678927</v>
      </c>
      <c r="R192" s="10"/>
      <c r="S192" s="10" t="s">
        <v>2387</v>
      </c>
      <c r="T192" s="10" t="s">
        <v>2387</v>
      </c>
      <c r="U192" s="10"/>
      <c r="V192" s="10"/>
      <c r="W192" s="10"/>
      <c r="X192" s="10"/>
      <c r="Y192" s="10"/>
      <c r="Z192" s="10"/>
      <c r="AA192" s="10"/>
      <c r="AB192" s="10"/>
      <c r="AC192" s="10"/>
      <c r="AD192" s="10"/>
      <c r="AE192" t="s">
        <v>19</v>
      </c>
      <c r="AH192">
        <v>1</v>
      </c>
    </row>
    <row r="193" spans="1:34" ht="58">
      <c r="A193" t="s">
        <v>681</v>
      </c>
      <c r="B193" s="4" t="s">
        <v>1854</v>
      </c>
      <c r="C193" s="4" t="s">
        <v>1852</v>
      </c>
      <c r="G193" s="10" t="s">
        <v>25</v>
      </c>
      <c r="H193" s="10"/>
      <c r="I193" s="10">
        <v>1</v>
      </c>
      <c r="J193" s="10">
        <v>2</v>
      </c>
      <c r="K193" s="10" t="s">
        <v>2158</v>
      </c>
      <c r="L193" s="10" t="s">
        <v>2200</v>
      </c>
      <c r="M193" s="10"/>
      <c r="N193" s="11"/>
      <c r="O193" s="10"/>
      <c r="P193" s="10">
        <v>2475</v>
      </c>
      <c r="Q193" s="10">
        <f t="shared" si="2"/>
        <v>1216.9338184678927</v>
      </c>
      <c r="R193" s="10"/>
      <c r="S193" s="10" t="s">
        <v>2387</v>
      </c>
      <c r="T193" s="10" t="s">
        <v>2387</v>
      </c>
      <c r="U193" s="10"/>
      <c r="V193" s="10"/>
      <c r="W193" s="10"/>
      <c r="X193" s="10"/>
      <c r="Y193" s="10"/>
      <c r="Z193" s="10"/>
      <c r="AA193" s="10"/>
      <c r="AB193" s="10"/>
      <c r="AC193" s="10"/>
      <c r="AD193" s="10"/>
      <c r="AE193" t="s">
        <v>19</v>
      </c>
      <c r="AH193">
        <v>1</v>
      </c>
    </row>
    <row r="194" spans="1:34" ht="58">
      <c r="A194" t="s">
        <v>683</v>
      </c>
      <c r="B194" s="4" t="s">
        <v>1858</v>
      </c>
      <c r="C194" s="4" t="s">
        <v>1857</v>
      </c>
      <c r="G194" s="10" t="s">
        <v>25</v>
      </c>
      <c r="H194" s="10"/>
      <c r="I194" s="10">
        <v>1</v>
      </c>
      <c r="J194" s="10">
        <v>4</v>
      </c>
      <c r="K194" s="10" t="s">
        <v>2158</v>
      </c>
      <c r="L194" s="10" t="s">
        <v>2159</v>
      </c>
      <c r="M194" s="10"/>
      <c r="N194" s="11"/>
      <c r="O194" s="10"/>
      <c r="P194" s="10">
        <v>2475</v>
      </c>
      <c r="Q194" s="10">
        <f t="shared" si="2"/>
        <v>1216.9338184678927</v>
      </c>
      <c r="R194" s="10"/>
      <c r="S194" s="10" t="s">
        <v>2387</v>
      </c>
      <c r="T194" s="10" t="s">
        <v>2387</v>
      </c>
      <c r="U194" s="10"/>
      <c r="V194" s="10"/>
      <c r="W194" s="10"/>
      <c r="X194" s="10"/>
      <c r="Y194" s="10"/>
      <c r="Z194" s="10"/>
      <c r="AA194" s="10"/>
      <c r="AB194" s="10"/>
      <c r="AC194" s="10"/>
      <c r="AD194" s="10"/>
      <c r="AE194" t="s">
        <v>19</v>
      </c>
      <c r="AH194">
        <v>1</v>
      </c>
    </row>
    <row r="195" spans="1:34" ht="43.5">
      <c r="A195" t="s">
        <v>684</v>
      </c>
      <c r="B195" s="4" t="s">
        <v>1864</v>
      </c>
      <c r="C195" s="4" t="s">
        <v>1863</v>
      </c>
      <c r="G195" s="10" t="s">
        <v>24</v>
      </c>
      <c r="H195" s="10"/>
      <c r="I195" s="10">
        <v>1</v>
      </c>
      <c r="J195" s="10">
        <v>4</v>
      </c>
      <c r="K195" s="10" t="s">
        <v>2158</v>
      </c>
      <c r="L195" s="10" t="s">
        <v>2153</v>
      </c>
      <c r="M195" s="10" t="s">
        <v>2229</v>
      </c>
      <c r="N195" s="11" t="s">
        <v>2230</v>
      </c>
      <c r="O195" s="10"/>
      <c r="P195" s="10">
        <v>2475</v>
      </c>
      <c r="Q195" s="10">
        <f t="shared" ref="Q195:Q251" si="3">IF(ISNUMBER(P195), (P195/$F$303)*10000, "")</f>
        <v>1216.9338184678927</v>
      </c>
      <c r="R195" s="10"/>
      <c r="S195" s="10" t="s">
        <v>2387</v>
      </c>
      <c r="T195" s="10" t="s">
        <v>2387</v>
      </c>
      <c r="U195" s="10"/>
      <c r="V195" s="10"/>
      <c r="W195" s="10"/>
      <c r="X195" s="10"/>
      <c r="Y195" s="10"/>
      <c r="Z195" s="10"/>
      <c r="AA195" s="10"/>
      <c r="AB195" s="10"/>
      <c r="AC195" s="10"/>
      <c r="AD195" s="10"/>
      <c r="AE195" t="s">
        <v>19</v>
      </c>
      <c r="AH195">
        <v>1</v>
      </c>
    </row>
    <row r="196" spans="1:34" ht="29">
      <c r="A196" t="s">
        <v>686</v>
      </c>
      <c r="B196" s="4" t="s">
        <v>1870</v>
      </c>
      <c r="C196" s="4" t="s">
        <v>1867</v>
      </c>
      <c r="G196" s="10" t="s">
        <v>25</v>
      </c>
      <c r="H196" s="10"/>
      <c r="I196" s="10">
        <v>1</v>
      </c>
      <c r="J196" s="10">
        <v>3</v>
      </c>
      <c r="K196" s="10" t="s">
        <v>2175</v>
      </c>
      <c r="L196" s="10" t="s">
        <v>2159</v>
      </c>
      <c r="M196" s="10"/>
      <c r="N196" s="11"/>
      <c r="O196" s="10"/>
      <c r="P196" s="10">
        <v>743</v>
      </c>
      <c r="Q196" s="10">
        <f t="shared" si="3"/>
        <v>365.32599075621988</v>
      </c>
      <c r="R196" s="10"/>
      <c r="S196" s="10" t="s">
        <v>2387</v>
      </c>
      <c r="T196" s="10" t="s">
        <v>2387</v>
      </c>
      <c r="U196" s="10"/>
      <c r="V196" s="10"/>
      <c r="W196" s="10"/>
      <c r="X196" s="10"/>
      <c r="Y196" s="10"/>
      <c r="Z196" s="10"/>
      <c r="AA196" s="10"/>
      <c r="AB196" s="10"/>
      <c r="AC196" s="10"/>
      <c r="AD196" s="10"/>
      <c r="AE196" t="s">
        <v>19</v>
      </c>
      <c r="AH196">
        <v>1</v>
      </c>
    </row>
    <row r="197" spans="1:34" ht="72.5">
      <c r="A197" t="s">
        <v>687</v>
      </c>
      <c r="B197" s="4" t="s">
        <v>1871</v>
      </c>
      <c r="C197" s="6" t="s">
        <v>1874</v>
      </c>
      <c r="G197" s="10" t="s">
        <v>24</v>
      </c>
      <c r="H197" s="10"/>
      <c r="I197" s="10">
        <v>1</v>
      </c>
      <c r="J197" s="10">
        <v>4</v>
      </c>
      <c r="K197" s="10" t="s">
        <v>2219</v>
      </c>
      <c r="L197" s="10" t="s">
        <v>2159</v>
      </c>
      <c r="M197" s="10"/>
      <c r="N197" s="11"/>
      <c r="O197" s="10"/>
      <c r="P197" s="10">
        <v>295</v>
      </c>
      <c r="Q197" s="10">
        <f t="shared" si="3"/>
        <v>145.04867735273871</v>
      </c>
      <c r="R197" s="10"/>
      <c r="S197" s="10" t="s">
        <v>2387</v>
      </c>
      <c r="T197" s="10" t="s">
        <v>2387</v>
      </c>
      <c r="U197" s="10"/>
      <c r="V197" s="10"/>
      <c r="W197" s="10"/>
      <c r="X197" s="10"/>
      <c r="Y197" s="10"/>
      <c r="Z197" s="10"/>
      <c r="AA197" s="10"/>
      <c r="AB197" s="10"/>
      <c r="AC197" s="10"/>
      <c r="AD197" s="10" t="s">
        <v>19</v>
      </c>
      <c r="AE197" t="s">
        <v>19</v>
      </c>
      <c r="AH197">
        <v>1</v>
      </c>
    </row>
    <row r="198" spans="1:34" ht="43.5">
      <c r="A198" t="s">
        <v>689</v>
      </c>
      <c r="B198" s="4" t="s">
        <v>1881</v>
      </c>
      <c r="C198" s="4" t="s">
        <v>1882</v>
      </c>
      <c r="G198" s="10" t="s">
        <v>25</v>
      </c>
      <c r="H198" s="10"/>
      <c r="I198" s="10">
        <v>1</v>
      </c>
      <c r="J198" s="10">
        <v>1</v>
      </c>
      <c r="K198" s="10" t="s">
        <v>2158</v>
      </c>
      <c r="L198" s="10" t="s">
        <v>2200</v>
      </c>
      <c r="M198" s="10"/>
      <c r="N198" s="11"/>
      <c r="O198" s="10"/>
      <c r="P198" s="10">
        <v>2475</v>
      </c>
      <c r="Q198" s="10">
        <f t="shared" si="3"/>
        <v>1216.9338184678927</v>
      </c>
      <c r="R198" s="10"/>
      <c r="S198" s="10" t="s">
        <v>2387</v>
      </c>
      <c r="T198" s="10" t="s">
        <v>2387</v>
      </c>
      <c r="U198" s="10"/>
      <c r="V198" s="10"/>
      <c r="W198" s="10"/>
      <c r="X198" s="10"/>
      <c r="Y198" s="10"/>
      <c r="Z198" s="10"/>
      <c r="AA198" s="10"/>
      <c r="AB198" s="10"/>
      <c r="AC198" s="10"/>
      <c r="AD198" s="10"/>
      <c r="AE198" t="s">
        <v>19</v>
      </c>
      <c r="AH198">
        <v>1</v>
      </c>
    </row>
    <row r="199" spans="1:34" ht="43.5">
      <c r="A199" t="s">
        <v>690</v>
      </c>
      <c r="B199" s="4" t="s">
        <v>1886</v>
      </c>
      <c r="C199" s="4" t="s">
        <v>1885</v>
      </c>
      <c r="G199" s="10" t="s">
        <v>25</v>
      </c>
      <c r="H199" s="10"/>
      <c r="I199" s="10">
        <v>1</v>
      </c>
      <c r="J199" s="10">
        <v>5</v>
      </c>
      <c r="K199" s="10" t="s">
        <v>2173</v>
      </c>
      <c r="L199" s="10" t="s">
        <v>2159</v>
      </c>
      <c r="M199" s="10"/>
      <c r="N199" s="11"/>
      <c r="O199" s="10"/>
      <c r="P199" s="10">
        <v>115</v>
      </c>
      <c r="Q199" s="10">
        <f t="shared" si="3"/>
        <v>56.544399645982892</v>
      </c>
      <c r="R199" s="10"/>
      <c r="S199" s="10" t="s">
        <v>2387</v>
      </c>
      <c r="T199" s="10" t="s">
        <v>2387</v>
      </c>
      <c r="U199" s="10"/>
      <c r="V199" s="10"/>
      <c r="W199" s="10"/>
      <c r="X199" s="10"/>
      <c r="Y199" s="10"/>
      <c r="Z199" s="10"/>
      <c r="AA199" s="10"/>
      <c r="AB199" s="10"/>
      <c r="AC199" s="10"/>
      <c r="AD199" s="10"/>
      <c r="AE199" t="s">
        <v>19</v>
      </c>
      <c r="AH199">
        <v>1</v>
      </c>
    </row>
    <row r="200" spans="1:34" ht="43.5">
      <c r="A200" t="s">
        <v>691</v>
      </c>
      <c r="B200" s="4" t="s">
        <v>1887</v>
      </c>
      <c r="C200" s="4" t="s">
        <v>1888</v>
      </c>
      <c r="G200" s="10" t="s">
        <v>25</v>
      </c>
      <c r="H200" s="10"/>
      <c r="I200" s="10">
        <v>1</v>
      </c>
      <c r="J200" s="10">
        <v>3</v>
      </c>
      <c r="K200" s="10" t="s">
        <v>2168</v>
      </c>
      <c r="L200" s="10" t="s">
        <v>2159</v>
      </c>
      <c r="M200" s="10"/>
      <c r="N200" s="11"/>
      <c r="O200" s="10"/>
      <c r="P200" s="10">
        <v>1701</v>
      </c>
      <c r="Q200" s="10">
        <f t="shared" si="3"/>
        <v>836.36542432884255</v>
      </c>
      <c r="R200" s="10"/>
      <c r="S200" s="10" t="s">
        <v>2387</v>
      </c>
      <c r="T200" s="10" t="s">
        <v>2387</v>
      </c>
      <c r="U200" s="10"/>
      <c r="V200" s="10"/>
      <c r="W200" s="10"/>
      <c r="X200" s="10"/>
      <c r="Y200" s="10"/>
      <c r="Z200" s="10"/>
      <c r="AA200" s="10"/>
      <c r="AB200" s="10"/>
      <c r="AC200" s="10"/>
      <c r="AD200" s="10"/>
      <c r="AE200" t="s">
        <v>19</v>
      </c>
      <c r="AH200">
        <v>1</v>
      </c>
    </row>
    <row r="201" spans="1:34" ht="130.5">
      <c r="A201" t="s">
        <v>692</v>
      </c>
      <c r="B201" s="4" t="s">
        <v>1889</v>
      </c>
      <c r="C201" s="4" t="s">
        <v>1892</v>
      </c>
      <c r="G201" s="10" t="s">
        <v>24</v>
      </c>
      <c r="H201" s="10"/>
      <c r="I201" s="10">
        <v>1</v>
      </c>
      <c r="J201" s="10">
        <v>3</v>
      </c>
      <c r="K201" s="10" t="s">
        <v>2158</v>
      </c>
      <c r="L201" s="10" t="s">
        <v>2159</v>
      </c>
      <c r="M201" s="10"/>
      <c r="N201" s="11"/>
      <c r="O201" s="10"/>
      <c r="P201" s="10">
        <v>2475</v>
      </c>
      <c r="Q201" s="10">
        <f t="shared" si="3"/>
        <v>1216.9338184678927</v>
      </c>
      <c r="R201" s="10"/>
      <c r="S201" s="10" t="s">
        <v>2387</v>
      </c>
      <c r="T201" s="10" t="s">
        <v>2387</v>
      </c>
      <c r="U201" s="10"/>
      <c r="V201" s="10"/>
      <c r="W201" s="10"/>
      <c r="X201" s="10"/>
      <c r="Y201" s="10"/>
      <c r="Z201" s="10"/>
      <c r="AA201" s="10"/>
      <c r="AB201" s="10"/>
      <c r="AC201" s="10"/>
      <c r="AD201" s="10"/>
      <c r="AE201" t="s">
        <v>20</v>
      </c>
      <c r="AH201">
        <v>0</v>
      </c>
    </row>
    <row r="202" spans="1:34" ht="29">
      <c r="A202" t="s">
        <v>694</v>
      </c>
      <c r="B202" s="4" t="s">
        <v>1896</v>
      </c>
      <c r="C202" s="4" t="s">
        <v>1897</v>
      </c>
      <c r="G202" s="10" t="s">
        <v>25</v>
      </c>
      <c r="H202" s="10"/>
      <c r="I202" s="10">
        <v>1</v>
      </c>
      <c r="J202" s="10">
        <v>2</v>
      </c>
      <c r="K202" s="10" t="s">
        <v>2164</v>
      </c>
      <c r="L202" s="10" t="s">
        <v>2200</v>
      </c>
      <c r="M202" s="10"/>
      <c r="N202" s="11"/>
      <c r="O202" s="10"/>
      <c r="P202" s="10">
        <v>129</v>
      </c>
      <c r="Q202" s="10">
        <f t="shared" si="3"/>
        <v>63.428065689841674</v>
      </c>
      <c r="R202" s="10"/>
      <c r="S202" s="10" t="s">
        <v>2387</v>
      </c>
      <c r="T202" s="10" t="s">
        <v>2387</v>
      </c>
      <c r="U202" s="10"/>
      <c r="V202" s="10"/>
      <c r="W202" s="10"/>
      <c r="X202" s="10"/>
      <c r="Y202" s="10"/>
      <c r="Z202" s="10"/>
      <c r="AA202" s="10"/>
      <c r="AB202" s="10"/>
      <c r="AC202" s="10"/>
      <c r="AD202" s="10"/>
      <c r="AE202" t="s">
        <v>19</v>
      </c>
      <c r="AH202">
        <v>1</v>
      </c>
    </row>
    <row r="203" spans="1:34" ht="43.5">
      <c r="A203" t="s">
        <v>696</v>
      </c>
      <c r="B203" s="4" t="s">
        <v>1901</v>
      </c>
      <c r="C203" s="4" t="s">
        <v>1900</v>
      </c>
      <c r="G203" s="10" t="s">
        <v>25</v>
      </c>
      <c r="H203" s="10"/>
      <c r="I203" s="10">
        <v>1</v>
      </c>
      <c r="J203" s="10">
        <v>5</v>
      </c>
      <c r="K203" s="10" t="s">
        <v>2175</v>
      </c>
      <c r="L203" s="10" t="s">
        <v>2159</v>
      </c>
      <c r="M203" s="10"/>
      <c r="N203" s="11"/>
      <c r="O203" s="10"/>
      <c r="P203" s="10">
        <v>830</v>
      </c>
      <c r="Q203" s="10">
        <f t="shared" si="3"/>
        <v>408.10305831448517</v>
      </c>
      <c r="R203" s="10"/>
      <c r="S203" s="10" t="s">
        <v>2387</v>
      </c>
      <c r="T203" s="10" t="s">
        <v>2387</v>
      </c>
      <c r="U203" s="10"/>
      <c r="V203" s="10"/>
      <c r="W203" s="10"/>
      <c r="X203" s="10"/>
      <c r="Y203" s="10"/>
      <c r="Z203" s="10"/>
      <c r="AA203" s="10"/>
      <c r="AB203" s="10"/>
      <c r="AC203" s="10"/>
      <c r="AD203" s="10"/>
      <c r="AE203" t="s">
        <v>19</v>
      </c>
      <c r="AH203">
        <v>1</v>
      </c>
    </row>
    <row r="204" spans="1:34" ht="43.5">
      <c r="A204" t="s">
        <v>696</v>
      </c>
      <c r="B204" s="4" t="s">
        <v>1903</v>
      </c>
      <c r="C204" s="4" t="s">
        <v>1902</v>
      </c>
      <c r="G204" s="10" t="s">
        <v>25</v>
      </c>
      <c r="H204" s="10"/>
      <c r="I204" s="10">
        <v>1</v>
      </c>
      <c r="J204" s="10">
        <v>3</v>
      </c>
      <c r="K204" s="10" t="s">
        <v>2168</v>
      </c>
      <c r="L204" s="10" t="s">
        <v>2159</v>
      </c>
      <c r="M204" s="10"/>
      <c r="N204" s="11"/>
      <c r="O204" s="10"/>
      <c r="P204" s="10">
        <v>1701</v>
      </c>
      <c r="Q204" s="10">
        <f t="shared" si="3"/>
        <v>836.36542432884255</v>
      </c>
      <c r="R204" s="10"/>
      <c r="S204" s="10" t="s">
        <v>2387</v>
      </c>
      <c r="T204" s="10" t="s">
        <v>2387</v>
      </c>
      <c r="U204" s="10"/>
      <c r="V204" s="10"/>
      <c r="W204" s="10"/>
      <c r="X204" s="10"/>
      <c r="Y204" s="10"/>
      <c r="Z204" s="10"/>
      <c r="AA204" s="10"/>
      <c r="AB204" s="10"/>
      <c r="AC204" s="10"/>
      <c r="AD204" s="10"/>
      <c r="AE204" t="s">
        <v>19</v>
      </c>
      <c r="AH204">
        <v>1</v>
      </c>
    </row>
    <row r="205" spans="1:34" ht="116">
      <c r="A205" t="s">
        <v>699</v>
      </c>
      <c r="B205" s="4" t="s">
        <v>1911</v>
      </c>
      <c r="C205" s="4" t="s">
        <v>1910</v>
      </c>
      <c r="G205" s="10" t="s">
        <v>25</v>
      </c>
      <c r="H205" s="10"/>
      <c r="I205" s="10">
        <v>1</v>
      </c>
      <c r="J205" s="10">
        <v>3</v>
      </c>
      <c r="K205" s="10" t="s">
        <v>2158</v>
      </c>
      <c r="L205" s="10" t="s">
        <v>2159</v>
      </c>
      <c r="M205" s="10"/>
      <c r="N205" s="11"/>
      <c r="O205" s="10"/>
      <c r="P205" s="10">
        <v>2475</v>
      </c>
      <c r="Q205" s="10">
        <f t="shared" si="3"/>
        <v>1216.9338184678927</v>
      </c>
      <c r="R205" s="10"/>
      <c r="S205" s="10" t="s">
        <v>2387</v>
      </c>
      <c r="T205" s="10" t="s">
        <v>2387</v>
      </c>
      <c r="U205" s="10"/>
      <c r="V205" s="10"/>
      <c r="W205" s="10"/>
      <c r="X205" s="10"/>
      <c r="Y205" s="10"/>
      <c r="Z205" s="10"/>
      <c r="AA205" s="10"/>
      <c r="AB205" s="10"/>
      <c r="AC205" s="10"/>
      <c r="AD205" s="10"/>
      <c r="AE205" t="s">
        <v>20</v>
      </c>
      <c r="AH205">
        <v>0</v>
      </c>
    </row>
    <row r="206" spans="1:34" ht="116">
      <c r="A206" t="s">
        <v>699</v>
      </c>
      <c r="B206" s="4" t="s">
        <v>1912</v>
      </c>
      <c r="C206" s="4" t="s">
        <v>1910</v>
      </c>
      <c r="G206" s="10" t="s">
        <v>25</v>
      </c>
      <c r="H206" s="10"/>
      <c r="I206" s="10">
        <v>3</v>
      </c>
      <c r="J206" s="10">
        <v>11</v>
      </c>
      <c r="K206" s="10"/>
      <c r="L206" s="10" t="s">
        <v>2153</v>
      </c>
      <c r="M206" s="10" t="s">
        <v>2244</v>
      </c>
      <c r="N206" s="11" t="s">
        <v>2309</v>
      </c>
      <c r="O206" s="10"/>
      <c r="P206" s="10">
        <v>48</v>
      </c>
      <c r="Q206" s="10">
        <f t="shared" si="3"/>
        <v>23.601140721801556</v>
      </c>
      <c r="R206" s="10"/>
      <c r="S206" s="10" t="s">
        <v>2387</v>
      </c>
      <c r="T206" s="10" t="s">
        <v>2387</v>
      </c>
      <c r="U206" s="10"/>
      <c r="V206" s="10"/>
      <c r="W206" s="10"/>
      <c r="X206" s="10"/>
      <c r="Y206" s="10"/>
      <c r="Z206" s="10"/>
      <c r="AA206" s="10"/>
      <c r="AB206" s="10"/>
      <c r="AC206" s="10"/>
      <c r="AD206" s="10"/>
      <c r="AE206" t="s">
        <v>19</v>
      </c>
      <c r="AH206">
        <v>1</v>
      </c>
    </row>
    <row r="207" spans="1:34" ht="29">
      <c r="A207" t="s">
        <v>701</v>
      </c>
      <c r="B207" s="4" t="s">
        <v>1920</v>
      </c>
      <c r="C207" s="4" t="s">
        <v>1919</v>
      </c>
      <c r="G207" s="10" t="s">
        <v>24</v>
      </c>
      <c r="H207" s="10"/>
      <c r="I207" s="10">
        <v>1</v>
      </c>
      <c r="J207" s="10">
        <v>2</v>
      </c>
      <c r="K207" s="10" t="s">
        <v>2173</v>
      </c>
      <c r="L207" s="10" t="s">
        <v>2200</v>
      </c>
      <c r="M207" s="10"/>
      <c r="N207" s="11"/>
      <c r="O207" s="10"/>
      <c r="P207" s="10">
        <v>75</v>
      </c>
      <c r="Q207" s="10">
        <f t="shared" si="3"/>
        <v>36.876782377814926</v>
      </c>
      <c r="R207" s="10"/>
      <c r="S207" s="10" t="s">
        <v>2387</v>
      </c>
      <c r="T207" s="10" t="s">
        <v>2387</v>
      </c>
      <c r="U207" s="10"/>
      <c r="V207" s="10"/>
      <c r="W207" s="10"/>
      <c r="X207" s="10"/>
      <c r="Y207" s="10"/>
      <c r="Z207" s="10"/>
      <c r="AA207" s="10"/>
      <c r="AB207" s="10"/>
      <c r="AC207" s="10"/>
      <c r="AD207" s="10"/>
      <c r="AE207" t="s">
        <v>19</v>
      </c>
      <c r="AH207">
        <v>1</v>
      </c>
    </row>
    <row r="208" spans="1:34" ht="58">
      <c r="A208" t="s">
        <v>701</v>
      </c>
      <c r="B208" s="4" t="s">
        <v>2447</v>
      </c>
      <c r="C208" s="4" t="s">
        <v>1921</v>
      </c>
      <c r="G208" s="10" t="s">
        <v>24</v>
      </c>
      <c r="H208" s="10"/>
      <c r="I208" s="10">
        <v>2</v>
      </c>
      <c r="J208" s="10">
        <v>7</v>
      </c>
      <c r="K208" s="10"/>
      <c r="L208" s="10" t="s">
        <v>2153</v>
      </c>
      <c r="M208" s="10" t="s">
        <v>2312</v>
      </c>
      <c r="N208" s="11" t="s">
        <v>2309</v>
      </c>
      <c r="O208" s="10"/>
      <c r="P208" s="10">
        <v>48</v>
      </c>
      <c r="Q208" s="10">
        <f t="shared" si="3"/>
        <v>23.601140721801556</v>
      </c>
      <c r="R208" s="10"/>
      <c r="S208" s="10" t="s">
        <v>2387</v>
      </c>
      <c r="T208" s="10" t="s">
        <v>2387</v>
      </c>
      <c r="U208" s="10"/>
      <c r="V208" s="10"/>
      <c r="W208" s="10"/>
      <c r="X208" s="10"/>
      <c r="Y208" s="10"/>
      <c r="Z208" s="10"/>
      <c r="AA208" s="10"/>
      <c r="AB208" s="10"/>
      <c r="AC208" s="10"/>
      <c r="AD208" s="10"/>
      <c r="AE208" t="s">
        <v>19</v>
      </c>
      <c r="AH208">
        <v>1</v>
      </c>
    </row>
    <row r="209" spans="1:34" ht="43.5">
      <c r="A209" t="s">
        <v>702</v>
      </c>
      <c r="B209" s="4" t="s">
        <v>1925</v>
      </c>
      <c r="C209" s="4" t="s">
        <v>1924</v>
      </c>
      <c r="G209" s="10" t="s">
        <v>25</v>
      </c>
      <c r="H209" s="10"/>
      <c r="I209" s="10">
        <v>1</v>
      </c>
      <c r="J209" s="10">
        <v>3</v>
      </c>
      <c r="K209" s="10" t="s">
        <v>2168</v>
      </c>
      <c r="L209" s="10" t="s">
        <v>2153</v>
      </c>
      <c r="M209" s="10" t="s">
        <v>2229</v>
      </c>
      <c r="N209" s="11" t="s">
        <v>2309</v>
      </c>
      <c r="O209" s="10"/>
      <c r="P209" s="10">
        <v>1701</v>
      </c>
      <c r="Q209" s="10">
        <f t="shared" si="3"/>
        <v>836.36542432884255</v>
      </c>
      <c r="R209" s="10"/>
      <c r="S209" s="10" t="s">
        <v>2387</v>
      </c>
      <c r="T209" s="10" t="s">
        <v>2387</v>
      </c>
      <c r="U209" s="10"/>
      <c r="V209" s="10"/>
      <c r="W209" s="10"/>
      <c r="X209" s="10"/>
      <c r="Y209" s="10"/>
      <c r="Z209" s="10"/>
      <c r="AA209" s="10"/>
      <c r="AB209" s="10"/>
      <c r="AC209" s="10"/>
      <c r="AD209" s="10"/>
      <c r="AE209" t="s">
        <v>19</v>
      </c>
      <c r="AH209">
        <v>1</v>
      </c>
    </row>
    <row r="210" spans="1:34" ht="72.5">
      <c r="A210" t="s">
        <v>704</v>
      </c>
      <c r="B210" s="4" t="s">
        <v>1930</v>
      </c>
      <c r="C210" s="4" t="s">
        <v>1933</v>
      </c>
      <c r="G210" s="10" t="s">
        <v>24</v>
      </c>
      <c r="H210" s="10"/>
      <c r="I210" s="10">
        <v>1</v>
      </c>
      <c r="J210" s="10">
        <v>4</v>
      </c>
      <c r="K210" s="10" t="s">
        <v>2219</v>
      </c>
      <c r="L210" s="10" t="s">
        <v>2159</v>
      </c>
      <c r="M210" s="10"/>
      <c r="N210" s="11"/>
      <c r="O210" s="10"/>
      <c r="P210" s="10">
        <v>295</v>
      </c>
      <c r="Q210" s="10">
        <f t="shared" si="3"/>
        <v>145.04867735273871</v>
      </c>
      <c r="R210" s="10"/>
      <c r="S210" s="10" t="s">
        <v>2387</v>
      </c>
      <c r="T210" s="10" t="s">
        <v>2387</v>
      </c>
      <c r="U210" s="10"/>
      <c r="V210" s="10"/>
      <c r="W210" s="10"/>
      <c r="X210" s="10"/>
      <c r="Y210" s="10"/>
      <c r="Z210" s="10"/>
      <c r="AA210" s="10"/>
      <c r="AB210" s="10"/>
      <c r="AC210" s="10"/>
      <c r="AD210" s="10"/>
      <c r="AE210" t="s">
        <v>19</v>
      </c>
      <c r="AH210">
        <v>1</v>
      </c>
    </row>
    <row r="211" spans="1:34" ht="43.5">
      <c r="A211" t="s">
        <v>706</v>
      </c>
      <c r="B211" s="4" t="s">
        <v>1936</v>
      </c>
      <c r="C211" s="4" t="s">
        <v>1937</v>
      </c>
      <c r="G211" s="10" t="s">
        <v>24</v>
      </c>
      <c r="H211" s="10"/>
      <c r="I211" s="10">
        <v>1</v>
      </c>
      <c r="J211" s="10">
        <v>2</v>
      </c>
      <c r="K211" s="10" t="s">
        <v>2168</v>
      </c>
      <c r="L211" s="10" t="s">
        <v>2200</v>
      </c>
      <c r="M211" s="10"/>
      <c r="N211" s="11"/>
      <c r="O211" s="10"/>
      <c r="P211" s="10">
        <v>171</v>
      </c>
      <c r="Q211" s="10">
        <f t="shared" si="3"/>
        <v>84.079063821418046</v>
      </c>
      <c r="R211" s="10"/>
      <c r="S211" s="10" t="s">
        <v>2387</v>
      </c>
      <c r="T211" s="10" t="s">
        <v>2387</v>
      </c>
      <c r="U211" s="10"/>
      <c r="V211" s="10"/>
      <c r="W211" s="10"/>
      <c r="X211" s="10"/>
      <c r="Y211" s="10"/>
      <c r="Z211" s="10"/>
      <c r="AA211" s="10"/>
      <c r="AB211" s="10"/>
      <c r="AC211" s="10"/>
      <c r="AD211" s="10"/>
      <c r="AE211" t="s">
        <v>19</v>
      </c>
      <c r="AH211">
        <v>1</v>
      </c>
    </row>
    <row r="212" spans="1:34" ht="43.5">
      <c r="A212" t="s">
        <v>714</v>
      </c>
      <c r="B212" s="4" t="s">
        <v>1944</v>
      </c>
      <c r="C212" s="4" t="s">
        <v>1943</v>
      </c>
      <c r="G212" s="10" t="s">
        <v>24</v>
      </c>
      <c r="H212" s="10"/>
      <c r="I212" s="10">
        <v>1</v>
      </c>
      <c r="J212" s="10">
        <v>3</v>
      </c>
      <c r="K212" s="10" t="s">
        <v>2175</v>
      </c>
      <c r="L212" s="10" t="s">
        <v>2159</v>
      </c>
      <c r="M212" s="10"/>
      <c r="N212" s="11"/>
      <c r="O212" s="10"/>
      <c r="P212" s="10">
        <v>743</v>
      </c>
      <c r="Q212" s="10">
        <f t="shared" si="3"/>
        <v>365.32599075621988</v>
      </c>
      <c r="R212" s="10"/>
      <c r="S212" s="10" t="s">
        <v>2387</v>
      </c>
      <c r="T212" s="10" t="s">
        <v>2387</v>
      </c>
      <c r="U212" s="10"/>
      <c r="V212" s="10"/>
      <c r="W212" s="10"/>
      <c r="X212" s="10"/>
      <c r="Y212" s="10"/>
      <c r="Z212" s="10"/>
      <c r="AA212" s="10"/>
      <c r="AB212" s="10"/>
      <c r="AC212" s="10"/>
      <c r="AD212" s="10"/>
      <c r="AE212" t="s">
        <v>19</v>
      </c>
      <c r="AH212">
        <v>1</v>
      </c>
    </row>
    <row r="213" spans="1:34" ht="87">
      <c r="A213" t="s">
        <v>715</v>
      </c>
      <c r="B213" s="4" t="s">
        <v>1946</v>
      </c>
      <c r="C213" s="4" t="s">
        <v>1945</v>
      </c>
      <c r="G213" s="10" t="s">
        <v>25</v>
      </c>
      <c r="H213" s="10"/>
      <c r="I213" s="10">
        <v>1</v>
      </c>
      <c r="J213" s="10">
        <v>3</v>
      </c>
      <c r="K213" s="10" t="s">
        <v>2168</v>
      </c>
      <c r="L213" s="10" t="s">
        <v>2159</v>
      </c>
      <c r="M213" s="10"/>
      <c r="N213" s="11"/>
      <c r="O213" s="10"/>
      <c r="P213" s="10">
        <v>1701</v>
      </c>
      <c r="Q213" s="10">
        <f t="shared" si="3"/>
        <v>836.36542432884255</v>
      </c>
      <c r="R213" s="10"/>
      <c r="S213" s="10" t="s">
        <v>2387</v>
      </c>
      <c r="T213" s="10" t="s">
        <v>2387</v>
      </c>
      <c r="U213" s="10"/>
      <c r="V213" s="10"/>
      <c r="W213" s="10"/>
      <c r="X213" s="10"/>
      <c r="Y213" s="10"/>
      <c r="Z213" s="10"/>
      <c r="AA213" s="10"/>
      <c r="AB213" s="10"/>
      <c r="AC213" s="10"/>
      <c r="AD213" s="10"/>
      <c r="AE213" t="s">
        <v>19</v>
      </c>
      <c r="AH213">
        <v>1</v>
      </c>
    </row>
    <row r="214" spans="1:34" ht="29">
      <c r="A214" t="s">
        <v>716</v>
      </c>
      <c r="B214" s="4" t="s">
        <v>1950</v>
      </c>
      <c r="C214" s="4" t="s">
        <v>1949</v>
      </c>
      <c r="G214" s="10" t="s">
        <v>25</v>
      </c>
      <c r="H214" s="10"/>
      <c r="I214" s="10">
        <v>1</v>
      </c>
      <c r="J214" s="10">
        <v>3</v>
      </c>
      <c r="K214" s="10" t="s">
        <v>2168</v>
      </c>
      <c r="L214" s="10" t="s">
        <v>2159</v>
      </c>
      <c r="M214" s="10"/>
      <c r="N214" s="11"/>
      <c r="O214" s="10"/>
      <c r="P214" s="10">
        <v>186</v>
      </c>
      <c r="Q214" s="10">
        <f t="shared" si="3"/>
        <v>91.454420296981013</v>
      </c>
      <c r="R214" s="10"/>
      <c r="S214" s="10" t="s">
        <v>2387</v>
      </c>
      <c r="T214" s="10" t="s">
        <v>2387</v>
      </c>
      <c r="U214" s="10"/>
      <c r="V214" s="10"/>
      <c r="W214" s="10"/>
      <c r="X214" s="10"/>
      <c r="Y214" s="10"/>
      <c r="Z214" s="10"/>
      <c r="AA214" s="10"/>
      <c r="AB214" s="10"/>
      <c r="AC214" s="10"/>
      <c r="AD214" s="10"/>
      <c r="AE214" t="s">
        <v>19</v>
      </c>
      <c r="AH214">
        <v>1</v>
      </c>
    </row>
    <row r="215" spans="1:34" ht="43.5">
      <c r="A215" t="s">
        <v>717</v>
      </c>
      <c r="B215" s="4" t="s">
        <v>1956</v>
      </c>
      <c r="C215" s="4" t="s">
        <v>1955</v>
      </c>
      <c r="G215" s="10" t="s">
        <v>25</v>
      </c>
      <c r="H215" s="10"/>
      <c r="I215" s="10">
        <v>1</v>
      </c>
      <c r="J215" s="10">
        <v>3</v>
      </c>
      <c r="K215" s="10" t="s">
        <v>2168</v>
      </c>
      <c r="L215" s="10" t="s">
        <v>2159</v>
      </c>
      <c r="M215" s="10"/>
      <c r="N215" s="11"/>
      <c r="O215" s="10"/>
      <c r="P215" s="10">
        <v>1701</v>
      </c>
      <c r="Q215" s="10">
        <f t="shared" si="3"/>
        <v>836.36542432884255</v>
      </c>
      <c r="R215" s="10"/>
      <c r="S215" s="10" t="s">
        <v>2387</v>
      </c>
      <c r="T215" s="10" t="s">
        <v>2387</v>
      </c>
      <c r="U215" s="10"/>
      <c r="V215" s="10"/>
      <c r="W215" s="10"/>
      <c r="X215" s="10"/>
      <c r="Y215" s="10"/>
      <c r="Z215" s="10"/>
      <c r="AA215" s="10"/>
      <c r="AB215" s="10"/>
      <c r="AC215" s="10"/>
      <c r="AD215" s="10"/>
      <c r="AE215" t="s">
        <v>19</v>
      </c>
      <c r="AH215">
        <v>1</v>
      </c>
    </row>
    <row r="216" spans="1:34" ht="29">
      <c r="A216" t="s">
        <v>721</v>
      </c>
      <c r="B216" s="4" t="s">
        <v>1961</v>
      </c>
      <c r="C216" s="4" t="s">
        <v>1962</v>
      </c>
      <c r="G216" s="10" t="s">
        <v>25</v>
      </c>
      <c r="H216" s="10"/>
      <c r="I216" s="10">
        <v>1</v>
      </c>
      <c r="J216" s="10">
        <v>2</v>
      </c>
      <c r="K216" s="10" t="s">
        <v>2158</v>
      </c>
      <c r="L216" s="10" t="s">
        <v>2200</v>
      </c>
      <c r="M216" s="10"/>
      <c r="N216" s="11"/>
      <c r="O216" s="10"/>
      <c r="P216" s="10">
        <v>2475</v>
      </c>
      <c r="Q216" s="10">
        <f t="shared" si="3"/>
        <v>1216.9338184678927</v>
      </c>
      <c r="R216" s="10"/>
      <c r="S216" s="10" t="s">
        <v>2387</v>
      </c>
      <c r="T216" s="10" t="s">
        <v>2387</v>
      </c>
      <c r="U216" s="10"/>
      <c r="V216" s="10"/>
      <c r="W216" s="10"/>
      <c r="X216" s="10"/>
      <c r="Y216" s="10"/>
      <c r="Z216" s="10"/>
      <c r="AA216" s="10"/>
      <c r="AB216" s="10"/>
      <c r="AC216" s="10"/>
      <c r="AD216" s="10"/>
      <c r="AE216" t="s">
        <v>19</v>
      </c>
      <c r="AH216">
        <v>1</v>
      </c>
    </row>
    <row r="217" spans="1:34" ht="87">
      <c r="A217" t="s">
        <v>725</v>
      </c>
      <c r="B217" s="4" t="s">
        <v>1974</v>
      </c>
      <c r="C217" s="4" t="s">
        <v>1975</v>
      </c>
      <c r="G217" s="10" t="s">
        <v>24</v>
      </c>
      <c r="H217" s="10"/>
      <c r="I217" s="10">
        <v>1</v>
      </c>
      <c r="J217" s="10">
        <v>2</v>
      </c>
      <c r="K217" s="10" t="s">
        <v>2168</v>
      </c>
      <c r="L217" s="10" t="s">
        <v>2200</v>
      </c>
      <c r="M217" s="10"/>
      <c r="N217" s="11"/>
      <c r="O217" s="10"/>
      <c r="P217" s="10">
        <v>171</v>
      </c>
      <c r="Q217" s="10">
        <f t="shared" si="3"/>
        <v>84.079063821418046</v>
      </c>
      <c r="R217" s="10"/>
      <c r="S217" s="10" t="s">
        <v>2387</v>
      </c>
      <c r="T217" s="10" t="s">
        <v>2387</v>
      </c>
      <c r="U217" s="10"/>
      <c r="V217" s="10"/>
      <c r="W217" s="10"/>
      <c r="X217" s="10"/>
      <c r="Y217" s="10"/>
      <c r="Z217" s="10"/>
      <c r="AA217" s="10"/>
      <c r="AB217" s="10"/>
      <c r="AC217" s="10"/>
      <c r="AD217" s="10"/>
      <c r="AE217" t="s">
        <v>19</v>
      </c>
      <c r="AH217">
        <v>1</v>
      </c>
    </row>
    <row r="218" spans="1:34" ht="87">
      <c r="A218" t="s">
        <v>725</v>
      </c>
      <c r="B218" s="4" t="s">
        <v>1976</v>
      </c>
      <c r="C218" s="4" t="s">
        <v>1973</v>
      </c>
      <c r="G218" s="10" t="s">
        <v>25</v>
      </c>
      <c r="H218" s="10"/>
      <c r="I218" s="10">
        <v>1</v>
      </c>
      <c r="J218" s="10">
        <v>3</v>
      </c>
      <c r="K218" s="10" t="s">
        <v>2168</v>
      </c>
      <c r="L218" s="10" t="s">
        <v>2159</v>
      </c>
      <c r="M218" s="10"/>
      <c r="N218" s="11"/>
      <c r="O218" s="10"/>
      <c r="P218" s="10">
        <v>1701</v>
      </c>
      <c r="Q218" s="10">
        <f t="shared" si="3"/>
        <v>836.36542432884255</v>
      </c>
      <c r="R218" s="10"/>
      <c r="S218" s="10" t="s">
        <v>2387</v>
      </c>
      <c r="T218" s="10" t="s">
        <v>2387</v>
      </c>
      <c r="U218" s="10"/>
      <c r="V218" s="10"/>
      <c r="W218" s="10"/>
      <c r="X218" s="10"/>
      <c r="Y218" s="10"/>
      <c r="Z218" s="10"/>
      <c r="AA218" s="10"/>
      <c r="AB218" s="10"/>
      <c r="AC218" s="10"/>
      <c r="AD218" s="10"/>
      <c r="AE218" t="s">
        <v>19</v>
      </c>
      <c r="AH218">
        <v>1</v>
      </c>
    </row>
    <row r="219" spans="1:34" ht="43.5">
      <c r="A219" t="s">
        <v>734</v>
      </c>
      <c r="B219" s="4" t="s">
        <v>1977</v>
      </c>
      <c r="C219" s="4" t="s">
        <v>1978</v>
      </c>
      <c r="G219" s="10" t="s">
        <v>25</v>
      </c>
      <c r="H219" s="10"/>
      <c r="I219" s="10">
        <v>1</v>
      </c>
      <c r="J219" s="10">
        <v>5</v>
      </c>
      <c r="K219" s="10" t="s">
        <v>2219</v>
      </c>
      <c r="L219" s="10" t="s">
        <v>2153</v>
      </c>
      <c r="M219" s="10" t="s">
        <v>2231</v>
      </c>
      <c r="N219" s="11" t="s">
        <v>2230</v>
      </c>
      <c r="O219" s="10"/>
      <c r="P219" s="10">
        <v>295</v>
      </c>
      <c r="Q219" s="10">
        <f t="shared" si="3"/>
        <v>145.04867735273871</v>
      </c>
      <c r="R219" s="10"/>
      <c r="S219" s="10" t="s">
        <v>2387</v>
      </c>
      <c r="T219" s="10" t="s">
        <v>2387</v>
      </c>
      <c r="U219" s="10"/>
      <c r="V219" s="10"/>
      <c r="W219" s="10"/>
      <c r="X219" s="10"/>
      <c r="Y219" s="10"/>
      <c r="Z219" s="10"/>
      <c r="AA219" s="10"/>
      <c r="AB219" s="10"/>
      <c r="AC219" s="10"/>
      <c r="AD219" s="10"/>
      <c r="AE219" t="s">
        <v>19</v>
      </c>
      <c r="AH219">
        <v>1</v>
      </c>
    </row>
    <row r="220" spans="1:34" ht="87">
      <c r="A220" t="s">
        <v>740</v>
      </c>
      <c r="B220" s="4" t="s">
        <v>1979</v>
      </c>
      <c r="C220" s="4" t="s">
        <v>1982</v>
      </c>
      <c r="G220" s="10" t="s">
        <v>24</v>
      </c>
      <c r="H220" s="10"/>
      <c r="I220" s="10">
        <v>1</v>
      </c>
      <c r="J220" s="10">
        <v>1</v>
      </c>
      <c r="K220" s="10" t="s">
        <v>2152</v>
      </c>
      <c r="L220" s="10" t="s">
        <v>2200</v>
      </c>
      <c r="M220" s="10"/>
      <c r="N220" s="11"/>
      <c r="O220" s="10"/>
      <c r="P220" s="10">
        <v>5</v>
      </c>
      <c r="Q220" s="10">
        <f t="shared" si="3"/>
        <v>2.4584521585209949</v>
      </c>
      <c r="R220" s="10"/>
      <c r="S220" s="10" t="s">
        <v>2387</v>
      </c>
      <c r="T220" s="10" t="s">
        <v>2387</v>
      </c>
      <c r="U220" s="10"/>
      <c r="V220" s="10"/>
      <c r="W220" s="10"/>
      <c r="X220" s="10"/>
      <c r="Y220" s="10"/>
      <c r="Z220" s="10"/>
      <c r="AA220" s="10"/>
      <c r="AB220" s="10"/>
      <c r="AC220" s="10"/>
      <c r="AD220" s="10"/>
      <c r="AE220" t="s">
        <v>19</v>
      </c>
      <c r="AH220">
        <v>1</v>
      </c>
    </row>
    <row r="221" spans="1:34" ht="58">
      <c r="A221" t="s">
        <v>744</v>
      </c>
      <c r="B221" s="4" t="s">
        <v>1986</v>
      </c>
      <c r="C221" s="4" t="s">
        <v>1985</v>
      </c>
      <c r="G221" s="10" t="s">
        <v>24</v>
      </c>
      <c r="H221" s="10"/>
      <c r="I221" s="10">
        <v>1</v>
      </c>
      <c r="J221" s="10">
        <v>5</v>
      </c>
      <c r="K221" s="10" t="s">
        <v>2175</v>
      </c>
      <c r="L221" s="10" t="s">
        <v>2159</v>
      </c>
      <c r="M221" s="10"/>
      <c r="N221" s="11"/>
      <c r="O221" s="10"/>
      <c r="P221" s="10">
        <v>830</v>
      </c>
      <c r="Q221" s="10">
        <f t="shared" si="3"/>
        <v>408.10305831448517</v>
      </c>
      <c r="R221" s="10"/>
      <c r="S221" s="10" t="s">
        <v>2387</v>
      </c>
      <c r="T221" s="10" t="s">
        <v>2387</v>
      </c>
      <c r="U221" s="10"/>
      <c r="V221" s="10"/>
      <c r="W221" s="10"/>
      <c r="X221" s="10"/>
      <c r="Y221" s="10"/>
      <c r="Z221" s="10"/>
      <c r="AA221" s="10"/>
      <c r="AB221" s="10"/>
      <c r="AC221" s="10"/>
      <c r="AD221" s="10"/>
      <c r="AE221" t="s">
        <v>19</v>
      </c>
      <c r="AH221">
        <v>1</v>
      </c>
    </row>
    <row r="222" spans="1:34" ht="43.5">
      <c r="A222" t="s">
        <v>747</v>
      </c>
      <c r="B222" s="4" t="s">
        <v>1992</v>
      </c>
      <c r="C222" s="4" t="s">
        <v>1991</v>
      </c>
      <c r="G222" s="10" t="s">
        <v>25</v>
      </c>
      <c r="H222" s="10"/>
      <c r="I222" s="10">
        <v>1</v>
      </c>
      <c r="J222" s="10">
        <v>3</v>
      </c>
      <c r="K222" s="10" t="s">
        <v>2175</v>
      </c>
      <c r="L222" s="10" t="s">
        <v>2159</v>
      </c>
      <c r="M222" s="10"/>
      <c r="N222" s="11"/>
      <c r="O222" s="10"/>
      <c r="P222" s="10">
        <v>312</v>
      </c>
      <c r="Q222" s="10">
        <f t="shared" si="3"/>
        <v>153.4074146917101</v>
      </c>
      <c r="R222" s="10"/>
      <c r="S222" s="10" t="s">
        <v>2387</v>
      </c>
      <c r="T222" s="10" t="s">
        <v>2387</v>
      </c>
      <c r="U222" s="10"/>
      <c r="V222" s="10"/>
      <c r="W222" s="10"/>
      <c r="X222" s="10"/>
      <c r="Y222" s="10"/>
      <c r="Z222" s="10"/>
      <c r="AA222" s="10"/>
      <c r="AB222" s="10"/>
      <c r="AC222" s="10"/>
      <c r="AD222" s="10"/>
      <c r="AE222" t="s">
        <v>19</v>
      </c>
      <c r="AH222">
        <v>1</v>
      </c>
    </row>
    <row r="223" spans="1:34">
      <c r="A223" t="s">
        <v>747</v>
      </c>
      <c r="B223" s="4" t="s">
        <v>1994</v>
      </c>
      <c r="C223" s="4" t="s">
        <v>1993</v>
      </c>
      <c r="G223" s="10" t="s">
        <v>25</v>
      </c>
      <c r="H223" s="10"/>
      <c r="I223" s="10">
        <v>1</v>
      </c>
      <c r="J223" s="10">
        <v>1</v>
      </c>
      <c r="K223" s="10" t="s">
        <v>2158</v>
      </c>
      <c r="L223" s="10" t="s">
        <v>2200</v>
      </c>
      <c r="M223" s="10"/>
      <c r="N223" s="11"/>
      <c r="O223" s="10"/>
      <c r="P223" s="10">
        <v>2475</v>
      </c>
      <c r="Q223" s="10">
        <f t="shared" si="3"/>
        <v>1216.9338184678927</v>
      </c>
      <c r="R223" s="10"/>
      <c r="S223" s="10" t="s">
        <v>2387</v>
      </c>
      <c r="T223" s="10" t="s">
        <v>2387</v>
      </c>
      <c r="U223" s="10"/>
      <c r="V223" s="10"/>
      <c r="W223" s="10"/>
      <c r="X223" s="10"/>
      <c r="Y223" s="10"/>
      <c r="Z223" s="10"/>
      <c r="AA223" s="10"/>
      <c r="AB223" s="10"/>
      <c r="AC223" s="10"/>
      <c r="AD223" s="10"/>
      <c r="AE223" t="s">
        <v>19</v>
      </c>
      <c r="AH223">
        <v>1</v>
      </c>
    </row>
    <row r="224" spans="1:34" ht="58">
      <c r="A224" t="s">
        <v>747</v>
      </c>
      <c r="B224" s="4" t="s">
        <v>1996</v>
      </c>
      <c r="C224" s="4" t="s">
        <v>1995</v>
      </c>
      <c r="G224" s="10" t="s">
        <v>24</v>
      </c>
      <c r="H224" s="10"/>
      <c r="I224" s="10">
        <v>1</v>
      </c>
      <c r="J224" s="10">
        <v>5</v>
      </c>
      <c r="K224" s="10" t="s">
        <v>2219</v>
      </c>
      <c r="L224" s="10" t="s">
        <v>2159</v>
      </c>
      <c r="M224" s="10"/>
      <c r="N224" s="11"/>
      <c r="O224" s="10"/>
      <c r="P224" s="10">
        <v>295</v>
      </c>
      <c r="Q224" s="10">
        <f t="shared" si="3"/>
        <v>145.04867735273871</v>
      </c>
      <c r="R224" s="10"/>
      <c r="S224" s="10" t="s">
        <v>2387</v>
      </c>
      <c r="T224" s="10" t="s">
        <v>2387</v>
      </c>
      <c r="U224" s="10"/>
      <c r="V224" s="10"/>
      <c r="W224" s="10"/>
      <c r="X224" s="10"/>
      <c r="Y224" s="10"/>
      <c r="Z224" s="10"/>
      <c r="AA224" s="10"/>
      <c r="AB224" s="10"/>
      <c r="AC224" s="10"/>
      <c r="AD224" s="10"/>
      <c r="AE224" t="s">
        <v>19</v>
      </c>
      <c r="AH224">
        <v>1</v>
      </c>
    </row>
    <row r="225" spans="1:34" ht="43.5">
      <c r="A225" t="s">
        <v>750</v>
      </c>
      <c r="B225" s="4" t="s">
        <v>1998</v>
      </c>
      <c r="C225" s="4" t="s">
        <v>1997</v>
      </c>
      <c r="G225" s="10" t="s">
        <v>25</v>
      </c>
      <c r="H225" s="10"/>
      <c r="I225" s="10">
        <v>1</v>
      </c>
      <c r="J225" s="10">
        <v>5</v>
      </c>
      <c r="K225" s="10" t="s">
        <v>2175</v>
      </c>
      <c r="L225" s="10" t="s">
        <v>2159</v>
      </c>
      <c r="M225" s="10"/>
      <c r="N225" s="11"/>
      <c r="O225" s="10"/>
      <c r="P225" s="10">
        <v>830</v>
      </c>
      <c r="Q225" s="10">
        <f t="shared" si="3"/>
        <v>408.10305831448517</v>
      </c>
      <c r="R225" s="10"/>
      <c r="S225" s="10" t="s">
        <v>2387</v>
      </c>
      <c r="T225" s="10" t="s">
        <v>2387</v>
      </c>
      <c r="U225" s="10"/>
      <c r="V225" s="10"/>
      <c r="W225" s="10"/>
      <c r="X225" s="10"/>
      <c r="Y225" s="10"/>
      <c r="Z225" s="10"/>
      <c r="AA225" s="10"/>
      <c r="AB225" s="10"/>
      <c r="AC225" s="10"/>
      <c r="AD225" s="10"/>
      <c r="AE225" t="s">
        <v>19</v>
      </c>
      <c r="AH225">
        <v>1</v>
      </c>
    </row>
    <row r="226" spans="1:34" ht="43.5">
      <c r="A226" t="s">
        <v>753</v>
      </c>
      <c r="B226" s="4" t="s">
        <v>2001</v>
      </c>
      <c r="C226" s="4" t="s">
        <v>2002</v>
      </c>
      <c r="G226" s="10" t="s">
        <v>24</v>
      </c>
      <c r="H226" s="10"/>
      <c r="I226" s="10">
        <v>1</v>
      </c>
      <c r="J226" s="10">
        <v>3</v>
      </c>
      <c r="K226" s="10" t="s">
        <v>2158</v>
      </c>
      <c r="L226" s="10" t="s">
        <v>2153</v>
      </c>
      <c r="M226" s="10" t="s">
        <v>2231</v>
      </c>
      <c r="N226" s="11" t="s">
        <v>2230</v>
      </c>
      <c r="O226" s="10"/>
      <c r="P226" s="10">
        <v>2475</v>
      </c>
      <c r="Q226" s="10">
        <f t="shared" si="3"/>
        <v>1216.9338184678927</v>
      </c>
      <c r="R226" s="10"/>
      <c r="S226" s="10" t="s">
        <v>2387</v>
      </c>
      <c r="T226" s="10" t="s">
        <v>2387</v>
      </c>
      <c r="U226" s="10"/>
      <c r="V226" s="10"/>
      <c r="W226" s="10"/>
      <c r="X226" s="10"/>
      <c r="Y226" s="10"/>
      <c r="Z226" s="10"/>
      <c r="AA226" s="10"/>
      <c r="AB226" s="10"/>
      <c r="AC226" s="10"/>
      <c r="AD226" s="10"/>
      <c r="AE226" t="s">
        <v>19</v>
      </c>
      <c r="AH226">
        <v>1</v>
      </c>
    </row>
    <row r="227" spans="1:34" ht="72.5">
      <c r="A227" t="s">
        <v>755</v>
      </c>
      <c r="B227" s="4" t="s">
        <v>2007</v>
      </c>
      <c r="C227" s="4" t="s">
        <v>2009</v>
      </c>
      <c r="G227" s="10" t="s">
        <v>25</v>
      </c>
      <c r="H227" s="10"/>
      <c r="I227" s="10">
        <v>1</v>
      </c>
      <c r="J227" s="10">
        <v>1</v>
      </c>
      <c r="K227" s="10" t="s">
        <v>2158</v>
      </c>
      <c r="L227" s="10" t="s">
        <v>2200</v>
      </c>
      <c r="M227" s="10"/>
      <c r="N227" s="11"/>
      <c r="O227" s="10"/>
      <c r="P227" s="10">
        <v>2475</v>
      </c>
      <c r="Q227" s="10">
        <f t="shared" si="3"/>
        <v>1216.9338184678927</v>
      </c>
      <c r="R227" s="10"/>
      <c r="S227" s="10" t="s">
        <v>2387</v>
      </c>
      <c r="T227" s="10" t="s">
        <v>2387</v>
      </c>
      <c r="U227" s="10"/>
      <c r="V227" s="10"/>
      <c r="W227" s="10"/>
      <c r="X227" s="10"/>
      <c r="Y227" s="10"/>
      <c r="Z227" s="10"/>
      <c r="AA227" s="10"/>
      <c r="AB227" s="10"/>
      <c r="AC227" s="10"/>
      <c r="AD227" s="10"/>
      <c r="AE227" t="s">
        <v>19</v>
      </c>
      <c r="AH227">
        <v>1</v>
      </c>
    </row>
    <row r="228" spans="1:34" ht="29">
      <c r="A228" t="s">
        <v>756</v>
      </c>
      <c r="B228" s="4" t="s">
        <v>2011</v>
      </c>
      <c r="C228" s="4" t="s">
        <v>2012</v>
      </c>
      <c r="G228" s="10" t="s">
        <v>25</v>
      </c>
      <c r="H228" s="10"/>
      <c r="I228" s="10">
        <v>1</v>
      </c>
      <c r="J228" s="10">
        <v>3</v>
      </c>
      <c r="K228" s="10" t="s">
        <v>2177</v>
      </c>
      <c r="L228" s="10" t="s">
        <v>2159</v>
      </c>
      <c r="M228" s="10"/>
      <c r="N228" s="11"/>
      <c r="O228" s="10"/>
      <c r="P228" s="10">
        <v>166</v>
      </c>
      <c r="Q228" s="10">
        <f t="shared" si="3"/>
        <v>81.620611662897048</v>
      </c>
      <c r="R228" s="10"/>
      <c r="S228" s="10" t="s">
        <v>2387</v>
      </c>
      <c r="T228" s="10" t="s">
        <v>2387</v>
      </c>
      <c r="U228" s="10"/>
      <c r="V228" s="10"/>
      <c r="W228" s="10"/>
      <c r="X228" s="10"/>
      <c r="Y228" s="10"/>
      <c r="Z228" s="10"/>
      <c r="AA228" s="10"/>
      <c r="AB228" s="10"/>
      <c r="AC228" s="10"/>
      <c r="AD228" s="10"/>
      <c r="AE228" t="s">
        <v>19</v>
      </c>
      <c r="AH228">
        <v>1</v>
      </c>
    </row>
    <row r="229" spans="1:34" ht="101.5">
      <c r="A229" t="s">
        <v>757</v>
      </c>
      <c r="B229" s="4" t="s">
        <v>2015</v>
      </c>
      <c r="C229" s="4" t="s">
        <v>2018</v>
      </c>
      <c r="G229" s="10" t="s">
        <v>24</v>
      </c>
      <c r="H229" s="10"/>
      <c r="I229" s="10">
        <v>1</v>
      </c>
      <c r="J229" s="10">
        <v>3</v>
      </c>
      <c r="K229" s="10" t="s">
        <v>2158</v>
      </c>
      <c r="L229" s="10" t="s">
        <v>2159</v>
      </c>
      <c r="M229" s="10"/>
      <c r="N229" s="11"/>
      <c r="O229" s="10"/>
      <c r="P229" s="10">
        <v>2475</v>
      </c>
      <c r="Q229" s="10">
        <f t="shared" si="3"/>
        <v>1216.9338184678927</v>
      </c>
      <c r="R229" s="10"/>
      <c r="S229" s="10" t="s">
        <v>2387</v>
      </c>
      <c r="T229" s="10" t="s">
        <v>2387</v>
      </c>
      <c r="U229" s="10"/>
      <c r="V229" s="10"/>
      <c r="W229" s="10"/>
      <c r="X229" s="10"/>
      <c r="Y229" s="10"/>
      <c r="Z229" s="10"/>
      <c r="AA229" s="10"/>
      <c r="AB229" s="10"/>
      <c r="AC229" s="10"/>
      <c r="AD229" s="10"/>
      <c r="AE229" t="s">
        <v>19</v>
      </c>
      <c r="AH229">
        <v>1</v>
      </c>
    </row>
    <row r="230" spans="1:34" ht="43.5">
      <c r="A230" t="s">
        <v>758</v>
      </c>
      <c r="B230" s="4" t="s">
        <v>2020</v>
      </c>
      <c r="C230" s="4" t="s">
        <v>2019</v>
      </c>
      <c r="G230" s="10" t="s">
        <v>24</v>
      </c>
      <c r="H230" s="10"/>
      <c r="I230" s="10">
        <v>1</v>
      </c>
      <c r="J230" s="10">
        <v>3</v>
      </c>
      <c r="K230" s="10" t="s">
        <v>2168</v>
      </c>
      <c r="L230" s="10" t="s">
        <v>2159</v>
      </c>
      <c r="M230" s="10"/>
      <c r="N230" s="11"/>
      <c r="O230" s="10"/>
      <c r="P230" s="10">
        <v>86</v>
      </c>
      <c r="Q230" s="10">
        <f t="shared" si="3"/>
        <v>42.285377126561116</v>
      </c>
      <c r="R230" s="10"/>
      <c r="S230" s="10" t="s">
        <v>2387</v>
      </c>
      <c r="T230" s="10" t="s">
        <v>2387</v>
      </c>
      <c r="U230" s="10"/>
      <c r="V230" s="10"/>
      <c r="W230" s="10"/>
      <c r="X230" s="10"/>
      <c r="Y230" s="10"/>
      <c r="Z230" s="10"/>
      <c r="AA230" s="10"/>
      <c r="AB230" s="10"/>
      <c r="AC230" s="10"/>
      <c r="AD230" s="10"/>
      <c r="AE230" t="s">
        <v>19</v>
      </c>
      <c r="AH230">
        <v>1</v>
      </c>
    </row>
    <row r="231" spans="1:34" ht="43.5">
      <c r="A231" t="s">
        <v>760</v>
      </c>
      <c r="B231" s="4" t="s">
        <v>2026</v>
      </c>
      <c r="C231" s="4" t="s">
        <v>2023</v>
      </c>
      <c r="G231" s="10" t="s">
        <v>25</v>
      </c>
      <c r="H231" s="10"/>
      <c r="I231" s="10">
        <v>1</v>
      </c>
      <c r="J231" s="10">
        <v>1</v>
      </c>
      <c r="K231" s="10" t="s">
        <v>2158</v>
      </c>
      <c r="L231" s="10" t="s">
        <v>2200</v>
      </c>
      <c r="M231" s="10"/>
      <c r="N231" s="11"/>
      <c r="O231" s="10"/>
      <c r="P231" s="10">
        <v>2475</v>
      </c>
      <c r="Q231" s="10">
        <f t="shared" si="3"/>
        <v>1216.9338184678927</v>
      </c>
      <c r="R231" s="10"/>
      <c r="S231" s="10" t="s">
        <v>2387</v>
      </c>
      <c r="T231" s="10" t="s">
        <v>2387</v>
      </c>
      <c r="U231" s="10"/>
      <c r="V231" s="10"/>
      <c r="W231" s="10"/>
      <c r="X231" s="10"/>
      <c r="Y231" s="10"/>
      <c r="Z231" s="10"/>
      <c r="AA231" s="10"/>
      <c r="AB231" s="10"/>
      <c r="AC231" s="10"/>
      <c r="AD231" s="10"/>
      <c r="AE231" t="s">
        <v>19</v>
      </c>
      <c r="AH231">
        <v>1</v>
      </c>
    </row>
    <row r="232" spans="1:34" ht="29">
      <c r="A232" t="s">
        <v>762</v>
      </c>
      <c r="B232" s="4" t="s">
        <v>2032</v>
      </c>
      <c r="C232" s="4" t="s">
        <v>2031</v>
      </c>
      <c r="G232" s="10" t="s">
        <v>24</v>
      </c>
      <c r="H232" s="10"/>
      <c r="I232" s="10">
        <v>1</v>
      </c>
      <c r="J232" s="10">
        <v>3</v>
      </c>
      <c r="K232" s="10" t="s">
        <v>2168</v>
      </c>
      <c r="L232" s="10" t="s">
        <v>2159</v>
      </c>
      <c r="M232" s="10"/>
      <c r="N232" s="11"/>
      <c r="O232" s="10"/>
      <c r="P232" s="10">
        <v>86</v>
      </c>
      <c r="Q232" s="10">
        <f t="shared" si="3"/>
        <v>42.285377126561116</v>
      </c>
      <c r="R232" s="10"/>
      <c r="S232" s="10" t="s">
        <v>2387</v>
      </c>
      <c r="T232" s="10" t="s">
        <v>2387</v>
      </c>
      <c r="U232" s="10"/>
      <c r="V232" s="10"/>
      <c r="W232" s="10"/>
      <c r="X232" s="10"/>
      <c r="Y232" s="10"/>
      <c r="Z232" s="10"/>
      <c r="AA232" s="10"/>
      <c r="AB232" s="10"/>
      <c r="AC232" s="10"/>
      <c r="AD232" s="10"/>
      <c r="AE232" t="s">
        <v>19</v>
      </c>
      <c r="AH232">
        <v>1</v>
      </c>
    </row>
    <row r="233" spans="1:34" ht="29">
      <c r="A233" t="s">
        <v>764</v>
      </c>
      <c r="B233" s="4" t="s">
        <v>2039</v>
      </c>
      <c r="C233" s="4" t="s">
        <v>2038</v>
      </c>
      <c r="G233" s="10" t="s">
        <v>25</v>
      </c>
      <c r="H233" s="10"/>
      <c r="I233" s="10">
        <v>1</v>
      </c>
      <c r="J233" s="10">
        <v>1</v>
      </c>
      <c r="K233" s="10" t="s">
        <v>2158</v>
      </c>
      <c r="L233" s="10" t="s">
        <v>2200</v>
      </c>
      <c r="M233" s="10"/>
      <c r="N233" s="11"/>
      <c r="O233" s="10"/>
      <c r="P233" s="10">
        <v>2475</v>
      </c>
      <c r="Q233" s="10">
        <f t="shared" si="3"/>
        <v>1216.9338184678927</v>
      </c>
      <c r="R233" s="10"/>
      <c r="S233" s="10" t="s">
        <v>2387</v>
      </c>
      <c r="T233" s="10" t="s">
        <v>2387</v>
      </c>
      <c r="U233" s="10"/>
      <c r="V233" s="10"/>
      <c r="W233" s="10"/>
      <c r="X233" s="10"/>
      <c r="Y233" s="10"/>
      <c r="Z233" s="10"/>
      <c r="AA233" s="10"/>
      <c r="AB233" s="10"/>
      <c r="AC233" s="10"/>
      <c r="AD233" s="10"/>
      <c r="AE233" t="s">
        <v>19</v>
      </c>
      <c r="AH233">
        <v>1</v>
      </c>
    </row>
    <row r="234" spans="1:34" ht="43.5">
      <c r="A234" t="s">
        <v>768</v>
      </c>
      <c r="B234" s="4" t="s">
        <v>2042</v>
      </c>
      <c r="C234" s="4" t="s">
        <v>2043</v>
      </c>
      <c r="G234" s="10" t="s">
        <v>25</v>
      </c>
      <c r="H234" s="10"/>
      <c r="I234" s="10">
        <v>1</v>
      </c>
      <c r="J234" s="10">
        <v>3</v>
      </c>
      <c r="K234" s="10" t="s">
        <v>2158</v>
      </c>
      <c r="L234" s="10" t="s">
        <v>2159</v>
      </c>
      <c r="M234" s="10"/>
      <c r="N234" s="11"/>
      <c r="O234" s="10"/>
      <c r="P234" s="10">
        <v>2475</v>
      </c>
      <c r="Q234" s="10">
        <f t="shared" si="3"/>
        <v>1216.9338184678927</v>
      </c>
      <c r="R234" s="10"/>
      <c r="S234" s="10" t="s">
        <v>2387</v>
      </c>
      <c r="T234" s="10" t="s">
        <v>2387</v>
      </c>
      <c r="U234" s="10"/>
      <c r="V234" s="10"/>
      <c r="W234" s="10"/>
      <c r="X234" s="10"/>
      <c r="Y234" s="10"/>
      <c r="Z234" s="10"/>
      <c r="AA234" s="10"/>
      <c r="AB234" s="10"/>
      <c r="AC234" s="10"/>
      <c r="AD234" s="10"/>
      <c r="AE234" t="s">
        <v>19</v>
      </c>
      <c r="AH234">
        <v>1</v>
      </c>
    </row>
    <row r="235" spans="1:34" ht="29">
      <c r="A235" t="s">
        <v>772</v>
      </c>
      <c r="B235" s="4" t="s">
        <v>2046</v>
      </c>
      <c r="C235" s="4" t="s">
        <v>2047</v>
      </c>
      <c r="G235" s="10" t="s">
        <v>25</v>
      </c>
      <c r="H235" s="10"/>
      <c r="I235" s="10">
        <v>1</v>
      </c>
      <c r="J235" s="10">
        <v>1</v>
      </c>
      <c r="K235" s="10" t="s">
        <v>2158</v>
      </c>
      <c r="L235" s="10" t="s">
        <v>2200</v>
      </c>
      <c r="M235" s="10"/>
      <c r="N235" s="11"/>
      <c r="O235" s="10"/>
      <c r="P235" s="10">
        <v>2475</v>
      </c>
      <c r="Q235" s="10">
        <f t="shared" si="3"/>
        <v>1216.9338184678927</v>
      </c>
      <c r="R235" s="10"/>
      <c r="S235" s="10" t="s">
        <v>2387</v>
      </c>
      <c r="T235" s="10" t="s">
        <v>2387</v>
      </c>
      <c r="U235" s="10"/>
      <c r="V235" s="10"/>
      <c r="W235" s="10"/>
      <c r="X235" s="10"/>
      <c r="Y235" s="10"/>
      <c r="Z235" s="10"/>
      <c r="AA235" s="10"/>
      <c r="AB235" s="10"/>
      <c r="AC235" s="10"/>
      <c r="AD235" s="10"/>
      <c r="AE235" t="s">
        <v>19</v>
      </c>
      <c r="AH235">
        <v>1</v>
      </c>
    </row>
    <row r="236" spans="1:34" ht="29">
      <c r="A236" t="s">
        <v>774</v>
      </c>
      <c r="B236" s="4" t="s">
        <v>2051</v>
      </c>
      <c r="C236" s="4" t="s">
        <v>2050</v>
      </c>
      <c r="G236" s="10" t="s">
        <v>24</v>
      </c>
      <c r="H236" s="10"/>
      <c r="I236" s="10">
        <v>1</v>
      </c>
      <c r="J236" s="10">
        <v>2</v>
      </c>
      <c r="K236" s="10" t="s">
        <v>2158</v>
      </c>
      <c r="L236" s="10" t="s">
        <v>2200</v>
      </c>
      <c r="M236" s="10"/>
      <c r="N236" s="11"/>
      <c r="O236" s="10"/>
      <c r="P236" s="10">
        <v>2475</v>
      </c>
      <c r="Q236" s="10">
        <f t="shared" si="3"/>
        <v>1216.9338184678927</v>
      </c>
      <c r="R236" s="10"/>
      <c r="S236" s="10" t="s">
        <v>2387</v>
      </c>
      <c r="T236" s="10" t="s">
        <v>2387</v>
      </c>
      <c r="U236" s="10"/>
      <c r="V236" s="10"/>
      <c r="W236" s="10"/>
      <c r="X236" s="10"/>
      <c r="Y236" s="10"/>
      <c r="Z236" s="10"/>
      <c r="AA236" s="10"/>
      <c r="AB236" s="10"/>
      <c r="AC236" s="10"/>
      <c r="AD236" s="10"/>
      <c r="AE236" t="s">
        <v>19</v>
      </c>
      <c r="AH236">
        <v>1</v>
      </c>
    </row>
    <row r="237" spans="1:34" ht="43.5">
      <c r="A237" t="s">
        <v>779</v>
      </c>
      <c r="B237" s="4" t="s">
        <v>2066</v>
      </c>
      <c r="C237" s="4" t="s">
        <v>2065</v>
      </c>
      <c r="G237" s="10" t="s">
        <v>25</v>
      </c>
      <c r="H237" s="10"/>
      <c r="I237" s="10">
        <v>1</v>
      </c>
      <c r="J237" s="10">
        <v>1</v>
      </c>
      <c r="K237" s="10" t="s">
        <v>2158</v>
      </c>
      <c r="L237" s="10" t="s">
        <v>2200</v>
      </c>
      <c r="M237" s="10"/>
      <c r="N237" s="11"/>
      <c r="O237" s="10"/>
      <c r="P237" s="10">
        <v>2475</v>
      </c>
      <c r="Q237" s="10">
        <f t="shared" si="3"/>
        <v>1216.9338184678927</v>
      </c>
      <c r="R237" s="10"/>
      <c r="S237" s="10" t="s">
        <v>2387</v>
      </c>
      <c r="T237" s="10" t="s">
        <v>2387</v>
      </c>
      <c r="U237" s="10"/>
      <c r="V237" s="10"/>
      <c r="W237" s="10"/>
      <c r="X237" s="10"/>
      <c r="Y237" s="10"/>
      <c r="Z237" s="10"/>
      <c r="AA237" s="10"/>
      <c r="AB237" s="10"/>
      <c r="AC237" s="10"/>
      <c r="AD237" s="10"/>
      <c r="AE237" t="s">
        <v>19</v>
      </c>
      <c r="AH237">
        <v>1</v>
      </c>
    </row>
    <row r="238" spans="1:34" ht="43.5">
      <c r="A238" t="s">
        <v>779</v>
      </c>
      <c r="B238" s="4" t="s">
        <v>2067</v>
      </c>
      <c r="C238" s="4" t="s">
        <v>2065</v>
      </c>
      <c r="G238" s="10" t="s">
        <v>25</v>
      </c>
      <c r="H238" s="10"/>
      <c r="I238" s="10">
        <v>1</v>
      </c>
      <c r="J238" s="10">
        <v>3</v>
      </c>
      <c r="K238" s="10" t="s">
        <v>2158</v>
      </c>
      <c r="L238" s="10" t="s">
        <v>2159</v>
      </c>
      <c r="M238" s="10"/>
      <c r="N238" s="11"/>
      <c r="O238" s="10"/>
      <c r="P238" s="10">
        <v>2475</v>
      </c>
      <c r="Q238" s="10">
        <f t="shared" si="3"/>
        <v>1216.9338184678927</v>
      </c>
      <c r="R238" s="10"/>
      <c r="S238" s="10" t="s">
        <v>2387</v>
      </c>
      <c r="T238" s="10" t="s">
        <v>2387</v>
      </c>
      <c r="U238" s="10"/>
      <c r="V238" s="10"/>
      <c r="W238" s="10"/>
      <c r="X238" s="10"/>
      <c r="Y238" s="10"/>
      <c r="Z238" s="10"/>
      <c r="AA238" s="10"/>
      <c r="AB238" s="10"/>
      <c r="AC238" s="10"/>
      <c r="AD238" s="10"/>
      <c r="AE238" t="s">
        <v>19</v>
      </c>
      <c r="AH238">
        <v>1</v>
      </c>
    </row>
    <row r="239" spans="1:34" ht="87">
      <c r="A239" t="s">
        <v>780</v>
      </c>
      <c r="B239" s="4" t="s">
        <v>2069</v>
      </c>
      <c r="C239" s="4" t="s">
        <v>2068</v>
      </c>
      <c r="G239" s="10" t="s">
        <v>25</v>
      </c>
      <c r="H239" s="10"/>
      <c r="I239" s="10">
        <v>2</v>
      </c>
      <c r="J239" s="10">
        <v>18</v>
      </c>
      <c r="K239" s="10"/>
      <c r="L239" s="10" t="s">
        <v>2153</v>
      </c>
      <c r="M239" s="10" t="s">
        <v>2274</v>
      </c>
      <c r="N239" s="11" t="s">
        <v>2245</v>
      </c>
      <c r="O239" s="10"/>
      <c r="P239" s="10">
        <v>2</v>
      </c>
      <c r="Q239" s="10">
        <f t="shared" si="3"/>
        <v>0.98338086340839814</v>
      </c>
      <c r="R239" s="10"/>
      <c r="S239" s="10" t="s">
        <v>2387</v>
      </c>
      <c r="T239" s="10" t="s">
        <v>2387</v>
      </c>
      <c r="U239" s="10"/>
      <c r="V239" s="10"/>
      <c r="W239" s="10"/>
      <c r="X239" s="10"/>
      <c r="Y239" s="10"/>
      <c r="Z239" s="10"/>
      <c r="AA239" s="10"/>
      <c r="AB239" s="10"/>
      <c r="AC239" s="10"/>
      <c r="AD239" s="10"/>
      <c r="AE239" t="s">
        <v>19</v>
      </c>
      <c r="AH239">
        <v>1</v>
      </c>
    </row>
    <row r="240" spans="1:34" ht="29">
      <c r="A240" t="s">
        <v>786</v>
      </c>
      <c r="B240" s="4" t="s">
        <v>2077</v>
      </c>
      <c r="C240" s="4" t="s">
        <v>2076</v>
      </c>
      <c r="G240" s="10" t="s">
        <v>24</v>
      </c>
      <c r="H240" s="10"/>
      <c r="I240" s="10">
        <v>1</v>
      </c>
      <c r="J240" s="10">
        <v>3</v>
      </c>
      <c r="K240" s="10" t="s">
        <v>2158</v>
      </c>
      <c r="L240" s="10" t="s">
        <v>2159</v>
      </c>
      <c r="M240" s="10"/>
      <c r="N240" s="11"/>
      <c r="O240" s="10"/>
      <c r="P240" s="10">
        <v>2475</v>
      </c>
      <c r="Q240" s="10">
        <f t="shared" si="3"/>
        <v>1216.9338184678927</v>
      </c>
      <c r="R240" s="10"/>
      <c r="S240" s="10" t="s">
        <v>2387</v>
      </c>
      <c r="T240" s="10" t="s">
        <v>2387</v>
      </c>
      <c r="U240" s="10"/>
      <c r="V240" s="10"/>
      <c r="W240" s="10"/>
      <c r="X240" s="10"/>
      <c r="Y240" s="10"/>
      <c r="Z240" s="10"/>
      <c r="AA240" s="10"/>
      <c r="AB240" s="10"/>
      <c r="AC240" s="10"/>
      <c r="AD240" s="10"/>
      <c r="AE240" t="s">
        <v>19</v>
      </c>
      <c r="AH240">
        <v>1</v>
      </c>
    </row>
    <row r="241" spans="1:34" ht="72.5">
      <c r="A241" t="s">
        <v>787</v>
      </c>
      <c r="B241" s="4" t="s">
        <v>2091</v>
      </c>
      <c r="C241" s="4" t="s">
        <v>2088</v>
      </c>
      <c r="G241" s="10" t="s">
        <v>25</v>
      </c>
      <c r="H241" s="10"/>
      <c r="I241" s="10">
        <v>1</v>
      </c>
      <c r="J241" s="10">
        <v>3</v>
      </c>
      <c r="K241" s="10" t="s">
        <v>2175</v>
      </c>
      <c r="L241" s="10" t="s">
        <v>2159</v>
      </c>
      <c r="M241" s="10"/>
      <c r="N241" s="11"/>
      <c r="O241" s="10"/>
      <c r="P241" s="10">
        <v>743</v>
      </c>
      <c r="Q241" s="10">
        <f t="shared" si="3"/>
        <v>365.32599075621988</v>
      </c>
      <c r="R241" s="10"/>
      <c r="S241" s="10" t="s">
        <v>2387</v>
      </c>
      <c r="T241" s="10" t="s">
        <v>2387</v>
      </c>
      <c r="U241" s="10"/>
      <c r="V241" s="10"/>
      <c r="W241" s="10"/>
      <c r="X241" s="10"/>
      <c r="Y241" s="10"/>
      <c r="Z241" s="10"/>
      <c r="AA241" s="10"/>
      <c r="AB241" s="10"/>
      <c r="AC241" s="10"/>
      <c r="AD241" s="10"/>
      <c r="AE241" t="s">
        <v>19</v>
      </c>
      <c r="AH241">
        <v>1</v>
      </c>
    </row>
    <row r="242" spans="1:34" ht="43.5">
      <c r="A242" t="s">
        <v>788</v>
      </c>
      <c r="B242" s="4" t="s">
        <v>2101</v>
      </c>
      <c r="C242" s="4" t="s">
        <v>2098</v>
      </c>
      <c r="G242" s="10" t="s">
        <v>25</v>
      </c>
      <c r="H242" s="10"/>
      <c r="I242" s="10">
        <v>1</v>
      </c>
      <c r="J242" s="10">
        <v>3</v>
      </c>
      <c r="K242" s="10" t="s">
        <v>2168</v>
      </c>
      <c r="L242" s="10" t="s">
        <v>2159</v>
      </c>
      <c r="M242" s="10"/>
      <c r="N242" s="11"/>
      <c r="O242" s="10"/>
      <c r="P242" s="10">
        <v>1701</v>
      </c>
      <c r="Q242" s="10">
        <f t="shared" si="3"/>
        <v>836.36542432884255</v>
      </c>
      <c r="R242" s="10"/>
      <c r="S242" s="10" t="s">
        <v>2387</v>
      </c>
      <c r="T242" s="10" t="s">
        <v>2387</v>
      </c>
      <c r="U242" s="10"/>
      <c r="V242" s="10"/>
      <c r="W242" s="10"/>
      <c r="X242" s="10"/>
      <c r="Y242" s="10"/>
      <c r="Z242" s="10"/>
      <c r="AA242" s="10"/>
      <c r="AB242" s="10"/>
      <c r="AC242" s="10"/>
      <c r="AD242" s="10"/>
      <c r="AE242" t="s">
        <v>19</v>
      </c>
      <c r="AH242">
        <v>1</v>
      </c>
    </row>
    <row r="243" spans="1:34" ht="29">
      <c r="A243" t="s">
        <v>792</v>
      </c>
      <c r="B243" s="4" t="s">
        <v>2107</v>
      </c>
      <c r="C243" s="4" t="s">
        <v>2108</v>
      </c>
      <c r="G243" s="10" t="s">
        <v>25</v>
      </c>
      <c r="H243" s="10"/>
      <c r="I243" s="10">
        <v>1</v>
      </c>
      <c r="J243" s="10">
        <v>3</v>
      </c>
      <c r="K243" s="10" t="s">
        <v>2168</v>
      </c>
      <c r="L243" s="10" t="s">
        <v>2159</v>
      </c>
      <c r="M243" s="10"/>
      <c r="N243" s="11"/>
      <c r="O243" s="10"/>
      <c r="P243" s="10">
        <v>1701</v>
      </c>
      <c r="Q243" s="10">
        <f t="shared" si="3"/>
        <v>836.36542432884255</v>
      </c>
      <c r="R243" s="10"/>
      <c r="S243" s="10" t="s">
        <v>2387</v>
      </c>
      <c r="T243" s="10" t="s">
        <v>2387</v>
      </c>
      <c r="U243" s="10"/>
      <c r="V243" s="10"/>
      <c r="W243" s="10"/>
      <c r="X243" s="10"/>
      <c r="Y243" s="10"/>
      <c r="Z243" s="10"/>
      <c r="AA243" s="10"/>
      <c r="AB243" s="10"/>
      <c r="AC243" s="10"/>
      <c r="AD243" s="10"/>
      <c r="AE243" t="s">
        <v>19</v>
      </c>
      <c r="AH243">
        <v>1</v>
      </c>
    </row>
    <row r="244" spans="1:34" ht="29">
      <c r="A244" t="s">
        <v>793</v>
      </c>
      <c r="B244" s="4" t="s">
        <v>2109</v>
      </c>
      <c r="C244" s="4" t="s">
        <v>2110</v>
      </c>
      <c r="G244" s="10" t="s">
        <v>24</v>
      </c>
      <c r="H244" s="10"/>
      <c r="I244" s="10">
        <v>1</v>
      </c>
      <c r="J244" s="10">
        <v>2</v>
      </c>
      <c r="K244" s="10" t="s">
        <v>2177</v>
      </c>
      <c r="L244" s="10" t="s">
        <v>2200</v>
      </c>
      <c r="M244" s="10"/>
      <c r="N244" s="11"/>
      <c r="O244" s="10"/>
      <c r="P244" s="10">
        <v>613</v>
      </c>
      <c r="Q244" s="10">
        <f t="shared" si="3"/>
        <v>301.40623463467404</v>
      </c>
      <c r="R244" s="10"/>
      <c r="S244" s="10" t="s">
        <v>2387</v>
      </c>
      <c r="T244" s="10" t="s">
        <v>2387</v>
      </c>
      <c r="U244" s="10"/>
      <c r="V244" s="10"/>
      <c r="W244" s="10"/>
      <c r="X244" s="10"/>
      <c r="Y244" s="10"/>
      <c r="Z244" s="10"/>
      <c r="AA244" s="10"/>
      <c r="AB244" s="10"/>
      <c r="AC244" s="10"/>
      <c r="AD244" s="10"/>
      <c r="AE244" t="s">
        <v>20</v>
      </c>
      <c r="AH244">
        <v>0</v>
      </c>
    </row>
    <row r="245" spans="1:34" ht="29">
      <c r="A245" t="s">
        <v>796</v>
      </c>
      <c r="B245" s="4" t="s">
        <v>2114</v>
      </c>
      <c r="C245" s="4" t="s">
        <v>2113</v>
      </c>
      <c r="G245" s="10" t="s">
        <v>24</v>
      </c>
      <c r="H245" s="10"/>
      <c r="I245" s="10">
        <v>1</v>
      </c>
      <c r="J245" s="10">
        <v>3</v>
      </c>
      <c r="K245" s="10" t="s">
        <v>2168</v>
      </c>
      <c r="L245" s="10" t="s">
        <v>2159</v>
      </c>
      <c r="M245" s="10"/>
      <c r="N245" s="11"/>
      <c r="O245" s="10"/>
      <c r="P245" s="10">
        <v>1701</v>
      </c>
      <c r="Q245" s="10">
        <f t="shared" si="3"/>
        <v>836.36542432884255</v>
      </c>
      <c r="R245" s="10"/>
      <c r="S245" s="10" t="s">
        <v>2387</v>
      </c>
      <c r="T245" s="10" t="s">
        <v>2387</v>
      </c>
      <c r="U245" s="10"/>
      <c r="V245" s="10"/>
      <c r="W245" s="10"/>
      <c r="X245" s="10"/>
      <c r="Y245" s="10"/>
      <c r="Z245" s="10"/>
      <c r="AA245" s="10"/>
      <c r="AB245" s="10"/>
      <c r="AC245" s="10"/>
      <c r="AD245" s="10"/>
      <c r="AE245" t="s">
        <v>19</v>
      </c>
      <c r="AH245">
        <v>1</v>
      </c>
    </row>
    <row r="246" spans="1:34" ht="43.5">
      <c r="A246" t="s">
        <v>799</v>
      </c>
      <c r="B246" s="4" t="s">
        <v>2120</v>
      </c>
      <c r="C246" s="4" t="s">
        <v>2119</v>
      </c>
      <c r="G246" s="10" t="s">
        <v>24</v>
      </c>
      <c r="H246" s="10"/>
      <c r="I246" s="10">
        <v>1</v>
      </c>
      <c r="J246" s="10">
        <v>3</v>
      </c>
      <c r="K246" s="10" t="s">
        <v>2158</v>
      </c>
      <c r="L246" s="10" t="s">
        <v>2159</v>
      </c>
      <c r="M246" s="10"/>
      <c r="N246" s="11"/>
      <c r="O246" s="10"/>
      <c r="P246" s="10">
        <v>2475</v>
      </c>
      <c r="Q246" s="10">
        <f t="shared" si="3"/>
        <v>1216.9338184678927</v>
      </c>
      <c r="R246" s="10"/>
      <c r="S246" s="10" t="s">
        <v>2387</v>
      </c>
      <c r="T246" s="10" t="s">
        <v>2387</v>
      </c>
      <c r="U246" s="10"/>
      <c r="V246" s="10"/>
      <c r="W246" s="10"/>
      <c r="X246" s="10"/>
      <c r="Y246" s="10"/>
      <c r="Z246" s="10"/>
      <c r="AA246" s="10"/>
      <c r="AB246" s="10"/>
      <c r="AC246" s="10"/>
      <c r="AD246" s="10"/>
      <c r="AE246" t="s">
        <v>19</v>
      </c>
      <c r="AH246">
        <v>1</v>
      </c>
    </row>
    <row r="247" spans="1:34" ht="58">
      <c r="A247" t="s">
        <v>808</v>
      </c>
      <c r="B247" s="4" t="s">
        <v>2131</v>
      </c>
      <c r="C247" s="4" t="s">
        <v>2132</v>
      </c>
      <c r="G247" s="10" t="s">
        <v>24</v>
      </c>
      <c r="H247" s="10"/>
      <c r="I247" s="10">
        <v>1</v>
      </c>
      <c r="J247" s="10">
        <v>4</v>
      </c>
      <c r="K247" s="10" t="s">
        <v>2158</v>
      </c>
      <c r="L247" s="10" t="s">
        <v>2153</v>
      </c>
      <c r="M247" s="10" t="s">
        <v>2231</v>
      </c>
      <c r="N247" s="11" t="s">
        <v>2230</v>
      </c>
      <c r="O247" s="10"/>
      <c r="P247" s="10">
        <v>2475</v>
      </c>
      <c r="Q247" s="10">
        <f t="shared" si="3"/>
        <v>1216.9338184678927</v>
      </c>
      <c r="R247" s="10"/>
      <c r="S247" s="10" t="s">
        <v>2387</v>
      </c>
      <c r="T247" s="10" t="s">
        <v>2387</v>
      </c>
      <c r="U247" s="10"/>
      <c r="V247" s="10"/>
      <c r="W247" s="10"/>
      <c r="X247" s="10"/>
      <c r="Y247" s="10"/>
      <c r="Z247" s="10"/>
      <c r="AA247" s="10"/>
      <c r="AB247" s="10"/>
      <c r="AC247" s="10"/>
      <c r="AD247" s="10"/>
      <c r="AE247" t="s">
        <v>19</v>
      </c>
      <c r="AH247">
        <v>1</v>
      </c>
    </row>
    <row r="248" spans="1:34" ht="58">
      <c r="A248" t="s">
        <v>808</v>
      </c>
      <c r="B248" s="4" t="s">
        <v>2131</v>
      </c>
      <c r="C248" s="4" t="s">
        <v>2133</v>
      </c>
      <c r="G248" s="10" t="s">
        <v>24</v>
      </c>
      <c r="H248" s="10"/>
      <c r="I248" s="10">
        <v>1</v>
      </c>
      <c r="J248" s="10">
        <v>3</v>
      </c>
      <c r="K248" s="10" t="s">
        <v>2158</v>
      </c>
      <c r="L248" s="10" t="s">
        <v>2159</v>
      </c>
      <c r="M248" s="10"/>
      <c r="N248" s="11"/>
      <c r="O248" s="10"/>
      <c r="P248" s="10">
        <v>2475</v>
      </c>
      <c r="Q248" s="10">
        <f t="shared" si="3"/>
        <v>1216.9338184678927</v>
      </c>
      <c r="R248" s="10"/>
      <c r="S248" s="10" t="s">
        <v>2387</v>
      </c>
      <c r="T248" s="10" t="s">
        <v>2387</v>
      </c>
      <c r="U248" s="10"/>
      <c r="V248" s="10"/>
      <c r="W248" s="10"/>
      <c r="X248" s="10"/>
      <c r="Y248" s="10"/>
      <c r="Z248" s="10"/>
      <c r="AA248" s="10"/>
      <c r="AB248" s="10"/>
      <c r="AC248" s="10"/>
      <c r="AD248" s="10"/>
      <c r="AE248" t="s">
        <v>19</v>
      </c>
      <c r="AH248">
        <v>1</v>
      </c>
    </row>
    <row r="249" spans="1:34" ht="43.5">
      <c r="A249" t="s">
        <v>809</v>
      </c>
      <c r="B249" s="4" t="s">
        <v>2135</v>
      </c>
      <c r="C249" s="4" t="s">
        <v>2134</v>
      </c>
      <c r="G249" s="10" t="s">
        <v>24</v>
      </c>
      <c r="H249" s="10"/>
      <c r="I249" s="10">
        <v>1</v>
      </c>
      <c r="J249" s="10">
        <v>4</v>
      </c>
      <c r="K249" s="10" t="s">
        <v>2158</v>
      </c>
      <c r="L249" s="10" t="s">
        <v>2153</v>
      </c>
      <c r="M249" s="10" t="s">
        <v>2231</v>
      </c>
      <c r="N249" s="11" t="s">
        <v>2230</v>
      </c>
      <c r="O249" s="10"/>
      <c r="P249" s="10">
        <v>2475</v>
      </c>
      <c r="Q249" s="10">
        <f t="shared" si="3"/>
        <v>1216.9338184678927</v>
      </c>
      <c r="R249" s="10"/>
      <c r="S249" s="10" t="s">
        <v>2387</v>
      </c>
      <c r="T249" s="10" t="s">
        <v>2387</v>
      </c>
      <c r="U249" s="10"/>
      <c r="V249" s="10"/>
      <c r="W249" s="10"/>
      <c r="X249" s="10"/>
      <c r="Y249" s="10"/>
      <c r="Z249" s="10"/>
      <c r="AA249" s="10"/>
      <c r="AB249" s="10"/>
      <c r="AC249" s="10"/>
      <c r="AD249" s="10"/>
      <c r="AE249" t="s">
        <v>19</v>
      </c>
      <c r="AH249">
        <v>1</v>
      </c>
    </row>
    <row r="250" spans="1:34" ht="72.5">
      <c r="A250" t="s">
        <v>812</v>
      </c>
      <c r="B250" s="4" t="s">
        <v>2141</v>
      </c>
      <c r="C250" s="4" t="s">
        <v>2142</v>
      </c>
      <c r="G250" s="10" t="s">
        <v>24</v>
      </c>
      <c r="H250" s="10"/>
      <c r="I250" s="10">
        <v>2</v>
      </c>
      <c r="J250" s="10">
        <v>4</v>
      </c>
      <c r="K250" s="10"/>
      <c r="L250" s="10" t="s">
        <v>2159</v>
      </c>
      <c r="M250" s="10"/>
      <c r="N250" s="11"/>
      <c r="O250" s="10"/>
      <c r="P250" s="10">
        <v>613</v>
      </c>
      <c r="Q250" s="10">
        <f t="shared" si="3"/>
        <v>301.40623463467404</v>
      </c>
      <c r="R250" s="10"/>
      <c r="S250" s="10" t="s">
        <v>2387</v>
      </c>
      <c r="T250" s="10" t="s">
        <v>2387</v>
      </c>
      <c r="U250" s="10"/>
      <c r="V250" s="10"/>
      <c r="W250" s="10"/>
      <c r="X250" s="10"/>
      <c r="Y250" s="10"/>
      <c r="Z250" s="10"/>
      <c r="AA250" s="10"/>
      <c r="AB250" s="10"/>
      <c r="AC250" s="10"/>
      <c r="AD250" s="10"/>
      <c r="AE250" t="s">
        <v>19</v>
      </c>
      <c r="AH250">
        <v>1</v>
      </c>
    </row>
    <row r="251" spans="1:34" ht="72.5">
      <c r="A251" t="s">
        <v>812</v>
      </c>
      <c r="B251" s="4" t="s">
        <v>2143</v>
      </c>
      <c r="C251" s="4" t="s">
        <v>2140</v>
      </c>
      <c r="G251" s="10" t="s">
        <v>25</v>
      </c>
      <c r="H251" s="10"/>
      <c r="I251" s="10">
        <v>1</v>
      </c>
      <c r="J251" s="10">
        <v>5</v>
      </c>
      <c r="K251" s="10" t="s">
        <v>2152</v>
      </c>
      <c r="L251" s="10" t="s">
        <v>2159</v>
      </c>
      <c r="M251" s="10"/>
      <c r="N251" s="11"/>
      <c r="O251" s="10"/>
      <c r="P251" s="10">
        <v>24</v>
      </c>
      <c r="Q251" s="10">
        <f t="shared" si="3"/>
        <v>11.800570360900778</v>
      </c>
      <c r="R251" s="10"/>
      <c r="S251" s="10" t="s">
        <v>2387</v>
      </c>
      <c r="T251" s="10" t="s">
        <v>2387</v>
      </c>
      <c r="U251" s="10"/>
      <c r="V251" s="10"/>
      <c r="W251" s="10"/>
      <c r="X251" s="10"/>
      <c r="Y251" s="10"/>
      <c r="Z251" s="10"/>
      <c r="AA251" s="10"/>
      <c r="AB251" s="10"/>
      <c r="AC251" s="10"/>
      <c r="AD251" s="10"/>
      <c r="AE251" t="s">
        <v>19</v>
      </c>
      <c r="AH251">
        <v>1</v>
      </c>
    </row>
    <row r="252" spans="1:34">
      <c r="S252" s="10"/>
      <c r="T252" s="10"/>
    </row>
    <row r="253" spans="1:34">
      <c r="S253" s="10"/>
      <c r="T253" s="10"/>
    </row>
    <row r="254" spans="1:34">
      <c r="E254" t="s">
        <v>2356</v>
      </c>
      <c r="F254">
        <f>COUNTIF(G:G,"Addition")</f>
        <v>112</v>
      </c>
      <c r="S254" s="10"/>
      <c r="T254" s="10"/>
    </row>
    <row r="255" spans="1:34">
      <c r="B255" t="s">
        <v>2359</v>
      </c>
      <c r="C255" t="s">
        <v>2360</v>
      </c>
      <c r="E255" t="s">
        <v>2357</v>
      </c>
      <c r="F255">
        <f>COUNTIF(G:G,"Omission")</f>
        <v>138</v>
      </c>
      <c r="S255" s="10"/>
      <c r="T255" s="10"/>
    </row>
    <row r="256" spans="1:34">
      <c r="B256" t="s">
        <v>2158</v>
      </c>
      <c r="C256" t="s">
        <v>2152</v>
      </c>
      <c r="E256" t="s">
        <v>2358</v>
      </c>
      <c r="F256">
        <f>F254/(F254+F255)</f>
        <v>0.44800000000000001</v>
      </c>
      <c r="S256" s="10"/>
      <c r="T256" s="10"/>
    </row>
    <row r="257" spans="2:20">
      <c r="B257" t="s">
        <v>2168</v>
      </c>
      <c r="C257" t="s">
        <v>2164</v>
      </c>
      <c r="S257" s="10"/>
      <c r="T257" s="10"/>
    </row>
    <row r="258" spans="2:20">
      <c r="B258" t="s">
        <v>2175</v>
      </c>
      <c r="C258" t="s">
        <v>2173</v>
      </c>
      <c r="S258" s="10"/>
      <c r="T258" s="10"/>
    </row>
    <row r="259" spans="2:20">
      <c r="B259" t="s">
        <v>2177</v>
      </c>
      <c r="C259" t="s">
        <v>2179</v>
      </c>
      <c r="E259" t="s">
        <v>2361</v>
      </c>
      <c r="F259">
        <f>COUNTIFS(G:G,"Addition", K:K,"Article")+COUNTIFS(G:G,"Addition", K:K,"Conjunction")+COUNTIFS(G:G,"Addition", K:K,"Pronoun")+COUNTIFS(G:G,"Addition", K:K,"Preposition")+COUNTIFS(G:G,"Addition", K:K,"Particle")+COUNTIFS(G:G,"Addition", K:K,"Vocative")</f>
        <v>91</v>
      </c>
      <c r="S259" s="10"/>
      <c r="T259" s="10"/>
    </row>
    <row r="260" spans="2:20">
      <c r="B260" t="s">
        <v>2204</v>
      </c>
      <c r="C260" t="s">
        <v>2219</v>
      </c>
      <c r="E260" t="s">
        <v>2362</v>
      </c>
      <c r="F260">
        <f>COUNTIFS(G:G,"Omission", K:K,"Article")+COUNTIFS(G:G,"Omission", K:K,"Conjunction")+COUNTIFS(G:G,"Omission", K:K,"Pronoun")+COUNTIFS(G:G,"Omission", K:K,"Preposition")+COUNTIFS(G:G,"Omission", K:K,"Particle")+COUNTIFS(G:G,"Omission", K:K,"Vocative")</f>
        <v>109</v>
      </c>
      <c r="S260" s="10"/>
      <c r="T260" s="10"/>
    </row>
    <row r="261" spans="2:20">
      <c r="B261" t="s">
        <v>2180</v>
      </c>
      <c r="E261" t="s">
        <v>2363</v>
      </c>
      <c r="F261">
        <f>F259/(F259+F260)</f>
        <v>0.45500000000000002</v>
      </c>
      <c r="S261" s="10"/>
      <c r="T261" s="10"/>
    </row>
    <row r="262" spans="2:20">
      <c r="S262" s="10"/>
      <c r="T262" s="10"/>
    </row>
    <row r="263" spans="2:20">
      <c r="S263" s="10"/>
      <c r="T263" s="10"/>
    </row>
    <row r="264" spans="2:20">
      <c r="E264" t="s">
        <v>2372</v>
      </c>
      <c r="F264">
        <f>COUNTIFS(G:G,"Addition", K:K,"Adjective")+COUNTIFS(G:G,"Addition", K:K,"Adverb")+COUNTIFS(G:G,"Addition", K:K,"Noun")+COUNTIFS(G:G,"Addition", K:K,"Participle")+COUNTIFS(G:G,"Addition", K:K,"Verb")</f>
        <v>14</v>
      </c>
      <c r="S264" s="10"/>
      <c r="T264" s="10"/>
    </row>
    <row r="265" spans="2:20">
      <c r="E265" t="s">
        <v>2373</v>
      </c>
      <c r="F265">
        <f>COUNTIFS(G:G,"Omission", K:K,"Adjective")+COUNTIFS(G:G,"Omission", K:K,"Adverb")+COUNTIFS(G:G,"Omission", K:K,"Noun")+COUNTIFS(G:G,"Omission", K:K,"Participle")+COUNTIFS(G:G,"Omission", K:K,"Verb")</f>
        <v>17</v>
      </c>
      <c r="S265" s="10"/>
      <c r="T265" s="10"/>
    </row>
    <row r="266" spans="2:20">
      <c r="E266" t="s">
        <v>2374</v>
      </c>
      <c r="F266">
        <f>F264/(F264+F265)</f>
        <v>0.45161290322580644</v>
      </c>
      <c r="S266" s="10"/>
      <c r="T266" s="10"/>
    </row>
    <row r="267" spans="2:20">
      <c r="E267" t="s">
        <v>2375</v>
      </c>
      <c r="F267">
        <f>F266-F261</f>
        <v>-3.3870967741935765E-3</v>
      </c>
      <c r="S267" s="10"/>
      <c r="T267" s="10"/>
    </row>
    <row r="268" spans="2:20">
      <c r="S268" s="10"/>
      <c r="T268" s="10"/>
    </row>
    <row r="269" spans="2:20">
      <c r="S269" s="10"/>
      <c r="T269" s="10"/>
    </row>
    <row r="270" spans="2:20">
      <c r="D270" s="15" t="s">
        <v>2368</v>
      </c>
      <c r="E270" s="15"/>
      <c r="F270" s="15"/>
      <c r="S270" s="10"/>
      <c r="T270" s="10"/>
    </row>
    <row r="271" spans="2:20">
      <c r="D271" t="s">
        <v>2153</v>
      </c>
      <c r="E271" t="s">
        <v>2369</v>
      </c>
      <c r="F271" t="s">
        <v>2370</v>
      </c>
      <c r="S271" s="10"/>
      <c r="T271" s="10"/>
    </row>
    <row r="272" spans="2:20">
      <c r="C272" t="s">
        <v>2364</v>
      </c>
      <c r="D272">
        <f>COUNTIFS(G:G,"Addition", L:L, "Present")</f>
        <v>12</v>
      </c>
      <c r="E272">
        <f>COUNTIFS(G:G,"Addition", L:L, "Absent")</f>
        <v>59</v>
      </c>
      <c r="F272">
        <f>D272/(D272+E272)</f>
        <v>0.16901408450704225</v>
      </c>
      <c r="S272" s="10"/>
      <c r="T272" s="10"/>
    </row>
    <row r="273" spans="3:20">
      <c r="C273" t="s">
        <v>2365</v>
      </c>
      <c r="D273">
        <f>COUNTIFS(G:G,"Omission", L:L, "Present")</f>
        <v>16</v>
      </c>
      <c r="E273">
        <f>COUNTIFS(G:G,"Omission", L:L, "Absent")</f>
        <v>80</v>
      </c>
      <c r="F273">
        <f>D273/(D273+E273)</f>
        <v>0.16666666666666666</v>
      </c>
      <c r="S273" s="10"/>
      <c r="T273" s="10"/>
    </row>
    <row r="274" spans="3:20">
      <c r="C274" t="s">
        <v>2371</v>
      </c>
      <c r="D274">
        <f>SUM(D272+D273)</f>
        <v>28</v>
      </c>
      <c r="E274">
        <f>SUM(E272+E273)</f>
        <v>139</v>
      </c>
      <c r="F274">
        <f>D274/(D274+E274)</f>
        <v>0.16766467065868262</v>
      </c>
      <c r="S274" s="10"/>
      <c r="T274" s="10"/>
    </row>
    <row r="275" spans="3:20">
      <c r="S275" s="10"/>
      <c r="T275" s="10"/>
    </row>
    <row r="276" spans="3:20">
      <c r="S276" s="10"/>
      <c r="T276" s="10"/>
    </row>
    <row r="277" spans="3:20">
      <c r="D277" t="s">
        <v>2364</v>
      </c>
      <c r="E277" t="s">
        <v>2365</v>
      </c>
      <c r="F277" t="s">
        <v>2376</v>
      </c>
      <c r="S277" s="10"/>
      <c r="T277" s="10"/>
    </row>
    <row r="278" spans="3:20">
      <c r="C278" t="s">
        <v>2377</v>
      </c>
      <c r="D278">
        <f>COUNTIFS(G:G,"Addition", L:L, "Absent")</f>
        <v>59</v>
      </c>
      <c r="E278">
        <f>COUNTIFS(G:G,"Omission", L:L, "Absent")</f>
        <v>80</v>
      </c>
      <c r="F278">
        <f>D278/(D278+E278)</f>
        <v>0.42446043165467628</v>
      </c>
      <c r="S278" s="10"/>
      <c r="T278" s="10"/>
    </row>
    <row r="279" spans="3:20">
      <c r="C279" t="s">
        <v>2378</v>
      </c>
      <c r="D279">
        <f>COUNTIFS(G:G,"Addition", L:L, "Present")</f>
        <v>12</v>
      </c>
      <c r="E279">
        <f>COUNTIFS(G:G,"Omission", L:L, "Present")</f>
        <v>16</v>
      </c>
      <c r="F279">
        <f>D279/(D279+E279)</f>
        <v>0.42857142857142855</v>
      </c>
      <c r="S279" s="10"/>
      <c r="T279" s="10"/>
    </row>
    <row r="280" spans="3:20">
      <c r="E280" t="s">
        <v>2430</v>
      </c>
      <c r="F280">
        <f>F279-F278</f>
        <v>4.1109969167522631E-3</v>
      </c>
      <c r="S280" s="10"/>
      <c r="T280" s="10"/>
    </row>
    <row r="281" spans="3:20">
      <c r="S281" s="10"/>
      <c r="T281" s="10"/>
    </row>
    <row r="282" spans="3:20">
      <c r="S282" s="10"/>
      <c r="T282" s="10"/>
    </row>
    <row r="283" spans="3:20">
      <c r="D283" t="s">
        <v>2364</v>
      </c>
      <c r="E283" t="s">
        <v>2365</v>
      </c>
      <c r="F283" t="s">
        <v>2376</v>
      </c>
      <c r="S283" s="10"/>
      <c r="T283" s="10"/>
    </row>
    <row r="284" spans="3:20">
      <c r="C284" t="s">
        <v>2379</v>
      </c>
      <c r="D284">
        <f>COUNTIFS(G:G,"Addition", O:O, "")</f>
        <v>108</v>
      </c>
      <c r="E284">
        <f>COUNTIFS(G:G,"Omission", O:O, "")</f>
        <v>135</v>
      </c>
      <c r="F284">
        <f>D284/(D284+E284)</f>
        <v>0.44444444444444442</v>
      </c>
      <c r="S284" s="10"/>
      <c r="T284" s="10"/>
    </row>
    <row r="285" spans="3:20">
      <c r="C285" t="s">
        <v>2380</v>
      </c>
      <c r="D285">
        <f>COUNTIFS(G:G,"Addition", O:O, "Dittography")</f>
        <v>4</v>
      </c>
      <c r="E285">
        <f>COUNTIFS(G:G,"Omission", O:O, "Dittography")</f>
        <v>3</v>
      </c>
      <c r="F285">
        <f>D285/(D285+E285)</f>
        <v>0.5714285714285714</v>
      </c>
      <c r="S285" s="10"/>
      <c r="T285" s="10"/>
    </row>
    <row r="286" spans="3:20">
      <c r="E286" t="s">
        <v>2430</v>
      </c>
      <c r="F286">
        <f>F285-F284</f>
        <v>0.12698412698412698</v>
      </c>
      <c r="S286" s="10"/>
      <c r="T286" s="10"/>
    </row>
    <row r="287" spans="3:20">
      <c r="S287" s="10"/>
      <c r="T287" s="10"/>
    </row>
    <row r="288" spans="3:20">
      <c r="S288" s="10"/>
      <c r="T288" s="10"/>
    </row>
    <row r="289" spans="3:20">
      <c r="C289" t="s">
        <v>2366</v>
      </c>
      <c r="D289" t="s">
        <v>2364</v>
      </c>
      <c r="E289" t="s">
        <v>2365</v>
      </c>
      <c r="F289" t="s">
        <v>2376</v>
      </c>
      <c r="S289" s="10"/>
      <c r="T289" s="10"/>
    </row>
    <row r="290" spans="3:20">
      <c r="C290" s="12">
        <v>1</v>
      </c>
      <c r="D290">
        <f>COUNTIFS(G:G,"Addition", I:I, 1)</f>
        <v>105</v>
      </c>
      <c r="E290">
        <f>COUNTIFS(G:G,"Omission", I:I, 1)</f>
        <v>126</v>
      </c>
      <c r="F290">
        <f>D290/(D290+E290)</f>
        <v>0.45454545454545453</v>
      </c>
      <c r="S290" s="10"/>
      <c r="T290" s="10"/>
    </row>
    <row r="291" spans="3:20">
      <c r="C291" s="12" t="s">
        <v>2381</v>
      </c>
      <c r="D291">
        <f>COUNTIFS(G:G,"Addition", I:I, "&gt;=2", I:I, "&lt;=3")</f>
        <v>6</v>
      </c>
      <c r="E291">
        <f>COUNTIFS(G:G,"Omission", I:I, "&gt;=2", I:I, "&lt;=3")</f>
        <v>8</v>
      </c>
      <c r="F291">
        <f t="shared" ref="F291:F292" si="4">D291/(D291+E291)</f>
        <v>0.42857142857142855</v>
      </c>
      <c r="S291" s="10"/>
      <c r="T291" s="10"/>
    </row>
    <row r="292" spans="3:20">
      <c r="C292" s="12" t="s">
        <v>2382</v>
      </c>
      <c r="D292">
        <f>COUNTIFS(G:G,"Addition", I:I, "&gt;=4")</f>
        <v>1</v>
      </c>
      <c r="E292">
        <f>COUNTIFS(G:G,"Omission", I:I, "&gt;=4")</f>
        <v>4</v>
      </c>
      <c r="F292">
        <f t="shared" si="4"/>
        <v>0.2</v>
      </c>
      <c r="S292" s="10"/>
      <c r="T292" s="10"/>
    </row>
    <row r="293" spans="3:20">
      <c r="S293" s="10"/>
      <c r="T293" s="10"/>
    </row>
    <row r="294" spans="3:20">
      <c r="S294" s="10"/>
      <c r="T294" s="10"/>
    </row>
    <row r="295" spans="3:20">
      <c r="C295" t="s">
        <v>2366</v>
      </c>
      <c r="D295" t="s">
        <v>2364</v>
      </c>
      <c r="E295" t="s">
        <v>2365</v>
      </c>
      <c r="F295" t="s">
        <v>2367</v>
      </c>
      <c r="S295" s="10"/>
      <c r="T295" s="10"/>
    </row>
    <row r="296" spans="3:20">
      <c r="C296">
        <v>1</v>
      </c>
      <c r="D296" s="12">
        <f>COUNTIFS(G:G,"Addition", I:I, C296)</f>
        <v>105</v>
      </c>
      <c r="E296">
        <f>COUNTIFS(G:G,"Omission", I:I, C296)</f>
        <v>126</v>
      </c>
      <c r="F296">
        <f>D296/(D296+E296)</f>
        <v>0.45454545454545453</v>
      </c>
      <c r="S296" s="10"/>
      <c r="T296" s="10"/>
    </row>
    <row r="297" spans="3:20">
      <c r="C297">
        <v>2</v>
      </c>
      <c r="D297" s="12">
        <f>COUNTIFS(G:G,"Addition", I:I, C297)</f>
        <v>5</v>
      </c>
      <c r="E297">
        <f>COUNTIFS(G:G,"Omission", I:I, C297)</f>
        <v>6</v>
      </c>
      <c r="F297">
        <f t="shared" ref="F297:F300" si="5">D297/(D297+E297)</f>
        <v>0.45454545454545453</v>
      </c>
      <c r="S297" s="10"/>
      <c r="T297" s="10"/>
    </row>
    <row r="298" spans="3:20">
      <c r="C298">
        <v>3</v>
      </c>
      <c r="D298" s="12">
        <f>COUNTIFS(G:G,"Addition", I:I, C298)</f>
        <v>1</v>
      </c>
      <c r="E298">
        <f>COUNTIFS(G:G,"Omission", I:I, C298)</f>
        <v>2</v>
      </c>
      <c r="F298">
        <f t="shared" si="5"/>
        <v>0.33333333333333331</v>
      </c>
      <c r="S298" s="10"/>
      <c r="T298" s="10"/>
    </row>
    <row r="299" spans="3:20">
      <c r="C299">
        <v>4</v>
      </c>
      <c r="D299" s="12">
        <f>COUNTIFS(G:G,"Addition", I:I, C299)</f>
        <v>1</v>
      </c>
      <c r="E299">
        <f>COUNTIFS(G:G,"Omission", I:I, C299)</f>
        <v>0</v>
      </c>
      <c r="F299">
        <f t="shared" si="5"/>
        <v>1</v>
      </c>
      <c r="S299" s="10"/>
      <c r="T299" s="10"/>
    </row>
    <row r="300" spans="3:20">
      <c r="C300" t="s">
        <v>2383</v>
      </c>
      <c r="D300" s="12">
        <f>COUNTIFS(G:G,"Addition", I:I, C300)</f>
        <v>0</v>
      </c>
      <c r="E300">
        <f>COUNTIFS(G:G,"Omission", I:I, C300)</f>
        <v>4</v>
      </c>
      <c r="F300">
        <f t="shared" si="5"/>
        <v>0</v>
      </c>
      <c r="S300" s="10"/>
      <c r="T300" s="10"/>
    </row>
    <row r="301" spans="3:20">
      <c r="D301" s="12"/>
      <c r="S301" s="10"/>
      <c r="T301" s="10"/>
    </row>
    <row r="302" spans="3:20">
      <c r="S302" s="10"/>
      <c r="T302" s="10"/>
    </row>
    <row r="303" spans="3:20">
      <c r="E303" t="s">
        <v>2384</v>
      </c>
      <c r="F303">
        <v>20338</v>
      </c>
      <c r="S303" s="10"/>
      <c r="T303" s="10"/>
    </row>
    <row r="304" spans="3:20">
      <c r="S304" s="10"/>
      <c r="T304" s="10"/>
    </row>
    <row r="305" spans="19:20">
      <c r="S305" s="10"/>
      <c r="T305" s="10"/>
    </row>
    <row r="306" spans="19:20">
      <c r="S306" s="10"/>
      <c r="T306" s="10"/>
    </row>
    <row r="307" spans="19:20">
      <c r="S307" s="10"/>
      <c r="T307" s="10"/>
    </row>
    <row r="308" spans="19:20">
      <c r="S308" s="10"/>
      <c r="T308" s="10"/>
    </row>
    <row r="309" spans="19:20">
      <c r="S309" s="10"/>
      <c r="T309" s="10"/>
    </row>
    <row r="310" spans="19:20">
      <c r="S310" s="10"/>
      <c r="T310" s="10"/>
    </row>
  </sheetData>
  <mergeCells count="1">
    <mergeCell ref="D270:F270"/>
  </mergeCells>
  <conditionalFormatting sqref="G2:G251">
    <cfRule type="expression" dxfId="280" priority="10">
      <formula>$I2&lt;&gt;""</formula>
    </cfRule>
    <cfRule type="expression" dxfId="279" priority="11">
      <formula>$I2=""</formula>
    </cfRule>
  </conditionalFormatting>
  <conditionalFormatting sqref="H2:L251 O2:P251">
    <cfRule type="expression" dxfId="278" priority="27">
      <formula>AND(OR($I2="Addition",$I2="Omission"), H2="")</formula>
    </cfRule>
    <cfRule type="expression" dxfId="277" priority="28">
      <formula>AND($I2&lt;&gt;"Addition",$I2&lt;&gt;"Omission",$I2&lt;&gt;"Substitution - Word")</formula>
    </cfRule>
  </conditionalFormatting>
  <conditionalFormatting sqref="H2:P251">
    <cfRule type="expression" dxfId="276" priority="26">
      <formula>AND(OR($I2="Addition",$I2="Omission"), H2&lt;&gt;"")</formula>
    </cfRule>
  </conditionalFormatting>
  <conditionalFormatting sqref="K2:K251">
    <cfRule type="expression" dxfId="275" priority="21">
      <formula>AND($K2&lt;&gt;"",$K2&gt;1)</formula>
    </cfRule>
  </conditionalFormatting>
  <conditionalFormatting sqref="M2:N251">
    <cfRule type="expression" dxfId="274" priority="17">
      <formula>$N2="Absent"</formula>
    </cfRule>
    <cfRule type="expression" dxfId="273" priority="18">
      <formula>$N2="NA"</formula>
    </cfRule>
    <cfRule type="expression" dxfId="272" priority="19">
      <formula>AND(OR($I2="Addition",$I2="Omission"), M2="")</formula>
    </cfRule>
    <cfRule type="expression" dxfId="271" priority="20">
      <formula>AND($I2&lt;&gt;"Addition",$I2&lt;&gt;"Omission")</formula>
    </cfRule>
  </conditionalFormatting>
  <conditionalFormatting sqref="O2:O251">
    <cfRule type="expression" dxfId="270" priority="22">
      <formula>OR($I2="Addition",$I2="Omission",$I2 = "Substitution - Word")</formula>
    </cfRule>
  </conditionalFormatting>
  <conditionalFormatting sqref="Q2:Q251">
    <cfRule type="expression" dxfId="269" priority="1">
      <formula>AND(OR($I2="Addition",$I2="Omission"), Q2&lt;&gt;"")</formula>
    </cfRule>
    <cfRule type="expression" dxfId="268" priority="2">
      <formula>AND(OR($I2="Addition",$I2="Omission"), Q2="")</formula>
    </cfRule>
    <cfRule type="expression" dxfId="267" priority="3">
      <formula>AND($I2&lt;&gt;"Addition",$I2&lt;&gt;"Omission",$I2&lt;&gt;"Substitution - Word")</formula>
    </cfRule>
  </conditionalFormatting>
  <conditionalFormatting sqref="R2:T251 S2:T310">
    <cfRule type="expression" dxfId="266" priority="23">
      <formula>AND(AND(LEFT($I2,3)="Sub", RIGHT($I2,4)&lt;&gt;"Form"),$T2&lt;&gt;"")</formula>
    </cfRule>
    <cfRule type="expression" dxfId="265" priority="24">
      <formula>AND(AND(LEFT($I2,3)="Sub", RIGHT($I2,4)&lt;&gt;"Form"),$T2="")</formula>
    </cfRule>
    <cfRule type="expression" dxfId="264" priority="25">
      <formula>"&lt;&gt;AND(LEFT($J2,3)=""Sub"", RIGHT($J2,4)&lt;&gt;""Form"")"</formula>
    </cfRule>
  </conditionalFormatting>
  <conditionalFormatting sqref="U2:U3 U5:U251">
    <cfRule type="expression" dxfId="263" priority="31">
      <formula>AND($AD2&lt;&gt;"Yes",$AE2="")</formula>
    </cfRule>
  </conditionalFormatting>
  <conditionalFormatting sqref="U2:U251">
    <cfRule type="expression" dxfId="262" priority="13">
      <formula>AND($W2&lt;&gt;"",OR($AD2="Yes",$AE2&lt;&gt;""))</formula>
    </cfRule>
    <cfRule type="expression" dxfId="261" priority="14">
      <formula>OR($AD2="Yes",$AE2&lt;&gt;"")</formula>
    </cfRule>
  </conditionalFormatting>
  <conditionalFormatting sqref="U4">
    <cfRule type="expression" dxfId="260" priority="6">
      <formula>AND($AD4&lt;&gt;"Yes",$AE4="")</formula>
    </cfRule>
  </conditionalFormatting>
  <conditionalFormatting sqref="U2:AD3 U5:AD251">
    <cfRule type="expression" dxfId="259" priority="29">
      <formula>AND($I2&lt;&gt;"",$I2&lt;&gt;"Unclear due to correction")</formula>
    </cfRule>
    <cfRule type="expression" dxfId="258" priority="30">
      <formula>OR($I2="",$I2="Unclear due to correction")</formula>
    </cfRule>
  </conditionalFormatting>
  <conditionalFormatting sqref="U4:AD4">
    <cfRule type="expression" dxfId="257" priority="4">
      <formula>AND($I4&lt;&gt;"",$I4&lt;&gt;"Unclear due to correction")</formula>
    </cfRule>
    <cfRule type="expression" dxfId="256" priority="5">
      <formula>OR($I4="",$I4="Unclear due to correction")</formula>
    </cfRule>
  </conditionalFormatting>
  <conditionalFormatting sqref="V2:V251">
    <cfRule type="expression" dxfId="255" priority="12">
      <formula>AND($I2&lt;&gt;"",$I2&lt;&gt;"Unclear due to correction",$X2="")</formula>
    </cfRule>
  </conditionalFormatting>
  <conditionalFormatting sqref="W2:W251">
    <cfRule type="expression" dxfId="254" priority="15">
      <formula>AND($X2="Yes",$Y2="")</formula>
    </cfRule>
    <cfRule type="expression" dxfId="253" priority="16">
      <formula>$X2=""</formula>
    </cfRule>
  </conditionalFormatting>
  <conditionalFormatting sqref="AB2:AB251">
    <cfRule type="expression" dxfId="252" priority="32">
      <formula>AND(OR($AB2&lt;&gt;"",$AC2&lt;&gt;""),$AD2="")</formula>
    </cfRule>
  </conditionalFormatting>
  <dataValidations count="1">
    <dataValidation allowBlank="1" showInputMessage="1" sqref="V5:V251 V3" xr:uid="{5BE5DF61-C047-4E58-89B9-79A68493A146}"/>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A0922557-2E7D-4CDA-9182-C8BF3FFF6369}">
          <x14:formula1>
            <xm:f>'Data Regularization'!$Q$2:$Q$4</xm:f>
          </x14:formula1>
          <xm:sqref>AE2:AG251</xm:sqref>
        </x14:dataValidation>
        <x14:dataValidation type="list" allowBlank="1" showInputMessage="1" showErrorMessage="1" xr:uid="{E51727F0-090E-4553-A9E8-CF841D97D2E7}">
          <x14:formula1>
            <xm:f>'Data Regularization'!$D$2:$D$1048576</xm:f>
          </x14:formula1>
          <xm:sqref>G5:G251 G3</xm:sqref>
        </x14:dataValidation>
        <x14:dataValidation type="list" allowBlank="1" showInputMessage="1" showErrorMessage="1" xr:uid="{99D6FB27-32B2-4642-8D71-EA08B8203065}">
          <x14:formula1>
            <xm:f>'Data Regularization'!$E$2:$E$1048576</xm:f>
          </x14:formula1>
          <xm:sqref>K5:K251 K3</xm:sqref>
        </x14:dataValidation>
        <x14:dataValidation type="list" allowBlank="1" showInputMessage="1" showErrorMessage="1" xr:uid="{E59A12F4-1A44-4D2C-9F0C-74256D1C881B}">
          <x14:formula1>
            <xm:f>'Data Regularization'!$F$2:$F$1048576</xm:f>
          </x14:formula1>
          <xm:sqref>L5:L251 L3</xm:sqref>
        </x14:dataValidation>
        <x14:dataValidation type="list" allowBlank="1" showInputMessage="1" showErrorMessage="1" xr:uid="{12B06E4A-7FFD-4701-8BCC-692C9F714525}">
          <x14:formula1>
            <xm:f>'Data Regularization'!$G$2:$G$1048576</xm:f>
          </x14:formula1>
          <xm:sqref>O5:O251 O3</xm:sqref>
        </x14:dataValidation>
        <x14:dataValidation type="list" allowBlank="1" showInputMessage="1" showErrorMessage="1" xr:uid="{5B60A4C9-D78C-46FB-B9B4-290284B408A8}">
          <x14:formula1>
            <xm:f>'Data Regularization'!$K$2:$K$1048576</xm:f>
          </x14:formula1>
          <xm:sqref>U5:U251 W5:W251 W3 U3</xm:sqref>
        </x14:dataValidation>
        <x14:dataValidation type="list" allowBlank="1" showInputMessage="1" showErrorMessage="1" xr:uid="{F981CD0F-CCF1-41FF-BD49-872554B31673}">
          <x14:formula1>
            <xm:f>'Data Regularization'!$L$2:$L$1048576</xm:f>
          </x14:formula1>
          <xm:sqref>X5:X251 X3</xm:sqref>
        </x14:dataValidation>
        <x14:dataValidation type="list" allowBlank="1" showInputMessage="1" showErrorMessage="1" xr:uid="{9B205D3C-219A-4780-A7DE-7466F2BC7F02}">
          <x14:formula1>
            <xm:f>'Data Regularization'!$M$2:$M$1048576</xm:f>
          </x14:formula1>
          <xm:sqref>Y5:Y251 Y3</xm:sqref>
        </x14:dataValidation>
        <x14:dataValidation type="list" allowBlank="1" showInputMessage="1" showErrorMessage="1" xr:uid="{3A71FA6B-1E64-4C69-B514-866835239A19}">
          <x14:formula1>
            <xm:f>'Data Regularization'!$N$2:$N$1048576</xm:f>
          </x14:formula1>
          <xm:sqref>Z5:Z251 Z3</xm:sqref>
        </x14:dataValidation>
        <x14:dataValidation type="list" allowBlank="1" showInputMessage="1" showErrorMessage="1" xr:uid="{4198C86E-B731-4EB0-B0CA-F8B46B4C99D9}">
          <x14:formula1>
            <xm:f>'Data Regularization'!$O$2:$O$1048576</xm:f>
          </x14:formula1>
          <xm:sqref>AB5:AB251 AB3</xm:sqref>
        </x14:dataValidation>
        <x14:dataValidation type="list" allowBlank="1" showInputMessage="1" showErrorMessage="1" xr:uid="{1A942F23-F8BF-4785-8355-6A7459F39690}">
          <x14:formula1>
            <xm:f>'Data Regularization'!$P$2:$P$1048576</xm:f>
          </x14:formula1>
          <xm:sqref>AC3:AC251</xm:sqref>
        </x14:dataValidation>
        <x14:dataValidation type="list" allowBlank="1" showInputMessage="1" showErrorMessage="1" xr:uid="{F00F2409-7670-4555-AD6F-F227F94364A2}">
          <x14:formula1>
            <xm:f>'Data Regularization'!$Q$2:$Q$1048576</xm:f>
          </x14:formula1>
          <xm:sqref>AD3:AD251</xm:sqref>
        </x14:dataValidation>
        <x14:dataValidation type="list" allowBlank="1" showInputMessage="1" showErrorMessage="1" xr:uid="{B95737D5-514B-4A19-A98D-141B0EFC078F}">
          <x14:formula1>
            <xm:f>'Data Regularization'!$C$2:$C$29</xm:f>
          </x14:formula1>
          <xm:sqref>F2:F251</xm:sqref>
        </x14:dataValidation>
        <x14:dataValidation type="list" allowBlank="1" showInputMessage="1" showErrorMessage="1" xr:uid="{E25D313F-7937-4841-ACE6-D7C30457BBE4}">
          <x14:formula1>
            <xm:f>'Data Regularization'!$A$2:$A$1048576</xm:f>
          </x14:formula1>
          <xm:sqref>D2:D251</xm:sqref>
        </x14:dataValidation>
        <x14:dataValidation type="list" allowBlank="1" showInputMessage="1" showErrorMessage="1" xr:uid="{CD50DC44-3BA6-4E54-B22F-F30827554047}">
          <x14:formula1>
            <xm:f>'Data Regularization'!$B$2:$B$1048576</xm:f>
          </x14:formula1>
          <xm:sqref>E2:E251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FBC58-D5E1-46A7-89FB-7F7F0332DAD8}">
  <dimension ref="A1:AH218"/>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RowHeight="14.5"/>
  <cols>
    <col min="1" max="1" width="10.453125" bestFit="1" customWidth="1"/>
  </cols>
  <sheetData>
    <row r="1" spans="1:34" s="1" customFormat="1" ht="29">
      <c r="A1" s="1" t="s">
        <v>0</v>
      </c>
      <c r="B1" s="1" t="s">
        <v>5</v>
      </c>
      <c r="C1" s="3" t="s">
        <v>6</v>
      </c>
      <c r="D1" s="1" t="s">
        <v>2181</v>
      </c>
      <c r="E1" s="1" t="s">
        <v>2182</v>
      </c>
      <c r="F1" s="1" t="s">
        <v>2183</v>
      </c>
      <c r="G1" s="1" t="s">
        <v>3</v>
      </c>
      <c r="H1" s="1" t="s">
        <v>2184</v>
      </c>
      <c r="I1" s="1" t="s">
        <v>2185</v>
      </c>
      <c r="J1" s="1" t="s">
        <v>2186</v>
      </c>
      <c r="K1" s="1" t="s">
        <v>2187</v>
      </c>
      <c r="L1" s="1" t="s">
        <v>2146</v>
      </c>
      <c r="M1" s="1" t="s">
        <v>2188</v>
      </c>
      <c r="N1" s="9" t="s">
        <v>2189</v>
      </c>
      <c r="O1" s="1" t="s">
        <v>2147</v>
      </c>
      <c r="P1" s="1" t="s">
        <v>2190</v>
      </c>
      <c r="Q1" s="1" t="s">
        <v>2388</v>
      </c>
      <c r="R1" s="1" t="s">
        <v>2191</v>
      </c>
      <c r="S1" s="1" t="s">
        <v>2385</v>
      </c>
      <c r="T1" s="1" t="s">
        <v>2386</v>
      </c>
      <c r="U1" s="1" t="s">
        <v>2194</v>
      </c>
      <c r="V1" s="1" t="s">
        <v>2195</v>
      </c>
      <c r="W1" s="1" t="s">
        <v>2196</v>
      </c>
      <c r="X1" s="1" t="s">
        <v>2148</v>
      </c>
      <c r="Y1" s="1" t="s">
        <v>2149</v>
      </c>
      <c r="Z1" s="1" t="s">
        <v>2150</v>
      </c>
      <c r="AA1" s="1" t="s">
        <v>2192</v>
      </c>
      <c r="AB1" s="1" t="s">
        <v>2197</v>
      </c>
      <c r="AC1" s="1" t="s">
        <v>2151</v>
      </c>
      <c r="AD1" s="1" t="s">
        <v>2193</v>
      </c>
      <c r="AE1" s="1" t="s">
        <v>2215</v>
      </c>
      <c r="AF1" s="1" t="s">
        <v>2207</v>
      </c>
      <c r="AG1" s="1" t="s">
        <v>2214</v>
      </c>
    </row>
    <row r="2" spans="1:34" ht="58">
      <c r="A2" t="s">
        <v>61</v>
      </c>
      <c r="B2" s="4" t="s">
        <v>824</v>
      </c>
      <c r="C2" s="4" t="s">
        <v>825</v>
      </c>
      <c r="G2" s="10" t="s">
        <v>24</v>
      </c>
      <c r="H2" s="10"/>
      <c r="I2" s="10">
        <v>1</v>
      </c>
      <c r="J2" s="10">
        <v>3</v>
      </c>
      <c r="K2" s="10" t="s">
        <v>2168</v>
      </c>
      <c r="L2" s="10" t="s">
        <v>2159</v>
      </c>
      <c r="M2" s="10"/>
      <c r="N2" s="11"/>
      <c r="O2" s="10"/>
      <c r="P2" s="10">
        <v>1701</v>
      </c>
      <c r="Q2" s="10">
        <v>836.36542432884255</v>
      </c>
      <c r="R2" s="10"/>
      <c r="S2" s="10" t="s">
        <v>2387</v>
      </c>
      <c r="T2" s="10" t="s">
        <v>2387</v>
      </c>
      <c r="U2" s="10"/>
      <c r="V2" s="10"/>
      <c r="W2" s="10"/>
      <c r="X2" s="10"/>
      <c r="Y2" s="10"/>
      <c r="Z2" s="10"/>
      <c r="AA2" s="10"/>
      <c r="AB2" s="10"/>
      <c r="AC2" s="10"/>
      <c r="AD2" s="10"/>
      <c r="AE2" t="s">
        <v>19</v>
      </c>
      <c r="AF2" t="s">
        <v>19</v>
      </c>
      <c r="AG2" t="s">
        <v>19</v>
      </c>
      <c r="AH2">
        <v>1</v>
      </c>
    </row>
    <row r="3" spans="1:34" ht="29">
      <c r="A3" t="s">
        <v>73</v>
      </c>
      <c r="B3" s="4" t="s">
        <v>834</v>
      </c>
      <c r="C3" s="4" t="s">
        <v>833</v>
      </c>
      <c r="G3" s="10" t="s">
        <v>24</v>
      </c>
      <c r="H3" s="10"/>
      <c r="I3" s="10">
        <v>1</v>
      </c>
      <c r="J3" s="10">
        <v>3</v>
      </c>
      <c r="K3" s="10" t="s">
        <v>2158</v>
      </c>
      <c r="L3" s="10" t="s">
        <v>2159</v>
      </c>
      <c r="M3" s="10"/>
      <c r="N3" s="11"/>
      <c r="O3" s="10"/>
      <c r="P3" s="10">
        <v>2475</v>
      </c>
      <c r="Q3" s="10">
        <v>1216.9338184678927</v>
      </c>
      <c r="R3" s="10"/>
      <c r="S3" s="10" t="s">
        <v>2387</v>
      </c>
      <c r="T3" s="10" t="s">
        <v>2387</v>
      </c>
      <c r="U3" s="10"/>
      <c r="V3" s="10"/>
      <c r="W3" s="10"/>
      <c r="X3" s="10"/>
      <c r="Y3" s="10"/>
      <c r="Z3" s="10"/>
      <c r="AA3" s="10"/>
      <c r="AB3" s="10"/>
      <c r="AC3" s="10"/>
      <c r="AD3" s="10"/>
      <c r="AE3" t="s">
        <v>19</v>
      </c>
      <c r="AF3" t="s">
        <v>20</v>
      </c>
      <c r="AG3" t="s">
        <v>20</v>
      </c>
      <c r="AH3">
        <v>1</v>
      </c>
    </row>
    <row r="4" spans="1:34" ht="29">
      <c r="A4" t="s">
        <v>87</v>
      </c>
      <c r="B4" s="4" t="s">
        <v>842</v>
      </c>
      <c r="C4" s="4" t="s">
        <v>841</v>
      </c>
      <c r="G4" s="10" t="s">
        <v>24</v>
      </c>
      <c r="H4" s="10"/>
      <c r="I4" s="10">
        <v>1</v>
      </c>
      <c r="J4" s="10">
        <v>1</v>
      </c>
      <c r="K4" s="10" t="s">
        <v>2158</v>
      </c>
      <c r="L4" s="10" t="s">
        <v>2200</v>
      </c>
      <c r="M4" s="10"/>
      <c r="N4" s="11"/>
      <c r="O4" s="10"/>
      <c r="P4" s="10">
        <v>2475</v>
      </c>
      <c r="Q4" s="10">
        <v>1216.9338184678927</v>
      </c>
      <c r="R4" s="10"/>
      <c r="S4" s="10" t="s">
        <v>2387</v>
      </c>
      <c r="T4" s="10" t="s">
        <v>2387</v>
      </c>
      <c r="U4" s="10"/>
      <c r="V4" s="10"/>
      <c r="W4" s="10"/>
      <c r="X4" s="10"/>
      <c r="Y4" s="10"/>
      <c r="Z4" s="10"/>
      <c r="AA4" s="10"/>
      <c r="AB4" s="10"/>
      <c r="AC4" s="10"/>
      <c r="AD4" s="10"/>
      <c r="AE4" t="s">
        <v>19</v>
      </c>
      <c r="AF4" t="s">
        <v>19</v>
      </c>
      <c r="AG4" t="s">
        <v>19</v>
      </c>
      <c r="AH4">
        <v>1</v>
      </c>
    </row>
    <row r="5" spans="1:34" ht="101.5">
      <c r="A5" t="s">
        <v>114</v>
      </c>
      <c r="B5" s="4" t="s">
        <v>875</v>
      </c>
      <c r="C5" s="4" t="s">
        <v>876</v>
      </c>
      <c r="G5" s="10" t="s">
        <v>24</v>
      </c>
      <c r="H5" s="10"/>
      <c r="I5" s="10">
        <v>1</v>
      </c>
      <c r="J5" s="10">
        <v>2</v>
      </c>
      <c r="K5" s="10" t="s">
        <v>2177</v>
      </c>
      <c r="L5" s="10" t="s">
        <v>2200</v>
      </c>
      <c r="M5" s="10"/>
      <c r="N5" s="11"/>
      <c r="O5" s="10"/>
      <c r="P5" s="10">
        <v>613</v>
      </c>
      <c r="Q5" s="10">
        <v>301.40623463467404</v>
      </c>
      <c r="R5" s="10"/>
      <c r="S5" s="10" t="s">
        <v>2387</v>
      </c>
      <c r="T5" s="10" t="s">
        <v>2387</v>
      </c>
      <c r="U5" s="10"/>
      <c r="V5" s="10"/>
      <c r="W5" s="10"/>
      <c r="X5" s="10"/>
      <c r="Y5" s="10"/>
      <c r="Z5" s="10"/>
      <c r="AA5" s="10"/>
      <c r="AB5" s="10"/>
      <c r="AC5" s="10"/>
      <c r="AD5" s="10"/>
      <c r="AE5" t="s">
        <v>19</v>
      </c>
      <c r="AF5" t="s">
        <v>20</v>
      </c>
      <c r="AG5" t="s">
        <v>20</v>
      </c>
      <c r="AH5">
        <v>1</v>
      </c>
    </row>
    <row r="6" spans="1:34" ht="87">
      <c r="A6" t="s">
        <v>131</v>
      </c>
      <c r="B6" s="4" t="s">
        <v>888</v>
      </c>
      <c r="C6" s="4" t="s">
        <v>887</v>
      </c>
      <c r="G6" s="10" t="s">
        <v>25</v>
      </c>
      <c r="H6" s="10"/>
      <c r="I6" s="10">
        <v>1</v>
      </c>
      <c r="J6" s="10">
        <v>1</v>
      </c>
      <c r="K6" s="10" t="s">
        <v>2158</v>
      </c>
      <c r="L6" s="10" t="s">
        <v>2200</v>
      </c>
      <c r="M6" s="10"/>
      <c r="N6" s="11"/>
      <c r="O6" s="10"/>
      <c r="P6" s="10">
        <v>2475</v>
      </c>
      <c r="Q6" s="10">
        <v>1216.9338184678927</v>
      </c>
      <c r="R6" s="10"/>
      <c r="S6" s="10" t="s">
        <v>2387</v>
      </c>
      <c r="T6" s="10" t="s">
        <v>2387</v>
      </c>
      <c r="U6" s="10"/>
      <c r="V6" s="10"/>
      <c r="W6" s="10"/>
      <c r="X6" s="10"/>
      <c r="Y6" s="10"/>
      <c r="Z6" s="10"/>
      <c r="AA6" s="10"/>
      <c r="AB6" s="10"/>
      <c r="AC6" s="10"/>
      <c r="AD6" s="10"/>
      <c r="AE6" t="s">
        <v>19</v>
      </c>
      <c r="AH6">
        <v>1</v>
      </c>
    </row>
    <row r="7" spans="1:34" ht="72.5">
      <c r="A7" t="s">
        <v>143</v>
      </c>
      <c r="B7" s="4" t="s">
        <v>914</v>
      </c>
      <c r="C7" s="4" t="s">
        <v>915</v>
      </c>
      <c r="G7" s="10" t="s">
        <v>24</v>
      </c>
      <c r="H7" s="10"/>
      <c r="I7" s="10">
        <v>1</v>
      </c>
      <c r="J7" s="10">
        <v>2</v>
      </c>
      <c r="K7" s="10" t="s">
        <v>2177</v>
      </c>
      <c r="L7" s="10" t="s">
        <v>2200</v>
      </c>
      <c r="M7" s="10"/>
      <c r="N7" s="11"/>
      <c r="O7" s="10"/>
      <c r="P7" s="10">
        <v>613</v>
      </c>
      <c r="Q7" s="10">
        <v>301.40623463467404</v>
      </c>
      <c r="R7" s="10"/>
      <c r="S7" s="10" t="s">
        <v>2387</v>
      </c>
      <c r="T7" s="10" t="s">
        <v>2387</v>
      </c>
      <c r="U7" s="10"/>
      <c r="V7" s="10"/>
      <c r="W7" s="10"/>
      <c r="X7" s="10"/>
      <c r="Y7" s="10"/>
      <c r="Z7" s="10"/>
      <c r="AA7" s="10"/>
      <c r="AB7" s="10"/>
      <c r="AC7" s="10"/>
      <c r="AD7" s="10"/>
      <c r="AE7" t="s">
        <v>19</v>
      </c>
      <c r="AH7">
        <v>1</v>
      </c>
    </row>
    <row r="8" spans="1:34" ht="29">
      <c r="A8" t="s">
        <v>148</v>
      </c>
      <c r="B8" s="4" t="s">
        <v>923</v>
      </c>
      <c r="C8" s="4" t="s">
        <v>922</v>
      </c>
      <c r="G8" s="10" t="s">
        <v>24</v>
      </c>
      <c r="H8" s="10"/>
      <c r="I8" s="10">
        <v>1</v>
      </c>
      <c r="J8" s="10">
        <v>2</v>
      </c>
      <c r="K8" s="10" t="s">
        <v>2158</v>
      </c>
      <c r="L8" s="10" t="s">
        <v>2200</v>
      </c>
      <c r="M8" s="10"/>
      <c r="N8" s="11"/>
      <c r="O8" s="10"/>
      <c r="P8" s="10">
        <v>2475</v>
      </c>
      <c r="Q8" s="10">
        <v>1216.9338184678927</v>
      </c>
      <c r="R8" s="10"/>
      <c r="S8" s="10" t="s">
        <v>2387</v>
      </c>
      <c r="T8" s="10" t="s">
        <v>2387</v>
      </c>
      <c r="U8" s="10"/>
      <c r="V8" s="10"/>
      <c r="W8" s="10"/>
      <c r="X8" s="10"/>
      <c r="Y8" s="10"/>
      <c r="Z8" s="10"/>
      <c r="AA8" s="10"/>
      <c r="AB8" s="10"/>
      <c r="AC8" s="10"/>
      <c r="AD8" s="10"/>
      <c r="AE8" t="s">
        <v>19</v>
      </c>
      <c r="AH8">
        <v>1</v>
      </c>
    </row>
    <row r="9" spans="1:34" ht="43.5">
      <c r="A9" t="s">
        <v>149</v>
      </c>
      <c r="B9" s="4" t="s">
        <v>925</v>
      </c>
      <c r="C9" s="4" t="s">
        <v>924</v>
      </c>
      <c r="G9" s="10" t="s">
        <v>25</v>
      </c>
      <c r="H9" s="10"/>
      <c r="I9" s="10">
        <v>1</v>
      </c>
      <c r="J9" s="10">
        <v>3</v>
      </c>
      <c r="K9" s="10" t="s">
        <v>2175</v>
      </c>
      <c r="L9" s="10" t="s">
        <v>2159</v>
      </c>
      <c r="M9" s="10"/>
      <c r="N9" s="11"/>
      <c r="O9" s="10"/>
      <c r="P9" s="10">
        <v>743</v>
      </c>
      <c r="Q9" s="10">
        <v>365.32599075621988</v>
      </c>
      <c r="R9" s="10"/>
      <c r="S9" s="10" t="s">
        <v>2387</v>
      </c>
      <c r="T9" s="10" t="s">
        <v>2387</v>
      </c>
      <c r="U9" s="10"/>
      <c r="V9" s="10"/>
      <c r="W9" s="10"/>
      <c r="X9" s="10"/>
      <c r="Y9" s="10"/>
      <c r="Z9" s="10"/>
      <c r="AA9" s="10"/>
      <c r="AB9" s="10"/>
      <c r="AC9" s="10"/>
      <c r="AD9" s="10"/>
      <c r="AE9" t="s">
        <v>19</v>
      </c>
      <c r="AH9">
        <v>1</v>
      </c>
    </row>
    <row r="10" spans="1:34" ht="43.5">
      <c r="A10" t="s">
        <v>157</v>
      </c>
      <c r="B10" s="4" t="s">
        <v>930</v>
      </c>
      <c r="C10" s="4" t="s">
        <v>931</v>
      </c>
      <c r="G10" s="10" t="s">
        <v>24</v>
      </c>
      <c r="H10" s="10"/>
      <c r="I10" s="10">
        <v>1</v>
      </c>
      <c r="J10" s="10">
        <v>2</v>
      </c>
      <c r="K10" s="10" t="s">
        <v>2158</v>
      </c>
      <c r="L10" s="10" t="s">
        <v>2200</v>
      </c>
      <c r="M10" s="10"/>
      <c r="N10" s="11"/>
      <c r="O10" s="10"/>
      <c r="P10" s="10">
        <v>2475</v>
      </c>
      <c r="Q10" s="10">
        <v>1216.9338184678927</v>
      </c>
      <c r="R10" s="10"/>
      <c r="S10" s="10" t="s">
        <v>2387</v>
      </c>
      <c r="T10" s="10" t="s">
        <v>2387</v>
      </c>
      <c r="U10" s="10"/>
      <c r="V10" s="10"/>
      <c r="W10" s="10"/>
      <c r="X10" s="10"/>
      <c r="Y10" s="10"/>
      <c r="Z10" s="10"/>
      <c r="AA10" s="10"/>
      <c r="AB10" s="10"/>
      <c r="AC10" s="10"/>
      <c r="AD10" s="10"/>
      <c r="AE10" t="s">
        <v>19</v>
      </c>
      <c r="AH10">
        <v>1</v>
      </c>
    </row>
    <row r="11" spans="1:34" ht="29">
      <c r="A11" t="s">
        <v>158</v>
      </c>
      <c r="B11" s="4" t="s">
        <v>933</v>
      </c>
      <c r="C11" s="4" t="s">
        <v>932</v>
      </c>
      <c r="G11" s="10" t="s">
        <v>24</v>
      </c>
      <c r="H11" s="10"/>
      <c r="I11" s="10">
        <v>1</v>
      </c>
      <c r="J11" s="10">
        <v>1</v>
      </c>
      <c r="K11" s="10" t="s">
        <v>2158</v>
      </c>
      <c r="L11" s="10" t="s">
        <v>2200</v>
      </c>
      <c r="M11" s="10"/>
      <c r="N11" s="11"/>
      <c r="O11" s="10"/>
      <c r="P11" s="10">
        <v>2475</v>
      </c>
      <c r="Q11" s="10">
        <v>1216.9338184678927</v>
      </c>
      <c r="R11" s="10"/>
      <c r="S11" s="10" t="s">
        <v>2387</v>
      </c>
      <c r="T11" s="10" t="s">
        <v>2387</v>
      </c>
      <c r="U11" s="10"/>
      <c r="V11" s="10"/>
      <c r="W11" s="10"/>
      <c r="X11" s="10"/>
      <c r="Y11" s="10"/>
      <c r="Z11" s="10"/>
      <c r="AA11" s="10"/>
      <c r="AB11" s="10"/>
      <c r="AC11" s="10"/>
      <c r="AD11" s="10"/>
      <c r="AE11" t="s">
        <v>19</v>
      </c>
      <c r="AH11">
        <v>1</v>
      </c>
    </row>
    <row r="12" spans="1:34" ht="29">
      <c r="A12" t="s">
        <v>162</v>
      </c>
      <c r="B12" s="4" t="s">
        <v>936</v>
      </c>
      <c r="C12" s="4" t="s">
        <v>937</v>
      </c>
      <c r="F12" t="s">
        <v>19</v>
      </c>
      <c r="G12" s="10" t="s">
        <v>25</v>
      </c>
      <c r="H12" s="10"/>
      <c r="I12" s="10">
        <v>1</v>
      </c>
      <c r="J12" s="10">
        <v>3</v>
      </c>
      <c r="K12" s="10" t="s">
        <v>2158</v>
      </c>
      <c r="L12" s="10" t="s">
        <v>2159</v>
      </c>
      <c r="M12" s="10"/>
      <c r="N12" s="11"/>
      <c r="O12" s="10"/>
      <c r="P12" s="10">
        <v>2475</v>
      </c>
      <c r="Q12" s="10">
        <v>1216.9338184678927</v>
      </c>
      <c r="R12" s="10"/>
      <c r="S12" s="10" t="s">
        <v>2387</v>
      </c>
      <c r="T12" s="10" t="s">
        <v>2387</v>
      </c>
      <c r="U12" s="10"/>
      <c r="V12" s="10"/>
      <c r="W12" s="10"/>
      <c r="X12" s="10"/>
      <c r="Y12" s="10"/>
      <c r="Z12" s="10"/>
      <c r="AA12" s="10"/>
      <c r="AB12" s="10"/>
      <c r="AC12" s="10"/>
      <c r="AD12" s="10"/>
      <c r="AE12" t="s">
        <v>20</v>
      </c>
      <c r="AH12">
        <v>0</v>
      </c>
    </row>
    <row r="13" spans="1:34" ht="43.5">
      <c r="A13" t="s">
        <v>169</v>
      </c>
      <c r="B13" s="4" t="s">
        <v>949</v>
      </c>
      <c r="C13" s="4" t="s">
        <v>946</v>
      </c>
      <c r="G13" s="10" t="s">
        <v>25</v>
      </c>
      <c r="H13" s="10"/>
      <c r="I13" s="10">
        <v>1</v>
      </c>
      <c r="J13" s="10">
        <v>3</v>
      </c>
      <c r="K13" s="10" t="s">
        <v>2168</v>
      </c>
      <c r="L13" s="10" t="s">
        <v>2159</v>
      </c>
      <c r="M13" s="10"/>
      <c r="N13" s="11"/>
      <c r="O13" s="10"/>
      <c r="P13" s="10">
        <v>1701</v>
      </c>
      <c r="Q13" s="10">
        <v>836.36542432884255</v>
      </c>
      <c r="R13" s="10"/>
      <c r="S13" s="10" t="s">
        <v>2387</v>
      </c>
      <c r="T13" s="10" t="s">
        <v>2387</v>
      </c>
      <c r="U13" s="10"/>
      <c r="V13" s="10"/>
      <c r="W13" s="10"/>
      <c r="X13" s="10"/>
      <c r="Y13" s="10"/>
      <c r="Z13" s="10"/>
      <c r="AA13" s="10"/>
      <c r="AB13" s="10"/>
      <c r="AC13" s="10"/>
      <c r="AD13" s="10"/>
      <c r="AE13" t="s">
        <v>19</v>
      </c>
      <c r="AH13">
        <v>1</v>
      </c>
    </row>
    <row r="14" spans="1:34" ht="43.5">
      <c r="A14" t="s">
        <v>184</v>
      </c>
      <c r="B14" s="4" t="s">
        <v>965</v>
      </c>
      <c r="C14" s="4" t="s">
        <v>964</v>
      </c>
      <c r="G14" s="10" t="s">
        <v>24</v>
      </c>
      <c r="H14" s="10"/>
      <c r="I14" s="10">
        <v>1</v>
      </c>
      <c r="J14" s="10">
        <v>3</v>
      </c>
      <c r="K14" s="10" t="s">
        <v>2168</v>
      </c>
      <c r="L14" s="10" t="s">
        <v>2159</v>
      </c>
      <c r="M14" s="10"/>
      <c r="N14" s="11"/>
      <c r="O14" s="10"/>
      <c r="P14" s="10">
        <v>1701</v>
      </c>
      <c r="Q14" s="10">
        <v>836.36542432884255</v>
      </c>
      <c r="R14" s="10"/>
      <c r="S14" s="10" t="s">
        <v>2387</v>
      </c>
      <c r="T14" s="10" t="s">
        <v>2387</v>
      </c>
      <c r="U14" s="10"/>
      <c r="V14" s="10"/>
      <c r="W14" s="10"/>
      <c r="X14" s="10"/>
      <c r="Y14" s="10"/>
      <c r="Z14" s="10"/>
      <c r="AA14" s="10"/>
      <c r="AB14" s="10"/>
      <c r="AC14" s="10"/>
      <c r="AD14" s="10"/>
      <c r="AE14" t="s">
        <v>19</v>
      </c>
      <c r="AH14">
        <v>1</v>
      </c>
    </row>
    <row r="15" spans="1:34" ht="43.5">
      <c r="A15" t="s">
        <v>185</v>
      </c>
      <c r="B15" s="4" t="s">
        <v>967</v>
      </c>
      <c r="C15" s="4" t="s">
        <v>966</v>
      </c>
      <c r="G15" s="10" t="s">
        <v>24</v>
      </c>
      <c r="H15" s="10"/>
      <c r="I15" s="10">
        <v>1</v>
      </c>
      <c r="J15" s="10">
        <v>3</v>
      </c>
      <c r="K15" s="10" t="s">
        <v>2168</v>
      </c>
      <c r="L15" s="10" t="s">
        <v>2159</v>
      </c>
      <c r="M15" s="10"/>
      <c r="N15" s="11"/>
      <c r="O15" s="10"/>
      <c r="P15" s="10">
        <v>1701</v>
      </c>
      <c r="Q15" s="10">
        <v>836.36542432884255</v>
      </c>
      <c r="R15" s="10"/>
      <c r="S15" s="10" t="s">
        <v>2387</v>
      </c>
      <c r="T15" s="10" t="s">
        <v>2387</v>
      </c>
      <c r="U15" s="10"/>
      <c r="V15" s="10"/>
      <c r="W15" s="10"/>
      <c r="X15" s="10"/>
      <c r="Y15" s="10"/>
      <c r="Z15" s="10"/>
      <c r="AA15" s="10"/>
      <c r="AB15" s="10"/>
      <c r="AC15" s="10"/>
      <c r="AD15" s="10"/>
      <c r="AE15" t="s">
        <v>19</v>
      </c>
      <c r="AH15">
        <v>1</v>
      </c>
    </row>
    <row r="16" spans="1:34" ht="58">
      <c r="A16" t="s">
        <v>185</v>
      </c>
      <c r="B16" s="4" t="s">
        <v>971</v>
      </c>
      <c r="C16" s="4" t="s">
        <v>968</v>
      </c>
      <c r="G16" s="10" t="s">
        <v>25</v>
      </c>
      <c r="H16" s="10"/>
      <c r="I16" s="10">
        <v>1</v>
      </c>
      <c r="J16" s="10">
        <v>2</v>
      </c>
      <c r="K16" s="10" t="s">
        <v>2177</v>
      </c>
      <c r="L16" s="10" t="s">
        <v>2200</v>
      </c>
      <c r="M16" s="10"/>
      <c r="N16" s="11"/>
      <c r="O16" s="10"/>
      <c r="P16" s="10">
        <v>613</v>
      </c>
      <c r="Q16" s="10">
        <v>301.40623463467404</v>
      </c>
      <c r="R16" s="10"/>
      <c r="S16" s="10" t="s">
        <v>2387</v>
      </c>
      <c r="T16" s="10" t="s">
        <v>2387</v>
      </c>
      <c r="U16" s="10"/>
      <c r="V16" s="10"/>
      <c r="W16" s="10"/>
      <c r="X16" s="10"/>
      <c r="Y16" s="10"/>
      <c r="Z16" s="10"/>
      <c r="AA16" s="10"/>
      <c r="AB16" s="10"/>
      <c r="AC16" s="10"/>
      <c r="AD16" s="10"/>
      <c r="AE16" t="s">
        <v>19</v>
      </c>
      <c r="AH16">
        <v>1</v>
      </c>
    </row>
    <row r="17" spans="1:34" ht="43.5">
      <c r="A17" t="s">
        <v>195</v>
      </c>
      <c r="B17" s="4" t="s">
        <v>980</v>
      </c>
      <c r="C17" s="4" t="s">
        <v>979</v>
      </c>
      <c r="G17" s="10" t="s">
        <v>24</v>
      </c>
      <c r="H17" s="10"/>
      <c r="I17" s="10">
        <v>1</v>
      </c>
      <c r="J17" s="10">
        <v>2</v>
      </c>
      <c r="K17" s="10" t="s">
        <v>2177</v>
      </c>
      <c r="L17" s="10" t="s">
        <v>2200</v>
      </c>
      <c r="M17" s="10"/>
      <c r="N17" s="11"/>
      <c r="O17" s="10"/>
      <c r="P17" s="10">
        <v>613</v>
      </c>
      <c r="Q17" s="10">
        <v>301.40623463467404</v>
      </c>
      <c r="R17" s="10"/>
      <c r="S17" s="10" t="s">
        <v>2387</v>
      </c>
      <c r="T17" s="10" t="s">
        <v>2387</v>
      </c>
      <c r="U17" s="10"/>
      <c r="V17" s="10"/>
      <c r="W17" s="10"/>
      <c r="X17" s="10"/>
      <c r="Y17" s="10"/>
      <c r="Z17" s="10"/>
      <c r="AA17" s="10"/>
      <c r="AB17" s="10"/>
      <c r="AC17" s="10"/>
      <c r="AD17" s="10"/>
      <c r="AE17" t="s">
        <v>19</v>
      </c>
      <c r="AH17">
        <v>1</v>
      </c>
    </row>
    <row r="18" spans="1:34" ht="29">
      <c r="A18" t="s">
        <v>200</v>
      </c>
      <c r="B18" s="4" t="s">
        <v>983</v>
      </c>
      <c r="C18" s="4" t="s">
        <v>984</v>
      </c>
      <c r="F18" t="s">
        <v>19</v>
      </c>
      <c r="G18" s="10" t="s">
        <v>25</v>
      </c>
      <c r="H18" s="10"/>
      <c r="I18" s="10">
        <v>1</v>
      </c>
      <c r="J18" s="10">
        <v>3</v>
      </c>
      <c r="K18" s="10" t="s">
        <v>2175</v>
      </c>
      <c r="L18" s="10" t="s">
        <v>2159</v>
      </c>
      <c r="M18" s="10"/>
      <c r="N18" s="11"/>
      <c r="O18" s="10"/>
      <c r="P18" s="10">
        <v>743</v>
      </c>
      <c r="Q18" s="10">
        <v>365.32599075621988</v>
      </c>
      <c r="R18" s="10"/>
      <c r="S18" s="10" t="s">
        <v>2387</v>
      </c>
      <c r="T18" s="10" t="s">
        <v>2387</v>
      </c>
      <c r="U18" s="10"/>
      <c r="V18" s="10"/>
      <c r="W18" s="10"/>
      <c r="X18" s="10"/>
      <c r="Y18" s="10"/>
      <c r="Z18" s="10"/>
      <c r="AA18" s="10"/>
      <c r="AB18" s="10"/>
      <c r="AC18" s="10"/>
      <c r="AD18" s="10"/>
      <c r="AE18" t="s">
        <v>20</v>
      </c>
      <c r="AH18">
        <v>0</v>
      </c>
    </row>
    <row r="19" spans="1:34" ht="29">
      <c r="A19" t="s">
        <v>209</v>
      </c>
      <c r="B19" s="4" t="s">
        <v>991</v>
      </c>
      <c r="C19" s="4" t="s">
        <v>992</v>
      </c>
      <c r="G19" s="10" t="s">
        <v>25</v>
      </c>
      <c r="H19" s="10"/>
      <c r="I19" s="10">
        <v>1</v>
      </c>
      <c r="J19" s="10">
        <v>2</v>
      </c>
      <c r="K19" s="10" t="s">
        <v>2158</v>
      </c>
      <c r="L19" s="10" t="s">
        <v>2200</v>
      </c>
      <c r="M19" s="10"/>
      <c r="N19" s="11"/>
      <c r="O19" s="10"/>
      <c r="P19" s="10">
        <v>2475</v>
      </c>
      <c r="Q19" s="10">
        <v>1216.9338184678927</v>
      </c>
      <c r="R19" s="10"/>
      <c r="S19" s="10" t="s">
        <v>2387</v>
      </c>
      <c r="T19" s="10" t="s">
        <v>2387</v>
      </c>
      <c r="U19" s="10"/>
      <c r="V19" s="10"/>
      <c r="W19" s="10"/>
      <c r="X19" s="10"/>
      <c r="Y19" s="10"/>
      <c r="Z19" s="10"/>
      <c r="AA19" s="10"/>
      <c r="AB19" s="10"/>
      <c r="AC19" s="10"/>
      <c r="AD19" s="10"/>
      <c r="AE19" t="s">
        <v>20</v>
      </c>
      <c r="AH19">
        <v>0</v>
      </c>
    </row>
    <row r="20" spans="1:34" ht="72.5">
      <c r="A20" t="s">
        <v>231</v>
      </c>
      <c r="B20" s="4" t="s">
        <v>1003</v>
      </c>
      <c r="C20" s="4" t="s">
        <v>1006</v>
      </c>
      <c r="G20" s="10" t="s">
        <v>24</v>
      </c>
      <c r="H20" s="10"/>
      <c r="I20" s="10">
        <v>1</v>
      </c>
      <c r="J20" s="10">
        <v>3</v>
      </c>
      <c r="K20" s="10" t="s">
        <v>2168</v>
      </c>
      <c r="L20" s="10" t="s">
        <v>2159</v>
      </c>
      <c r="M20" s="10"/>
      <c r="N20" s="11"/>
      <c r="O20" s="10"/>
      <c r="P20" s="10">
        <v>1701</v>
      </c>
      <c r="Q20" s="10">
        <v>836.36542432884255</v>
      </c>
      <c r="R20" s="10"/>
      <c r="S20" s="10" t="s">
        <v>2387</v>
      </c>
      <c r="T20" s="10" t="s">
        <v>2387</v>
      </c>
      <c r="U20" s="10"/>
      <c r="V20" s="10"/>
      <c r="W20" s="10"/>
      <c r="X20" s="10"/>
      <c r="Y20" s="10"/>
      <c r="Z20" s="10"/>
      <c r="AA20" s="10"/>
      <c r="AB20" s="10"/>
      <c r="AC20" s="10"/>
      <c r="AD20" s="10"/>
      <c r="AE20" t="s">
        <v>19</v>
      </c>
      <c r="AH20">
        <v>1</v>
      </c>
    </row>
    <row r="21" spans="1:34" ht="101.5">
      <c r="A21" t="s">
        <v>232</v>
      </c>
      <c r="B21" s="4" t="s">
        <v>1010</v>
      </c>
      <c r="C21" s="4" t="s">
        <v>1007</v>
      </c>
      <c r="G21" s="10" t="s">
        <v>25</v>
      </c>
      <c r="H21" s="10"/>
      <c r="I21" s="10">
        <v>1</v>
      </c>
      <c r="J21" s="10">
        <v>3</v>
      </c>
      <c r="K21" s="10" t="s">
        <v>2168</v>
      </c>
      <c r="L21" s="10" t="s">
        <v>2153</v>
      </c>
      <c r="M21" s="10" t="s">
        <v>2231</v>
      </c>
      <c r="N21" s="11" t="s">
        <v>2230</v>
      </c>
      <c r="O21" s="10"/>
      <c r="P21" s="10">
        <v>1701</v>
      </c>
      <c r="Q21" s="10">
        <v>836.36542432884255</v>
      </c>
      <c r="R21" s="10"/>
      <c r="S21" s="10" t="s">
        <v>2387</v>
      </c>
      <c r="T21" s="10" t="s">
        <v>2387</v>
      </c>
      <c r="U21" s="10"/>
      <c r="V21" s="10"/>
      <c r="W21" s="10"/>
      <c r="X21" s="10"/>
      <c r="Y21" s="10"/>
      <c r="Z21" s="10"/>
      <c r="AA21" s="10"/>
      <c r="AB21" s="10"/>
      <c r="AC21" s="10"/>
      <c r="AD21" s="10"/>
      <c r="AE21" t="s">
        <v>19</v>
      </c>
      <c r="AH21">
        <v>1</v>
      </c>
    </row>
    <row r="22" spans="1:34" ht="101.5">
      <c r="A22" t="s">
        <v>232</v>
      </c>
      <c r="B22" s="4" t="s">
        <v>1011</v>
      </c>
      <c r="C22" s="4" t="s">
        <v>1007</v>
      </c>
      <c r="G22" s="10" t="s">
        <v>25</v>
      </c>
      <c r="H22" s="10"/>
      <c r="I22" s="10">
        <v>1</v>
      </c>
      <c r="J22" s="10">
        <v>3</v>
      </c>
      <c r="K22" s="10" t="s">
        <v>2168</v>
      </c>
      <c r="L22" s="10" t="s">
        <v>2153</v>
      </c>
      <c r="M22" s="10" t="s">
        <v>2229</v>
      </c>
      <c r="N22" s="11" t="s">
        <v>2230</v>
      </c>
      <c r="O22" s="10"/>
      <c r="P22" s="10">
        <v>1701</v>
      </c>
      <c r="Q22" s="10">
        <v>836.36542432884255</v>
      </c>
      <c r="R22" s="10"/>
      <c r="S22" s="10" t="s">
        <v>2387</v>
      </c>
      <c r="T22" s="10" t="s">
        <v>2387</v>
      </c>
      <c r="U22" s="10"/>
      <c r="V22" s="10"/>
      <c r="W22" s="10"/>
      <c r="X22" s="10"/>
      <c r="Y22" s="10"/>
      <c r="Z22" s="10"/>
      <c r="AA22" s="10"/>
      <c r="AB22" s="10"/>
      <c r="AC22" s="10"/>
      <c r="AD22" s="10"/>
      <c r="AE22" t="s">
        <v>19</v>
      </c>
      <c r="AH22">
        <v>1</v>
      </c>
    </row>
    <row r="23" spans="1:34" ht="116">
      <c r="A23" t="s">
        <v>236</v>
      </c>
      <c r="B23" s="4" t="s">
        <v>1015</v>
      </c>
      <c r="C23" s="4" t="s">
        <v>1012</v>
      </c>
      <c r="G23" s="10" t="s">
        <v>25</v>
      </c>
      <c r="H23" s="10"/>
      <c r="I23" s="10">
        <v>1</v>
      </c>
      <c r="J23" s="10">
        <v>3</v>
      </c>
      <c r="K23" s="10" t="s">
        <v>2168</v>
      </c>
      <c r="L23" s="10" t="s">
        <v>2159</v>
      </c>
      <c r="M23" s="10"/>
      <c r="N23" s="11"/>
      <c r="O23" s="10"/>
      <c r="P23" s="10">
        <v>1701</v>
      </c>
      <c r="Q23" s="10">
        <v>836.36542432884255</v>
      </c>
      <c r="R23" s="10"/>
      <c r="S23" s="10" t="s">
        <v>2387</v>
      </c>
      <c r="T23" s="10" t="s">
        <v>2387</v>
      </c>
      <c r="U23" s="10"/>
      <c r="V23" s="10"/>
      <c r="W23" s="10"/>
      <c r="X23" s="10"/>
      <c r="Y23" s="10"/>
      <c r="Z23" s="10"/>
      <c r="AA23" s="10"/>
      <c r="AB23" s="10"/>
      <c r="AC23" s="10"/>
      <c r="AD23" s="10"/>
      <c r="AE23" t="s">
        <v>19</v>
      </c>
      <c r="AH23">
        <v>1</v>
      </c>
    </row>
    <row r="24" spans="1:34" ht="29">
      <c r="A24" t="s">
        <v>243</v>
      </c>
      <c r="B24" s="4" t="s">
        <v>1028</v>
      </c>
      <c r="C24" s="4" t="s">
        <v>1029</v>
      </c>
      <c r="G24" s="10" t="s">
        <v>25</v>
      </c>
      <c r="H24" s="10"/>
      <c r="I24" s="10">
        <v>1</v>
      </c>
      <c r="J24" s="10">
        <v>2</v>
      </c>
      <c r="K24" s="10" t="s">
        <v>2177</v>
      </c>
      <c r="L24" s="10" t="s">
        <v>2200</v>
      </c>
      <c r="M24" s="10"/>
      <c r="N24" s="11"/>
      <c r="O24" s="10"/>
      <c r="P24" s="10">
        <v>613</v>
      </c>
      <c r="Q24" s="10">
        <v>301.40623463467404</v>
      </c>
      <c r="R24" s="10"/>
      <c r="S24" s="10" t="s">
        <v>2387</v>
      </c>
      <c r="T24" s="10" t="s">
        <v>2387</v>
      </c>
      <c r="U24" s="10"/>
      <c r="V24" s="10"/>
      <c r="W24" s="10"/>
      <c r="X24" s="10"/>
      <c r="Y24" s="10"/>
      <c r="Z24" s="10"/>
      <c r="AA24" s="10"/>
      <c r="AB24" s="10"/>
      <c r="AC24" s="10"/>
      <c r="AD24" s="10"/>
      <c r="AE24" t="s">
        <v>20</v>
      </c>
      <c r="AH24">
        <v>0</v>
      </c>
    </row>
    <row r="25" spans="1:34" ht="43.5">
      <c r="A25" t="s">
        <v>244</v>
      </c>
      <c r="B25" s="4" t="s">
        <v>1030</v>
      </c>
      <c r="C25" s="4" t="s">
        <v>1033</v>
      </c>
      <c r="G25" s="10" t="s">
        <v>24</v>
      </c>
      <c r="H25" s="10"/>
      <c r="I25" s="10">
        <v>1</v>
      </c>
      <c r="J25" s="10">
        <v>2</v>
      </c>
      <c r="K25" s="10" t="s">
        <v>2158</v>
      </c>
      <c r="L25" s="10" t="s">
        <v>2200</v>
      </c>
      <c r="M25" s="10"/>
      <c r="N25" s="11"/>
      <c r="O25" s="10"/>
      <c r="P25" s="10">
        <v>2475</v>
      </c>
      <c r="Q25" s="10">
        <v>1216.9338184678927</v>
      </c>
      <c r="R25" s="10"/>
      <c r="S25" s="10" t="s">
        <v>2387</v>
      </c>
      <c r="T25" s="10" t="s">
        <v>2387</v>
      </c>
      <c r="U25" s="10"/>
      <c r="V25" s="10"/>
      <c r="W25" s="10"/>
      <c r="X25" s="10"/>
      <c r="Y25" s="10"/>
      <c r="Z25" s="10"/>
      <c r="AA25" s="10"/>
      <c r="AB25" s="10"/>
      <c r="AC25" s="10"/>
      <c r="AD25" s="10"/>
      <c r="AE25" t="s">
        <v>19</v>
      </c>
      <c r="AH25">
        <v>1</v>
      </c>
    </row>
    <row r="26" spans="1:34" ht="29">
      <c r="A26" t="s">
        <v>245</v>
      </c>
      <c r="B26" s="4" t="s">
        <v>1035</v>
      </c>
      <c r="C26" s="4" t="s">
        <v>1034</v>
      </c>
      <c r="G26" s="10" t="s">
        <v>24</v>
      </c>
      <c r="H26" s="10"/>
      <c r="I26" s="10">
        <v>1</v>
      </c>
      <c r="J26" s="10">
        <v>2</v>
      </c>
      <c r="K26" s="10" t="s">
        <v>2158</v>
      </c>
      <c r="L26" s="10" t="s">
        <v>2200</v>
      </c>
      <c r="M26" s="10"/>
      <c r="N26" s="11"/>
      <c r="O26" s="10"/>
      <c r="P26" s="10">
        <v>2475</v>
      </c>
      <c r="Q26" s="10">
        <v>1216.9338184678927</v>
      </c>
      <c r="R26" s="10"/>
      <c r="S26" s="10" t="s">
        <v>2387</v>
      </c>
      <c r="T26" s="10" t="s">
        <v>2387</v>
      </c>
      <c r="U26" s="10"/>
      <c r="V26" s="10"/>
      <c r="W26" s="10"/>
      <c r="X26" s="10"/>
      <c r="Y26" s="10"/>
      <c r="Z26" s="10"/>
      <c r="AA26" s="10"/>
      <c r="AB26" s="10"/>
      <c r="AC26" s="10"/>
      <c r="AD26" s="10"/>
      <c r="AE26" t="s">
        <v>20</v>
      </c>
      <c r="AH26">
        <v>0</v>
      </c>
    </row>
    <row r="27" spans="1:34" ht="87">
      <c r="A27" t="s">
        <v>246</v>
      </c>
      <c r="B27" s="4" t="s">
        <v>1037</v>
      </c>
      <c r="C27" s="4" t="s">
        <v>1040</v>
      </c>
      <c r="G27" s="10" t="s">
        <v>24</v>
      </c>
      <c r="H27" s="10"/>
      <c r="I27" s="10">
        <v>1</v>
      </c>
      <c r="J27" s="10">
        <v>3</v>
      </c>
      <c r="K27" s="10" t="s">
        <v>2175</v>
      </c>
      <c r="L27" s="10" t="s">
        <v>2159</v>
      </c>
      <c r="M27" s="10"/>
      <c r="N27" s="11"/>
      <c r="O27" s="10"/>
      <c r="P27" s="10">
        <v>312</v>
      </c>
      <c r="Q27" s="10">
        <v>153.4074146917101</v>
      </c>
      <c r="R27" s="10"/>
      <c r="S27" s="10" t="s">
        <v>2387</v>
      </c>
      <c r="T27" s="10" t="s">
        <v>2387</v>
      </c>
      <c r="U27" s="10"/>
      <c r="V27" s="10"/>
      <c r="W27" s="10"/>
      <c r="X27" s="10"/>
      <c r="Y27" s="10"/>
      <c r="Z27" s="10"/>
      <c r="AA27" s="10"/>
      <c r="AB27" s="10"/>
      <c r="AC27" s="10"/>
      <c r="AD27" s="10"/>
      <c r="AE27" t="s">
        <v>19</v>
      </c>
      <c r="AH27">
        <v>1</v>
      </c>
    </row>
    <row r="28" spans="1:34" ht="43.5">
      <c r="A28" t="s">
        <v>247</v>
      </c>
      <c r="B28" s="4" t="s">
        <v>814</v>
      </c>
      <c r="C28" s="4" t="s">
        <v>1045</v>
      </c>
      <c r="G28" s="10" t="s">
        <v>24</v>
      </c>
      <c r="H28" s="10"/>
      <c r="I28" s="10">
        <v>1</v>
      </c>
      <c r="J28" s="10">
        <v>3</v>
      </c>
      <c r="K28" s="10" t="s">
        <v>2175</v>
      </c>
      <c r="L28" s="10" t="s">
        <v>2159</v>
      </c>
      <c r="M28" s="10"/>
      <c r="N28" s="11"/>
      <c r="O28" s="10"/>
      <c r="P28" s="10">
        <v>743</v>
      </c>
      <c r="Q28" s="10">
        <v>365.32599075621988</v>
      </c>
      <c r="R28" s="10"/>
      <c r="S28" s="10" t="s">
        <v>2387</v>
      </c>
      <c r="T28" s="10" t="s">
        <v>2387</v>
      </c>
      <c r="U28" s="10"/>
      <c r="V28" s="10"/>
      <c r="W28" s="10"/>
      <c r="X28" s="10"/>
      <c r="Y28" s="10"/>
      <c r="Z28" s="10"/>
      <c r="AA28" s="10"/>
      <c r="AB28" s="10"/>
      <c r="AC28" s="10"/>
      <c r="AD28" s="10"/>
      <c r="AE28" t="s">
        <v>19</v>
      </c>
      <c r="AH28">
        <v>1</v>
      </c>
    </row>
    <row r="29" spans="1:34" ht="58">
      <c r="A29" t="s">
        <v>250</v>
      </c>
      <c r="B29" s="4" t="s">
        <v>1051</v>
      </c>
      <c r="C29" s="4" t="s">
        <v>1048</v>
      </c>
      <c r="G29" s="10" t="s">
        <v>25</v>
      </c>
      <c r="H29" s="10"/>
      <c r="I29" s="10">
        <v>1</v>
      </c>
      <c r="J29" s="10">
        <v>3</v>
      </c>
      <c r="K29" s="10" t="s">
        <v>2158</v>
      </c>
      <c r="L29" s="10" t="s">
        <v>2159</v>
      </c>
      <c r="M29" s="10"/>
      <c r="N29" s="11"/>
      <c r="O29" s="10"/>
      <c r="P29" s="10">
        <v>2475</v>
      </c>
      <c r="Q29" s="10">
        <v>1216.9338184678927</v>
      </c>
      <c r="R29" s="10"/>
      <c r="S29" s="10" t="s">
        <v>2387</v>
      </c>
      <c r="T29" s="10" t="s">
        <v>2387</v>
      </c>
      <c r="U29" s="10"/>
      <c r="V29" s="10"/>
      <c r="W29" s="10"/>
      <c r="X29" s="10"/>
      <c r="Y29" s="10"/>
      <c r="Z29" s="10"/>
      <c r="AA29" s="10"/>
      <c r="AB29" s="10"/>
      <c r="AC29" s="10"/>
      <c r="AD29" s="10"/>
      <c r="AE29" t="s">
        <v>19</v>
      </c>
      <c r="AH29">
        <v>1</v>
      </c>
    </row>
    <row r="30" spans="1:34" ht="29">
      <c r="A30" t="s">
        <v>251</v>
      </c>
      <c r="B30" s="4" t="s">
        <v>1052</v>
      </c>
      <c r="C30" s="4" t="s">
        <v>1053</v>
      </c>
      <c r="G30" s="10" t="s">
        <v>25</v>
      </c>
      <c r="H30" s="10"/>
      <c r="I30" s="10">
        <v>1</v>
      </c>
      <c r="J30" s="10">
        <v>3</v>
      </c>
      <c r="K30" s="10" t="s">
        <v>2177</v>
      </c>
      <c r="L30" s="10" t="s">
        <v>2159</v>
      </c>
      <c r="M30" s="10"/>
      <c r="N30" s="11"/>
      <c r="O30" s="10"/>
      <c r="P30" s="10">
        <v>210</v>
      </c>
      <c r="Q30" s="10">
        <v>103.25499065788181</v>
      </c>
      <c r="R30" s="10"/>
      <c r="S30" s="10" t="s">
        <v>2387</v>
      </c>
      <c r="T30" s="10" t="s">
        <v>2387</v>
      </c>
      <c r="U30" s="10"/>
      <c r="V30" s="10"/>
      <c r="W30" s="10"/>
      <c r="X30" s="10"/>
      <c r="Y30" s="10"/>
      <c r="Z30" s="10"/>
      <c r="AA30" s="10"/>
      <c r="AB30" s="10"/>
      <c r="AC30" s="10"/>
      <c r="AD30" s="10"/>
      <c r="AE30" t="s">
        <v>19</v>
      </c>
      <c r="AH30">
        <v>1</v>
      </c>
    </row>
    <row r="31" spans="1:34" ht="29">
      <c r="A31" t="s">
        <v>261</v>
      </c>
      <c r="B31" s="4" t="s">
        <v>1062</v>
      </c>
      <c r="C31" s="4" t="s">
        <v>1065</v>
      </c>
      <c r="G31" s="10" t="s">
        <v>24</v>
      </c>
      <c r="H31" s="10"/>
      <c r="I31" s="10">
        <v>1</v>
      </c>
      <c r="J31" s="10">
        <v>1</v>
      </c>
      <c r="K31" s="10" t="s">
        <v>2158</v>
      </c>
      <c r="L31" s="10" t="s">
        <v>2200</v>
      </c>
      <c r="M31" s="10"/>
      <c r="N31" s="11"/>
      <c r="O31" s="10"/>
      <c r="P31" s="10">
        <v>2475</v>
      </c>
      <c r="Q31" s="10">
        <v>1216.9338184678927</v>
      </c>
      <c r="R31" s="10"/>
      <c r="S31" s="10" t="s">
        <v>2387</v>
      </c>
      <c r="T31" s="10" t="s">
        <v>2387</v>
      </c>
      <c r="U31" s="10"/>
      <c r="V31" s="10"/>
      <c r="W31" s="10"/>
      <c r="X31" s="10"/>
      <c r="Y31" s="10"/>
      <c r="Z31" s="10"/>
      <c r="AA31" s="10"/>
      <c r="AB31" s="10"/>
      <c r="AC31" s="10"/>
      <c r="AD31" s="10"/>
      <c r="AE31" t="s">
        <v>19</v>
      </c>
      <c r="AH31">
        <v>1</v>
      </c>
    </row>
    <row r="32" spans="1:34" ht="29">
      <c r="A32" t="s">
        <v>261</v>
      </c>
      <c r="B32" s="4" t="s">
        <v>1067</v>
      </c>
      <c r="C32" s="4" t="s">
        <v>1066</v>
      </c>
      <c r="G32" s="10" t="s">
        <v>25</v>
      </c>
      <c r="H32" s="10"/>
      <c r="I32" s="10">
        <v>1</v>
      </c>
      <c r="J32" s="10">
        <v>3</v>
      </c>
      <c r="K32" s="10" t="s">
        <v>2158</v>
      </c>
      <c r="L32" s="10" t="s">
        <v>2159</v>
      </c>
      <c r="M32" s="10"/>
      <c r="N32" s="11"/>
      <c r="O32" s="10"/>
      <c r="P32" s="10">
        <v>2475</v>
      </c>
      <c r="Q32" s="10">
        <v>1216.9338184678927</v>
      </c>
      <c r="R32" s="10"/>
      <c r="S32" s="10" t="s">
        <v>2387</v>
      </c>
      <c r="T32" s="10" t="s">
        <v>2387</v>
      </c>
      <c r="U32" s="10"/>
      <c r="V32" s="10"/>
      <c r="W32" s="10"/>
      <c r="X32" s="10"/>
      <c r="Y32" s="10"/>
      <c r="Z32" s="10"/>
      <c r="AA32" s="10"/>
      <c r="AB32" s="10"/>
      <c r="AC32" s="10"/>
      <c r="AD32" s="10"/>
      <c r="AE32" t="s">
        <v>19</v>
      </c>
      <c r="AH32">
        <v>1</v>
      </c>
    </row>
    <row r="33" spans="1:34" ht="87">
      <c r="A33" t="s">
        <v>264</v>
      </c>
      <c r="B33" s="4" t="s">
        <v>1078</v>
      </c>
      <c r="C33" s="4" t="s">
        <v>1079</v>
      </c>
      <c r="G33" s="10" t="s">
        <v>24</v>
      </c>
      <c r="H33" s="10"/>
      <c r="I33" s="10">
        <v>1</v>
      </c>
      <c r="J33" s="10">
        <v>2</v>
      </c>
      <c r="K33" s="10" t="s">
        <v>2158</v>
      </c>
      <c r="L33" s="10" t="s">
        <v>2200</v>
      </c>
      <c r="M33" s="10"/>
      <c r="N33" s="11"/>
      <c r="O33" s="10"/>
      <c r="P33" s="10">
        <v>2475</v>
      </c>
      <c r="Q33" s="10">
        <v>1216.9338184678927</v>
      </c>
      <c r="R33" s="10"/>
      <c r="S33" s="10" t="s">
        <v>2387</v>
      </c>
      <c r="T33" s="10" t="s">
        <v>2387</v>
      </c>
      <c r="U33" s="10"/>
      <c r="V33" s="10"/>
      <c r="W33" s="10"/>
      <c r="X33" s="10"/>
      <c r="Y33" s="10"/>
      <c r="Z33" s="10"/>
      <c r="AA33" s="10"/>
      <c r="AB33" s="10"/>
      <c r="AC33" s="10"/>
      <c r="AD33" s="10"/>
      <c r="AE33" t="s">
        <v>19</v>
      </c>
      <c r="AH33">
        <v>1</v>
      </c>
    </row>
    <row r="34" spans="1:34" ht="87">
      <c r="A34" t="s">
        <v>264</v>
      </c>
      <c r="B34" s="4" t="s">
        <v>1078</v>
      </c>
      <c r="C34" s="4" t="s">
        <v>1084</v>
      </c>
      <c r="G34" s="10" t="s">
        <v>24</v>
      </c>
      <c r="H34" s="10"/>
      <c r="I34" s="10">
        <v>1</v>
      </c>
      <c r="J34" s="10">
        <v>3</v>
      </c>
      <c r="K34" s="10" t="s">
        <v>2177</v>
      </c>
      <c r="L34" s="10" t="s">
        <v>2159</v>
      </c>
      <c r="M34" s="10"/>
      <c r="N34" s="11"/>
      <c r="O34" s="10"/>
      <c r="P34" s="10">
        <v>10</v>
      </c>
      <c r="Q34" s="10">
        <v>4.9169043170419897</v>
      </c>
      <c r="R34" s="10"/>
      <c r="S34" s="10" t="s">
        <v>2387</v>
      </c>
      <c r="T34" s="10" t="s">
        <v>2387</v>
      </c>
      <c r="U34" s="10"/>
      <c r="V34" s="10"/>
      <c r="W34" s="10"/>
      <c r="X34" s="10"/>
      <c r="Y34" s="10"/>
      <c r="Z34" s="10"/>
      <c r="AA34" s="10"/>
      <c r="AB34" s="10"/>
      <c r="AC34" s="10"/>
      <c r="AD34" s="10"/>
      <c r="AE34" t="s">
        <v>19</v>
      </c>
      <c r="AH34">
        <v>1</v>
      </c>
    </row>
    <row r="35" spans="1:34" ht="29">
      <c r="A35" t="s">
        <v>264</v>
      </c>
      <c r="B35" s="4" t="s">
        <v>1086</v>
      </c>
      <c r="C35" s="4" t="s">
        <v>1085</v>
      </c>
      <c r="G35" s="10" t="s">
        <v>25</v>
      </c>
      <c r="H35" s="10"/>
      <c r="I35" s="10">
        <v>1</v>
      </c>
      <c r="J35" s="10">
        <v>1</v>
      </c>
      <c r="K35" s="10" t="s">
        <v>2158</v>
      </c>
      <c r="L35" s="10" t="s">
        <v>2200</v>
      </c>
      <c r="M35" s="10"/>
      <c r="N35" s="11"/>
      <c r="O35" s="10"/>
      <c r="P35" s="10">
        <v>2475</v>
      </c>
      <c r="Q35" s="10">
        <v>1216.9338184678927</v>
      </c>
      <c r="R35" s="10"/>
      <c r="S35" s="10" t="s">
        <v>2387</v>
      </c>
      <c r="T35" s="10" t="s">
        <v>2387</v>
      </c>
      <c r="U35" s="10"/>
      <c r="V35" s="10"/>
      <c r="W35" s="10"/>
      <c r="X35" s="10"/>
      <c r="Y35" s="10"/>
      <c r="Z35" s="10"/>
      <c r="AA35" s="10"/>
      <c r="AB35" s="10"/>
      <c r="AC35" s="10"/>
      <c r="AD35" s="10"/>
      <c r="AE35" t="s">
        <v>19</v>
      </c>
      <c r="AH35">
        <v>1</v>
      </c>
    </row>
    <row r="36" spans="1:34" ht="58">
      <c r="A36" t="s">
        <v>267</v>
      </c>
      <c r="B36" s="4" t="s">
        <v>1098</v>
      </c>
      <c r="C36" s="4" t="s">
        <v>1099</v>
      </c>
      <c r="G36" s="10" t="s">
        <v>24</v>
      </c>
      <c r="H36" s="10"/>
      <c r="I36" s="10">
        <v>1</v>
      </c>
      <c r="J36" s="10">
        <v>3</v>
      </c>
      <c r="K36" s="10" t="s">
        <v>2168</v>
      </c>
      <c r="L36" s="10" t="s">
        <v>2159</v>
      </c>
      <c r="M36" s="10"/>
      <c r="N36" s="11"/>
      <c r="O36" s="10"/>
      <c r="P36" s="10">
        <v>1701</v>
      </c>
      <c r="Q36" s="10">
        <v>836.36542432884255</v>
      </c>
      <c r="R36" s="10"/>
      <c r="S36" s="10" t="s">
        <v>2387</v>
      </c>
      <c r="T36" s="10" t="s">
        <v>2387</v>
      </c>
      <c r="U36" s="10"/>
      <c r="V36" s="10"/>
      <c r="W36" s="10"/>
      <c r="X36" s="10"/>
      <c r="Y36" s="10"/>
      <c r="Z36" s="10"/>
      <c r="AA36" s="10"/>
      <c r="AB36" s="10"/>
      <c r="AC36" s="10"/>
      <c r="AD36" s="10"/>
      <c r="AE36" t="s">
        <v>19</v>
      </c>
      <c r="AH36">
        <v>1</v>
      </c>
    </row>
    <row r="37" spans="1:34" ht="72.5">
      <c r="A37" t="s">
        <v>270</v>
      </c>
      <c r="B37" s="4" t="s">
        <v>1102</v>
      </c>
      <c r="C37" s="4" t="s">
        <v>1103</v>
      </c>
      <c r="G37" s="10" t="s">
        <v>24</v>
      </c>
      <c r="H37" s="10"/>
      <c r="I37" s="10">
        <v>1</v>
      </c>
      <c r="J37" s="10">
        <v>3</v>
      </c>
      <c r="K37" s="10" t="s">
        <v>2175</v>
      </c>
      <c r="L37" s="10" t="s">
        <v>2159</v>
      </c>
      <c r="M37" s="10"/>
      <c r="N37" s="11"/>
      <c r="O37" s="10"/>
      <c r="P37" s="10">
        <v>743</v>
      </c>
      <c r="Q37" s="10">
        <v>365.32599075621988</v>
      </c>
      <c r="R37" s="10"/>
      <c r="S37" s="10" t="s">
        <v>2387</v>
      </c>
      <c r="T37" s="10" t="s">
        <v>2387</v>
      </c>
      <c r="U37" s="10"/>
      <c r="V37" s="10"/>
      <c r="W37" s="10"/>
      <c r="X37" s="10"/>
      <c r="Y37" s="10"/>
      <c r="Z37" s="10"/>
      <c r="AA37" s="10"/>
      <c r="AB37" s="10"/>
      <c r="AC37" s="10"/>
      <c r="AD37" s="10"/>
      <c r="AE37" t="s">
        <v>19</v>
      </c>
      <c r="AH37">
        <v>1</v>
      </c>
    </row>
    <row r="38" spans="1:34" ht="101.5">
      <c r="A38" t="s">
        <v>271</v>
      </c>
      <c r="B38" s="4" t="s">
        <v>2260</v>
      </c>
      <c r="C38" s="4" t="s">
        <v>1106</v>
      </c>
      <c r="G38" s="10" t="s">
        <v>25</v>
      </c>
      <c r="H38" s="10"/>
      <c r="I38" s="10">
        <v>1</v>
      </c>
      <c r="J38" s="10">
        <v>3</v>
      </c>
      <c r="K38" s="10" t="s">
        <v>2168</v>
      </c>
      <c r="L38" s="10" t="s">
        <v>2159</v>
      </c>
      <c r="M38" s="10"/>
      <c r="N38" s="11"/>
      <c r="O38" s="10"/>
      <c r="P38" s="10">
        <v>60</v>
      </c>
      <c r="Q38" s="10">
        <v>29.501425902251942</v>
      </c>
      <c r="R38" s="10"/>
      <c r="S38" s="10" t="s">
        <v>2387</v>
      </c>
      <c r="T38" s="10" t="s">
        <v>2387</v>
      </c>
      <c r="U38" s="10"/>
      <c r="V38" s="10"/>
      <c r="W38" s="10"/>
      <c r="X38" s="10"/>
      <c r="Y38" s="10"/>
      <c r="Z38" s="10"/>
      <c r="AA38" s="10"/>
      <c r="AB38" s="10"/>
      <c r="AC38" s="10"/>
      <c r="AD38" s="10"/>
      <c r="AE38" t="s">
        <v>19</v>
      </c>
      <c r="AH38">
        <v>1</v>
      </c>
    </row>
    <row r="39" spans="1:34" ht="101.5">
      <c r="A39" t="s">
        <v>271</v>
      </c>
      <c r="B39" s="4" t="s">
        <v>1109</v>
      </c>
      <c r="C39" s="4" t="s">
        <v>1106</v>
      </c>
      <c r="G39" s="10" t="s">
        <v>25</v>
      </c>
      <c r="H39" s="10"/>
      <c r="I39" s="10">
        <v>1</v>
      </c>
      <c r="J39" s="10">
        <v>3</v>
      </c>
      <c r="K39" s="10" t="s">
        <v>2158</v>
      </c>
      <c r="L39" s="10" t="s">
        <v>2159</v>
      </c>
      <c r="M39" s="10"/>
      <c r="N39" s="11"/>
      <c r="O39" s="10"/>
      <c r="P39" s="10">
        <v>2475</v>
      </c>
      <c r="Q39" s="10">
        <v>1216.9338184678927</v>
      </c>
      <c r="R39" s="10"/>
      <c r="S39" s="10" t="s">
        <v>2387</v>
      </c>
      <c r="T39" s="10" t="s">
        <v>2387</v>
      </c>
      <c r="U39" s="10"/>
      <c r="V39" s="10"/>
      <c r="W39" s="10"/>
      <c r="X39" s="10"/>
      <c r="Y39" s="10"/>
      <c r="Z39" s="10"/>
      <c r="AA39" s="10"/>
      <c r="AB39" s="10"/>
      <c r="AC39" s="10"/>
      <c r="AD39" s="10"/>
      <c r="AE39" t="s">
        <v>19</v>
      </c>
      <c r="AH39">
        <v>1</v>
      </c>
    </row>
    <row r="40" spans="1:34" ht="29">
      <c r="A40" t="s">
        <v>271</v>
      </c>
      <c r="B40" s="4" t="s">
        <v>1112</v>
      </c>
      <c r="C40" s="4" t="s">
        <v>1111</v>
      </c>
      <c r="G40" s="10" t="s">
        <v>24</v>
      </c>
      <c r="H40" s="10"/>
      <c r="I40" s="10">
        <v>1</v>
      </c>
      <c r="J40" s="10">
        <v>3</v>
      </c>
      <c r="K40" s="10" t="s">
        <v>2158</v>
      </c>
      <c r="L40" s="10" t="s">
        <v>2159</v>
      </c>
      <c r="M40" s="10"/>
      <c r="N40" s="11"/>
      <c r="O40" s="10"/>
      <c r="P40" s="10">
        <v>2475</v>
      </c>
      <c r="Q40" s="10">
        <v>1216.9338184678927</v>
      </c>
      <c r="R40" s="10"/>
      <c r="S40" s="10" t="s">
        <v>2387</v>
      </c>
      <c r="T40" s="10" t="s">
        <v>2387</v>
      </c>
      <c r="U40" s="10"/>
      <c r="V40" s="10"/>
      <c r="W40" s="10"/>
      <c r="X40" s="10"/>
      <c r="Y40" s="10"/>
      <c r="Z40" s="10"/>
      <c r="AA40" s="10"/>
      <c r="AB40" s="10"/>
      <c r="AC40" s="10"/>
      <c r="AD40" s="10"/>
      <c r="AE40" t="s">
        <v>19</v>
      </c>
      <c r="AH40">
        <v>1</v>
      </c>
    </row>
    <row r="41" spans="1:34" ht="58">
      <c r="A41" t="s">
        <v>285</v>
      </c>
      <c r="B41" s="4" t="s">
        <v>1126</v>
      </c>
      <c r="C41" s="4" t="s">
        <v>1125</v>
      </c>
      <c r="G41" s="10" t="s">
        <v>24</v>
      </c>
      <c r="H41" s="10"/>
      <c r="I41" s="10">
        <v>1</v>
      </c>
      <c r="J41" s="10">
        <v>2</v>
      </c>
      <c r="K41" s="10" t="s">
        <v>2175</v>
      </c>
      <c r="L41" s="10" t="s">
        <v>2200</v>
      </c>
      <c r="M41" s="10"/>
      <c r="N41" s="11"/>
      <c r="O41" s="10" t="s">
        <v>2154</v>
      </c>
      <c r="P41" s="10">
        <v>99</v>
      </c>
      <c r="Q41" s="10">
        <v>48.677352738715705</v>
      </c>
      <c r="R41" s="10"/>
      <c r="S41" s="10" t="s">
        <v>2387</v>
      </c>
      <c r="T41" s="10" t="s">
        <v>2387</v>
      </c>
      <c r="U41" s="10"/>
      <c r="V41" s="10"/>
      <c r="W41" s="10"/>
      <c r="X41" s="10"/>
      <c r="Y41" s="10"/>
      <c r="Z41" s="10"/>
      <c r="AA41" s="10"/>
      <c r="AB41" s="10"/>
      <c r="AC41" s="10"/>
      <c r="AD41" s="10"/>
      <c r="AE41" t="s">
        <v>19</v>
      </c>
      <c r="AH41">
        <v>1</v>
      </c>
    </row>
    <row r="42" spans="1:34" ht="43.5">
      <c r="A42" t="s">
        <v>285</v>
      </c>
      <c r="B42" s="4" t="s">
        <v>1127</v>
      </c>
      <c r="C42" s="4" t="s">
        <v>1128</v>
      </c>
      <c r="F42" t="s">
        <v>19</v>
      </c>
      <c r="G42" s="10" t="s">
        <v>25</v>
      </c>
      <c r="H42" s="10"/>
      <c r="I42" s="10">
        <v>1</v>
      </c>
      <c r="J42" s="10">
        <v>2</v>
      </c>
      <c r="K42" s="10" t="s">
        <v>2168</v>
      </c>
      <c r="L42" s="10" t="s">
        <v>2200</v>
      </c>
      <c r="M42" s="10"/>
      <c r="N42" s="11"/>
      <c r="O42" s="10" t="s">
        <v>2154</v>
      </c>
      <c r="P42" s="10">
        <v>129</v>
      </c>
      <c r="Q42" s="10">
        <v>63.428065689841674</v>
      </c>
      <c r="R42" s="10"/>
      <c r="S42" s="10" t="s">
        <v>2387</v>
      </c>
      <c r="T42" s="10" t="s">
        <v>2387</v>
      </c>
      <c r="U42" s="10"/>
      <c r="V42" s="10"/>
      <c r="W42" s="10"/>
      <c r="X42" s="10"/>
      <c r="Y42" s="10"/>
      <c r="Z42" s="10"/>
      <c r="AA42" s="10"/>
      <c r="AB42" s="10"/>
      <c r="AC42" s="10"/>
      <c r="AD42" s="10"/>
      <c r="AE42" t="s">
        <v>19</v>
      </c>
      <c r="AH42">
        <v>1</v>
      </c>
    </row>
    <row r="43" spans="1:34" ht="87">
      <c r="A43" t="s">
        <v>300</v>
      </c>
      <c r="B43" s="4" t="s">
        <v>1141</v>
      </c>
      <c r="C43" s="4" t="s">
        <v>1140</v>
      </c>
      <c r="G43" s="10" t="s">
        <v>24</v>
      </c>
      <c r="H43" s="10"/>
      <c r="I43" s="10">
        <v>1</v>
      </c>
      <c r="J43" s="10">
        <v>3</v>
      </c>
      <c r="K43" s="10" t="s">
        <v>2168</v>
      </c>
      <c r="L43" s="10" t="s">
        <v>2159</v>
      </c>
      <c r="M43" s="10"/>
      <c r="N43" s="11"/>
      <c r="O43" s="10"/>
      <c r="P43" s="10">
        <v>1701</v>
      </c>
      <c r="Q43" s="10">
        <v>836.36542432884255</v>
      </c>
      <c r="R43" s="10"/>
      <c r="S43" s="10" t="s">
        <v>2387</v>
      </c>
      <c r="T43" s="10" t="s">
        <v>2387</v>
      </c>
      <c r="U43" s="10"/>
      <c r="V43" s="10"/>
      <c r="W43" s="10"/>
      <c r="X43" s="10"/>
      <c r="Y43" s="10"/>
      <c r="Z43" s="10"/>
      <c r="AA43" s="10"/>
      <c r="AB43" s="10"/>
      <c r="AC43" s="10"/>
      <c r="AD43" s="10"/>
      <c r="AE43" t="s">
        <v>19</v>
      </c>
      <c r="AH43">
        <v>1</v>
      </c>
    </row>
    <row r="44" spans="1:34" ht="29">
      <c r="A44" t="s">
        <v>300</v>
      </c>
      <c r="B44" s="4" t="s">
        <v>1143</v>
      </c>
      <c r="C44" s="4" t="s">
        <v>1142</v>
      </c>
      <c r="G44" s="10" t="s">
        <v>25</v>
      </c>
      <c r="H44" s="10"/>
      <c r="I44" s="10">
        <v>1</v>
      </c>
      <c r="J44" s="10">
        <v>3</v>
      </c>
      <c r="K44" s="10" t="s">
        <v>2158</v>
      </c>
      <c r="L44" s="10" t="s">
        <v>2159</v>
      </c>
      <c r="M44" s="10"/>
      <c r="N44" s="11"/>
      <c r="O44" s="10"/>
      <c r="P44" s="10">
        <v>2475</v>
      </c>
      <c r="Q44" s="10">
        <v>1216.9338184678927</v>
      </c>
      <c r="R44" s="10"/>
      <c r="S44" s="10" t="s">
        <v>2387</v>
      </c>
      <c r="T44" s="10" t="s">
        <v>2387</v>
      </c>
      <c r="U44" s="10"/>
      <c r="V44" s="10"/>
      <c r="W44" s="10"/>
      <c r="X44" s="10"/>
      <c r="Y44" s="10"/>
      <c r="Z44" s="10"/>
      <c r="AA44" s="10"/>
      <c r="AB44" s="10"/>
      <c r="AC44" s="10"/>
      <c r="AD44" s="10"/>
      <c r="AE44" t="s">
        <v>19</v>
      </c>
      <c r="AH44">
        <v>1</v>
      </c>
    </row>
    <row r="45" spans="1:34" ht="43.5">
      <c r="A45" t="s">
        <v>311</v>
      </c>
      <c r="B45" s="4" t="s">
        <v>1150</v>
      </c>
      <c r="C45" s="4" t="s">
        <v>1149</v>
      </c>
      <c r="G45" s="10" t="s">
        <v>25</v>
      </c>
      <c r="H45" s="10"/>
      <c r="I45" s="10">
        <v>1</v>
      </c>
      <c r="J45" s="10">
        <v>3</v>
      </c>
      <c r="K45" s="10" t="s">
        <v>2158</v>
      </c>
      <c r="L45" s="10" t="s">
        <v>2159</v>
      </c>
      <c r="M45" s="10"/>
      <c r="N45" s="11"/>
      <c r="O45" s="10"/>
      <c r="P45" s="10">
        <v>2475</v>
      </c>
      <c r="Q45" s="10">
        <v>1216.9338184678927</v>
      </c>
      <c r="R45" s="10"/>
      <c r="S45" s="10" t="s">
        <v>2387</v>
      </c>
      <c r="T45" s="10" t="s">
        <v>2387</v>
      </c>
      <c r="U45" s="10"/>
      <c r="V45" s="10"/>
      <c r="W45" s="10"/>
      <c r="X45" s="10"/>
      <c r="Y45" s="10"/>
      <c r="Z45" s="10"/>
      <c r="AA45" s="10"/>
      <c r="AB45" s="10"/>
      <c r="AC45" s="10"/>
      <c r="AD45" s="10"/>
      <c r="AE45" t="s">
        <v>19</v>
      </c>
      <c r="AH45">
        <v>1</v>
      </c>
    </row>
    <row r="46" spans="1:34" ht="58">
      <c r="A46" t="s">
        <v>327</v>
      </c>
      <c r="B46" s="4" t="s">
        <v>1163</v>
      </c>
      <c r="C46" s="4" t="s">
        <v>1162</v>
      </c>
      <c r="G46" s="10" t="s">
        <v>24</v>
      </c>
      <c r="H46" s="10"/>
      <c r="I46" s="10">
        <v>1</v>
      </c>
      <c r="J46" s="10">
        <v>3</v>
      </c>
      <c r="K46" s="10" t="s">
        <v>2158</v>
      </c>
      <c r="L46" s="10" t="s">
        <v>2159</v>
      </c>
      <c r="M46" s="10"/>
      <c r="N46" s="11"/>
      <c r="O46" s="10"/>
      <c r="P46" s="10">
        <v>2475</v>
      </c>
      <c r="Q46" s="10">
        <v>1216.9338184678927</v>
      </c>
      <c r="R46" s="10"/>
      <c r="S46" s="10" t="s">
        <v>2387</v>
      </c>
      <c r="T46" s="10" t="s">
        <v>2387</v>
      </c>
      <c r="U46" s="10"/>
      <c r="V46" s="10"/>
      <c r="W46" s="10"/>
      <c r="X46" s="10"/>
      <c r="Y46" s="10"/>
      <c r="Z46" s="10"/>
      <c r="AA46" s="10"/>
      <c r="AB46" s="10"/>
      <c r="AC46" s="10"/>
      <c r="AD46" s="10"/>
      <c r="AE46" t="s">
        <v>19</v>
      </c>
      <c r="AH46">
        <v>1</v>
      </c>
    </row>
    <row r="47" spans="1:34" ht="43.5">
      <c r="A47" t="s">
        <v>332</v>
      </c>
      <c r="B47" s="4" t="s">
        <v>1173</v>
      </c>
      <c r="C47" s="4" t="s">
        <v>1172</v>
      </c>
      <c r="G47" s="10" t="s">
        <v>25</v>
      </c>
      <c r="H47" s="10"/>
      <c r="I47" s="10">
        <v>1</v>
      </c>
      <c r="J47" s="10">
        <v>3</v>
      </c>
      <c r="K47" s="10" t="s">
        <v>2168</v>
      </c>
      <c r="L47" s="10" t="s">
        <v>2159</v>
      </c>
      <c r="M47" s="10"/>
      <c r="N47" s="11"/>
      <c r="O47" s="10"/>
      <c r="P47" s="10">
        <v>1701</v>
      </c>
      <c r="Q47" s="10">
        <v>836.36542432884255</v>
      </c>
      <c r="R47" s="10"/>
      <c r="S47" s="10" t="s">
        <v>2387</v>
      </c>
      <c r="T47" s="10" t="s">
        <v>2387</v>
      </c>
      <c r="U47" s="10"/>
      <c r="V47" s="10"/>
      <c r="W47" s="10"/>
      <c r="X47" s="10"/>
      <c r="Y47" s="10"/>
      <c r="Z47" s="10"/>
      <c r="AA47" s="10"/>
      <c r="AB47" s="10"/>
      <c r="AC47" s="10"/>
      <c r="AD47" s="10"/>
      <c r="AE47" t="s">
        <v>19</v>
      </c>
      <c r="AH47">
        <v>1</v>
      </c>
    </row>
    <row r="48" spans="1:34" ht="58">
      <c r="A48" t="s">
        <v>333</v>
      </c>
      <c r="B48" s="4" t="s">
        <v>1175</v>
      </c>
      <c r="C48" s="4" t="s">
        <v>1174</v>
      </c>
      <c r="G48" s="10" t="s">
        <v>24</v>
      </c>
      <c r="H48" s="10"/>
      <c r="I48" s="10">
        <v>1</v>
      </c>
      <c r="J48" s="10">
        <v>3</v>
      </c>
      <c r="K48" s="10" t="s">
        <v>2168</v>
      </c>
      <c r="L48" s="10" t="s">
        <v>2159</v>
      </c>
      <c r="M48" s="10"/>
      <c r="N48" s="11"/>
      <c r="O48" s="10"/>
      <c r="P48" s="10">
        <v>1701</v>
      </c>
      <c r="Q48" s="10">
        <v>836.36542432884255</v>
      </c>
      <c r="R48" s="10"/>
      <c r="S48" s="10" t="s">
        <v>2387</v>
      </c>
      <c r="T48" s="10" t="s">
        <v>2387</v>
      </c>
      <c r="U48" s="10"/>
      <c r="V48" s="10"/>
      <c r="W48" s="10"/>
      <c r="X48" s="10"/>
      <c r="Y48" s="10"/>
      <c r="Z48" s="10"/>
      <c r="AA48" s="10"/>
      <c r="AB48" s="10"/>
      <c r="AC48" s="10"/>
      <c r="AD48" s="10"/>
      <c r="AE48" t="s">
        <v>19</v>
      </c>
      <c r="AH48">
        <v>1</v>
      </c>
    </row>
    <row r="49" spans="1:34" ht="29">
      <c r="A49" t="s">
        <v>334</v>
      </c>
      <c r="B49" s="4" t="s">
        <v>1177</v>
      </c>
      <c r="C49" s="4" t="s">
        <v>1176</v>
      </c>
      <c r="G49" s="10" t="s">
        <v>24</v>
      </c>
      <c r="H49" s="10"/>
      <c r="I49" s="10">
        <v>1</v>
      </c>
      <c r="J49" s="10">
        <v>2</v>
      </c>
      <c r="K49" s="10" t="s">
        <v>2168</v>
      </c>
      <c r="L49" s="10" t="s">
        <v>2200</v>
      </c>
      <c r="M49" s="10"/>
      <c r="N49" s="11"/>
      <c r="O49" s="10"/>
      <c r="P49" s="10">
        <v>171</v>
      </c>
      <c r="Q49" s="10">
        <v>84.079063821418046</v>
      </c>
      <c r="R49" s="10"/>
      <c r="S49" s="10" t="s">
        <v>2387</v>
      </c>
      <c r="T49" s="10" t="s">
        <v>2387</v>
      </c>
      <c r="U49" s="10"/>
      <c r="V49" s="10"/>
      <c r="W49" s="10"/>
      <c r="X49" s="10"/>
      <c r="Y49" s="10"/>
      <c r="Z49" s="10"/>
      <c r="AA49" s="10"/>
      <c r="AB49" s="10"/>
      <c r="AC49" s="10"/>
      <c r="AD49" s="10"/>
      <c r="AE49" t="s">
        <v>19</v>
      </c>
      <c r="AH49">
        <v>1</v>
      </c>
    </row>
    <row r="50" spans="1:34" ht="58">
      <c r="A50" t="s">
        <v>334</v>
      </c>
      <c r="B50" s="4" t="s">
        <v>1179</v>
      </c>
      <c r="C50" s="4" t="s">
        <v>1178</v>
      </c>
      <c r="G50" s="10" t="s">
        <v>25</v>
      </c>
      <c r="H50" s="10"/>
      <c r="I50" s="10">
        <v>1</v>
      </c>
      <c r="J50" s="10">
        <v>1</v>
      </c>
      <c r="K50" s="10" t="s">
        <v>2158</v>
      </c>
      <c r="L50" s="10" t="s">
        <v>2200</v>
      </c>
      <c r="M50" s="10"/>
      <c r="N50" s="11"/>
      <c r="O50" s="10"/>
      <c r="P50" s="10">
        <v>2475</v>
      </c>
      <c r="Q50" s="10">
        <v>1216.9338184678927</v>
      </c>
      <c r="R50" s="10"/>
      <c r="S50" s="10" t="s">
        <v>2387</v>
      </c>
      <c r="T50" s="10" t="s">
        <v>2387</v>
      </c>
      <c r="U50" s="10"/>
      <c r="V50" s="10"/>
      <c r="W50" s="10"/>
      <c r="X50" s="10"/>
      <c r="Y50" s="10"/>
      <c r="Z50" s="10"/>
      <c r="AA50" s="10"/>
      <c r="AB50" s="10"/>
      <c r="AC50" s="10"/>
      <c r="AD50" s="10"/>
      <c r="AE50" t="s">
        <v>19</v>
      </c>
      <c r="AH50">
        <v>1</v>
      </c>
    </row>
    <row r="51" spans="1:34" ht="29">
      <c r="A51" t="s">
        <v>335</v>
      </c>
      <c r="B51" s="4" t="s">
        <v>1181</v>
      </c>
      <c r="C51" s="4" t="s">
        <v>1180</v>
      </c>
      <c r="G51" s="10" t="s">
        <v>25</v>
      </c>
      <c r="H51" s="10"/>
      <c r="I51" s="10">
        <v>1</v>
      </c>
      <c r="J51" s="10">
        <v>2</v>
      </c>
      <c r="K51" s="10" t="s">
        <v>2177</v>
      </c>
      <c r="L51" s="10" t="s">
        <v>2200</v>
      </c>
      <c r="M51" s="10"/>
      <c r="N51" s="11"/>
      <c r="O51" s="10"/>
      <c r="P51" s="10">
        <v>613</v>
      </c>
      <c r="Q51" s="10">
        <v>301.40623463467404</v>
      </c>
      <c r="R51" s="10"/>
      <c r="S51" s="10" t="s">
        <v>2387</v>
      </c>
      <c r="T51" s="10" t="s">
        <v>2387</v>
      </c>
      <c r="U51" s="10"/>
      <c r="V51" s="10"/>
      <c r="W51" s="10"/>
      <c r="X51" s="10"/>
      <c r="Y51" s="10"/>
      <c r="Z51" s="10"/>
      <c r="AA51" s="10"/>
      <c r="AB51" s="10"/>
      <c r="AC51" s="10"/>
      <c r="AD51" s="10"/>
      <c r="AE51" t="s">
        <v>19</v>
      </c>
      <c r="AH51">
        <v>1</v>
      </c>
    </row>
    <row r="52" spans="1:34" ht="29">
      <c r="A52" t="s">
        <v>342</v>
      </c>
      <c r="B52" s="4" t="s">
        <v>1191</v>
      </c>
      <c r="C52" s="4" t="s">
        <v>1190</v>
      </c>
      <c r="G52" s="10" t="s">
        <v>25</v>
      </c>
      <c r="H52" s="10"/>
      <c r="I52" s="10">
        <v>1</v>
      </c>
      <c r="J52" s="10">
        <v>2</v>
      </c>
      <c r="K52" s="10" t="s">
        <v>2158</v>
      </c>
      <c r="L52" s="10" t="s">
        <v>2200</v>
      </c>
      <c r="M52" s="10"/>
      <c r="N52" s="11"/>
      <c r="O52" s="10"/>
      <c r="P52" s="10">
        <v>2475</v>
      </c>
      <c r="Q52" s="10">
        <v>1216.9338184678927</v>
      </c>
      <c r="R52" s="10"/>
      <c r="S52" s="10" t="s">
        <v>2387</v>
      </c>
      <c r="T52" s="10" t="s">
        <v>2387</v>
      </c>
      <c r="U52" s="10"/>
      <c r="V52" s="10"/>
      <c r="W52" s="10"/>
      <c r="X52" s="10"/>
      <c r="Y52" s="10"/>
      <c r="Z52" s="10"/>
      <c r="AA52" s="10"/>
      <c r="AB52" s="10"/>
      <c r="AC52" s="10"/>
      <c r="AD52" s="10"/>
      <c r="AE52" t="s">
        <v>19</v>
      </c>
      <c r="AH52">
        <v>1</v>
      </c>
    </row>
    <row r="53" spans="1:34" ht="58">
      <c r="A53" t="s">
        <v>342</v>
      </c>
      <c r="B53" s="4" t="s">
        <v>1193</v>
      </c>
      <c r="C53" s="4" t="s">
        <v>1192</v>
      </c>
      <c r="G53" s="10" t="s">
        <v>25</v>
      </c>
      <c r="H53" s="10"/>
      <c r="I53" s="10">
        <v>1</v>
      </c>
      <c r="J53" s="10">
        <v>3</v>
      </c>
      <c r="K53" s="10" t="s">
        <v>2168</v>
      </c>
      <c r="L53" s="10" t="s">
        <v>2159</v>
      </c>
      <c r="M53" s="10"/>
      <c r="N53" s="11"/>
      <c r="O53" s="10"/>
      <c r="P53" s="10">
        <v>1701</v>
      </c>
      <c r="Q53" s="10">
        <v>836.36542432884255</v>
      </c>
      <c r="R53" s="10"/>
      <c r="S53" s="10" t="s">
        <v>2387</v>
      </c>
      <c r="T53" s="10" t="s">
        <v>2387</v>
      </c>
      <c r="U53" s="10"/>
      <c r="V53" s="10"/>
      <c r="W53" s="10"/>
      <c r="X53" s="10"/>
      <c r="Y53" s="10"/>
      <c r="Z53" s="10"/>
      <c r="AA53" s="10"/>
      <c r="AB53" s="10"/>
      <c r="AC53" s="10"/>
      <c r="AD53" s="10"/>
      <c r="AE53" t="s">
        <v>19</v>
      </c>
      <c r="AH53">
        <v>1</v>
      </c>
    </row>
    <row r="54" spans="1:34" ht="72.5">
      <c r="A54" t="s">
        <v>344</v>
      </c>
      <c r="B54" s="4" t="s">
        <v>1203</v>
      </c>
      <c r="C54" s="4" t="s">
        <v>1202</v>
      </c>
      <c r="G54" s="10" t="s">
        <v>24</v>
      </c>
      <c r="H54" s="10"/>
      <c r="I54" s="10">
        <v>1</v>
      </c>
      <c r="J54" s="10">
        <v>3</v>
      </c>
      <c r="K54" s="10" t="s">
        <v>2168</v>
      </c>
      <c r="L54" s="10" t="s">
        <v>2159</v>
      </c>
      <c r="M54" s="10"/>
      <c r="N54" s="11"/>
      <c r="O54" s="10"/>
      <c r="P54" s="10">
        <v>1701</v>
      </c>
      <c r="Q54" s="10">
        <v>836.36542432884255</v>
      </c>
      <c r="R54" s="10"/>
      <c r="S54" s="10" t="s">
        <v>2387</v>
      </c>
      <c r="T54" s="10" t="s">
        <v>2387</v>
      </c>
      <c r="U54" s="10"/>
      <c r="V54" s="10"/>
      <c r="W54" s="10"/>
      <c r="X54" s="10"/>
      <c r="Y54" s="10"/>
      <c r="Z54" s="10"/>
      <c r="AA54" s="10"/>
      <c r="AB54" s="10"/>
      <c r="AC54" s="10"/>
      <c r="AD54" s="10"/>
      <c r="AE54" t="s">
        <v>19</v>
      </c>
      <c r="AH54">
        <v>1</v>
      </c>
    </row>
    <row r="55" spans="1:34" ht="29">
      <c r="A55" t="s">
        <v>350</v>
      </c>
      <c r="B55" s="4" t="s">
        <v>1208</v>
      </c>
      <c r="C55" s="4" t="s">
        <v>1207</v>
      </c>
      <c r="G55" s="10" t="s">
        <v>25</v>
      </c>
      <c r="H55" s="10"/>
      <c r="I55" s="10">
        <v>1</v>
      </c>
      <c r="J55" s="10">
        <v>3</v>
      </c>
      <c r="K55" s="10" t="s">
        <v>2158</v>
      </c>
      <c r="L55" s="10" t="s">
        <v>2159</v>
      </c>
      <c r="M55" s="10"/>
      <c r="N55" s="11"/>
      <c r="O55" s="10"/>
      <c r="P55" s="10">
        <v>2475</v>
      </c>
      <c r="Q55" s="10">
        <v>1216.9338184678927</v>
      </c>
      <c r="R55" s="10"/>
      <c r="S55" s="10" t="s">
        <v>2387</v>
      </c>
      <c r="T55" s="10" t="s">
        <v>2387</v>
      </c>
      <c r="U55" s="10"/>
      <c r="V55" s="10"/>
      <c r="W55" s="10"/>
      <c r="X55" s="10"/>
      <c r="Y55" s="10"/>
      <c r="Z55" s="10"/>
      <c r="AA55" s="10"/>
      <c r="AB55" s="10"/>
      <c r="AC55" s="10"/>
      <c r="AD55" s="10"/>
      <c r="AE55" t="s">
        <v>19</v>
      </c>
      <c r="AH55">
        <v>1</v>
      </c>
    </row>
    <row r="56" spans="1:34" ht="43.5">
      <c r="A56" t="s">
        <v>356</v>
      </c>
      <c r="B56" s="4" t="s">
        <v>1212</v>
      </c>
      <c r="C56" s="4" t="s">
        <v>1211</v>
      </c>
      <c r="G56" s="10" t="s">
        <v>24</v>
      </c>
      <c r="H56" s="10"/>
      <c r="I56" s="10">
        <v>1</v>
      </c>
      <c r="J56" s="10">
        <v>3</v>
      </c>
      <c r="K56" s="10" t="s">
        <v>2175</v>
      </c>
      <c r="L56" s="10" t="s">
        <v>2159</v>
      </c>
      <c r="M56" s="10"/>
      <c r="N56" s="11"/>
      <c r="O56" s="10"/>
      <c r="P56" s="10">
        <v>743</v>
      </c>
      <c r="Q56" s="10">
        <v>365.32599075621988</v>
      </c>
      <c r="R56" s="10"/>
      <c r="S56" s="10" t="s">
        <v>2387</v>
      </c>
      <c r="T56" s="10" t="s">
        <v>2387</v>
      </c>
      <c r="U56" s="10"/>
      <c r="V56" s="10"/>
      <c r="W56" s="10"/>
      <c r="X56" s="10"/>
      <c r="Y56" s="10"/>
      <c r="Z56" s="10"/>
      <c r="AA56" s="10"/>
      <c r="AB56" s="10"/>
      <c r="AC56" s="10"/>
      <c r="AD56" s="10"/>
      <c r="AE56" t="s">
        <v>19</v>
      </c>
      <c r="AH56">
        <v>1</v>
      </c>
    </row>
    <row r="57" spans="1:34" ht="29">
      <c r="A57" t="s">
        <v>356</v>
      </c>
      <c r="B57" s="4" t="s">
        <v>1213</v>
      </c>
      <c r="C57" s="4" t="s">
        <v>1214</v>
      </c>
      <c r="G57" s="10" t="s">
        <v>25</v>
      </c>
      <c r="H57" s="10"/>
      <c r="I57" s="10">
        <v>1</v>
      </c>
      <c r="J57" s="10">
        <v>1</v>
      </c>
      <c r="K57" s="10" t="s">
        <v>2158</v>
      </c>
      <c r="L57" s="10" t="s">
        <v>2200</v>
      </c>
      <c r="M57" s="10"/>
      <c r="N57" s="11"/>
      <c r="O57" s="10"/>
      <c r="P57" s="10">
        <v>2475</v>
      </c>
      <c r="Q57" s="10">
        <v>1216.9338184678927</v>
      </c>
      <c r="R57" s="10"/>
      <c r="S57" s="10" t="s">
        <v>2387</v>
      </c>
      <c r="T57" s="10" t="s">
        <v>2387</v>
      </c>
      <c r="U57" s="10"/>
      <c r="V57" s="10"/>
      <c r="W57" s="10"/>
      <c r="X57" s="10"/>
      <c r="Y57" s="10"/>
      <c r="Z57" s="10"/>
      <c r="AA57" s="10"/>
      <c r="AB57" s="10"/>
      <c r="AC57" s="10"/>
      <c r="AD57" s="10"/>
      <c r="AE57" t="s">
        <v>19</v>
      </c>
      <c r="AH57">
        <v>1</v>
      </c>
    </row>
    <row r="58" spans="1:34" ht="43.5">
      <c r="A58" t="s">
        <v>356</v>
      </c>
      <c r="B58" s="4" t="s">
        <v>1217</v>
      </c>
      <c r="C58" s="4" t="s">
        <v>1218</v>
      </c>
      <c r="G58" s="10" t="s">
        <v>25</v>
      </c>
      <c r="H58" s="10"/>
      <c r="I58" s="10">
        <v>1</v>
      </c>
      <c r="J58" s="10">
        <v>2</v>
      </c>
      <c r="K58" s="10" t="s">
        <v>2158</v>
      </c>
      <c r="L58" s="10" t="s">
        <v>2200</v>
      </c>
      <c r="M58" s="10"/>
      <c r="N58" s="11"/>
      <c r="O58" s="10"/>
      <c r="P58" s="10">
        <v>2475</v>
      </c>
      <c r="Q58" s="10">
        <v>1216.9338184678927</v>
      </c>
      <c r="R58" s="10"/>
      <c r="S58" s="10" t="s">
        <v>2387</v>
      </c>
      <c r="T58" s="10" t="s">
        <v>2387</v>
      </c>
      <c r="U58" s="10"/>
      <c r="V58" s="10"/>
      <c r="W58" s="10"/>
      <c r="X58" s="10"/>
      <c r="Y58" s="10"/>
      <c r="Z58" s="10"/>
      <c r="AA58" s="10"/>
      <c r="AB58" s="10"/>
      <c r="AC58" s="10"/>
      <c r="AD58" s="10"/>
      <c r="AE58" t="s">
        <v>19</v>
      </c>
      <c r="AH58">
        <v>1</v>
      </c>
    </row>
    <row r="59" spans="1:34" ht="43.5">
      <c r="A59" t="s">
        <v>357</v>
      </c>
      <c r="B59" s="4" t="s">
        <v>1224</v>
      </c>
      <c r="C59" s="4" t="s">
        <v>1223</v>
      </c>
      <c r="G59" s="10" t="s">
        <v>25</v>
      </c>
      <c r="H59" s="10"/>
      <c r="I59" s="10">
        <v>1</v>
      </c>
      <c r="J59" s="10">
        <v>3</v>
      </c>
      <c r="K59" s="10" t="s">
        <v>2175</v>
      </c>
      <c r="L59" s="10" t="s">
        <v>2159</v>
      </c>
      <c r="M59" s="10"/>
      <c r="N59" s="11"/>
      <c r="O59" s="10"/>
      <c r="P59" s="10">
        <v>743</v>
      </c>
      <c r="Q59" s="10">
        <v>365.32599075621988</v>
      </c>
      <c r="R59" s="10"/>
      <c r="S59" s="10" t="s">
        <v>2387</v>
      </c>
      <c r="T59" s="10" t="s">
        <v>2387</v>
      </c>
      <c r="U59" s="10"/>
      <c r="V59" s="10"/>
      <c r="W59" s="10"/>
      <c r="X59" s="10"/>
      <c r="Y59" s="10"/>
      <c r="Z59" s="10"/>
      <c r="AA59" s="10"/>
      <c r="AB59" s="10"/>
      <c r="AC59" s="10"/>
      <c r="AD59" s="10"/>
      <c r="AE59" t="s">
        <v>19</v>
      </c>
      <c r="AH59">
        <v>1</v>
      </c>
    </row>
    <row r="60" spans="1:34" ht="29">
      <c r="A60" t="s">
        <v>358</v>
      </c>
      <c r="B60" s="4" t="s">
        <v>1226</v>
      </c>
      <c r="C60" s="4" t="s">
        <v>1225</v>
      </c>
      <c r="G60" s="10" t="s">
        <v>25</v>
      </c>
      <c r="H60" s="10"/>
      <c r="I60" s="10">
        <v>1</v>
      </c>
      <c r="J60" s="10">
        <v>3</v>
      </c>
      <c r="K60" s="10" t="s">
        <v>2175</v>
      </c>
      <c r="L60" s="10" t="s">
        <v>2159</v>
      </c>
      <c r="M60" s="10"/>
      <c r="N60" s="11"/>
      <c r="O60" s="10"/>
      <c r="P60" s="10">
        <v>743</v>
      </c>
      <c r="Q60" s="10">
        <v>365.32599075621988</v>
      </c>
      <c r="R60" s="10"/>
      <c r="S60" s="10" t="s">
        <v>2387</v>
      </c>
      <c r="T60" s="10" t="s">
        <v>2387</v>
      </c>
      <c r="U60" s="10"/>
      <c r="V60" s="10"/>
      <c r="W60" s="10"/>
      <c r="X60" s="10"/>
      <c r="Y60" s="10"/>
      <c r="Z60" s="10"/>
      <c r="AA60" s="10"/>
      <c r="AB60" s="10"/>
      <c r="AC60" s="10"/>
      <c r="AD60" s="10"/>
      <c r="AE60" t="s">
        <v>19</v>
      </c>
      <c r="AH60">
        <v>1</v>
      </c>
    </row>
    <row r="61" spans="1:34" ht="43.5">
      <c r="A61" t="s">
        <v>362</v>
      </c>
      <c r="B61" s="4" t="s">
        <v>1228</v>
      </c>
      <c r="C61" s="4" t="s">
        <v>2266</v>
      </c>
      <c r="G61" s="10" t="s">
        <v>24</v>
      </c>
      <c r="H61" s="10"/>
      <c r="I61" s="10">
        <v>1</v>
      </c>
      <c r="J61" s="10">
        <v>2</v>
      </c>
      <c r="K61" s="10" t="s">
        <v>2158</v>
      </c>
      <c r="L61" s="10" t="s">
        <v>2200</v>
      </c>
      <c r="M61" s="10"/>
      <c r="N61" s="11"/>
      <c r="O61" s="10"/>
      <c r="P61" s="10">
        <v>2475</v>
      </c>
      <c r="Q61" s="10">
        <v>1216.9338184678927</v>
      </c>
      <c r="R61" s="10"/>
      <c r="S61" s="10" t="s">
        <v>2387</v>
      </c>
      <c r="T61" s="10" t="s">
        <v>2387</v>
      </c>
      <c r="U61" s="10"/>
      <c r="V61" s="10"/>
      <c r="W61" s="10"/>
      <c r="X61" s="10"/>
      <c r="Y61" s="10"/>
      <c r="Z61" s="10"/>
      <c r="AA61" s="10"/>
      <c r="AB61" s="10"/>
      <c r="AC61" s="10"/>
      <c r="AD61" s="10"/>
      <c r="AE61" t="s">
        <v>19</v>
      </c>
      <c r="AH61">
        <v>1</v>
      </c>
    </row>
    <row r="62" spans="1:34" ht="43.5">
      <c r="A62" t="s">
        <v>364</v>
      </c>
      <c r="B62" s="4" t="s">
        <v>1233</v>
      </c>
      <c r="C62" s="4" t="s">
        <v>1234</v>
      </c>
      <c r="F62" t="s">
        <v>19</v>
      </c>
      <c r="G62" s="10" t="s">
        <v>24</v>
      </c>
      <c r="H62" s="10"/>
      <c r="I62" s="10">
        <v>1</v>
      </c>
      <c r="J62" s="10">
        <v>5</v>
      </c>
      <c r="K62" s="10" t="s">
        <v>2175</v>
      </c>
      <c r="L62" s="10" t="s">
        <v>2159</v>
      </c>
      <c r="M62" s="10"/>
      <c r="N62" s="11"/>
      <c r="O62" s="10"/>
      <c r="P62" s="10">
        <v>830</v>
      </c>
      <c r="Q62" s="10">
        <v>408.10305831448517</v>
      </c>
      <c r="R62" s="10"/>
      <c r="S62" s="10" t="s">
        <v>2387</v>
      </c>
      <c r="T62" s="10" t="s">
        <v>2387</v>
      </c>
      <c r="U62" s="10"/>
      <c r="V62" s="10"/>
      <c r="W62" s="10"/>
      <c r="X62" s="10"/>
      <c r="Y62" s="10"/>
      <c r="Z62" s="10"/>
      <c r="AA62" s="10"/>
      <c r="AB62" s="10"/>
      <c r="AC62" s="10"/>
      <c r="AD62" s="10"/>
      <c r="AE62" t="s">
        <v>20</v>
      </c>
      <c r="AH62">
        <v>0</v>
      </c>
    </row>
    <row r="63" spans="1:34" ht="29">
      <c r="A63" t="s">
        <v>365</v>
      </c>
      <c r="B63" s="4" t="s">
        <v>1238</v>
      </c>
      <c r="C63" s="4" t="s">
        <v>1237</v>
      </c>
      <c r="G63" s="10" t="s">
        <v>24</v>
      </c>
      <c r="H63" s="10"/>
      <c r="I63" s="10">
        <v>1</v>
      </c>
      <c r="J63" s="10">
        <v>3</v>
      </c>
      <c r="K63" s="10" t="s">
        <v>2158</v>
      </c>
      <c r="L63" s="10" t="s">
        <v>2159</v>
      </c>
      <c r="M63" s="10"/>
      <c r="N63" s="11"/>
      <c r="O63" s="10"/>
      <c r="P63" s="10">
        <v>2475</v>
      </c>
      <c r="Q63" s="10">
        <v>1216.9338184678927</v>
      </c>
      <c r="R63" s="10"/>
      <c r="S63" s="10" t="s">
        <v>2387</v>
      </c>
      <c r="T63" s="10" t="s">
        <v>2387</v>
      </c>
      <c r="U63" s="10"/>
      <c r="V63" s="10"/>
      <c r="W63" s="10"/>
      <c r="X63" s="10"/>
      <c r="Y63" s="10"/>
      <c r="Z63" s="10"/>
      <c r="AA63" s="10"/>
      <c r="AB63" s="10"/>
      <c r="AC63" s="10"/>
      <c r="AD63" s="10"/>
      <c r="AE63" t="s">
        <v>19</v>
      </c>
      <c r="AH63">
        <v>1</v>
      </c>
    </row>
    <row r="64" spans="1:34" ht="87">
      <c r="A64" t="s">
        <v>374</v>
      </c>
      <c r="B64" s="4" t="s">
        <v>1248</v>
      </c>
      <c r="C64" s="4" t="s">
        <v>1245</v>
      </c>
      <c r="G64" s="10" t="s">
        <v>25</v>
      </c>
      <c r="H64" s="10"/>
      <c r="I64" s="10">
        <v>1</v>
      </c>
      <c r="J64" s="10">
        <v>2</v>
      </c>
      <c r="K64" s="10" t="s">
        <v>2158</v>
      </c>
      <c r="L64" s="10" t="s">
        <v>2200</v>
      </c>
      <c r="M64" s="10"/>
      <c r="N64" s="11"/>
      <c r="O64" s="10"/>
      <c r="P64" s="10">
        <v>2475</v>
      </c>
      <c r="Q64" s="10">
        <v>1216.9338184678927</v>
      </c>
      <c r="R64" s="10"/>
      <c r="S64" s="10" t="s">
        <v>2387</v>
      </c>
      <c r="T64" s="10" t="s">
        <v>2387</v>
      </c>
      <c r="U64" s="10"/>
      <c r="V64" s="10"/>
      <c r="W64" s="10"/>
      <c r="X64" s="10"/>
      <c r="Y64" s="10"/>
      <c r="Z64" s="10"/>
      <c r="AA64" s="10"/>
      <c r="AB64" s="10"/>
      <c r="AC64" s="10"/>
      <c r="AD64" s="10"/>
      <c r="AE64" t="s">
        <v>19</v>
      </c>
      <c r="AH64">
        <v>1</v>
      </c>
    </row>
    <row r="65" spans="1:34" ht="101.5">
      <c r="A65" t="s">
        <v>374</v>
      </c>
      <c r="B65" s="4" t="s">
        <v>1249</v>
      </c>
      <c r="C65" s="4" t="s">
        <v>1245</v>
      </c>
      <c r="G65" s="10" t="s">
        <v>25</v>
      </c>
      <c r="H65" s="10"/>
      <c r="I65" s="10">
        <v>1</v>
      </c>
      <c r="J65" s="10">
        <v>2</v>
      </c>
      <c r="K65" s="10" t="s">
        <v>2158</v>
      </c>
      <c r="L65" s="10" t="s">
        <v>2200</v>
      </c>
      <c r="M65" s="10"/>
      <c r="N65" s="11"/>
      <c r="O65" s="10"/>
      <c r="P65" s="10">
        <v>2475</v>
      </c>
      <c r="Q65" s="10">
        <v>1216.9338184678927</v>
      </c>
      <c r="R65" s="10"/>
      <c r="S65" s="10" t="s">
        <v>2387</v>
      </c>
      <c r="T65" s="10" t="s">
        <v>2387</v>
      </c>
      <c r="U65" s="10"/>
      <c r="V65" s="10"/>
      <c r="W65" s="10"/>
      <c r="X65" s="10"/>
      <c r="Y65" s="10"/>
      <c r="Z65" s="10"/>
      <c r="AA65" s="10"/>
      <c r="AB65" s="10"/>
      <c r="AC65" s="10"/>
      <c r="AD65" s="10"/>
      <c r="AE65" t="s">
        <v>19</v>
      </c>
      <c r="AH65">
        <v>1</v>
      </c>
    </row>
    <row r="66" spans="1:34" ht="29">
      <c r="A66" t="s">
        <v>378</v>
      </c>
      <c r="B66" s="4" t="s">
        <v>1250</v>
      </c>
      <c r="C66" s="4" t="s">
        <v>1251</v>
      </c>
      <c r="G66" s="10" t="s">
        <v>24</v>
      </c>
      <c r="H66" s="10"/>
      <c r="I66" s="10">
        <v>1</v>
      </c>
      <c r="J66" s="10">
        <v>2</v>
      </c>
      <c r="K66" s="10" t="s">
        <v>2177</v>
      </c>
      <c r="L66" s="10" t="s">
        <v>2200</v>
      </c>
      <c r="M66" s="10"/>
      <c r="N66" s="11"/>
      <c r="O66" s="10"/>
      <c r="P66" s="10">
        <v>613</v>
      </c>
      <c r="Q66" s="10">
        <v>301.40623463467404</v>
      </c>
      <c r="R66" s="10"/>
      <c r="S66" s="10" t="s">
        <v>2387</v>
      </c>
      <c r="T66" s="10" t="s">
        <v>2387</v>
      </c>
      <c r="U66" s="10"/>
      <c r="V66" s="10"/>
      <c r="W66" s="10"/>
      <c r="X66" s="10"/>
      <c r="Y66" s="10"/>
      <c r="Z66" s="10"/>
      <c r="AA66" s="10"/>
      <c r="AB66" s="10"/>
      <c r="AC66" s="10"/>
      <c r="AD66" s="10"/>
      <c r="AE66" t="s">
        <v>19</v>
      </c>
      <c r="AH66">
        <v>1</v>
      </c>
    </row>
    <row r="67" spans="1:34" ht="43.5">
      <c r="A67" t="s">
        <v>378</v>
      </c>
      <c r="B67" s="4" t="s">
        <v>1252</v>
      </c>
      <c r="C67" s="4" t="s">
        <v>1253</v>
      </c>
      <c r="G67" s="10" t="s">
        <v>25</v>
      </c>
      <c r="H67" s="10"/>
      <c r="I67" s="10">
        <v>1</v>
      </c>
      <c r="J67" s="10">
        <v>2</v>
      </c>
      <c r="K67" s="10" t="s">
        <v>2177</v>
      </c>
      <c r="L67" s="10" t="s">
        <v>2200</v>
      </c>
      <c r="M67" s="10"/>
      <c r="N67" s="11"/>
      <c r="O67" s="10"/>
      <c r="P67" s="10">
        <v>79</v>
      </c>
      <c r="Q67" s="10">
        <v>38.843544104631725</v>
      </c>
      <c r="R67" s="10"/>
      <c r="S67" s="10" t="s">
        <v>2387</v>
      </c>
      <c r="T67" s="10" t="s">
        <v>2387</v>
      </c>
      <c r="U67" s="10"/>
      <c r="V67" s="10"/>
      <c r="W67" s="10"/>
      <c r="X67" s="10"/>
      <c r="Y67" s="10"/>
      <c r="Z67" s="10"/>
      <c r="AA67" s="10"/>
      <c r="AB67" s="10"/>
      <c r="AC67" s="10"/>
      <c r="AD67" s="10"/>
      <c r="AE67" t="s">
        <v>19</v>
      </c>
      <c r="AH67">
        <v>1</v>
      </c>
    </row>
    <row r="68" spans="1:34" ht="29">
      <c r="A68" t="s">
        <v>387</v>
      </c>
      <c r="B68" s="4" t="s">
        <v>1273</v>
      </c>
      <c r="C68" s="4" t="s">
        <v>1272</v>
      </c>
      <c r="G68" s="10" t="s">
        <v>24</v>
      </c>
      <c r="H68" s="10"/>
      <c r="I68" s="10">
        <v>1</v>
      </c>
      <c r="J68" s="10">
        <v>3</v>
      </c>
      <c r="K68" s="10" t="s">
        <v>2168</v>
      </c>
      <c r="L68" s="10" t="s">
        <v>2159</v>
      </c>
      <c r="M68" s="10"/>
      <c r="N68" s="11"/>
      <c r="O68" s="10"/>
      <c r="P68" s="10">
        <v>2475</v>
      </c>
      <c r="Q68" s="10">
        <v>1216.9338184678927</v>
      </c>
      <c r="R68" s="10"/>
      <c r="S68" s="10" t="s">
        <v>2387</v>
      </c>
      <c r="T68" s="10" t="s">
        <v>2387</v>
      </c>
      <c r="U68" s="10"/>
      <c r="V68" s="10"/>
      <c r="W68" s="10"/>
      <c r="X68" s="10"/>
      <c r="Y68" s="10"/>
      <c r="Z68" s="10"/>
      <c r="AA68" s="10"/>
      <c r="AB68" s="10"/>
      <c r="AC68" s="10"/>
      <c r="AD68" s="10"/>
      <c r="AE68" t="s">
        <v>19</v>
      </c>
      <c r="AH68">
        <v>1</v>
      </c>
    </row>
    <row r="69" spans="1:34" ht="58">
      <c r="A69" t="s">
        <v>402</v>
      </c>
      <c r="B69" s="4" t="s">
        <v>2272</v>
      </c>
      <c r="C69" s="4" t="s">
        <v>2273</v>
      </c>
      <c r="G69" s="10" t="s">
        <v>24</v>
      </c>
      <c r="H69" s="10"/>
      <c r="I69" s="10">
        <v>1</v>
      </c>
      <c r="J69" s="10">
        <v>3</v>
      </c>
      <c r="K69" s="10" t="s">
        <v>2168</v>
      </c>
      <c r="L69" s="10" t="s">
        <v>2159</v>
      </c>
      <c r="M69" s="10"/>
      <c r="N69" s="11"/>
      <c r="O69" s="10"/>
      <c r="P69" s="10">
        <v>1701</v>
      </c>
      <c r="Q69" s="10">
        <v>836.36542432884255</v>
      </c>
      <c r="R69" s="10"/>
      <c r="S69" s="10" t="s">
        <v>2387</v>
      </c>
      <c r="T69" s="10" t="s">
        <v>2387</v>
      </c>
      <c r="U69" s="10"/>
      <c r="V69" s="10"/>
      <c r="W69" s="10"/>
      <c r="X69" s="10"/>
      <c r="Y69" s="10"/>
      <c r="Z69" s="10"/>
      <c r="AA69" s="10"/>
      <c r="AB69" s="10"/>
      <c r="AC69" s="10"/>
      <c r="AD69" s="10"/>
      <c r="AE69" t="s">
        <v>19</v>
      </c>
      <c r="AH69">
        <v>1</v>
      </c>
    </row>
    <row r="70" spans="1:34" ht="43.5">
      <c r="A70" t="s">
        <v>408</v>
      </c>
      <c r="B70" s="4" t="s">
        <v>1304</v>
      </c>
      <c r="C70" s="4" t="s">
        <v>1303</v>
      </c>
      <c r="G70" s="10" t="s">
        <v>24</v>
      </c>
      <c r="H70" s="10"/>
      <c r="I70" s="10">
        <v>1</v>
      </c>
      <c r="J70" s="10">
        <v>3</v>
      </c>
      <c r="K70" s="10" t="s">
        <v>2175</v>
      </c>
      <c r="L70" s="10" t="s">
        <v>2159</v>
      </c>
      <c r="M70" s="10"/>
      <c r="N70" s="11"/>
      <c r="O70" s="10"/>
      <c r="P70" s="10">
        <v>743</v>
      </c>
      <c r="Q70" s="10">
        <v>365.32599075621988</v>
      </c>
      <c r="R70" s="10"/>
      <c r="S70" s="10" t="s">
        <v>2387</v>
      </c>
      <c r="T70" s="10" t="s">
        <v>2387</v>
      </c>
      <c r="U70" s="10"/>
      <c r="V70" s="10"/>
      <c r="W70" s="10"/>
      <c r="X70" s="10"/>
      <c r="Y70" s="10"/>
      <c r="Z70" s="10"/>
      <c r="AA70" s="10"/>
      <c r="AB70" s="10"/>
      <c r="AC70" s="10"/>
      <c r="AD70" s="10"/>
      <c r="AE70" t="s">
        <v>19</v>
      </c>
      <c r="AH70">
        <v>1</v>
      </c>
    </row>
    <row r="71" spans="1:34" ht="43.5">
      <c r="A71" t="s">
        <v>412</v>
      </c>
      <c r="B71" s="4" t="s">
        <v>1308</v>
      </c>
      <c r="C71" s="4" t="s">
        <v>1307</v>
      </c>
      <c r="G71" s="10" t="s">
        <v>25</v>
      </c>
      <c r="H71" s="10"/>
      <c r="I71" s="10">
        <v>1</v>
      </c>
      <c r="J71" s="10">
        <v>3</v>
      </c>
      <c r="K71" s="10" t="s">
        <v>2177</v>
      </c>
      <c r="L71" s="10" t="s">
        <v>2159</v>
      </c>
      <c r="M71" s="10"/>
      <c r="N71" s="11"/>
      <c r="O71" s="10"/>
      <c r="P71" s="10">
        <v>10</v>
      </c>
      <c r="Q71" s="10">
        <v>4.9169043170419897</v>
      </c>
      <c r="R71" s="10"/>
      <c r="S71" s="10" t="s">
        <v>2387</v>
      </c>
      <c r="T71" s="10" t="s">
        <v>2387</v>
      </c>
      <c r="U71" s="10"/>
      <c r="V71" s="10"/>
      <c r="W71" s="10"/>
      <c r="X71" s="10"/>
      <c r="Y71" s="10"/>
      <c r="Z71" s="10"/>
      <c r="AA71" s="10"/>
      <c r="AB71" s="10"/>
      <c r="AC71" s="10"/>
      <c r="AD71" s="10"/>
      <c r="AE71" t="s">
        <v>19</v>
      </c>
      <c r="AH71">
        <v>1</v>
      </c>
    </row>
    <row r="72" spans="1:34" ht="43.5">
      <c r="A72" t="s">
        <v>413</v>
      </c>
      <c r="B72" s="4" t="s">
        <v>1309</v>
      </c>
      <c r="C72" s="4" t="s">
        <v>1312</v>
      </c>
      <c r="G72" s="10" t="s">
        <v>24</v>
      </c>
      <c r="H72" s="10"/>
      <c r="I72" s="10">
        <v>1</v>
      </c>
      <c r="J72" s="10">
        <v>3</v>
      </c>
      <c r="K72" s="10" t="s">
        <v>2168</v>
      </c>
      <c r="L72" s="10" t="s">
        <v>2159</v>
      </c>
      <c r="M72" s="10"/>
      <c r="N72" s="11"/>
      <c r="O72" s="10"/>
      <c r="P72" s="10">
        <v>1701</v>
      </c>
      <c r="Q72" s="10">
        <v>836.36542432884255</v>
      </c>
      <c r="R72" s="10"/>
      <c r="S72" s="10" t="s">
        <v>2387</v>
      </c>
      <c r="T72" s="10" t="s">
        <v>2387</v>
      </c>
      <c r="U72" s="10"/>
      <c r="V72" s="10"/>
      <c r="W72" s="10"/>
      <c r="X72" s="10"/>
      <c r="Y72" s="10"/>
      <c r="Z72" s="10"/>
      <c r="AA72" s="10"/>
      <c r="AB72" s="10"/>
      <c r="AC72" s="10"/>
      <c r="AD72" s="10"/>
      <c r="AE72" t="s">
        <v>19</v>
      </c>
      <c r="AH72">
        <v>1</v>
      </c>
    </row>
    <row r="73" spans="1:34" ht="43.5">
      <c r="A73" t="s">
        <v>416</v>
      </c>
      <c r="B73" s="4" t="s">
        <v>1321</v>
      </c>
      <c r="C73" s="4" t="s">
        <v>1322</v>
      </c>
      <c r="G73" s="10" t="s">
        <v>24</v>
      </c>
      <c r="H73" s="10"/>
      <c r="I73" s="10">
        <v>1</v>
      </c>
      <c r="J73" s="10">
        <v>2</v>
      </c>
      <c r="K73" s="10" t="s">
        <v>2158</v>
      </c>
      <c r="L73" s="10" t="s">
        <v>2200</v>
      </c>
      <c r="M73" s="10"/>
      <c r="N73" s="11"/>
      <c r="O73" s="10"/>
      <c r="P73" s="10">
        <v>2475</v>
      </c>
      <c r="Q73" s="10">
        <v>1216.9338184678927</v>
      </c>
      <c r="R73" s="10"/>
      <c r="S73" s="10" t="s">
        <v>2387</v>
      </c>
      <c r="T73" s="10" t="s">
        <v>2387</v>
      </c>
      <c r="U73" s="10"/>
      <c r="V73" s="10"/>
      <c r="W73" s="10"/>
      <c r="X73" s="10"/>
      <c r="Y73" s="10"/>
      <c r="Z73" s="10"/>
      <c r="AA73" s="10"/>
      <c r="AB73" s="10"/>
      <c r="AC73" s="10"/>
      <c r="AD73" s="10"/>
      <c r="AE73" t="s">
        <v>19</v>
      </c>
      <c r="AH73">
        <v>1</v>
      </c>
    </row>
    <row r="74" spans="1:34" ht="130.5">
      <c r="A74" t="s">
        <v>422</v>
      </c>
      <c r="B74" s="4" t="s">
        <v>1330</v>
      </c>
      <c r="C74" s="4" t="s">
        <v>1333</v>
      </c>
      <c r="F74" t="s">
        <v>19</v>
      </c>
      <c r="G74" s="10" t="s">
        <v>24</v>
      </c>
      <c r="H74" s="10"/>
      <c r="I74" s="10">
        <v>1</v>
      </c>
      <c r="J74" s="10">
        <v>1</v>
      </c>
      <c r="K74" s="10" t="s">
        <v>2168</v>
      </c>
      <c r="L74" s="10" t="s">
        <v>2200</v>
      </c>
      <c r="M74" s="10"/>
      <c r="N74" s="11"/>
      <c r="O74" s="10"/>
      <c r="P74" s="10">
        <v>171</v>
      </c>
      <c r="Q74" s="10">
        <v>84.079063821418046</v>
      </c>
      <c r="R74" s="10"/>
      <c r="S74" s="10" t="s">
        <v>2387</v>
      </c>
      <c r="T74" s="10" t="s">
        <v>2387</v>
      </c>
      <c r="U74" s="10"/>
      <c r="V74" s="10"/>
      <c r="W74" s="10"/>
      <c r="X74" s="10"/>
      <c r="Y74" s="10"/>
      <c r="Z74" s="10"/>
      <c r="AA74" s="10"/>
      <c r="AB74" s="10"/>
      <c r="AC74" s="10"/>
      <c r="AD74" s="10"/>
      <c r="AE74" t="s">
        <v>20</v>
      </c>
      <c r="AH74">
        <v>0</v>
      </c>
    </row>
    <row r="75" spans="1:34" ht="29">
      <c r="A75" t="s">
        <v>437</v>
      </c>
      <c r="B75" s="4" t="s">
        <v>1339</v>
      </c>
      <c r="C75" s="4" t="s">
        <v>1338</v>
      </c>
      <c r="G75" s="10" t="s">
        <v>24</v>
      </c>
      <c r="H75" s="10"/>
      <c r="I75" s="10">
        <v>1</v>
      </c>
      <c r="J75" s="10">
        <v>3</v>
      </c>
      <c r="K75" s="10" t="s">
        <v>2158</v>
      </c>
      <c r="L75" s="10" t="s">
        <v>2159</v>
      </c>
      <c r="M75" s="10"/>
      <c r="N75" s="11"/>
      <c r="O75" s="10"/>
      <c r="P75" s="10">
        <v>2475</v>
      </c>
      <c r="Q75" s="10">
        <v>1216.9338184678927</v>
      </c>
      <c r="R75" s="10"/>
      <c r="S75" s="10" t="s">
        <v>2387</v>
      </c>
      <c r="T75" s="10" t="s">
        <v>2387</v>
      </c>
      <c r="U75" s="10"/>
      <c r="V75" s="10"/>
      <c r="W75" s="10"/>
      <c r="X75" s="10"/>
      <c r="Y75" s="10"/>
      <c r="Z75" s="10"/>
      <c r="AA75" s="10"/>
      <c r="AB75" s="10"/>
      <c r="AC75" s="10"/>
      <c r="AD75" s="10"/>
      <c r="AE75" t="s">
        <v>19</v>
      </c>
      <c r="AH75">
        <v>1</v>
      </c>
    </row>
    <row r="76" spans="1:34" ht="72.5">
      <c r="A76" t="s">
        <v>442</v>
      </c>
      <c r="B76" s="4" t="s">
        <v>1347</v>
      </c>
      <c r="C76" s="4" t="s">
        <v>1348</v>
      </c>
      <c r="G76" s="10" t="s">
        <v>24</v>
      </c>
      <c r="H76" s="10"/>
      <c r="I76" s="10">
        <v>1</v>
      </c>
      <c r="J76" s="10">
        <v>3</v>
      </c>
      <c r="K76" s="10" t="s">
        <v>2158</v>
      </c>
      <c r="L76" s="10" t="s">
        <v>2153</v>
      </c>
      <c r="M76" s="10" t="s">
        <v>2229</v>
      </c>
      <c r="N76" s="11" t="s">
        <v>2230</v>
      </c>
      <c r="O76" s="10"/>
      <c r="P76" s="10">
        <v>2475</v>
      </c>
      <c r="Q76" s="10">
        <v>1216.9338184678927</v>
      </c>
      <c r="R76" s="10"/>
      <c r="S76" s="10" t="s">
        <v>2387</v>
      </c>
      <c r="T76" s="10" t="s">
        <v>2387</v>
      </c>
      <c r="U76" s="10"/>
      <c r="V76" s="10"/>
      <c r="W76" s="10"/>
      <c r="X76" s="10"/>
      <c r="Y76" s="10"/>
      <c r="Z76" s="10"/>
      <c r="AA76" s="10"/>
      <c r="AB76" s="10"/>
      <c r="AC76" s="10"/>
      <c r="AD76" s="10"/>
      <c r="AE76" t="s">
        <v>20</v>
      </c>
      <c r="AH76">
        <v>0</v>
      </c>
    </row>
    <row r="77" spans="1:34" ht="72.5">
      <c r="A77" t="s">
        <v>442</v>
      </c>
      <c r="B77" s="4" t="s">
        <v>1349</v>
      </c>
      <c r="C77" s="4" t="s">
        <v>1350</v>
      </c>
      <c r="G77" s="10" t="s">
        <v>24</v>
      </c>
      <c r="H77" s="10"/>
      <c r="I77" s="10">
        <v>1</v>
      </c>
      <c r="J77" s="10">
        <v>2</v>
      </c>
      <c r="K77" s="10" t="s">
        <v>2158</v>
      </c>
      <c r="L77" s="10" t="s">
        <v>2200</v>
      </c>
      <c r="M77" s="10"/>
      <c r="N77" s="11"/>
      <c r="O77" s="10"/>
      <c r="P77" s="10">
        <v>2475</v>
      </c>
      <c r="Q77" s="10">
        <v>1216.9338184678927</v>
      </c>
      <c r="R77" s="10"/>
      <c r="S77" s="10" t="s">
        <v>2387</v>
      </c>
      <c r="T77" s="10" t="s">
        <v>2387</v>
      </c>
      <c r="U77" s="10"/>
      <c r="V77" s="10"/>
      <c r="W77" s="10"/>
      <c r="X77" s="10"/>
      <c r="Y77" s="10"/>
      <c r="Z77" s="10"/>
      <c r="AA77" s="10"/>
      <c r="AB77" s="10"/>
      <c r="AC77" s="10"/>
      <c r="AD77" s="10"/>
      <c r="AE77" t="s">
        <v>19</v>
      </c>
      <c r="AH77">
        <v>1</v>
      </c>
    </row>
    <row r="78" spans="1:34" ht="72.5">
      <c r="A78" t="s">
        <v>442</v>
      </c>
      <c r="B78" s="4" t="s">
        <v>1349</v>
      </c>
      <c r="C78" s="4" t="s">
        <v>1351</v>
      </c>
      <c r="G78" s="10" t="s">
        <v>24</v>
      </c>
      <c r="H78" s="10"/>
      <c r="I78" s="10">
        <v>1</v>
      </c>
      <c r="J78" s="10">
        <v>3</v>
      </c>
      <c r="K78" s="10" t="s">
        <v>2158</v>
      </c>
      <c r="L78" s="10" t="s">
        <v>2159</v>
      </c>
      <c r="M78" s="10"/>
      <c r="N78" s="11"/>
      <c r="O78" s="10"/>
      <c r="P78" s="10">
        <v>2475</v>
      </c>
      <c r="Q78" s="10">
        <v>1216.9338184678927</v>
      </c>
      <c r="R78" s="10"/>
      <c r="S78" s="10" t="s">
        <v>2387</v>
      </c>
      <c r="T78" s="10" t="s">
        <v>2387</v>
      </c>
      <c r="U78" s="10"/>
      <c r="V78" s="10"/>
      <c r="W78" s="10"/>
      <c r="X78" s="10"/>
      <c r="Y78" s="10"/>
      <c r="Z78" s="10"/>
      <c r="AA78" s="10"/>
      <c r="AB78" s="10"/>
      <c r="AC78" s="10"/>
      <c r="AD78" s="10"/>
      <c r="AE78" t="s">
        <v>19</v>
      </c>
      <c r="AH78">
        <v>1</v>
      </c>
    </row>
    <row r="79" spans="1:34" ht="43.5">
      <c r="A79" t="s">
        <v>446</v>
      </c>
      <c r="B79" s="4" t="s">
        <v>1365</v>
      </c>
      <c r="C79" s="4" t="s">
        <v>1364</v>
      </c>
      <c r="G79" s="10" t="s">
        <v>24</v>
      </c>
      <c r="H79" s="10"/>
      <c r="I79" s="10">
        <v>1</v>
      </c>
      <c r="J79" s="10">
        <v>3</v>
      </c>
      <c r="K79" s="10" t="s">
        <v>2158</v>
      </c>
      <c r="L79" s="10" t="s">
        <v>2159</v>
      </c>
      <c r="M79" s="10"/>
      <c r="N79" s="11"/>
      <c r="O79" s="10"/>
      <c r="P79" s="10">
        <v>2475</v>
      </c>
      <c r="Q79" s="10">
        <v>1216.9338184678927</v>
      </c>
      <c r="R79" s="10"/>
      <c r="S79" s="10" t="s">
        <v>2387</v>
      </c>
      <c r="T79" s="10" t="s">
        <v>2387</v>
      </c>
      <c r="U79" s="10"/>
      <c r="V79" s="10"/>
      <c r="W79" s="10"/>
      <c r="X79" s="10"/>
      <c r="Y79" s="10"/>
      <c r="Z79" s="10"/>
      <c r="AA79" s="10"/>
      <c r="AB79" s="10"/>
      <c r="AC79" s="10"/>
      <c r="AD79" s="10"/>
      <c r="AE79" t="s">
        <v>20</v>
      </c>
      <c r="AH79">
        <v>0</v>
      </c>
    </row>
    <row r="80" spans="1:34" ht="58">
      <c r="A80" t="s">
        <v>449</v>
      </c>
      <c r="B80" s="4" t="s">
        <v>1372</v>
      </c>
      <c r="C80" s="4" t="s">
        <v>1373</v>
      </c>
      <c r="G80" s="10" t="s">
        <v>24</v>
      </c>
      <c r="H80" s="10"/>
      <c r="I80" s="10">
        <v>1</v>
      </c>
      <c r="J80" s="10">
        <v>2</v>
      </c>
      <c r="K80" s="10" t="s">
        <v>2168</v>
      </c>
      <c r="L80" s="10" t="s">
        <v>2200</v>
      </c>
      <c r="M80" s="10"/>
      <c r="N80" s="11"/>
      <c r="O80" s="10"/>
      <c r="P80" s="10">
        <v>171</v>
      </c>
      <c r="Q80" s="10">
        <v>84.079063821418046</v>
      </c>
      <c r="R80" s="10"/>
      <c r="S80" s="10" t="s">
        <v>2387</v>
      </c>
      <c r="T80" s="10" t="s">
        <v>2387</v>
      </c>
      <c r="U80" s="10"/>
      <c r="V80" s="10"/>
      <c r="W80" s="10"/>
      <c r="X80" s="10"/>
      <c r="Y80" s="10"/>
      <c r="Z80" s="10"/>
      <c r="AA80" s="10"/>
      <c r="AB80" s="10"/>
      <c r="AC80" s="10"/>
      <c r="AD80" s="10"/>
      <c r="AE80" t="s">
        <v>19</v>
      </c>
      <c r="AH80">
        <v>1</v>
      </c>
    </row>
    <row r="81" spans="1:34" ht="43.5">
      <c r="A81" t="s">
        <v>459</v>
      </c>
      <c r="B81" s="4" t="s">
        <v>1386</v>
      </c>
      <c r="C81" s="4" t="s">
        <v>1387</v>
      </c>
      <c r="G81" s="10" t="s">
        <v>24</v>
      </c>
      <c r="H81" s="10"/>
      <c r="I81" s="10">
        <v>1</v>
      </c>
      <c r="J81" s="10">
        <v>2</v>
      </c>
      <c r="K81" s="10" t="s">
        <v>2168</v>
      </c>
      <c r="L81" s="10" t="s">
        <v>2200</v>
      </c>
      <c r="M81" s="10"/>
      <c r="N81" s="11"/>
      <c r="O81" s="10"/>
      <c r="P81" s="10">
        <v>129</v>
      </c>
      <c r="Q81" s="10">
        <v>63.428065689841674</v>
      </c>
      <c r="R81" s="10"/>
      <c r="S81" s="10" t="s">
        <v>2387</v>
      </c>
      <c r="T81" s="10" t="s">
        <v>2387</v>
      </c>
      <c r="U81" s="10"/>
      <c r="V81" s="10"/>
      <c r="W81" s="10"/>
      <c r="X81" s="10"/>
      <c r="Y81" s="10"/>
      <c r="Z81" s="10"/>
      <c r="AA81" s="10"/>
      <c r="AB81" s="10"/>
      <c r="AC81" s="10"/>
      <c r="AD81" s="10"/>
      <c r="AE81" t="s">
        <v>20</v>
      </c>
      <c r="AH81">
        <v>0</v>
      </c>
    </row>
    <row r="82" spans="1:34" ht="29">
      <c r="A82" t="s">
        <v>469</v>
      </c>
      <c r="B82" s="4" t="s">
        <v>1401</v>
      </c>
      <c r="C82" s="4" t="s">
        <v>1400</v>
      </c>
      <c r="G82" s="10" t="s">
        <v>24</v>
      </c>
      <c r="H82" s="10"/>
      <c r="I82" s="10">
        <v>1</v>
      </c>
      <c r="J82" s="10">
        <v>2</v>
      </c>
      <c r="K82" s="10" t="s">
        <v>2158</v>
      </c>
      <c r="L82" s="10" t="s">
        <v>2200</v>
      </c>
      <c r="M82" s="10"/>
      <c r="N82" s="11"/>
      <c r="O82" s="10"/>
      <c r="P82" s="10">
        <v>2475</v>
      </c>
      <c r="Q82" s="10">
        <v>1216.9338184678927</v>
      </c>
      <c r="R82" s="10"/>
      <c r="S82" s="10" t="s">
        <v>2387</v>
      </c>
      <c r="T82" s="10" t="s">
        <v>2387</v>
      </c>
      <c r="U82" s="10"/>
      <c r="V82" s="10"/>
      <c r="W82" s="10"/>
      <c r="X82" s="10"/>
      <c r="Y82" s="10"/>
      <c r="Z82" s="10"/>
      <c r="AA82" s="10"/>
      <c r="AB82" s="10"/>
      <c r="AC82" s="10"/>
      <c r="AD82" s="10"/>
      <c r="AE82" t="s">
        <v>19</v>
      </c>
      <c r="AH82">
        <v>1</v>
      </c>
    </row>
    <row r="83" spans="1:34" ht="58">
      <c r="A83" t="s">
        <v>479</v>
      </c>
      <c r="B83" s="4" t="s">
        <v>1425</v>
      </c>
      <c r="C83" s="4" t="s">
        <v>1424</v>
      </c>
      <c r="G83" s="10" t="s">
        <v>24</v>
      </c>
      <c r="H83" s="10"/>
      <c r="I83" s="10">
        <v>1</v>
      </c>
      <c r="J83" s="10">
        <v>3</v>
      </c>
      <c r="K83" s="10" t="s">
        <v>2168</v>
      </c>
      <c r="L83" s="10" t="s">
        <v>2159</v>
      </c>
      <c r="M83" s="10"/>
      <c r="N83" s="11"/>
      <c r="O83" s="10"/>
      <c r="P83" s="10">
        <v>1701</v>
      </c>
      <c r="Q83" s="10">
        <v>836.36542432884255</v>
      </c>
      <c r="R83" s="10"/>
      <c r="S83" s="10" t="s">
        <v>2387</v>
      </c>
      <c r="T83" s="10" t="s">
        <v>2387</v>
      </c>
      <c r="U83" s="10"/>
      <c r="V83" s="10"/>
      <c r="W83" s="10"/>
      <c r="X83" s="10"/>
      <c r="Y83" s="10"/>
      <c r="Z83" s="10"/>
      <c r="AA83" s="10"/>
      <c r="AB83" s="10"/>
      <c r="AC83" s="10"/>
      <c r="AD83" s="10"/>
      <c r="AE83" t="s">
        <v>19</v>
      </c>
      <c r="AH83">
        <v>1</v>
      </c>
    </row>
    <row r="84" spans="1:34" ht="72.5">
      <c r="A84" t="s">
        <v>485</v>
      </c>
      <c r="B84" s="4" t="s">
        <v>1430</v>
      </c>
      <c r="C84" s="4" t="s">
        <v>1433</v>
      </c>
      <c r="G84" s="10" t="s">
        <v>24</v>
      </c>
      <c r="H84" s="10"/>
      <c r="I84" s="10">
        <v>1</v>
      </c>
      <c r="J84" s="10">
        <v>1</v>
      </c>
      <c r="K84" s="10" t="s">
        <v>2158</v>
      </c>
      <c r="L84" s="10" t="s">
        <v>2200</v>
      </c>
      <c r="M84" s="10"/>
      <c r="N84" s="11"/>
      <c r="O84" s="10" t="s">
        <v>2154</v>
      </c>
      <c r="P84" s="10">
        <v>2475</v>
      </c>
      <c r="Q84" s="10">
        <v>1216.9338184678927</v>
      </c>
      <c r="R84" s="10"/>
      <c r="S84" s="10" t="s">
        <v>2387</v>
      </c>
      <c r="T84" s="10" t="s">
        <v>2387</v>
      </c>
      <c r="U84" s="10"/>
      <c r="V84" s="10"/>
      <c r="W84" s="10"/>
      <c r="X84" s="10"/>
      <c r="Y84" s="10"/>
      <c r="Z84" s="10"/>
      <c r="AA84" s="10"/>
      <c r="AB84" s="10"/>
      <c r="AC84" s="10"/>
      <c r="AD84" s="10"/>
      <c r="AE84" t="s">
        <v>19</v>
      </c>
      <c r="AH84">
        <v>1</v>
      </c>
    </row>
    <row r="85" spans="1:34" ht="29">
      <c r="A85" t="s">
        <v>487</v>
      </c>
      <c r="B85" s="4" t="s">
        <v>1438</v>
      </c>
      <c r="C85" s="4" t="s">
        <v>1439</v>
      </c>
      <c r="G85" s="10" t="s">
        <v>25</v>
      </c>
      <c r="H85" s="10"/>
      <c r="I85" s="10">
        <v>1</v>
      </c>
      <c r="J85" s="10">
        <v>1</v>
      </c>
      <c r="K85" s="10" t="s">
        <v>2158</v>
      </c>
      <c r="L85" s="10" t="s">
        <v>2200</v>
      </c>
      <c r="M85" s="10"/>
      <c r="N85" s="11"/>
      <c r="O85" s="10" t="s">
        <v>2154</v>
      </c>
      <c r="P85" s="10">
        <v>2475</v>
      </c>
      <c r="Q85" s="10">
        <v>1216.9338184678927</v>
      </c>
      <c r="R85" s="10"/>
      <c r="S85" s="10" t="s">
        <v>2387</v>
      </c>
      <c r="T85" s="10" t="s">
        <v>2387</v>
      </c>
      <c r="U85" s="10"/>
      <c r="V85" s="10"/>
      <c r="W85" s="10"/>
      <c r="X85" s="10"/>
      <c r="Y85" s="10"/>
      <c r="Z85" s="10"/>
      <c r="AA85" s="10"/>
      <c r="AB85" s="10"/>
      <c r="AC85" s="10"/>
      <c r="AD85" s="10"/>
      <c r="AE85" t="s">
        <v>19</v>
      </c>
      <c r="AH85">
        <v>1</v>
      </c>
    </row>
    <row r="86" spans="1:34" ht="72.5">
      <c r="A86" t="s">
        <v>491</v>
      </c>
      <c r="B86" s="4" t="s">
        <v>1447</v>
      </c>
      <c r="C86" s="4" t="s">
        <v>1449</v>
      </c>
      <c r="G86" s="10" t="s">
        <v>24</v>
      </c>
      <c r="H86" s="10"/>
      <c r="I86" s="10">
        <v>1</v>
      </c>
      <c r="J86" s="10">
        <v>3</v>
      </c>
      <c r="K86" s="10" t="s">
        <v>2158</v>
      </c>
      <c r="L86" s="10" t="s">
        <v>2159</v>
      </c>
      <c r="M86" s="10"/>
      <c r="N86" s="11"/>
      <c r="O86" s="10"/>
      <c r="P86" s="10">
        <v>2475</v>
      </c>
      <c r="Q86" s="10">
        <v>1216.9338184678927</v>
      </c>
      <c r="R86" s="10"/>
      <c r="S86" s="10" t="s">
        <v>2387</v>
      </c>
      <c r="T86" s="10" t="s">
        <v>2387</v>
      </c>
      <c r="U86" s="10"/>
      <c r="V86" s="10"/>
      <c r="W86" s="10"/>
      <c r="X86" s="10"/>
      <c r="Y86" s="10"/>
      <c r="Z86" s="10"/>
      <c r="AA86" s="10"/>
      <c r="AB86" s="10"/>
      <c r="AC86" s="10"/>
      <c r="AD86" s="10"/>
      <c r="AE86" t="s">
        <v>19</v>
      </c>
      <c r="AH86">
        <v>1</v>
      </c>
    </row>
    <row r="87" spans="1:34" ht="72.5">
      <c r="A87" t="s">
        <v>491</v>
      </c>
      <c r="B87" s="4" t="s">
        <v>1447</v>
      </c>
      <c r="C87" s="4" t="s">
        <v>1450</v>
      </c>
      <c r="G87" s="10" t="s">
        <v>24</v>
      </c>
      <c r="H87" s="10"/>
      <c r="I87" s="10">
        <v>1</v>
      </c>
      <c r="J87" s="10">
        <v>3</v>
      </c>
      <c r="K87" s="10" t="s">
        <v>2158</v>
      </c>
      <c r="L87" s="10" t="s">
        <v>2159</v>
      </c>
      <c r="M87" s="10"/>
      <c r="N87" s="11"/>
      <c r="O87" s="10"/>
      <c r="P87" s="10">
        <v>2475</v>
      </c>
      <c r="Q87" s="10">
        <v>1216.9338184678927</v>
      </c>
      <c r="R87" s="10"/>
      <c r="S87" s="10" t="s">
        <v>2387</v>
      </c>
      <c r="T87" s="10" t="s">
        <v>2387</v>
      </c>
      <c r="U87" s="10"/>
      <c r="V87" s="10"/>
      <c r="W87" s="10"/>
      <c r="X87" s="10"/>
      <c r="Y87" s="10"/>
      <c r="Z87" s="10"/>
      <c r="AA87" s="10"/>
      <c r="AB87" s="10"/>
      <c r="AC87" s="10"/>
      <c r="AD87" s="10"/>
      <c r="AE87" t="s">
        <v>20</v>
      </c>
      <c r="AH87">
        <v>0</v>
      </c>
    </row>
    <row r="88" spans="1:34" ht="43.5">
      <c r="A88" t="s">
        <v>493</v>
      </c>
      <c r="B88" s="4" t="s">
        <v>1464</v>
      </c>
      <c r="C88" s="4" t="s">
        <v>1461</v>
      </c>
      <c r="G88" s="10" t="s">
        <v>25</v>
      </c>
      <c r="H88" s="10"/>
      <c r="I88" s="10">
        <v>1</v>
      </c>
      <c r="J88" s="10">
        <v>3</v>
      </c>
      <c r="K88" s="10" t="s">
        <v>2168</v>
      </c>
      <c r="L88" s="10" t="s">
        <v>2153</v>
      </c>
      <c r="M88" s="10" t="s">
        <v>2231</v>
      </c>
      <c r="N88" s="11" t="s">
        <v>2230</v>
      </c>
      <c r="O88" s="10"/>
      <c r="P88" s="10">
        <v>1701</v>
      </c>
      <c r="Q88" s="10">
        <v>836.36542432884255</v>
      </c>
      <c r="R88" s="10"/>
      <c r="S88" s="10" t="s">
        <v>2387</v>
      </c>
      <c r="T88" s="10" t="s">
        <v>2387</v>
      </c>
      <c r="U88" s="10"/>
      <c r="V88" s="10"/>
      <c r="W88" s="10"/>
      <c r="X88" s="10"/>
      <c r="Y88" s="10"/>
      <c r="Z88" s="10"/>
      <c r="AA88" s="10"/>
      <c r="AB88" s="10"/>
      <c r="AC88" s="10"/>
      <c r="AD88" s="10"/>
      <c r="AE88" t="s">
        <v>19</v>
      </c>
      <c r="AH88">
        <v>1</v>
      </c>
    </row>
    <row r="89" spans="1:34" ht="72.5">
      <c r="A89" t="s">
        <v>495</v>
      </c>
      <c r="B89" s="4" t="s">
        <v>1479</v>
      </c>
      <c r="C89" s="4" t="s">
        <v>1476</v>
      </c>
      <c r="G89" s="10" t="s">
        <v>25</v>
      </c>
      <c r="H89" s="10"/>
      <c r="I89" s="10">
        <v>1</v>
      </c>
      <c r="J89" s="10">
        <v>3</v>
      </c>
      <c r="K89" s="10" t="s">
        <v>2168</v>
      </c>
      <c r="L89" s="10" t="s">
        <v>2153</v>
      </c>
      <c r="M89" s="10" t="s">
        <v>2229</v>
      </c>
      <c r="N89" s="11" t="s">
        <v>2230</v>
      </c>
      <c r="O89" s="10"/>
      <c r="P89" s="10">
        <v>1701</v>
      </c>
      <c r="Q89" s="10">
        <v>836.36542432884255</v>
      </c>
      <c r="R89" s="10"/>
      <c r="S89" s="10" t="s">
        <v>2387</v>
      </c>
      <c r="T89" s="10" t="s">
        <v>2387</v>
      </c>
      <c r="U89" s="10"/>
      <c r="V89" s="10"/>
      <c r="W89" s="10"/>
      <c r="X89" s="10"/>
      <c r="Y89" s="10"/>
      <c r="Z89" s="10"/>
      <c r="AA89" s="10"/>
      <c r="AB89" s="10"/>
      <c r="AC89" s="10"/>
      <c r="AD89" s="10"/>
      <c r="AE89" t="s">
        <v>19</v>
      </c>
      <c r="AH89">
        <v>1</v>
      </c>
    </row>
    <row r="90" spans="1:34" ht="43.5">
      <c r="A90" t="s">
        <v>495</v>
      </c>
      <c r="B90" s="4" t="s">
        <v>1481</v>
      </c>
      <c r="C90" s="4" t="s">
        <v>1480</v>
      </c>
      <c r="G90" s="10" t="s">
        <v>25</v>
      </c>
      <c r="H90" s="10"/>
      <c r="I90" s="10">
        <v>1</v>
      </c>
      <c r="J90" s="10">
        <v>2</v>
      </c>
      <c r="K90" s="10" t="s">
        <v>2158</v>
      </c>
      <c r="L90" s="10" t="s">
        <v>2200</v>
      </c>
      <c r="M90" s="10"/>
      <c r="N90" s="11"/>
      <c r="O90" s="10"/>
      <c r="P90" s="10">
        <v>2475</v>
      </c>
      <c r="Q90" s="10">
        <v>1216.9338184678927</v>
      </c>
      <c r="R90" s="10"/>
      <c r="S90" s="10" t="s">
        <v>2387</v>
      </c>
      <c r="T90" s="10" t="s">
        <v>2387</v>
      </c>
      <c r="U90" s="10"/>
      <c r="V90" s="10"/>
      <c r="W90" s="10"/>
      <c r="X90" s="10"/>
      <c r="Y90" s="10"/>
      <c r="Z90" s="10"/>
      <c r="AA90" s="10"/>
      <c r="AB90" s="10"/>
      <c r="AC90" s="10"/>
      <c r="AD90" s="10"/>
      <c r="AE90" t="s">
        <v>19</v>
      </c>
      <c r="AH90">
        <v>1</v>
      </c>
    </row>
    <row r="91" spans="1:34" ht="72.5">
      <c r="A91" t="s">
        <v>498</v>
      </c>
      <c r="B91" s="4" t="s">
        <v>1482</v>
      </c>
      <c r="C91" s="4" t="s">
        <v>1483</v>
      </c>
      <c r="G91" s="10" t="s">
        <v>24</v>
      </c>
      <c r="H91" s="10"/>
      <c r="I91" s="10">
        <v>1</v>
      </c>
      <c r="J91" s="10">
        <v>3</v>
      </c>
      <c r="K91" s="10" t="s">
        <v>2158</v>
      </c>
      <c r="L91" s="10" t="s">
        <v>2159</v>
      </c>
      <c r="M91" s="10"/>
      <c r="N91" s="11"/>
      <c r="O91" s="10"/>
      <c r="P91" s="10">
        <v>2475</v>
      </c>
      <c r="Q91" s="10">
        <v>1216.9338184678927</v>
      </c>
      <c r="R91" s="10"/>
      <c r="S91" s="10" t="s">
        <v>2387</v>
      </c>
      <c r="T91" s="10" t="s">
        <v>2387</v>
      </c>
      <c r="U91" s="10"/>
      <c r="V91" s="10"/>
      <c r="W91" s="10"/>
      <c r="X91" s="10"/>
      <c r="Y91" s="10"/>
      <c r="Z91" s="10"/>
      <c r="AA91" s="10"/>
      <c r="AB91" s="10"/>
      <c r="AC91" s="10"/>
      <c r="AD91" s="10"/>
      <c r="AE91" t="s">
        <v>19</v>
      </c>
      <c r="AH91">
        <v>1</v>
      </c>
    </row>
    <row r="92" spans="1:34" ht="72.5">
      <c r="A92" t="s">
        <v>498</v>
      </c>
      <c r="B92" s="4" t="s">
        <v>1482</v>
      </c>
      <c r="C92" s="4" t="s">
        <v>1484</v>
      </c>
      <c r="G92" s="10" t="s">
        <v>24</v>
      </c>
      <c r="H92" s="10"/>
      <c r="I92" s="10">
        <v>1</v>
      </c>
      <c r="J92" s="10">
        <v>3</v>
      </c>
      <c r="K92" s="10" t="s">
        <v>2158</v>
      </c>
      <c r="L92" s="10" t="s">
        <v>2159</v>
      </c>
      <c r="M92" s="10"/>
      <c r="N92" s="11"/>
      <c r="O92" s="10"/>
      <c r="P92" s="10">
        <v>2475</v>
      </c>
      <c r="Q92" s="10">
        <v>1216.9338184678927</v>
      </c>
      <c r="R92" s="10"/>
      <c r="S92" s="10" t="s">
        <v>2387</v>
      </c>
      <c r="T92" s="10" t="s">
        <v>2387</v>
      </c>
      <c r="U92" s="10"/>
      <c r="V92" s="10"/>
      <c r="W92" s="10"/>
      <c r="X92" s="10"/>
      <c r="Y92" s="10"/>
      <c r="Z92" s="10"/>
      <c r="AA92" s="10"/>
      <c r="AB92" s="10"/>
      <c r="AC92" s="10"/>
      <c r="AD92" s="10"/>
      <c r="AE92" t="s">
        <v>19</v>
      </c>
      <c r="AH92">
        <v>1</v>
      </c>
    </row>
    <row r="93" spans="1:34" ht="43.5">
      <c r="A93" t="s">
        <v>507</v>
      </c>
      <c r="B93" s="4" t="s">
        <v>1487</v>
      </c>
      <c r="C93" s="4" t="s">
        <v>1488</v>
      </c>
      <c r="G93" s="10" t="s">
        <v>25</v>
      </c>
      <c r="H93" s="10"/>
      <c r="I93" s="10">
        <v>1</v>
      </c>
      <c r="J93" s="10">
        <v>2</v>
      </c>
      <c r="K93" s="10" t="s">
        <v>2168</v>
      </c>
      <c r="L93" s="10" t="s">
        <v>2200</v>
      </c>
      <c r="M93" s="10"/>
      <c r="N93" s="11"/>
      <c r="O93" s="10"/>
      <c r="P93" s="10">
        <v>171</v>
      </c>
      <c r="Q93" s="10">
        <v>84.079063821418046</v>
      </c>
      <c r="R93" s="10"/>
      <c r="S93" s="10" t="s">
        <v>2387</v>
      </c>
      <c r="T93" s="10" t="s">
        <v>2387</v>
      </c>
      <c r="U93" s="10"/>
      <c r="V93" s="10"/>
      <c r="W93" s="10"/>
      <c r="X93" s="10"/>
      <c r="Y93" s="10"/>
      <c r="Z93" s="10"/>
      <c r="AA93" s="10"/>
      <c r="AB93" s="10"/>
      <c r="AC93" s="10"/>
      <c r="AD93" s="10"/>
      <c r="AE93" t="s">
        <v>19</v>
      </c>
      <c r="AH93">
        <v>1</v>
      </c>
    </row>
    <row r="94" spans="1:34" ht="43.5">
      <c r="A94" t="s">
        <v>508</v>
      </c>
      <c r="B94" s="4" t="s">
        <v>1490</v>
      </c>
      <c r="C94" s="4" t="s">
        <v>1489</v>
      </c>
      <c r="G94" s="10" t="s">
        <v>25</v>
      </c>
      <c r="H94" s="10"/>
      <c r="I94" s="10">
        <v>1</v>
      </c>
      <c r="J94" s="10">
        <v>3</v>
      </c>
      <c r="K94" s="10" t="s">
        <v>2168</v>
      </c>
      <c r="L94" s="10" t="s">
        <v>2159</v>
      </c>
      <c r="M94" s="10"/>
      <c r="N94" s="11"/>
      <c r="O94" s="10"/>
      <c r="P94" s="10">
        <v>86</v>
      </c>
      <c r="Q94" s="10">
        <v>42.285377126561116</v>
      </c>
      <c r="R94" s="10"/>
      <c r="S94" s="10" t="s">
        <v>2387</v>
      </c>
      <c r="T94" s="10" t="s">
        <v>2387</v>
      </c>
      <c r="U94" s="10"/>
      <c r="V94" s="10"/>
      <c r="W94" s="10"/>
      <c r="X94" s="10"/>
      <c r="Y94" s="10"/>
      <c r="Z94" s="10"/>
      <c r="AA94" s="10"/>
      <c r="AB94" s="10"/>
      <c r="AC94" s="10"/>
      <c r="AD94" s="10"/>
      <c r="AE94" t="s">
        <v>19</v>
      </c>
      <c r="AH94">
        <v>1</v>
      </c>
    </row>
    <row r="95" spans="1:34" ht="43.5">
      <c r="A95" t="s">
        <v>508</v>
      </c>
      <c r="B95" s="4" t="s">
        <v>1492</v>
      </c>
      <c r="C95" s="4" t="s">
        <v>1491</v>
      </c>
      <c r="G95" s="10" t="s">
        <v>24</v>
      </c>
      <c r="H95" s="10"/>
      <c r="I95" s="10">
        <v>1</v>
      </c>
      <c r="J95" s="10">
        <v>2</v>
      </c>
      <c r="K95" s="10" t="s">
        <v>2177</v>
      </c>
      <c r="L95" s="10" t="s">
        <v>2200</v>
      </c>
      <c r="M95" s="10"/>
      <c r="N95" s="11"/>
      <c r="O95" s="10"/>
      <c r="P95" s="10">
        <v>112</v>
      </c>
      <c r="Q95" s="10">
        <v>55.069328350870293</v>
      </c>
      <c r="R95" s="10"/>
      <c r="S95" s="10" t="s">
        <v>2387</v>
      </c>
      <c r="T95" s="10" t="s">
        <v>2387</v>
      </c>
      <c r="U95" s="10"/>
      <c r="V95" s="10"/>
      <c r="W95" s="10"/>
      <c r="X95" s="10"/>
      <c r="Y95" s="10"/>
      <c r="Z95" s="10"/>
      <c r="AA95" s="10"/>
      <c r="AB95" s="10"/>
      <c r="AC95" s="10"/>
      <c r="AD95" s="10"/>
      <c r="AE95" t="s">
        <v>19</v>
      </c>
      <c r="AH95">
        <v>1</v>
      </c>
    </row>
    <row r="96" spans="1:34" ht="72.5">
      <c r="A96" t="s">
        <v>512</v>
      </c>
      <c r="B96" s="4" t="s">
        <v>1500</v>
      </c>
      <c r="C96" s="4" t="s">
        <v>1499</v>
      </c>
      <c r="G96" s="10" t="s">
        <v>25</v>
      </c>
      <c r="H96" s="10"/>
      <c r="I96" s="10">
        <v>1</v>
      </c>
      <c r="J96" s="10">
        <v>3</v>
      </c>
      <c r="K96" s="10" t="s">
        <v>2168</v>
      </c>
      <c r="L96" s="10" t="s">
        <v>2159</v>
      </c>
      <c r="M96" s="10"/>
      <c r="N96" s="11"/>
      <c r="O96" s="10"/>
      <c r="P96" s="10">
        <v>280</v>
      </c>
      <c r="Q96" s="10">
        <v>137.67332087717574</v>
      </c>
      <c r="R96" s="10"/>
      <c r="S96" s="10" t="s">
        <v>2387</v>
      </c>
      <c r="T96" s="10" t="s">
        <v>2387</v>
      </c>
      <c r="U96" s="10"/>
      <c r="V96" s="10"/>
      <c r="W96" s="10"/>
      <c r="X96" s="10"/>
      <c r="Y96" s="10"/>
      <c r="Z96" s="10"/>
      <c r="AA96" s="10"/>
      <c r="AB96" s="10"/>
      <c r="AC96" s="10"/>
      <c r="AD96" s="10"/>
      <c r="AE96" t="s">
        <v>19</v>
      </c>
      <c r="AH96">
        <v>1</v>
      </c>
    </row>
    <row r="97" spans="1:34" ht="72.5">
      <c r="A97" t="s">
        <v>517</v>
      </c>
      <c r="B97" s="4" t="s">
        <v>1513</v>
      </c>
      <c r="C97" s="4" t="s">
        <v>1514</v>
      </c>
      <c r="G97" s="10" t="s">
        <v>25</v>
      </c>
      <c r="H97" s="10"/>
      <c r="I97" s="10">
        <v>1</v>
      </c>
      <c r="J97" s="10">
        <v>3</v>
      </c>
      <c r="K97" s="10" t="s">
        <v>2168</v>
      </c>
      <c r="L97" s="10" t="s">
        <v>2159</v>
      </c>
      <c r="M97" s="10"/>
      <c r="N97" s="11"/>
      <c r="O97" s="10"/>
      <c r="P97" s="10">
        <v>1701</v>
      </c>
      <c r="Q97" s="10">
        <v>836.36542432884255</v>
      </c>
      <c r="R97" s="10"/>
      <c r="S97" s="10" t="s">
        <v>2387</v>
      </c>
      <c r="T97" s="10" t="s">
        <v>2387</v>
      </c>
      <c r="U97" s="10"/>
      <c r="V97" s="10"/>
      <c r="W97" s="10"/>
      <c r="X97" s="10"/>
      <c r="Y97" s="10"/>
      <c r="Z97" s="10"/>
      <c r="AA97" s="10"/>
      <c r="AB97" s="10"/>
      <c r="AC97" s="10"/>
      <c r="AD97" s="10"/>
      <c r="AE97" t="s">
        <v>19</v>
      </c>
      <c r="AH97">
        <v>1</v>
      </c>
    </row>
    <row r="98" spans="1:34" ht="43.5">
      <c r="A98" t="s">
        <v>523</v>
      </c>
      <c r="B98" s="4" t="s">
        <v>1522</v>
      </c>
      <c r="C98" s="4" t="s">
        <v>1521</v>
      </c>
      <c r="G98" s="10" t="s">
        <v>24</v>
      </c>
      <c r="H98" s="10"/>
      <c r="I98" s="10">
        <v>1</v>
      </c>
      <c r="J98" s="10">
        <v>3</v>
      </c>
      <c r="K98" s="10" t="s">
        <v>2158</v>
      </c>
      <c r="L98" s="10" t="s">
        <v>2159</v>
      </c>
      <c r="M98" s="10"/>
      <c r="N98" s="11"/>
      <c r="O98" s="10"/>
      <c r="P98" s="10">
        <v>2475</v>
      </c>
      <c r="Q98" s="10">
        <v>1216.9338184678927</v>
      </c>
      <c r="R98" s="10"/>
      <c r="S98" s="10" t="s">
        <v>2387</v>
      </c>
      <c r="T98" s="10" t="s">
        <v>2387</v>
      </c>
      <c r="U98" s="10"/>
      <c r="V98" s="10"/>
      <c r="W98" s="10"/>
      <c r="X98" s="10"/>
      <c r="Y98" s="10"/>
      <c r="Z98" s="10"/>
      <c r="AA98" s="10"/>
      <c r="AB98" s="10"/>
      <c r="AC98" s="10"/>
      <c r="AD98" s="10"/>
      <c r="AE98" t="s">
        <v>19</v>
      </c>
      <c r="AH98">
        <v>1</v>
      </c>
    </row>
    <row r="99" spans="1:34">
      <c r="A99" t="s">
        <v>523</v>
      </c>
      <c r="B99" t="s">
        <v>1523</v>
      </c>
      <c r="C99" t="s">
        <v>1524</v>
      </c>
      <c r="G99" s="10" t="s">
        <v>24</v>
      </c>
      <c r="H99" s="10"/>
      <c r="I99" s="10">
        <v>1</v>
      </c>
      <c r="J99" s="10">
        <v>3</v>
      </c>
      <c r="K99" s="10" t="s">
        <v>2158</v>
      </c>
      <c r="L99" s="10" t="s">
        <v>2159</v>
      </c>
      <c r="M99" s="10"/>
      <c r="N99" s="11"/>
      <c r="O99" s="10"/>
      <c r="P99" s="10">
        <v>2475</v>
      </c>
      <c r="Q99" s="10">
        <v>1216.9338184678927</v>
      </c>
      <c r="R99" s="10"/>
      <c r="S99" s="10" t="s">
        <v>2387</v>
      </c>
      <c r="T99" s="10" t="s">
        <v>2387</v>
      </c>
      <c r="U99" s="10"/>
      <c r="V99" s="10"/>
      <c r="W99" s="10"/>
      <c r="X99" s="10"/>
      <c r="Y99" s="10"/>
      <c r="Z99" s="10"/>
      <c r="AA99" s="10"/>
      <c r="AB99" s="10"/>
      <c r="AC99" s="10"/>
      <c r="AD99" s="10"/>
      <c r="AE99" t="s">
        <v>19</v>
      </c>
      <c r="AH99">
        <v>1</v>
      </c>
    </row>
    <row r="100" spans="1:34" ht="29">
      <c r="A100" t="s">
        <v>523</v>
      </c>
      <c r="B100" s="4" t="s">
        <v>1525</v>
      </c>
      <c r="C100" s="4" t="s">
        <v>1526</v>
      </c>
      <c r="G100" s="10" t="s">
        <v>25</v>
      </c>
      <c r="H100" s="10"/>
      <c r="I100" s="10">
        <v>1</v>
      </c>
      <c r="J100" s="10">
        <v>2</v>
      </c>
      <c r="K100" s="10" t="s">
        <v>2158</v>
      </c>
      <c r="L100" s="10" t="s">
        <v>2200</v>
      </c>
      <c r="M100" s="10"/>
      <c r="N100" s="11"/>
      <c r="O100" s="10"/>
      <c r="P100" s="10">
        <v>2475</v>
      </c>
      <c r="Q100" s="10">
        <v>1216.9338184678927</v>
      </c>
      <c r="R100" s="10"/>
      <c r="S100" s="10" t="s">
        <v>2387</v>
      </c>
      <c r="T100" s="10" t="s">
        <v>2387</v>
      </c>
      <c r="U100" s="10"/>
      <c r="V100" s="10"/>
      <c r="W100" s="10"/>
      <c r="X100" s="10"/>
      <c r="Y100" s="10"/>
      <c r="Z100" s="10"/>
      <c r="AA100" s="10"/>
      <c r="AB100" s="10"/>
      <c r="AC100" s="10"/>
      <c r="AD100" s="10"/>
      <c r="AE100" t="s">
        <v>19</v>
      </c>
      <c r="AH100">
        <v>1</v>
      </c>
    </row>
    <row r="101" spans="1:34" ht="58">
      <c r="A101" t="s">
        <v>524</v>
      </c>
      <c r="B101" s="4" t="s">
        <v>1528</v>
      </c>
      <c r="C101" s="4" t="s">
        <v>1527</v>
      </c>
      <c r="G101" s="10" t="s">
        <v>25</v>
      </c>
      <c r="H101" s="10"/>
      <c r="I101" s="10">
        <v>1</v>
      </c>
      <c r="J101" s="10">
        <v>1</v>
      </c>
      <c r="K101" s="10" t="s">
        <v>2158</v>
      </c>
      <c r="L101" s="10" t="s">
        <v>2200</v>
      </c>
      <c r="M101" s="10"/>
      <c r="N101" s="11"/>
      <c r="O101" s="10" t="s">
        <v>2154</v>
      </c>
      <c r="P101" s="10">
        <v>2475</v>
      </c>
      <c r="Q101" s="10">
        <v>1216.9338184678927</v>
      </c>
      <c r="R101" s="10"/>
      <c r="S101" s="10" t="s">
        <v>2387</v>
      </c>
      <c r="T101" s="10" t="s">
        <v>2387</v>
      </c>
      <c r="U101" s="10"/>
      <c r="V101" s="10"/>
      <c r="W101" s="10"/>
      <c r="X101" s="10"/>
      <c r="Y101" s="10"/>
      <c r="Z101" s="10"/>
      <c r="AA101" s="10"/>
      <c r="AB101" s="10"/>
      <c r="AC101" s="10"/>
      <c r="AD101" s="10"/>
      <c r="AE101" t="s">
        <v>19</v>
      </c>
      <c r="AH101">
        <v>1</v>
      </c>
    </row>
    <row r="102" spans="1:34" ht="29">
      <c r="A102" t="s">
        <v>525</v>
      </c>
      <c r="B102" s="4" t="s">
        <v>1530</v>
      </c>
      <c r="C102" s="4" t="s">
        <v>1529</v>
      </c>
      <c r="G102" s="10" t="s">
        <v>25</v>
      </c>
      <c r="H102" s="10"/>
      <c r="I102" s="10">
        <v>1</v>
      </c>
      <c r="J102" s="10">
        <v>3</v>
      </c>
      <c r="K102" s="10" t="s">
        <v>2168</v>
      </c>
      <c r="L102" s="10" t="s">
        <v>2159</v>
      </c>
      <c r="M102" s="10"/>
      <c r="N102" s="11"/>
      <c r="O102" s="10"/>
      <c r="P102" s="10">
        <v>186</v>
      </c>
      <c r="Q102" s="10">
        <v>91.454420296981013</v>
      </c>
      <c r="R102" s="10"/>
      <c r="S102" s="10" t="s">
        <v>2387</v>
      </c>
      <c r="T102" s="10" t="s">
        <v>2387</v>
      </c>
      <c r="U102" s="10"/>
      <c r="V102" s="10"/>
      <c r="W102" s="10"/>
      <c r="X102" s="10"/>
      <c r="Y102" s="10"/>
      <c r="Z102" s="10"/>
      <c r="AA102" s="10"/>
      <c r="AB102" s="10"/>
      <c r="AC102" s="10"/>
      <c r="AD102" s="10"/>
      <c r="AE102" t="s">
        <v>19</v>
      </c>
      <c r="AH102">
        <v>1</v>
      </c>
    </row>
    <row r="103" spans="1:34" ht="58">
      <c r="A103" t="s">
        <v>527</v>
      </c>
      <c r="B103" s="4" t="s">
        <v>1540</v>
      </c>
      <c r="C103" s="4" t="s">
        <v>1539</v>
      </c>
      <c r="G103" s="10" t="s">
        <v>24</v>
      </c>
      <c r="H103" s="10"/>
      <c r="I103" s="10">
        <v>1</v>
      </c>
      <c r="J103" s="10">
        <v>3</v>
      </c>
      <c r="K103" s="10" t="s">
        <v>2175</v>
      </c>
      <c r="L103" s="10" t="s">
        <v>2159</v>
      </c>
      <c r="M103" s="10"/>
      <c r="N103" s="11"/>
      <c r="O103" s="10"/>
      <c r="P103" s="10">
        <v>743</v>
      </c>
      <c r="Q103" s="10">
        <v>365.32599075621988</v>
      </c>
      <c r="R103" s="10"/>
      <c r="S103" s="10" t="s">
        <v>2387</v>
      </c>
      <c r="T103" s="10" t="s">
        <v>2387</v>
      </c>
      <c r="U103" s="10"/>
      <c r="V103" s="10"/>
      <c r="W103" s="10"/>
      <c r="X103" s="10"/>
      <c r="Y103" s="10"/>
      <c r="Z103" s="10"/>
      <c r="AA103" s="10"/>
      <c r="AB103" s="10"/>
      <c r="AC103" s="10"/>
      <c r="AD103" s="10"/>
      <c r="AE103" t="s">
        <v>19</v>
      </c>
      <c r="AH103">
        <v>1</v>
      </c>
    </row>
    <row r="104" spans="1:34" ht="58">
      <c r="A104" t="s">
        <v>537</v>
      </c>
      <c r="B104" s="4" t="s">
        <v>1556</v>
      </c>
      <c r="C104" s="4" t="s">
        <v>1555</v>
      </c>
      <c r="G104" s="10" t="s">
        <v>25</v>
      </c>
      <c r="H104" s="10"/>
      <c r="I104" s="10">
        <v>1</v>
      </c>
      <c r="J104" s="10">
        <v>3</v>
      </c>
      <c r="K104" s="10" t="s">
        <v>2168</v>
      </c>
      <c r="L104" s="10" t="s">
        <v>2159</v>
      </c>
      <c r="M104" s="10"/>
      <c r="N104" s="11"/>
      <c r="O104" s="10"/>
      <c r="P104" s="10">
        <v>1701</v>
      </c>
      <c r="Q104" s="10">
        <v>836.36542432884255</v>
      </c>
      <c r="R104" s="10"/>
      <c r="S104" s="10" t="s">
        <v>2387</v>
      </c>
      <c r="T104" s="10" t="s">
        <v>2387</v>
      </c>
      <c r="U104" s="10"/>
      <c r="V104" s="10"/>
      <c r="W104" s="10"/>
      <c r="X104" s="10"/>
      <c r="Y104" s="10"/>
      <c r="Z104" s="10"/>
      <c r="AA104" s="10"/>
      <c r="AB104" s="10"/>
      <c r="AC104" s="10"/>
      <c r="AD104" s="10"/>
      <c r="AE104" t="s">
        <v>19</v>
      </c>
      <c r="AH104">
        <v>1</v>
      </c>
    </row>
    <row r="105" spans="1:34" ht="58">
      <c r="A105" t="s">
        <v>537</v>
      </c>
      <c r="B105" s="4" t="s">
        <v>1570</v>
      </c>
      <c r="C105" s="4" t="s">
        <v>1571</v>
      </c>
      <c r="G105" s="10" t="s">
        <v>25</v>
      </c>
      <c r="H105" s="10"/>
      <c r="I105" s="10">
        <v>1</v>
      </c>
      <c r="J105" s="10">
        <v>4</v>
      </c>
      <c r="K105" s="10" t="s">
        <v>2175</v>
      </c>
      <c r="L105" s="10" t="s">
        <v>2159</v>
      </c>
      <c r="M105" s="10"/>
      <c r="N105" s="11"/>
      <c r="O105" s="10"/>
      <c r="P105" s="10">
        <v>312</v>
      </c>
      <c r="Q105" s="10">
        <v>153.4074146917101</v>
      </c>
      <c r="R105" s="10"/>
      <c r="S105" s="10" t="s">
        <v>2387</v>
      </c>
      <c r="T105" s="10" t="s">
        <v>2387</v>
      </c>
      <c r="U105" s="10"/>
      <c r="V105" s="10"/>
      <c r="W105" s="10"/>
      <c r="X105" s="10"/>
      <c r="Y105" s="10"/>
      <c r="Z105" s="10"/>
      <c r="AA105" s="10"/>
      <c r="AB105" s="10"/>
      <c r="AC105" s="10"/>
      <c r="AD105" s="10"/>
      <c r="AE105" t="s">
        <v>19</v>
      </c>
      <c r="AH105">
        <v>1</v>
      </c>
    </row>
    <row r="106" spans="1:34" ht="72.5">
      <c r="A106" t="s">
        <v>538</v>
      </c>
      <c r="B106" s="4" t="s">
        <v>1573</v>
      </c>
      <c r="C106" s="4" t="s">
        <v>1572</v>
      </c>
      <c r="G106" s="10" t="s">
        <v>25</v>
      </c>
      <c r="H106" s="10"/>
      <c r="I106" s="10">
        <v>1</v>
      </c>
      <c r="J106" s="10">
        <v>1</v>
      </c>
      <c r="K106" s="10" t="s">
        <v>2158</v>
      </c>
      <c r="L106" s="10" t="s">
        <v>2200</v>
      </c>
      <c r="M106" s="10"/>
      <c r="N106" s="11"/>
      <c r="O106" s="10"/>
      <c r="P106" s="10">
        <v>2475</v>
      </c>
      <c r="Q106" s="10">
        <v>1216.9338184678927</v>
      </c>
      <c r="R106" s="10"/>
      <c r="S106" s="10" t="s">
        <v>2387</v>
      </c>
      <c r="T106" s="10" t="s">
        <v>2387</v>
      </c>
      <c r="U106" s="10"/>
      <c r="V106" s="10"/>
      <c r="W106" s="10"/>
      <c r="X106" s="10"/>
      <c r="Y106" s="10"/>
      <c r="Z106" s="10"/>
      <c r="AA106" s="10"/>
      <c r="AB106" s="10"/>
      <c r="AC106" s="10"/>
      <c r="AD106" s="10"/>
      <c r="AE106" t="s">
        <v>19</v>
      </c>
      <c r="AH106">
        <v>1</v>
      </c>
    </row>
    <row r="107" spans="1:34" ht="72.5">
      <c r="A107" t="s">
        <v>538</v>
      </c>
      <c r="B107" s="4" t="s">
        <v>1574</v>
      </c>
      <c r="C107" s="4" t="s">
        <v>1572</v>
      </c>
      <c r="G107" s="10" t="s">
        <v>25</v>
      </c>
      <c r="H107" s="10"/>
      <c r="I107" s="10">
        <v>1</v>
      </c>
      <c r="J107" s="10">
        <v>3</v>
      </c>
      <c r="K107" s="10" t="s">
        <v>2158</v>
      </c>
      <c r="L107" s="10" t="s">
        <v>2159</v>
      </c>
      <c r="M107" s="10"/>
      <c r="N107" s="11"/>
      <c r="O107" s="10"/>
      <c r="P107" s="10">
        <v>2475</v>
      </c>
      <c r="Q107" s="10">
        <v>1216.9338184678927</v>
      </c>
      <c r="R107" s="10"/>
      <c r="S107" s="10" t="s">
        <v>2387</v>
      </c>
      <c r="T107" s="10" t="s">
        <v>2387</v>
      </c>
      <c r="U107" s="10"/>
      <c r="V107" s="10"/>
      <c r="W107" s="10"/>
      <c r="X107" s="10"/>
      <c r="Y107" s="10"/>
      <c r="Z107" s="10"/>
      <c r="AA107" s="10"/>
      <c r="AB107" s="10"/>
      <c r="AC107" s="10"/>
      <c r="AD107" s="10"/>
      <c r="AE107" t="s">
        <v>19</v>
      </c>
      <c r="AH107">
        <v>1</v>
      </c>
    </row>
    <row r="108" spans="1:34" ht="43.5">
      <c r="A108" t="s">
        <v>549</v>
      </c>
      <c r="B108" s="4" t="s">
        <v>1589</v>
      </c>
      <c r="C108" s="4" t="s">
        <v>1588</v>
      </c>
      <c r="G108" s="10" t="s">
        <v>24</v>
      </c>
      <c r="H108" s="10"/>
      <c r="I108" s="10">
        <v>1</v>
      </c>
      <c r="J108" s="10">
        <v>3</v>
      </c>
      <c r="K108" s="10" t="s">
        <v>2158</v>
      </c>
      <c r="L108" s="10" t="s">
        <v>2159</v>
      </c>
      <c r="M108" s="10"/>
      <c r="N108" s="11"/>
      <c r="O108" s="10"/>
      <c r="P108" s="10">
        <v>2475</v>
      </c>
      <c r="Q108" s="10">
        <v>1216.9338184678927</v>
      </c>
      <c r="R108" s="10"/>
      <c r="S108" s="10" t="s">
        <v>2387</v>
      </c>
      <c r="T108" s="10" t="s">
        <v>2387</v>
      </c>
      <c r="U108" s="10"/>
      <c r="V108" s="10"/>
      <c r="W108" s="10"/>
      <c r="X108" s="10"/>
      <c r="Y108" s="10"/>
      <c r="Z108" s="10"/>
      <c r="AA108" s="10"/>
      <c r="AB108" s="10"/>
      <c r="AC108" s="10"/>
      <c r="AD108" s="10"/>
      <c r="AE108" t="s">
        <v>19</v>
      </c>
      <c r="AH108">
        <v>1</v>
      </c>
    </row>
    <row r="109" spans="1:34" ht="29">
      <c r="A109" t="s">
        <v>565</v>
      </c>
      <c r="B109" s="4" t="s">
        <v>1604</v>
      </c>
      <c r="C109" s="4" t="s">
        <v>1605</v>
      </c>
      <c r="G109" s="10" t="s">
        <v>25</v>
      </c>
      <c r="H109" s="10"/>
      <c r="I109" s="10">
        <v>1</v>
      </c>
      <c r="J109" s="10">
        <v>2</v>
      </c>
      <c r="K109" s="10" t="s">
        <v>2175</v>
      </c>
      <c r="L109" s="10" t="s">
        <v>2200</v>
      </c>
      <c r="M109" s="10"/>
      <c r="N109" s="11"/>
      <c r="O109" s="10"/>
      <c r="P109" s="10">
        <v>312</v>
      </c>
      <c r="Q109" s="10">
        <v>153.4074146917101</v>
      </c>
      <c r="R109" s="10"/>
      <c r="S109" s="10" t="s">
        <v>2387</v>
      </c>
      <c r="T109" s="10" t="s">
        <v>2387</v>
      </c>
      <c r="U109" s="10"/>
      <c r="V109" s="10"/>
      <c r="W109" s="10"/>
      <c r="X109" s="10"/>
      <c r="Y109" s="10"/>
      <c r="Z109" s="10"/>
      <c r="AA109" s="10"/>
      <c r="AB109" s="10"/>
      <c r="AC109" s="10"/>
      <c r="AD109" s="10"/>
      <c r="AE109" t="s">
        <v>19</v>
      </c>
      <c r="AH109">
        <v>1</v>
      </c>
    </row>
    <row r="110" spans="1:34" ht="43.5">
      <c r="A110" t="s">
        <v>567</v>
      </c>
      <c r="B110" s="4" t="s">
        <v>1611</v>
      </c>
      <c r="C110" s="4" t="s">
        <v>1610</v>
      </c>
      <c r="G110" s="10" t="s">
        <v>25</v>
      </c>
      <c r="H110" s="10"/>
      <c r="I110" s="10">
        <v>1</v>
      </c>
      <c r="J110" s="10">
        <v>2</v>
      </c>
      <c r="K110" s="10" t="s">
        <v>2175</v>
      </c>
      <c r="L110" s="10" t="s">
        <v>2200</v>
      </c>
      <c r="M110" s="10"/>
      <c r="N110" s="11"/>
      <c r="O110" s="10"/>
      <c r="P110" s="10">
        <v>743</v>
      </c>
      <c r="Q110" s="10">
        <v>365.32599075621988</v>
      </c>
      <c r="R110" s="10"/>
      <c r="S110" s="10" t="s">
        <v>2387</v>
      </c>
      <c r="T110" s="10" t="s">
        <v>2387</v>
      </c>
      <c r="U110" s="10"/>
      <c r="V110" s="10"/>
      <c r="W110" s="10"/>
      <c r="X110" s="10"/>
      <c r="Y110" s="10"/>
      <c r="Z110" s="10"/>
      <c r="AA110" s="10"/>
      <c r="AB110" s="10"/>
      <c r="AC110" s="10"/>
      <c r="AD110" s="10"/>
      <c r="AE110" t="s">
        <v>19</v>
      </c>
      <c r="AH110">
        <v>1</v>
      </c>
    </row>
    <row r="111" spans="1:34" ht="43.5">
      <c r="A111" t="s">
        <v>571</v>
      </c>
      <c r="B111" s="4" t="s">
        <v>1617</v>
      </c>
      <c r="C111" s="4" t="s">
        <v>1616</v>
      </c>
      <c r="G111" s="10" t="s">
        <v>25</v>
      </c>
      <c r="H111" s="10"/>
      <c r="I111" s="10">
        <v>1</v>
      </c>
      <c r="J111" s="10">
        <v>4</v>
      </c>
      <c r="K111" s="10" t="s">
        <v>2158</v>
      </c>
      <c r="L111" s="10" t="s">
        <v>2153</v>
      </c>
      <c r="M111" s="10" t="s">
        <v>2231</v>
      </c>
      <c r="N111" s="11" t="s">
        <v>2230</v>
      </c>
      <c r="O111" s="10"/>
      <c r="P111" s="10">
        <v>2475</v>
      </c>
      <c r="Q111" s="10">
        <v>1216.9338184678927</v>
      </c>
      <c r="R111" s="10"/>
      <c r="S111" s="10" t="s">
        <v>2387</v>
      </c>
      <c r="T111" s="10" t="s">
        <v>2387</v>
      </c>
      <c r="U111" s="10"/>
      <c r="V111" s="10"/>
      <c r="W111" s="10"/>
      <c r="X111" s="10"/>
      <c r="Y111" s="10"/>
      <c r="Z111" s="10"/>
      <c r="AA111" s="10"/>
      <c r="AB111" s="10"/>
      <c r="AC111" s="10"/>
      <c r="AD111" s="10"/>
      <c r="AE111" t="s">
        <v>20</v>
      </c>
      <c r="AH111">
        <v>0</v>
      </c>
    </row>
    <row r="112" spans="1:34" ht="29">
      <c r="A112" t="s">
        <v>571</v>
      </c>
      <c r="B112" s="4" t="s">
        <v>1621</v>
      </c>
      <c r="C112" s="4" t="s">
        <v>1620</v>
      </c>
      <c r="G112" s="10" t="s">
        <v>24</v>
      </c>
      <c r="H112" s="10"/>
      <c r="I112" s="10">
        <v>1</v>
      </c>
      <c r="J112" s="10">
        <v>1</v>
      </c>
      <c r="K112" s="10" t="s">
        <v>2158</v>
      </c>
      <c r="L112" s="10" t="s">
        <v>2200</v>
      </c>
      <c r="M112" s="10"/>
      <c r="N112" s="11"/>
      <c r="O112" s="10"/>
      <c r="P112" s="10">
        <v>2475</v>
      </c>
      <c r="Q112" s="10">
        <v>1216.9338184678927</v>
      </c>
      <c r="R112" s="10"/>
      <c r="S112" s="10" t="s">
        <v>2387</v>
      </c>
      <c r="T112" s="10" t="s">
        <v>2387</v>
      </c>
      <c r="U112" s="10"/>
      <c r="V112" s="10"/>
      <c r="W112" s="10"/>
      <c r="X112" s="10"/>
      <c r="Y112" s="10"/>
      <c r="Z112" s="10"/>
      <c r="AA112" s="10"/>
      <c r="AB112" s="10"/>
      <c r="AC112" s="10"/>
      <c r="AD112" s="10"/>
      <c r="AE112" t="s">
        <v>19</v>
      </c>
      <c r="AH112">
        <v>1</v>
      </c>
    </row>
    <row r="113" spans="1:34" ht="58">
      <c r="A113" t="s">
        <v>578</v>
      </c>
      <c r="B113" s="4" t="s">
        <v>1633</v>
      </c>
      <c r="C113" s="4" t="s">
        <v>1632</v>
      </c>
      <c r="G113" s="10" t="s">
        <v>25</v>
      </c>
      <c r="H113" s="10"/>
      <c r="I113" s="10">
        <v>1</v>
      </c>
      <c r="J113" s="10">
        <v>3</v>
      </c>
      <c r="K113" s="10" t="s">
        <v>2168</v>
      </c>
      <c r="L113" s="10" t="s">
        <v>2159</v>
      </c>
      <c r="M113" s="10"/>
      <c r="N113" s="11"/>
      <c r="O113" s="10"/>
      <c r="P113" s="10">
        <v>1701</v>
      </c>
      <c r="Q113" s="10">
        <v>836.36542432884255</v>
      </c>
      <c r="R113" s="10"/>
      <c r="S113" s="10" t="s">
        <v>2387</v>
      </c>
      <c r="T113" s="10" t="s">
        <v>2387</v>
      </c>
      <c r="U113" s="10"/>
      <c r="V113" s="10"/>
      <c r="W113" s="10"/>
      <c r="X113" s="10"/>
      <c r="Y113" s="10"/>
      <c r="Z113" s="10"/>
      <c r="AA113" s="10"/>
      <c r="AB113" s="10"/>
      <c r="AC113" s="10"/>
      <c r="AD113" s="10"/>
      <c r="AE113" t="s">
        <v>19</v>
      </c>
      <c r="AH113">
        <v>1</v>
      </c>
    </row>
    <row r="114" spans="1:34" ht="72.5">
      <c r="A114" t="s">
        <v>578</v>
      </c>
      <c r="B114" s="4" t="s">
        <v>1635</v>
      </c>
      <c r="C114" s="4" t="s">
        <v>1634</v>
      </c>
      <c r="G114" s="10" t="s">
        <v>24</v>
      </c>
      <c r="H114" s="10"/>
      <c r="I114" s="10">
        <v>1</v>
      </c>
      <c r="J114" s="10">
        <v>3</v>
      </c>
      <c r="K114" s="10" t="s">
        <v>2175</v>
      </c>
      <c r="L114" s="10" t="s">
        <v>2159</v>
      </c>
      <c r="M114" s="10"/>
      <c r="N114" s="11"/>
      <c r="O114" s="10"/>
      <c r="P114" s="10">
        <v>743</v>
      </c>
      <c r="Q114" s="10">
        <v>365.32599075621988</v>
      </c>
      <c r="R114" s="10"/>
      <c r="S114" s="10" t="s">
        <v>2387</v>
      </c>
      <c r="T114" s="10" t="s">
        <v>2387</v>
      </c>
      <c r="U114" s="10"/>
      <c r="V114" s="10"/>
      <c r="W114" s="10"/>
      <c r="X114" s="10"/>
      <c r="Y114" s="10"/>
      <c r="Z114" s="10"/>
      <c r="AA114" s="10"/>
      <c r="AB114" s="10"/>
      <c r="AC114" s="10"/>
      <c r="AD114" s="10"/>
      <c r="AE114" t="s">
        <v>19</v>
      </c>
      <c r="AH114">
        <v>1</v>
      </c>
    </row>
    <row r="115" spans="1:34" ht="72.5">
      <c r="A115" t="s">
        <v>579</v>
      </c>
      <c r="B115" s="4" t="s">
        <v>1639</v>
      </c>
      <c r="C115" s="4" t="s">
        <v>1638</v>
      </c>
      <c r="G115" s="10" t="s">
        <v>25</v>
      </c>
      <c r="H115" s="10"/>
      <c r="I115" s="10">
        <v>1</v>
      </c>
      <c r="J115" s="10">
        <v>1</v>
      </c>
      <c r="K115" s="10" t="s">
        <v>2158</v>
      </c>
      <c r="L115" s="10" t="s">
        <v>2200</v>
      </c>
      <c r="M115" s="10"/>
      <c r="N115" s="11"/>
      <c r="O115" s="10"/>
      <c r="P115" s="10">
        <v>2475</v>
      </c>
      <c r="Q115" s="10">
        <v>1216.9338184678927</v>
      </c>
      <c r="R115" s="10"/>
      <c r="S115" s="10" t="s">
        <v>2387</v>
      </c>
      <c r="T115" s="10" t="s">
        <v>2387</v>
      </c>
      <c r="U115" s="10"/>
      <c r="V115" s="10"/>
      <c r="W115" s="10"/>
      <c r="X115" s="10"/>
      <c r="Y115" s="10"/>
      <c r="Z115" s="10"/>
      <c r="AA115" s="10"/>
      <c r="AB115" s="10"/>
      <c r="AC115" s="10"/>
      <c r="AD115" s="10"/>
      <c r="AE115" t="s">
        <v>19</v>
      </c>
      <c r="AH115">
        <v>1</v>
      </c>
    </row>
    <row r="116" spans="1:34" ht="29">
      <c r="A116" t="s">
        <v>580</v>
      </c>
      <c r="B116" s="4" t="s">
        <v>1645</v>
      </c>
      <c r="C116" s="4" t="s">
        <v>1642</v>
      </c>
      <c r="G116" s="10" t="s">
        <v>25</v>
      </c>
      <c r="H116" s="10"/>
      <c r="I116" s="10">
        <v>1</v>
      </c>
      <c r="J116" s="10">
        <v>3</v>
      </c>
      <c r="K116" s="10" t="s">
        <v>2168</v>
      </c>
      <c r="L116" s="10" t="s">
        <v>2159</v>
      </c>
      <c r="M116" s="10"/>
      <c r="N116" s="11"/>
      <c r="O116" s="10"/>
      <c r="P116" s="10">
        <v>186</v>
      </c>
      <c r="Q116" s="10">
        <v>91.454420296981013</v>
      </c>
      <c r="R116" s="10"/>
      <c r="S116" s="10" t="s">
        <v>2387</v>
      </c>
      <c r="T116" s="10" t="s">
        <v>2387</v>
      </c>
      <c r="U116" s="10"/>
      <c r="V116" s="10"/>
      <c r="W116" s="10"/>
      <c r="X116" s="10"/>
      <c r="Y116" s="10"/>
      <c r="Z116" s="10"/>
      <c r="AA116" s="10"/>
      <c r="AB116" s="10"/>
      <c r="AC116" s="10"/>
      <c r="AD116" s="10"/>
      <c r="AE116" t="s">
        <v>19</v>
      </c>
      <c r="AH116">
        <v>1</v>
      </c>
    </row>
    <row r="117" spans="1:34" ht="29">
      <c r="A117" t="s">
        <v>581</v>
      </c>
      <c r="B117" s="4" t="s">
        <v>1651</v>
      </c>
      <c r="C117" s="4" t="s">
        <v>1650</v>
      </c>
      <c r="G117" s="10" t="s">
        <v>25</v>
      </c>
      <c r="H117" s="10"/>
      <c r="I117" s="10">
        <v>1</v>
      </c>
      <c r="J117" s="10">
        <v>2</v>
      </c>
      <c r="K117" s="10" t="s">
        <v>2177</v>
      </c>
      <c r="L117" s="10" t="s">
        <v>2200</v>
      </c>
      <c r="M117" s="10"/>
      <c r="N117" s="11"/>
      <c r="O117" s="10"/>
      <c r="P117" s="10">
        <v>613</v>
      </c>
      <c r="Q117" s="10">
        <v>301.40623463467404</v>
      </c>
      <c r="R117" s="10"/>
      <c r="S117" s="10" t="s">
        <v>2387</v>
      </c>
      <c r="T117" s="10" t="s">
        <v>2387</v>
      </c>
      <c r="U117" s="10"/>
      <c r="V117" s="10"/>
      <c r="W117" s="10"/>
      <c r="X117" s="10"/>
      <c r="Y117" s="10"/>
      <c r="Z117" s="10"/>
      <c r="AA117" s="10"/>
      <c r="AB117" s="10"/>
      <c r="AC117" s="10"/>
      <c r="AD117" s="10"/>
      <c r="AE117" t="s">
        <v>19</v>
      </c>
      <c r="AH117">
        <v>1</v>
      </c>
    </row>
    <row r="118" spans="1:34" ht="29">
      <c r="A118" t="s">
        <v>591</v>
      </c>
      <c r="B118" s="4" t="s">
        <v>1667</v>
      </c>
      <c r="C118" s="4" t="s">
        <v>1666</v>
      </c>
      <c r="G118" s="10" t="s">
        <v>25</v>
      </c>
      <c r="H118" s="10"/>
      <c r="I118" s="10">
        <v>1</v>
      </c>
      <c r="J118" s="10">
        <v>3</v>
      </c>
      <c r="K118" s="10" t="s">
        <v>2168</v>
      </c>
      <c r="L118" s="10" t="s">
        <v>2159</v>
      </c>
      <c r="M118" s="10"/>
      <c r="N118" s="11"/>
      <c r="O118" s="10"/>
      <c r="P118" s="10">
        <v>1701</v>
      </c>
      <c r="Q118" s="10">
        <v>836.36542432884255</v>
      </c>
      <c r="R118" s="10"/>
      <c r="S118" s="10" t="s">
        <v>2387</v>
      </c>
      <c r="T118" s="10" t="s">
        <v>2387</v>
      </c>
      <c r="U118" s="10"/>
      <c r="V118" s="10"/>
      <c r="W118" s="10"/>
      <c r="X118" s="10"/>
      <c r="Y118" s="10"/>
      <c r="Z118" s="10"/>
      <c r="AA118" s="10"/>
      <c r="AB118" s="10"/>
      <c r="AC118" s="10"/>
      <c r="AD118" s="10"/>
      <c r="AE118" t="s">
        <v>19</v>
      </c>
      <c r="AH118">
        <v>1</v>
      </c>
    </row>
    <row r="119" spans="1:34" ht="43.5">
      <c r="A119" t="s">
        <v>599</v>
      </c>
      <c r="B119" s="4" t="s">
        <v>1678</v>
      </c>
      <c r="C119" s="4" t="s">
        <v>1677</v>
      </c>
      <c r="G119" s="10" t="s">
        <v>24</v>
      </c>
      <c r="H119" s="10"/>
      <c r="I119" s="10">
        <v>1</v>
      </c>
      <c r="J119" s="10">
        <v>2</v>
      </c>
      <c r="K119" s="10" t="s">
        <v>2175</v>
      </c>
      <c r="L119" s="10" t="s">
        <v>2200</v>
      </c>
      <c r="M119" s="10"/>
      <c r="N119" s="11"/>
      <c r="O119" s="10" t="s">
        <v>2154</v>
      </c>
      <c r="P119" s="10">
        <v>312</v>
      </c>
      <c r="Q119" s="10">
        <v>153.4074146917101</v>
      </c>
      <c r="R119" s="10"/>
      <c r="S119" s="10" t="s">
        <v>2387</v>
      </c>
      <c r="T119" s="10" t="s">
        <v>2387</v>
      </c>
      <c r="U119" s="10"/>
      <c r="V119" s="10"/>
      <c r="W119" s="10"/>
      <c r="X119" s="10"/>
      <c r="Y119" s="10"/>
      <c r="Z119" s="10"/>
      <c r="AA119" s="10"/>
      <c r="AB119" s="10"/>
      <c r="AC119" s="10"/>
      <c r="AD119" s="10"/>
      <c r="AE119" t="s">
        <v>19</v>
      </c>
      <c r="AH119">
        <v>1</v>
      </c>
    </row>
    <row r="120" spans="1:34" ht="29">
      <c r="A120" t="s">
        <v>601</v>
      </c>
      <c r="B120" s="4" t="s">
        <v>1679</v>
      </c>
      <c r="C120" s="4" t="s">
        <v>1680</v>
      </c>
      <c r="G120" s="10" t="s">
        <v>24</v>
      </c>
      <c r="H120" s="10"/>
      <c r="I120" s="10">
        <v>1</v>
      </c>
      <c r="J120" s="10">
        <v>3</v>
      </c>
      <c r="K120" s="10" t="s">
        <v>2168</v>
      </c>
      <c r="L120" s="10" t="s">
        <v>2159</v>
      </c>
      <c r="M120" s="10"/>
      <c r="N120" s="11"/>
      <c r="O120" s="10"/>
      <c r="P120" s="10">
        <v>1701</v>
      </c>
      <c r="Q120" s="10">
        <v>836.36542432884255</v>
      </c>
      <c r="R120" s="10"/>
      <c r="S120" s="10" t="s">
        <v>2387</v>
      </c>
      <c r="T120" s="10" t="s">
        <v>2387</v>
      </c>
      <c r="U120" s="10"/>
      <c r="V120" s="10"/>
      <c r="W120" s="10"/>
      <c r="X120" s="10"/>
      <c r="Y120" s="10"/>
      <c r="Z120" s="10"/>
      <c r="AA120" s="10"/>
      <c r="AB120" s="10"/>
      <c r="AC120" s="10"/>
      <c r="AD120" s="10"/>
      <c r="AE120" t="s">
        <v>19</v>
      </c>
      <c r="AH120">
        <v>1</v>
      </c>
    </row>
    <row r="121" spans="1:34" ht="29">
      <c r="A121" t="s">
        <v>602</v>
      </c>
      <c r="B121" s="4" t="s">
        <v>1689</v>
      </c>
      <c r="C121" s="4" t="s">
        <v>1688</v>
      </c>
      <c r="G121" s="10" t="s">
        <v>24</v>
      </c>
      <c r="H121" s="10"/>
      <c r="I121" s="10">
        <v>1</v>
      </c>
      <c r="J121" s="10">
        <v>1</v>
      </c>
      <c r="K121" s="10" t="s">
        <v>2158</v>
      </c>
      <c r="L121" s="10" t="s">
        <v>2200</v>
      </c>
      <c r="M121" s="10"/>
      <c r="N121" s="11"/>
      <c r="O121" s="10"/>
      <c r="P121" s="10">
        <v>2475</v>
      </c>
      <c r="Q121" s="10">
        <v>1216.9338184678927</v>
      </c>
      <c r="R121" s="10"/>
      <c r="S121" s="10" t="s">
        <v>2387</v>
      </c>
      <c r="T121" s="10" t="s">
        <v>2387</v>
      </c>
      <c r="U121" s="10"/>
      <c r="V121" s="10"/>
      <c r="W121" s="10"/>
      <c r="X121" s="10"/>
      <c r="Y121" s="10"/>
      <c r="Z121" s="10"/>
      <c r="AA121" s="10"/>
      <c r="AB121" s="10"/>
      <c r="AC121" s="10"/>
      <c r="AD121" s="10"/>
      <c r="AE121" t="s">
        <v>19</v>
      </c>
      <c r="AH121">
        <v>1</v>
      </c>
    </row>
    <row r="122" spans="1:34" ht="58">
      <c r="A122" t="s">
        <v>602</v>
      </c>
      <c r="B122" s="4" t="s">
        <v>1690</v>
      </c>
      <c r="C122" s="4" t="s">
        <v>1691</v>
      </c>
      <c r="G122" s="10" t="s">
        <v>25</v>
      </c>
      <c r="H122" s="10"/>
      <c r="I122" s="10">
        <v>1</v>
      </c>
      <c r="J122" s="10">
        <v>3</v>
      </c>
      <c r="K122" s="10" t="s">
        <v>2158</v>
      </c>
      <c r="L122" s="10" t="s">
        <v>2159</v>
      </c>
      <c r="M122" s="10"/>
      <c r="N122" s="11"/>
      <c r="O122" s="10"/>
      <c r="P122" s="10">
        <v>2475</v>
      </c>
      <c r="Q122" s="10">
        <v>1216.9338184678927</v>
      </c>
      <c r="R122" s="10"/>
      <c r="S122" s="10" t="s">
        <v>2387</v>
      </c>
      <c r="T122" s="10" t="s">
        <v>2387</v>
      </c>
      <c r="U122" s="10"/>
      <c r="V122" s="10"/>
      <c r="W122" s="10"/>
      <c r="X122" s="10"/>
      <c r="Y122" s="10"/>
      <c r="Z122" s="10"/>
      <c r="AA122" s="10"/>
      <c r="AB122" s="10"/>
      <c r="AC122" s="10"/>
      <c r="AD122" s="10"/>
      <c r="AE122" t="s">
        <v>19</v>
      </c>
      <c r="AH122">
        <v>1</v>
      </c>
    </row>
    <row r="123" spans="1:34" ht="87">
      <c r="A123" t="s">
        <v>603</v>
      </c>
      <c r="B123" s="4" t="s">
        <v>1693</v>
      </c>
      <c r="C123" s="4" t="s">
        <v>1692</v>
      </c>
      <c r="G123" s="10" t="s">
        <v>25</v>
      </c>
      <c r="H123" s="10"/>
      <c r="I123" s="10">
        <v>1</v>
      </c>
      <c r="J123" s="10">
        <v>3</v>
      </c>
      <c r="K123" s="10" t="s">
        <v>2168</v>
      </c>
      <c r="L123" s="10" t="s">
        <v>2159</v>
      </c>
      <c r="M123" s="10"/>
      <c r="N123" s="11"/>
      <c r="O123" s="10"/>
      <c r="P123" s="10">
        <v>86</v>
      </c>
      <c r="Q123" s="10">
        <v>42.285377126561116</v>
      </c>
      <c r="R123" s="10"/>
      <c r="S123" s="10" t="s">
        <v>2387</v>
      </c>
      <c r="T123" s="10" t="s">
        <v>2387</v>
      </c>
      <c r="U123" s="10"/>
      <c r="V123" s="10"/>
      <c r="W123" s="10"/>
      <c r="X123" s="10"/>
      <c r="Y123" s="10"/>
      <c r="Z123" s="10"/>
      <c r="AA123" s="10"/>
      <c r="AB123" s="10"/>
      <c r="AC123" s="10"/>
      <c r="AD123" s="10"/>
      <c r="AE123" t="s">
        <v>19</v>
      </c>
      <c r="AH123">
        <v>1</v>
      </c>
    </row>
    <row r="124" spans="1:34" ht="87">
      <c r="A124" t="s">
        <v>603</v>
      </c>
      <c r="B124" s="4" t="s">
        <v>1694</v>
      </c>
      <c r="C124" s="4" t="s">
        <v>1692</v>
      </c>
      <c r="G124" s="10" t="s">
        <v>25</v>
      </c>
      <c r="H124" s="10"/>
      <c r="I124" s="10">
        <v>1</v>
      </c>
      <c r="J124" s="10">
        <v>3</v>
      </c>
      <c r="K124" s="10" t="s">
        <v>2168</v>
      </c>
      <c r="L124" s="10" t="s">
        <v>2159</v>
      </c>
      <c r="M124" s="10"/>
      <c r="N124" s="11"/>
      <c r="O124" s="10"/>
      <c r="P124" s="10">
        <v>1701</v>
      </c>
      <c r="Q124" s="10">
        <v>836.36542432884255</v>
      </c>
      <c r="R124" s="10"/>
      <c r="S124" s="10" t="s">
        <v>2387</v>
      </c>
      <c r="T124" s="10" t="s">
        <v>2387</v>
      </c>
      <c r="U124" s="10"/>
      <c r="V124" s="10"/>
      <c r="W124" s="10"/>
      <c r="X124" s="10"/>
      <c r="Y124" s="10"/>
      <c r="Z124" s="10"/>
      <c r="AA124" s="10"/>
      <c r="AB124" s="10"/>
      <c r="AC124" s="10"/>
      <c r="AD124" s="10"/>
      <c r="AE124" t="s">
        <v>19</v>
      </c>
      <c r="AH124">
        <v>1</v>
      </c>
    </row>
    <row r="125" spans="1:34" ht="43.5">
      <c r="A125" t="s">
        <v>603</v>
      </c>
      <c r="B125" s="4" t="s">
        <v>1697</v>
      </c>
      <c r="C125" s="4" t="s">
        <v>1698</v>
      </c>
      <c r="G125" s="10" t="s">
        <v>25</v>
      </c>
      <c r="H125" s="10"/>
      <c r="I125" s="10">
        <v>1</v>
      </c>
      <c r="J125" s="10">
        <v>2</v>
      </c>
      <c r="K125" s="10" t="s">
        <v>2158</v>
      </c>
      <c r="L125" s="10" t="s">
        <v>2200</v>
      </c>
      <c r="M125" s="10"/>
      <c r="N125" s="11"/>
      <c r="O125" s="10"/>
      <c r="P125" s="10">
        <v>2475</v>
      </c>
      <c r="Q125" s="10">
        <v>1216.9338184678927</v>
      </c>
      <c r="R125" s="10"/>
      <c r="S125" s="10" t="s">
        <v>2387</v>
      </c>
      <c r="T125" s="10" t="s">
        <v>2387</v>
      </c>
      <c r="U125" s="10"/>
      <c r="V125" s="10"/>
      <c r="W125" s="10"/>
      <c r="X125" s="10"/>
      <c r="Y125" s="10"/>
      <c r="Z125" s="10"/>
      <c r="AA125" s="10"/>
      <c r="AB125" s="10"/>
      <c r="AC125" s="10"/>
      <c r="AD125" s="10"/>
      <c r="AE125" t="s">
        <v>19</v>
      </c>
      <c r="AH125">
        <v>1</v>
      </c>
    </row>
    <row r="126" spans="1:34" ht="29">
      <c r="A126" t="s">
        <v>604</v>
      </c>
      <c r="B126" s="4" t="s">
        <v>1700</v>
      </c>
      <c r="C126" s="4" t="s">
        <v>1699</v>
      </c>
      <c r="G126" s="10" t="s">
        <v>24</v>
      </c>
      <c r="H126" s="10"/>
      <c r="I126" s="10">
        <v>1</v>
      </c>
      <c r="J126" s="10">
        <v>2</v>
      </c>
      <c r="K126" s="10" t="s">
        <v>2168</v>
      </c>
      <c r="L126" s="10" t="s">
        <v>2200</v>
      </c>
      <c r="M126" s="10"/>
      <c r="N126" s="11"/>
      <c r="O126" s="10"/>
      <c r="P126" s="10">
        <v>171</v>
      </c>
      <c r="Q126" s="10">
        <v>84.079063821418046</v>
      </c>
      <c r="R126" s="10"/>
      <c r="S126" s="10" t="s">
        <v>2387</v>
      </c>
      <c r="T126" s="10" t="s">
        <v>2387</v>
      </c>
      <c r="U126" s="10"/>
      <c r="V126" s="10"/>
      <c r="W126" s="10"/>
      <c r="X126" s="10"/>
      <c r="Y126" s="10"/>
      <c r="Z126" s="10"/>
      <c r="AA126" s="10"/>
      <c r="AB126" s="10"/>
      <c r="AC126" s="10"/>
      <c r="AD126" s="10"/>
      <c r="AE126" t="s">
        <v>19</v>
      </c>
      <c r="AH126">
        <v>1</v>
      </c>
    </row>
    <row r="127" spans="1:34" ht="58">
      <c r="A127" t="s">
        <v>605</v>
      </c>
      <c r="B127" s="4" t="s">
        <v>1703</v>
      </c>
      <c r="C127" s="4" t="s">
        <v>1706</v>
      </c>
      <c r="G127" s="10" t="s">
        <v>24</v>
      </c>
      <c r="H127" s="10"/>
      <c r="I127" s="10">
        <v>1</v>
      </c>
      <c r="J127" s="10">
        <v>2</v>
      </c>
      <c r="K127" s="10" t="s">
        <v>2177</v>
      </c>
      <c r="L127" s="10" t="s">
        <v>2200</v>
      </c>
      <c r="M127" s="10"/>
      <c r="N127" s="11"/>
      <c r="O127" s="10"/>
      <c r="P127" s="10">
        <v>613</v>
      </c>
      <c r="Q127" s="10">
        <v>301.40623463467404</v>
      </c>
      <c r="R127" s="10"/>
      <c r="S127" s="10" t="s">
        <v>2387</v>
      </c>
      <c r="T127" s="10" t="s">
        <v>2387</v>
      </c>
      <c r="U127" s="10"/>
      <c r="V127" s="10"/>
      <c r="W127" s="10"/>
      <c r="X127" s="10"/>
      <c r="Y127" s="10"/>
      <c r="Z127" s="10"/>
      <c r="AA127" s="10"/>
      <c r="AB127" s="10"/>
      <c r="AC127" s="10"/>
      <c r="AD127" s="10"/>
      <c r="AE127" t="s">
        <v>19</v>
      </c>
      <c r="AH127">
        <v>1</v>
      </c>
    </row>
    <row r="128" spans="1:34" ht="43.5">
      <c r="A128" t="s">
        <v>608</v>
      </c>
      <c r="B128" s="4" t="s">
        <v>1716</v>
      </c>
      <c r="C128" s="4" t="s">
        <v>1715</v>
      </c>
      <c r="G128" s="10" t="s">
        <v>25</v>
      </c>
      <c r="H128" s="10"/>
      <c r="I128" s="10">
        <v>1</v>
      </c>
      <c r="J128" s="10">
        <v>3</v>
      </c>
      <c r="K128" s="10" t="s">
        <v>2175</v>
      </c>
      <c r="L128" s="10" t="s">
        <v>2159</v>
      </c>
      <c r="M128" s="10"/>
      <c r="N128" s="11"/>
      <c r="O128" s="10"/>
      <c r="P128" s="10">
        <v>768</v>
      </c>
      <c r="Q128" s="10">
        <v>377.6182515488249</v>
      </c>
      <c r="R128" s="10"/>
      <c r="S128" s="10" t="s">
        <v>2387</v>
      </c>
      <c r="T128" s="10" t="s">
        <v>2387</v>
      </c>
      <c r="U128" s="10"/>
      <c r="V128" s="10"/>
      <c r="W128" s="10"/>
      <c r="X128" s="10"/>
      <c r="Y128" s="10"/>
      <c r="Z128" s="10"/>
      <c r="AA128" s="10"/>
      <c r="AB128" s="10"/>
      <c r="AC128" s="10"/>
      <c r="AD128" s="10"/>
      <c r="AE128" t="s">
        <v>19</v>
      </c>
      <c r="AH128">
        <v>1</v>
      </c>
    </row>
    <row r="129" spans="1:34" ht="29">
      <c r="A129" t="s">
        <v>609</v>
      </c>
      <c r="B129" s="4" t="s">
        <v>1717</v>
      </c>
      <c r="C129" s="4" t="s">
        <v>1718</v>
      </c>
      <c r="F129" t="s">
        <v>23</v>
      </c>
      <c r="G129" s="10" t="s">
        <v>25</v>
      </c>
      <c r="H129" s="10"/>
      <c r="I129" s="10">
        <v>1</v>
      </c>
      <c r="J129" s="10">
        <v>3</v>
      </c>
      <c r="K129" s="10" t="s">
        <v>2158</v>
      </c>
      <c r="L129" s="10" t="s">
        <v>2159</v>
      </c>
      <c r="M129" s="10"/>
      <c r="N129" s="11"/>
      <c r="O129" s="10"/>
      <c r="P129" s="10">
        <v>2475</v>
      </c>
      <c r="Q129" s="10">
        <v>1216.9338184678927</v>
      </c>
      <c r="R129" s="10"/>
      <c r="S129" s="10" t="s">
        <v>2387</v>
      </c>
      <c r="T129" s="10" t="s">
        <v>2387</v>
      </c>
      <c r="U129" s="10"/>
      <c r="V129" s="10"/>
      <c r="W129" s="10"/>
      <c r="X129" s="10"/>
      <c r="Y129" s="10"/>
      <c r="Z129" s="10"/>
      <c r="AA129" s="10"/>
      <c r="AB129" s="10"/>
      <c r="AC129" s="10"/>
      <c r="AD129" s="10"/>
      <c r="AE129" t="s">
        <v>20</v>
      </c>
      <c r="AH129">
        <v>0</v>
      </c>
    </row>
    <row r="130" spans="1:34" ht="43.5">
      <c r="A130" t="s">
        <v>610</v>
      </c>
      <c r="B130" s="4" t="s">
        <v>1722</v>
      </c>
      <c r="C130" s="4" t="s">
        <v>1719</v>
      </c>
      <c r="G130" s="10" t="s">
        <v>25</v>
      </c>
      <c r="H130" s="10"/>
      <c r="I130" s="10">
        <v>1</v>
      </c>
      <c r="J130" s="10">
        <v>3</v>
      </c>
      <c r="K130" s="10" t="s">
        <v>2168</v>
      </c>
      <c r="L130" s="10" t="s">
        <v>2159</v>
      </c>
      <c r="M130" s="10"/>
      <c r="N130" s="11"/>
      <c r="O130" s="10"/>
      <c r="P130" s="10">
        <v>1701</v>
      </c>
      <c r="Q130" s="10">
        <v>836.36542432884255</v>
      </c>
      <c r="R130" s="10"/>
      <c r="S130" s="10" t="s">
        <v>2387</v>
      </c>
      <c r="T130" s="10" t="s">
        <v>2387</v>
      </c>
      <c r="U130" s="10"/>
      <c r="V130" s="10"/>
      <c r="W130" s="10"/>
      <c r="X130" s="10"/>
      <c r="Y130" s="10"/>
      <c r="Z130" s="10"/>
      <c r="AA130" s="10"/>
      <c r="AB130" s="10"/>
      <c r="AC130" s="10"/>
      <c r="AD130" s="10"/>
      <c r="AE130" t="s">
        <v>19</v>
      </c>
      <c r="AH130">
        <v>1</v>
      </c>
    </row>
    <row r="131" spans="1:34" ht="29">
      <c r="A131" t="s">
        <v>613</v>
      </c>
      <c r="B131" s="4" t="s">
        <v>1724</v>
      </c>
      <c r="C131" s="4" t="s">
        <v>1723</v>
      </c>
      <c r="G131" s="10" t="s">
        <v>24</v>
      </c>
      <c r="H131" s="10"/>
      <c r="I131" s="10">
        <v>1</v>
      </c>
      <c r="J131" s="10">
        <v>2</v>
      </c>
      <c r="K131" s="10" t="s">
        <v>2158</v>
      </c>
      <c r="L131" s="10" t="s">
        <v>2200</v>
      </c>
      <c r="M131" s="10"/>
      <c r="N131" s="11"/>
      <c r="O131" s="10"/>
      <c r="P131" s="10">
        <v>2475</v>
      </c>
      <c r="Q131" s="10">
        <v>1216.9338184678927</v>
      </c>
      <c r="R131" s="10"/>
      <c r="S131" s="10" t="s">
        <v>2387</v>
      </c>
      <c r="T131" s="10" t="s">
        <v>2387</v>
      </c>
      <c r="U131" s="10"/>
      <c r="V131" s="10"/>
      <c r="W131" s="10"/>
      <c r="X131" s="10"/>
      <c r="Y131" s="10"/>
      <c r="Z131" s="10"/>
      <c r="AA131" s="10"/>
      <c r="AB131" s="10"/>
      <c r="AC131" s="10"/>
      <c r="AD131" s="10"/>
      <c r="AE131" t="s">
        <v>19</v>
      </c>
      <c r="AH131">
        <v>1</v>
      </c>
    </row>
    <row r="132" spans="1:34" ht="29">
      <c r="A132" t="s">
        <v>614</v>
      </c>
      <c r="B132" s="4" t="s">
        <v>1727</v>
      </c>
      <c r="C132" s="4" t="s">
        <v>1728</v>
      </c>
      <c r="G132" s="10" t="s">
        <v>25</v>
      </c>
      <c r="H132" s="10"/>
      <c r="I132" s="10">
        <v>1</v>
      </c>
      <c r="J132" s="10">
        <v>3</v>
      </c>
      <c r="K132" s="10" t="s">
        <v>2158</v>
      </c>
      <c r="L132" s="10" t="s">
        <v>2159</v>
      </c>
      <c r="M132" s="10"/>
      <c r="N132" s="11"/>
      <c r="O132" s="10"/>
      <c r="P132" s="10">
        <v>2475</v>
      </c>
      <c r="Q132" s="10">
        <v>1216.9338184678927</v>
      </c>
      <c r="R132" s="10"/>
      <c r="S132" s="10" t="s">
        <v>2387</v>
      </c>
      <c r="T132" s="10" t="s">
        <v>2387</v>
      </c>
      <c r="U132" s="10"/>
      <c r="V132" s="10"/>
      <c r="W132" s="10"/>
      <c r="X132" s="10"/>
      <c r="Y132" s="10"/>
      <c r="Z132" s="10"/>
      <c r="AA132" s="10"/>
      <c r="AB132" s="10"/>
      <c r="AC132" s="10"/>
      <c r="AD132" s="10"/>
      <c r="AE132" t="s">
        <v>19</v>
      </c>
      <c r="AH132">
        <v>1</v>
      </c>
    </row>
    <row r="133" spans="1:34" ht="87">
      <c r="A133" t="s">
        <v>616</v>
      </c>
      <c r="B133" s="4" t="s">
        <v>1733</v>
      </c>
      <c r="C133" s="4" t="s">
        <v>2299</v>
      </c>
      <c r="G133" s="10" t="s">
        <v>24</v>
      </c>
      <c r="H133" s="10"/>
      <c r="I133" s="10">
        <v>1</v>
      </c>
      <c r="J133" s="10">
        <v>3</v>
      </c>
      <c r="K133" s="10" t="s">
        <v>2168</v>
      </c>
      <c r="L133" s="10" t="s">
        <v>2159</v>
      </c>
      <c r="M133" s="10"/>
      <c r="N133" s="11"/>
      <c r="O133" s="10"/>
      <c r="P133" s="10">
        <v>1701</v>
      </c>
      <c r="Q133" s="10">
        <v>836.36542432884255</v>
      </c>
      <c r="R133" s="10"/>
      <c r="S133" s="10" t="s">
        <v>2387</v>
      </c>
      <c r="T133" s="10" t="s">
        <v>2387</v>
      </c>
      <c r="U133" s="10"/>
      <c r="V133" s="10"/>
      <c r="W133" s="10"/>
      <c r="X133" s="10"/>
      <c r="Y133" s="10"/>
      <c r="Z133" s="10"/>
      <c r="AA133" s="10"/>
      <c r="AB133" s="10"/>
      <c r="AC133" s="10"/>
      <c r="AD133" s="10"/>
      <c r="AE133" t="s">
        <v>20</v>
      </c>
      <c r="AH133">
        <v>0</v>
      </c>
    </row>
    <row r="134" spans="1:34" ht="43.5">
      <c r="A134" t="s">
        <v>620</v>
      </c>
      <c r="B134" s="4" t="s">
        <v>1739</v>
      </c>
      <c r="C134" s="4" t="s">
        <v>1738</v>
      </c>
      <c r="G134" s="10" t="s">
        <v>25</v>
      </c>
      <c r="H134" s="10"/>
      <c r="I134" s="10">
        <v>1</v>
      </c>
      <c r="J134" s="10">
        <v>3</v>
      </c>
      <c r="K134" s="10" t="s">
        <v>2175</v>
      </c>
      <c r="L134" s="10" t="s">
        <v>2159</v>
      </c>
      <c r="M134" s="10"/>
      <c r="N134" s="11"/>
      <c r="O134" s="10"/>
      <c r="P134" s="10">
        <v>743</v>
      </c>
      <c r="Q134" s="10">
        <v>365.32599075621988</v>
      </c>
      <c r="R134" s="10"/>
      <c r="S134" s="10" t="s">
        <v>2387</v>
      </c>
      <c r="T134" s="10" t="s">
        <v>2387</v>
      </c>
      <c r="U134" s="10"/>
      <c r="V134" s="10"/>
      <c r="W134" s="10"/>
      <c r="X134" s="10"/>
      <c r="Y134" s="10"/>
      <c r="Z134" s="10"/>
      <c r="AA134" s="10"/>
      <c r="AB134" s="10"/>
      <c r="AC134" s="10"/>
      <c r="AD134" s="10"/>
      <c r="AE134" t="s">
        <v>19</v>
      </c>
      <c r="AH134">
        <v>1</v>
      </c>
    </row>
    <row r="135" spans="1:34" ht="29">
      <c r="A135" t="s">
        <v>621</v>
      </c>
      <c r="B135" s="4" t="s">
        <v>1741</v>
      </c>
      <c r="C135" s="4" t="s">
        <v>1740</v>
      </c>
      <c r="G135" s="10" t="s">
        <v>25</v>
      </c>
      <c r="H135" s="10"/>
      <c r="I135" s="10">
        <v>1</v>
      </c>
      <c r="J135" s="10">
        <v>3</v>
      </c>
      <c r="K135" s="10" t="s">
        <v>2158</v>
      </c>
      <c r="L135" s="10" t="s">
        <v>2159</v>
      </c>
      <c r="M135" s="10"/>
      <c r="N135" s="11"/>
      <c r="O135" s="10"/>
      <c r="P135" s="10">
        <v>2475</v>
      </c>
      <c r="Q135" s="10">
        <v>1216.9338184678927</v>
      </c>
      <c r="R135" s="10"/>
      <c r="S135" s="10" t="s">
        <v>2387</v>
      </c>
      <c r="T135" s="10" t="s">
        <v>2387</v>
      </c>
      <c r="U135" s="10"/>
      <c r="V135" s="10"/>
      <c r="W135" s="10"/>
      <c r="X135" s="10"/>
      <c r="Y135" s="10"/>
      <c r="Z135" s="10"/>
      <c r="AA135" s="10"/>
      <c r="AB135" s="10"/>
      <c r="AC135" s="10"/>
      <c r="AD135" s="10"/>
      <c r="AE135" t="s">
        <v>19</v>
      </c>
      <c r="AH135">
        <v>1</v>
      </c>
    </row>
    <row r="136" spans="1:34" ht="29">
      <c r="A136" t="s">
        <v>625</v>
      </c>
      <c r="B136" s="4" t="s">
        <v>1744</v>
      </c>
      <c r="C136" s="4" t="s">
        <v>1745</v>
      </c>
      <c r="G136" s="10" t="s">
        <v>24</v>
      </c>
      <c r="H136" s="10"/>
      <c r="I136" s="10">
        <v>1</v>
      </c>
      <c r="J136" s="10">
        <v>2</v>
      </c>
      <c r="K136" s="10" t="s">
        <v>2168</v>
      </c>
      <c r="L136" s="10" t="s">
        <v>2200</v>
      </c>
      <c r="M136" s="10"/>
      <c r="N136" s="11"/>
      <c r="O136" s="10"/>
      <c r="P136" s="10">
        <v>171</v>
      </c>
      <c r="Q136" s="10">
        <v>84.079063821418046</v>
      </c>
      <c r="R136" s="10"/>
      <c r="S136" s="10" t="s">
        <v>2387</v>
      </c>
      <c r="T136" s="10" t="s">
        <v>2387</v>
      </c>
      <c r="U136" s="10"/>
      <c r="V136" s="10"/>
      <c r="W136" s="10"/>
      <c r="X136" s="10"/>
      <c r="Y136" s="10"/>
      <c r="Z136" s="10"/>
      <c r="AA136" s="10"/>
      <c r="AB136" s="10"/>
      <c r="AC136" s="10"/>
      <c r="AD136" s="10"/>
      <c r="AE136" t="s">
        <v>19</v>
      </c>
      <c r="AH136">
        <v>1</v>
      </c>
    </row>
    <row r="137" spans="1:34" ht="43.5">
      <c r="A137" t="s">
        <v>627</v>
      </c>
      <c r="B137" s="4" t="s">
        <v>1748</v>
      </c>
      <c r="C137" s="4" t="s">
        <v>1749</v>
      </c>
      <c r="G137" s="10" t="s">
        <v>25</v>
      </c>
      <c r="H137" s="10"/>
      <c r="I137" s="10">
        <v>1</v>
      </c>
      <c r="J137" s="10">
        <v>2</v>
      </c>
      <c r="K137" s="10" t="s">
        <v>2158</v>
      </c>
      <c r="L137" s="10" t="s">
        <v>2200</v>
      </c>
      <c r="M137" s="10"/>
      <c r="N137" s="11"/>
      <c r="O137" s="10"/>
      <c r="P137" s="10">
        <v>2475</v>
      </c>
      <c r="Q137" s="10">
        <v>1216.9338184678927</v>
      </c>
      <c r="R137" s="10"/>
      <c r="S137" s="10" t="s">
        <v>2387</v>
      </c>
      <c r="T137" s="10" t="s">
        <v>2387</v>
      </c>
      <c r="U137" s="10"/>
      <c r="V137" s="10"/>
      <c r="W137" s="10"/>
      <c r="X137" s="10"/>
      <c r="Y137" s="10"/>
      <c r="Z137" s="10"/>
      <c r="AA137" s="10"/>
      <c r="AB137" s="10"/>
      <c r="AC137" s="10"/>
      <c r="AD137" s="10"/>
      <c r="AE137" t="s">
        <v>19</v>
      </c>
      <c r="AH137">
        <v>1</v>
      </c>
    </row>
    <row r="138" spans="1:34" ht="29">
      <c r="A138" t="s">
        <v>630</v>
      </c>
      <c r="B138" s="4" t="s">
        <v>1752</v>
      </c>
      <c r="C138" s="4" t="s">
        <v>1753</v>
      </c>
      <c r="G138" s="10" t="s">
        <v>25</v>
      </c>
      <c r="H138" s="10"/>
      <c r="I138" s="10">
        <v>1</v>
      </c>
      <c r="J138" s="10">
        <v>2</v>
      </c>
      <c r="K138" s="10" t="s">
        <v>2168</v>
      </c>
      <c r="L138" s="10" t="s">
        <v>2200</v>
      </c>
      <c r="M138" s="10"/>
      <c r="N138" s="11"/>
      <c r="O138" s="10"/>
      <c r="P138" s="10">
        <v>171</v>
      </c>
      <c r="Q138" s="10">
        <v>84.079063821418046</v>
      </c>
      <c r="R138" s="10"/>
      <c r="S138" s="10" t="s">
        <v>2387</v>
      </c>
      <c r="T138" s="10" t="s">
        <v>2387</v>
      </c>
      <c r="U138" s="10"/>
      <c r="V138" s="10"/>
      <c r="W138" s="10"/>
      <c r="X138" s="10"/>
      <c r="Y138" s="10"/>
      <c r="Z138" s="10"/>
      <c r="AA138" s="10"/>
      <c r="AB138" s="10"/>
      <c r="AC138" s="10"/>
      <c r="AD138" s="10"/>
      <c r="AE138" t="s">
        <v>19</v>
      </c>
      <c r="AH138">
        <v>1</v>
      </c>
    </row>
    <row r="139" spans="1:34" ht="43.5">
      <c r="A139" t="s">
        <v>633</v>
      </c>
      <c r="B139" s="4" t="s">
        <v>1756</v>
      </c>
      <c r="C139" s="4" t="s">
        <v>1757</v>
      </c>
      <c r="G139" s="10" t="s">
        <v>25</v>
      </c>
      <c r="H139" s="10"/>
      <c r="I139" s="10">
        <v>1</v>
      </c>
      <c r="J139" s="10">
        <v>3</v>
      </c>
      <c r="K139" s="10" t="s">
        <v>2158</v>
      </c>
      <c r="L139" s="10" t="s">
        <v>2159</v>
      </c>
      <c r="M139" s="10"/>
      <c r="N139" s="11"/>
      <c r="O139" s="10"/>
      <c r="P139" s="10">
        <v>2475</v>
      </c>
      <c r="Q139" s="10">
        <v>1216.9338184678927</v>
      </c>
      <c r="R139" s="10"/>
      <c r="S139" s="10" t="s">
        <v>2387</v>
      </c>
      <c r="T139" s="10" t="s">
        <v>2387</v>
      </c>
      <c r="U139" s="10"/>
      <c r="V139" s="10"/>
      <c r="W139" s="10"/>
      <c r="X139" s="10"/>
      <c r="Y139" s="10"/>
      <c r="Z139" s="10"/>
      <c r="AA139" s="10"/>
      <c r="AB139" s="10"/>
      <c r="AC139" s="10"/>
      <c r="AD139" s="10"/>
      <c r="AE139" t="s">
        <v>19</v>
      </c>
      <c r="AH139">
        <v>1</v>
      </c>
    </row>
    <row r="140" spans="1:34" ht="72.5">
      <c r="A140" t="s">
        <v>638</v>
      </c>
      <c r="B140" s="4" t="s">
        <v>1763</v>
      </c>
      <c r="C140" s="4" t="s">
        <v>1760</v>
      </c>
      <c r="G140" s="10" t="s">
        <v>25</v>
      </c>
      <c r="H140" s="10"/>
      <c r="I140" s="10">
        <v>1</v>
      </c>
      <c r="J140" s="10">
        <v>3</v>
      </c>
      <c r="K140" s="10" t="s">
        <v>2158</v>
      </c>
      <c r="L140" s="10" t="s">
        <v>2159</v>
      </c>
      <c r="M140" s="10"/>
      <c r="N140" s="11"/>
      <c r="O140" s="10"/>
      <c r="P140" s="10">
        <v>2475</v>
      </c>
      <c r="Q140" s="10">
        <v>1216.9338184678927</v>
      </c>
      <c r="R140" s="10"/>
      <c r="S140" s="10" t="s">
        <v>2387</v>
      </c>
      <c r="T140" s="10" t="s">
        <v>2387</v>
      </c>
      <c r="U140" s="10"/>
      <c r="V140" s="10"/>
      <c r="W140" s="10"/>
      <c r="X140" s="10"/>
      <c r="Y140" s="10"/>
      <c r="Z140" s="10"/>
      <c r="AA140" s="10"/>
      <c r="AB140" s="10"/>
      <c r="AC140" s="10"/>
      <c r="AD140" s="10"/>
      <c r="AE140" t="s">
        <v>19</v>
      </c>
      <c r="AH140">
        <v>1</v>
      </c>
    </row>
    <row r="141" spans="1:34" ht="29">
      <c r="A141" t="s">
        <v>641</v>
      </c>
      <c r="B141" s="4" t="s">
        <v>1773</v>
      </c>
      <c r="C141" s="4" t="s">
        <v>1774</v>
      </c>
      <c r="G141" s="10" t="s">
        <v>24</v>
      </c>
      <c r="H141" s="10"/>
      <c r="I141" s="10">
        <v>1</v>
      </c>
      <c r="J141" s="10">
        <v>3</v>
      </c>
      <c r="K141" s="10" t="s">
        <v>2168</v>
      </c>
      <c r="L141" s="10" t="s">
        <v>2159</v>
      </c>
      <c r="M141" s="10"/>
      <c r="N141" s="11"/>
      <c r="O141" s="10"/>
      <c r="P141" s="10">
        <v>1701</v>
      </c>
      <c r="Q141" s="10">
        <v>836.36542432884255</v>
      </c>
      <c r="R141" s="10"/>
      <c r="S141" s="10" t="s">
        <v>2387</v>
      </c>
      <c r="T141" s="10" t="s">
        <v>2387</v>
      </c>
      <c r="U141" s="10"/>
      <c r="V141" s="10"/>
      <c r="W141" s="10"/>
      <c r="X141" s="10"/>
      <c r="Y141" s="10"/>
      <c r="Z141" s="10"/>
      <c r="AA141" s="10"/>
      <c r="AB141" s="10"/>
      <c r="AC141" s="10"/>
      <c r="AD141" s="10"/>
      <c r="AE141" t="s">
        <v>19</v>
      </c>
      <c r="AH141">
        <v>1</v>
      </c>
    </row>
    <row r="142" spans="1:34" ht="188.5">
      <c r="A142" t="s">
        <v>642</v>
      </c>
      <c r="B142" s="4" t="s">
        <v>1775</v>
      </c>
      <c r="C142" s="4" t="s">
        <v>1780</v>
      </c>
      <c r="G142" s="10" t="s">
        <v>24</v>
      </c>
      <c r="H142" s="10"/>
      <c r="I142" s="10">
        <v>1</v>
      </c>
      <c r="J142" s="10">
        <v>3</v>
      </c>
      <c r="K142" s="10" t="s">
        <v>2168</v>
      </c>
      <c r="L142" s="10" t="s">
        <v>2159</v>
      </c>
      <c r="M142" s="10"/>
      <c r="N142" s="10"/>
      <c r="O142" s="10"/>
      <c r="P142" s="10">
        <v>1701</v>
      </c>
      <c r="Q142" s="10">
        <v>836.36542432884255</v>
      </c>
      <c r="R142" s="10"/>
      <c r="S142" s="10" t="s">
        <v>2387</v>
      </c>
      <c r="T142" s="10" t="s">
        <v>2387</v>
      </c>
      <c r="U142" s="10"/>
      <c r="V142" s="10"/>
      <c r="W142" s="10"/>
      <c r="X142" s="10"/>
      <c r="Y142" s="10"/>
      <c r="Z142" s="10"/>
      <c r="AA142" s="10"/>
      <c r="AB142" s="10"/>
      <c r="AC142" s="10"/>
      <c r="AD142" s="10"/>
      <c r="AE142" t="s">
        <v>19</v>
      </c>
      <c r="AH142">
        <v>1</v>
      </c>
    </row>
    <row r="143" spans="1:34" ht="58">
      <c r="A143" t="s">
        <v>648</v>
      </c>
      <c r="B143" s="4" t="s">
        <v>1799</v>
      </c>
      <c r="C143" s="4" t="s">
        <v>1796</v>
      </c>
      <c r="G143" s="10" t="s">
        <v>25</v>
      </c>
      <c r="H143" s="10"/>
      <c r="I143" s="10">
        <v>1</v>
      </c>
      <c r="J143" s="10">
        <v>3</v>
      </c>
      <c r="K143" s="10" t="s">
        <v>2158</v>
      </c>
      <c r="L143" s="10" t="s">
        <v>2153</v>
      </c>
      <c r="M143" s="10" t="s">
        <v>2231</v>
      </c>
      <c r="N143" s="11" t="s">
        <v>2230</v>
      </c>
      <c r="O143" s="10"/>
      <c r="P143" s="10">
        <v>2475</v>
      </c>
      <c r="Q143" s="10">
        <v>1216.9338184678927</v>
      </c>
      <c r="R143" s="10"/>
      <c r="S143" s="10" t="s">
        <v>2387</v>
      </c>
      <c r="T143" s="10" t="s">
        <v>2387</v>
      </c>
      <c r="U143" s="10"/>
      <c r="V143" s="10"/>
      <c r="W143" s="10"/>
      <c r="X143" s="10"/>
      <c r="Y143" s="10"/>
      <c r="Z143" s="10"/>
      <c r="AA143" s="10"/>
      <c r="AB143" s="10"/>
      <c r="AC143" s="10"/>
      <c r="AD143" s="10"/>
      <c r="AE143" t="s">
        <v>19</v>
      </c>
      <c r="AH143">
        <v>1</v>
      </c>
    </row>
    <row r="144" spans="1:34" ht="72.5">
      <c r="A144" t="s">
        <v>652</v>
      </c>
      <c r="B144" s="4" t="s">
        <v>1807</v>
      </c>
      <c r="C144" s="4" t="s">
        <v>1802</v>
      </c>
      <c r="G144" s="10" t="s">
        <v>25</v>
      </c>
      <c r="H144" s="10"/>
      <c r="I144" s="10">
        <v>1</v>
      </c>
      <c r="J144" s="10">
        <v>3</v>
      </c>
      <c r="K144" s="10" t="s">
        <v>2168</v>
      </c>
      <c r="L144" s="10" t="s">
        <v>2159</v>
      </c>
      <c r="M144" s="10"/>
      <c r="N144" s="11"/>
      <c r="O144" s="10"/>
      <c r="P144" s="10">
        <v>186</v>
      </c>
      <c r="Q144" s="10">
        <v>91.454420296981013</v>
      </c>
      <c r="R144" s="10"/>
      <c r="S144" s="10" t="s">
        <v>2387</v>
      </c>
      <c r="T144" s="10" t="s">
        <v>2387</v>
      </c>
      <c r="U144" s="10"/>
      <c r="V144" s="10"/>
      <c r="W144" s="10"/>
      <c r="X144" s="10"/>
      <c r="Y144" s="10"/>
      <c r="Z144" s="10"/>
      <c r="AA144" s="10"/>
      <c r="AB144" s="10"/>
      <c r="AC144" s="10"/>
      <c r="AD144" s="10"/>
      <c r="AE144" t="s">
        <v>19</v>
      </c>
      <c r="AH144">
        <v>1</v>
      </c>
    </row>
    <row r="145" spans="1:34" ht="43.5">
      <c r="A145" t="s">
        <v>653</v>
      </c>
      <c r="B145" s="4" t="s">
        <v>1810</v>
      </c>
      <c r="C145" s="4" t="s">
        <v>1811</v>
      </c>
      <c r="G145" s="10" t="s">
        <v>24</v>
      </c>
      <c r="H145" s="10"/>
      <c r="I145" s="10">
        <v>1</v>
      </c>
      <c r="J145" s="10">
        <v>1</v>
      </c>
      <c r="K145" s="10" t="s">
        <v>2158</v>
      </c>
      <c r="L145" s="10" t="s">
        <v>2200</v>
      </c>
      <c r="M145" s="10"/>
      <c r="N145" s="11"/>
      <c r="O145" s="10"/>
      <c r="P145" s="10">
        <v>2475</v>
      </c>
      <c r="Q145" s="10">
        <v>1216.9338184678927</v>
      </c>
      <c r="R145" s="10"/>
      <c r="S145" s="10" t="s">
        <v>2387</v>
      </c>
      <c r="T145" s="10" t="s">
        <v>2387</v>
      </c>
      <c r="U145" s="10"/>
      <c r="V145" s="10"/>
      <c r="W145" s="10"/>
      <c r="X145" s="10"/>
      <c r="Y145" s="10"/>
      <c r="Z145" s="10"/>
      <c r="AA145" s="10"/>
      <c r="AB145" s="10"/>
      <c r="AC145" s="10"/>
      <c r="AD145" s="10"/>
      <c r="AE145" t="s">
        <v>19</v>
      </c>
      <c r="AH145">
        <v>1</v>
      </c>
    </row>
    <row r="146" spans="1:34" ht="72.5">
      <c r="A146" t="s">
        <v>661</v>
      </c>
      <c r="B146" s="4" t="s">
        <v>1813</v>
      </c>
      <c r="C146" s="4" t="s">
        <v>1812</v>
      </c>
      <c r="G146" s="10" t="s">
        <v>25</v>
      </c>
      <c r="H146" s="10"/>
      <c r="I146" s="10">
        <v>1</v>
      </c>
      <c r="J146" s="10">
        <v>5</v>
      </c>
      <c r="K146" s="10" t="s">
        <v>2175</v>
      </c>
      <c r="L146" s="10" t="s">
        <v>2159</v>
      </c>
      <c r="M146" s="10"/>
      <c r="N146" s="11"/>
      <c r="O146" s="10"/>
      <c r="P146" s="10">
        <v>830</v>
      </c>
      <c r="Q146" s="10">
        <v>408.10305831448517</v>
      </c>
      <c r="R146" s="10"/>
      <c r="S146" s="10" t="s">
        <v>2387</v>
      </c>
      <c r="T146" s="10" t="s">
        <v>2387</v>
      </c>
      <c r="U146" s="10"/>
      <c r="V146" s="10"/>
      <c r="W146" s="10"/>
      <c r="X146" s="10"/>
      <c r="Y146" s="10"/>
      <c r="Z146" s="10"/>
      <c r="AA146" s="10"/>
      <c r="AB146" s="10"/>
      <c r="AC146" s="10"/>
      <c r="AD146" s="10"/>
      <c r="AE146" t="s">
        <v>19</v>
      </c>
      <c r="AH146">
        <v>1</v>
      </c>
    </row>
    <row r="147" spans="1:34" ht="58">
      <c r="A147" t="s">
        <v>669</v>
      </c>
      <c r="B147" s="4" t="s">
        <v>1824</v>
      </c>
      <c r="C147" s="4" t="s">
        <v>1827</v>
      </c>
      <c r="G147" s="10" t="s">
        <v>24</v>
      </c>
      <c r="H147" s="10"/>
      <c r="I147" s="10">
        <v>1</v>
      </c>
      <c r="J147" s="10">
        <v>4</v>
      </c>
      <c r="K147" s="10" t="s">
        <v>2158</v>
      </c>
      <c r="L147" s="10" t="s">
        <v>2153</v>
      </c>
      <c r="M147" s="10" t="s">
        <v>2231</v>
      </c>
      <c r="N147" s="11" t="s">
        <v>2230</v>
      </c>
      <c r="O147" s="10"/>
      <c r="P147" s="10">
        <v>2475</v>
      </c>
      <c r="Q147" s="10">
        <v>1216.9338184678927</v>
      </c>
      <c r="R147" s="10"/>
      <c r="S147" s="10" t="s">
        <v>2387</v>
      </c>
      <c r="T147" s="10" t="s">
        <v>2387</v>
      </c>
      <c r="U147" s="10" t="s">
        <v>2198</v>
      </c>
      <c r="V147" s="10"/>
      <c r="W147" s="10"/>
      <c r="X147" s="10"/>
      <c r="Y147" s="10"/>
      <c r="Z147" s="10"/>
      <c r="AA147" s="10"/>
      <c r="AB147" s="10"/>
      <c r="AC147" s="10"/>
      <c r="AD147" s="10"/>
      <c r="AE147" t="s">
        <v>19</v>
      </c>
      <c r="AH147">
        <v>1</v>
      </c>
    </row>
    <row r="148" spans="1:34" ht="29">
      <c r="A148" t="s">
        <v>669</v>
      </c>
      <c r="B148" s="4" t="s">
        <v>1828</v>
      </c>
      <c r="C148" s="4" t="s">
        <v>1829</v>
      </c>
      <c r="G148" s="10" t="s">
        <v>25</v>
      </c>
      <c r="H148" s="10"/>
      <c r="I148" s="10">
        <v>1</v>
      </c>
      <c r="J148" s="10">
        <v>1</v>
      </c>
      <c r="K148" s="10" t="s">
        <v>2158</v>
      </c>
      <c r="L148" s="10" t="s">
        <v>2200</v>
      </c>
      <c r="M148" s="10"/>
      <c r="N148" s="11"/>
      <c r="O148" s="10"/>
      <c r="P148" s="10">
        <v>2475</v>
      </c>
      <c r="Q148" s="10">
        <v>1216.9338184678927</v>
      </c>
      <c r="R148" s="10"/>
      <c r="S148" s="10" t="s">
        <v>2387</v>
      </c>
      <c r="T148" s="10" t="s">
        <v>2387</v>
      </c>
      <c r="U148" s="10"/>
      <c r="V148" s="10"/>
      <c r="W148" s="10"/>
      <c r="X148" s="10"/>
      <c r="Y148" s="10"/>
      <c r="Z148" s="10"/>
      <c r="AA148" s="10"/>
      <c r="AB148" s="10"/>
      <c r="AC148" s="10"/>
      <c r="AD148" s="10"/>
      <c r="AE148" t="s">
        <v>19</v>
      </c>
      <c r="AH148">
        <v>1</v>
      </c>
    </row>
    <row r="149" spans="1:34" ht="87">
      <c r="A149" t="s">
        <v>671</v>
      </c>
      <c r="B149" s="4" t="s">
        <v>2445</v>
      </c>
      <c r="C149" s="4" t="s">
        <v>1831</v>
      </c>
      <c r="G149" s="10" t="s">
        <v>24</v>
      </c>
      <c r="H149" s="10"/>
      <c r="I149" s="10">
        <v>1</v>
      </c>
      <c r="J149" s="10">
        <v>2</v>
      </c>
      <c r="K149" s="10" t="s">
        <v>2158</v>
      </c>
      <c r="L149" s="10" t="s">
        <v>2200</v>
      </c>
      <c r="M149" s="10"/>
      <c r="N149" s="11"/>
      <c r="O149" s="10"/>
      <c r="P149" s="10">
        <v>2475</v>
      </c>
      <c r="Q149" s="10">
        <v>1216.9338184678927</v>
      </c>
      <c r="R149" s="10"/>
      <c r="S149" s="10" t="s">
        <v>2387</v>
      </c>
      <c r="T149" s="10" t="s">
        <v>2387</v>
      </c>
      <c r="U149" s="10"/>
      <c r="V149" s="10"/>
      <c r="W149" s="10"/>
      <c r="X149" s="10"/>
      <c r="Y149" s="10"/>
      <c r="Z149" s="10"/>
      <c r="AA149" s="10"/>
      <c r="AB149" s="10"/>
      <c r="AC149" s="10"/>
      <c r="AD149" s="10"/>
      <c r="AE149" t="s">
        <v>19</v>
      </c>
      <c r="AH149">
        <v>1</v>
      </c>
    </row>
    <row r="150" spans="1:34" ht="29">
      <c r="A150" t="s">
        <v>672</v>
      </c>
      <c r="B150" s="4" t="s">
        <v>1835</v>
      </c>
      <c r="C150" s="4" t="s">
        <v>1834</v>
      </c>
      <c r="G150" s="10" t="s">
        <v>25</v>
      </c>
      <c r="H150" s="10"/>
      <c r="I150" s="10">
        <v>1</v>
      </c>
      <c r="J150" s="10">
        <v>3</v>
      </c>
      <c r="K150" s="10" t="s">
        <v>2158</v>
      </c>
      <c r="L150" s="10" t="s">
        <v>2159</v>
      </c>
      <c r="M150" s="10"/>
      <c r="N150" s="11"/>
      <c r="O150" s="10"/>
      <c r="P150" s="10">
        <v>2475</v>
      </c>
      <c r="Q150" s="10">
        <v>1216.9338184678927</v>
      </c>
      <c r="R150" s="10"/>
      <c r="S150" s="10" t="s">
        <v>2387</v>
      </c>
      <c r="T150" s="10" t="s">
        <v>2387</v>
      </c>
      <c r="U150" s="10"/>
      <c r="V150" s="10"/>
      <c r="W150" s="10"/>
      <c r="X150" s="10"/>
      <c r="Y150" s="10"/>
      <c r="Z150" s="10"/>
      <c r="AA150" s="10"/>
      <c r="AB150" s="10"/>
      <c r="AC150" s="10"/>
      <c r="AD150" s="10"/>
      <c r="AE150" t="s">
        <v>19</v>
      </c>
      <c r="AH150">
        <v>1</v>
      </c>
    </row>
    <row r="151" spans="1:34" ht="29">
      <c r="A151" t="s">
        <v>675</v>
      </c>
      <c r="B151" s="4" t="s">
        <v>1837</v>
      </c>
      <c r="C151" s="4" t="s">
        <v>1836</v>
      </c>
      <c r="G151" s="10" t="s">
        <v>25</v>
      </c>
      <c r="H151" s="10"/>
      <c r="I151" s="10">
        <v>1</v>
      </c>
      <c r="J151" s="10">
        <v>3</v>
      </c>
      <c r="K151" s="10" t="s">
        <v>2158</v>
      </c>
      <c r="L151" s="10" t="s">
        <v>2159</v>
      </c>
      <c r="M151" s="10"/>
      <c r="N151" s="11"/>
      <c r="O151" s="10"/>
      <c r="P151" s="10">
        <v>2475</v>
      </c>
      <c r="Q151" s="10">
        <v>1216.9338184678927</v>
      </c>
      <c r="R151" s="10"/>
      <c r="S151" s="10" t="s">
        <v>2387</v>
      </c>
      <c r="T151" s="10" t="s">
        <v>2387</v>
      </c>
      <c r="U151" s="10"/>
      <c r="V151" s="10"/>
      <c r="W151" s="10"/>
      <c r="X151" s="10"/>
      <c r="Y151" s="10"/>
      <c r="Z151" s="10"/>
      <c r="AA151" s="10"/>
      <c r="AB151" s="10"/>
      <c r="AC151" s="10"/>
      <c r="AD151" s="10"/>
      <c r="AE151" t="s">
        <v>19</v>
      </c>
      <c r="AH151">
        <v>1</v>
      </c>
    </row>
    <row r="152" spans="1:34" ht="43.5">
      <c r="A152" t="s">
        <v>676</v>
      </c>
      <c r="B152" s="4" t="s">
        <v>1838</v>
      </c>
      <c r="C152" s="4" t="s">
        <v>1839</v>
      </c>
      <c r="F152" t="s">
        <v>19</v>
      </c>
      <c r="G152" s="10" t="s">
        <v>25</v>
      </c>
      <c r="H152" s="10"/>
      <c r="I152" s="10">
        <v>1</v>
      </c>
      <c r="J152" s="10">
        <v>4</v>
      </c>
      <c r="K152" s="10" t="s">
        <v>2177</v>
      </c>
      <c r="L152" s="10" t="s">
        <v>2159</v>
      </c>
      <c r="M152" s="10"/>
      <c r="N152" s="11"/>
      <c r="O152" s="10"/>
      <c r="P152" s="10">
        <v>99</v>
      </c>
      <c r="Q152" s="10">
        <v>48.677352738715705</v>
      </c>
      <c r="R152" s="10"/>
      <c r="S152" s="10" t="s">
        <v>2387</v>
      </c>
      <c r="T152" s="10" t="s">
        <v>2387</v>
      </c>
      <c r="U152" s="10"/>
      <c r="V152" s="10"/>
      <c r="W152" s="10"/>
      <c r="X152" s="10"/>
      <c r="Y152" s="10"/>
      <c r="Z152" s="10"/>
      <c r="AA152" s="10"/>
      <c r="AB152" s="10"/>
      <c r="AC152" s="10"/>
      <c r="AD152" s="10"/>
      <c r="AE152" t="s">
        <v>20</v>
      </c>
      <c r="AH152">
        <v>0</v>
      </c>
    </row>
    <row r="153" spans="1:34" ht="72.5">
      <c r="A153" t="s">
        <v>680</v>
      </c>
      <c r="B153" s="4" t="s">
        <v>1845</v>
      </c>
      <c r="C153" s="4" t="s">
        <v>1842</v>
      </c>
      <c r="G153" s="10" t="s">
        <v>25</v>
      </c>
      <c r="H153" s="10"/>
      <c r="I153" s="10">
        <v>1</v>
      </c>
      <c r="J153" s="10">
        <v>3</v>
      </c>
      <c r="K153" s="10" t="s">
        <v>2158</v>
      </c>
      <c r="L153" s="10" t="s">
        <v>2159</v>
      </c>
      <c r="M153" s="10"/>
      <c r="N153" s="11"/>
      <c r="O153" s="10"/>
      <c r="P153" s="10">
        <v>2475</v>
      </c>
      <c r="Q153" s="10">
        <v>1216.9338184678927</v>
      </c>
      <c r="R153" s="10"/>
      <c r="S153" s="10" t="s">
        <v>2387</v>
      </c>
      <c r="T153" s="10" t="s">
        <v>2387</v>
      </c>
      <c r="U153" s="10"/>
      <c r="V153" s="10"/>
      <c r="W153" s="10"/>
      <c r="X153" s="10"/>
      <c r="Y153" s="10"/>
      <c r="Z153" s="10"/>
      <c r="AA153" s="10"/>
      <c r="AB153" s="10"/>
      <c r="AC153" s="10"/>
      <c r="AD153" s="10"/>
      <c r="AE153" t="s">
        <v>19</v>
      </c>
      <c r="AH153">
        <v>1</v>
      </c>
    </row>
    <row r="154" spans="1:34" ht="29">
      <c r="A154" t="s">
        <v>681</v>
      </c>
      <c r="B154" s="4" t="s">
        <v>1849</v>
      </c>
      <c r="C154" s="4" t="s">
        <v>1846</v>
      </c>
      <c r="G154" s="10" t="s">
        <v>25</v>
      </c>
      <c r="H154" s="10"/>
      <c r="I154" s="10">
        <v>1</v>
      </c>
      <c r="J154" s="10">
        <v>1</v>
      </c>
      <c r="K154" s="10" t="s">
        <v>2158</v>
      </c>
      <c r="L154" s="10" t="s">
        <v>2200</v>
      </c>
      <c r="M154" s="10"/>
      <c r="N154" s="11"/>
      <c r="O154" s="10"/>
      <c r="P154" s="10">
        <v>2475</v>
      </c>
      <c r="Q154" s="10">
        <v>1216.9338184678927</v>
      </c>
      <c r="R154" s="10"/>
      <c r="S154" s="10" t="s">
        <v>2387</v>
      </c>
      <c r="T154" s="10" t="s">
        <v>2387</v>
      </c>
      <c r="U154" s="10"/>
      <c r="V154" s="10"/>
      <c r="W154" s="10"/>
      <c r="X154" s="10"/>
      <c r="Y154" s="10"/>
      <c r="Z154" s="10"/>
      <c r="AA154" s="10"/>
      <c r="AB154" s="10"/>
      <c r="AC154" s="10"/>
      <c r="AD154" s="10"/>
      <c r="AE154" t="s">
        <v>19</v>
      </c>
      <c r="AH154">
        <v>1</v>
      </c>
    </row>
    <row r="155" spans="1:34" ht="58">
      <c r="A155" t="s">
        <v>681</v>
      </c>
      <c r="B155" s="4" t="s">
        <v>1853</v>
      </c>
      <c r="C155" s="4" t="s">
        <v>1852</v>
      </c>
      <c r="G155" s="10" t="s">
        <v>25</v>
      </c>
      <c r="H155" s="10"/>
      <c r="I155" s="10">
        <v>1</v>
      </c>
      <c r="J155" s="10">
        <v>2</v>
      </c>
      <c r="K155" s="10" t="s">
        <v>2158</v>
      </c>
      <c r="L155" s="10" t="s">
        <v>2200</v>
      </c>
      <c r="M155" s="10"/>
      <c r="N155" s="11"/>
      <c r="O155" s="10"/>
      <c r="P155" s="10">
        <v>2475</v>
      </c>
      <c r="Q155" s="10">
        <v>1216.9338184678927</v>
      </c>
      <c r="R155" s="10"/>
      <c r="S155" s="10" t="s">
        <v>2387</v>
      </c>
      <c r="T155" s="10" t="s">
        <v>2387</v>
      </c>
      <c r="U155" s="10"/>
      <c r="V155" s="10"/>
      <c r="W155" s="10"/>
      <c r="X155" s="10"/>
      <c r="Y155" s="10"/>
      <c r="Z155" s="10"/>
      <c r="AA155" s="10"/>
      <c r="AB155" s="10"/>
      <c r="AC155" s="10"/>
      <c r="AD155" s="10"/>
      <c r="AE155" t="s">
        <v>19</v>
      </c>
      <c r="AH155">
        <v>1</v>
      </c>
    </row>
    <row r="156" spans="1:34" ht="58">
      <c r="A156" t="s">
        <v>681</v>
      </c>
      <c r="B156" s="4" t="s">
        <v>1854</v>
      </c>
      <c r="C156" s="4" t="s">
        <v>1852</v>
      </c>
      <c r="G156" s="10" t="s">
        <v>25</v>
      </c>
      <c r="H156" s="10"/>
      <c r="I156" s="10">
        <v>1</v>
      </c>
      <c r="J156" s="10">
        <v>2</v>
      </c>
      <c r="K156" s="10" t="s">
        <v>2158</v>
      </c>
      <c r="L156" s="10" t="s">
        <v>2200</v>
      </c>
      <c r="M156" s="10"/>
      <c r="N156" s="11"/>
      <c r="O156" s="10"/>
      <c r="P156" s="10">
        <v>2475</v>
      </c>
      <c r="Q156" s="10">
        <v>1216.9338184678927</v>
      </c>
      <c r="R156" s="10"/>
      <c r="S156" s="10" t="s">
        <v>2387</v>
      </c>
      <c r="T156" s="10" t="s">
        <v>2387</v>
      </c>
      <c r="U156" s="10"/>
      <c r="V156" s="10"/>
      <c r="W156" s="10"/>
      <c r="X156" s="10"/>
      <c r="Y156" s="10"/>
      <c r="Z156" s="10"/>
      <c r="AA156" s="10"/>
      <c r="AB156" s="10"/>
      <c r="AC156" s="10"/>
      <c r="AD156" s="10"/>
      <c r="AE156" t="s">
        <v>19</v>
      </c>
      <c r="AH156">
        <v>1</v>
      </c>
    </row>
    <row r="157" spans="1:34" ht="58">
      <c r="A157" t="s">
        <v>683</v>
      </c>
      <c r="B157" s="4" t="s">
        <v>1858</v>
      </c>
      <c r="C157" s="4" t="s">
        <v>1857</v>
      </c>
      <c r="G157" s="10" t="s">
        <v>25</v>
      </c>
      <c r="H157" s="10"/>
      <c r="I157" s="10">
        <v>1</v>
      </c>
      <c r="J157" s="10">
        <v>4</v>
      </c>
      <c r="K157" s="10" t="s">
        <v>2158</v>
      </c>
      <c r="L157" s="10" t="s">
        <v>2159</v>
      </c>
      <c r="M157" s="10"/>
      <c r="N157" s="11"/>
      <c r="O157" s="10"/>
      <c r="P157" s="10">
        <v>2475</v>
      </c>
      <c r="Q157" s="10">
        <v>1216.9338184678927</v>
      </c>
      <c r="R157" s="10"/>
      <c r="S157" s="10" t="s">
        <v>2387</v>
      </c>
      <c r="T157" s="10" t="s">
        <v>2387</v>
      </c>
      <c r="U157" s="10"/>
      <c r="V157" s="10"/>
      <c r="W157" s="10"/>
      <c r="X157" s="10"/>
      <c r="Y157" s="10"/>
      <c r="Z157" s="10"/>
      <c r="AA157" s="10"/>
      <c r="AB157" s="10"/>
      <c r="AC157" s="10"/>
      <c r="AD157" s="10"/>
      <c r="AE157" t="s">
        <v>19</v>
      </c>
      <c r="AH157">
        <v>1</v>
      </c>
    </row>
    <row r="158" spans="1:34" ht="43.5">
      <c r="A158" t="s">
        <v>684</v>
      </c>
      <c r="B158" s="4" t="s">
        <v>1864</v>
      </c>
      <c r="C158" s="4" t="s">
        <v>1863</v>
      </c>
      <c r="G158" s="10" t="s">
        <v>24</v>
      </c>
      <c r="H158" s="10"/>
      <c r="I158" s="10">
        <v>1</v>
      </c>
      <c r="J158" s="10">
        <v>4</v>
      </c>
      <c r="K158" s="10" t="s">
        <v>2158</v>
      </c>
      <c r="L158" s="10" t="s">
        <v>2153</v>
      </c>
      <c r="M158" s="10" t="s">
        <v>2229</v>
      </c>
      <c r="N158" s="11" t="s">
        <v>2230</v>
      </c>
      <c r="O158" s="10"/>
      <c r="P158" s="10">
        <v>2475</v>
      </c>
      <c r="Q158" s="10">
        <v>1216.9338184678927</v>
      </c>
      <c r="R158" s="10"/>
      <c r="S158" s="10" t="s">
        <v>2387</v>
      </c>
      <c r="T158" s="10" t="s">
        <v>2387</v>
      </c>
      <c r="U158" s="10"/>
      <c r="V158" s="10"/>
      <c r="W158" s="10"/>
      <c r="X158" s="10"/>
      <c r="Y158" s="10"/>
      <c r="Z158" s="10"/>
      <c r="AA158" s="10"/>
      <c r="AB158" s="10"/>
      <c r="AC158" s="10"/>
      <c r="AD158" s="10"/>
      <c r="AE158" t="s">
        <v>19</v>
      </c>
      <c r="AH158">
        <v>1</v>
      </c>
    </row>
    <row r="159" spans="1:34" ht="29">
      <c r="A159" t="s">
        <v>686</v>
      </c>
      <c r="B159" s="4" t="s">
        <v>1870</v>
      </c>
      <c r="C159" s="4" t="s">
        <v>1867</v>
      </c>
      <c r="G159" s="10" t="s">
        <v>25</v>
      </c>
      <c r="H159" s="10"/>
      <c r="I159" s="10">
        <v>1</v>
      </c>
      <c r="J159" s="10">
        <v>3</v>
      </c>
      <c r="K159" s="10" t="s">
        <v>2175</v>
      </c>
      <c r="L159" s="10" t="s">
        <v>2159</v>
      </c>
      <c r="M159" s="10"/>
      <c r="N159" s="11"/>
      <c r="O159" s="10"/>
      <c r="P159" s="10">
        <v>743</v>
      </c>
      <c r="Q159" s="10">
        <v>365.32599075621988</v>
      </c>
      <c r="R159" s="10"/>
      <c r="S159" s="10" t="s">
        <v>2387</v>
      </c>
      <c r="T159" s="10" t="s">
        <v>2387</v>
      </c>
      <c r="U159" s="10"/>
      <c r="V159" s="10"/>
      <c r="W159" s="10"/>
      <c r="X159" s="10"/>
      <c r="Y159" s="10"/>
      <c r="Z159" s="10"/>
      <c r="AA159" s="10"/>
      <c r="AB159" s="10"/>
      <c r="AC159" s="10"/>
      <c r="AD159" s="10"/>
      <c r="AE159" t="s">
        <v>19</v>
      </c>
      <c r="AH159">
        <v>1</v>
      </c>
    </row>
    <row r="160" spans="1:34" ht="43.5">
      <c r="A160" t="s">
        <v>689</v>
      </c>
      <c r="B160" s="4" t="s">
        <v>1881</v>
      </c>
      <c r="C160" s="4" t="s">
        <v>1882</v>
      </c>
      <c r="G160" s="10" t="s">
        <v>25</v>
      </c>
      <c r="H160" s="10"/>
      <c r="I160" s="10">
        <v>1</v>
      </c>
      <c r="J160" s="10">
        <v>1</v>
      </c>
      <c r="K160" s="10" t="s">
        <v>2158</v>
      </c>
      <c r="L160" s="10" t="s">
        <v>2200</v>
      </c>
      <c r="M160" s="10"/>
      <c r="N160" s="11"/>
      <c r="O160" s="10"/>
      <c r="P160" s="10">
        <v>2475</v>
      </c>
      <c r="Q160" s="10">
        <v>1216.9338184678927</v>
      </c>
      <c r="R160" s="10"/>
      <c r="S160" s="10" t="s">
        <v>2387</v>
      </c>
      <c r="T160" s="10" t="s">
        <v>2387</v>
      </c>
      <c r="U160" s="10"/>
      <c r="V160" s="10"/>
      <c r="W160" s="10"/>
      <c r="X160" s="10"/>
      <c r="Y160" s="10"/>
      <c r="Z160" s="10"/>
      <c r="AA160" s="10"/>
      <c r="AB160" s="10"/>
      <c r="AC160" s="10"/>
      <c r="AD160" s="10"/>
      <c r="AE160" t="s">
        <v>19</v>
      </c>
      <c r="AH160">
        <v>1</v>
      </c>
    </row>
    <row r="161" spans="1:34" ht="43.5">
      <c r="A161" t="s">
        <v>691</v>
      </c>
      <c r="B161" s="4" t="s">
        <v>1887</v>
      </c>
      <c r="C161" s="4" t="s">
        <v>1888</v>
      </c>
      <c r="G161" s="10" t="s">
        <v>25</v>
      </c>
      <c r="H161" s="10"/>
      <c r="I161" s="10">
        <v>1</v>
      </c>
      <c r="J161" s="10">
        <v>3</v>
      </c>
      <c r="K161" s="10" t="s">
        <v>2168</v>
      </c>
      <c r="L161" s="10" t="s">
        <v>2159</v>
      </c>
      <c r="M161" s="10"/>
      <c r="N161" s="11"/>
      <c r="O161" s="10"/>
      <c r="P161" s="10">
        <v>1701</v>
      </c>
      <c r="Q161" s="10">
        <v>836.36542432884255</v>
      </c>
      <c r="R161" s="10"/>
      <c r="S161" s="10" t="s">
        <v>2387</v>
      </c>
      <c r="T161" s="10" t="s">
        <v>2387</v>
      </c>
      <c r="U161" s="10"/>
      <c r="V161" s="10"/>
      <c r="W161" s="10"/>
      <c r="X161" s="10"/>
      <c r="Y161" s="10"/>
      <c r="Z161" s="10"/>
      <c r="AA161" s="10"/>
      <c r="AB161" s="10"/>
      <c r="AC161" s="10"/>
      <c r="AD161" s="10"/>
      <c r="AE161" t="s">
        <v>19</v>
      </c>
      <c r="AH161">
        <v>1</v>
      </c>
    </row>
    <row r="162" spans="1:34" ht="130.5">
      <c r="A162" t="s">
        <v>692</v>
      </c>
      <c r="B162" s="4" t="s">
        <v>1889</v>
      </c>
      <c r="C162" s="4" t="s">
        <v>1892</v>
      </c>
      <c r="G162" s="10" t="s">
        <v>24</v>
      </c>
      <c r="H162" s="10"/>
      <c r="I162" s="10">
        <v>1</v>
      </c>
      <c r="J162" s="10">
        <v>3</v>
      </c>
      <c r="K162" s="10" t="s">
        <v>2158</v>
      </c>
      <c r="L162" s="10" t="s">
        <v>2159</v>
      </c>
      <c r="M162" s="10"/>
      <c r="N162" s="11"/>
      <c r="O162" s="10"/>
      <c r="P162" s="10">
        <v>2475</v>
      </c>
      <c r="Q162" s="10">
        <v>1216.9338184678927</v>
      </c>
      <c r="R162" s="10"/>
      <c r="S162" s="10" t="s">
        <v>2387</v>
      </c>
      <c r="T162" s="10" t="s">
        <v>2387</v>
      </c>
      <c r="U162" s="10"/>
      <c r="V162" s="10"/>
      <c r="W162" s="10"/>
      <c r="X162" s="10"/>
      <c r="Y162" s="10"/>
      <c r="Z162" s="10"/>
      <c r="AA162" s="10"/>
      <c r="AB162" s="10"/>
      <c r="AC162" s="10"/>
      <c r="AD162" s="10"/>
      <c r="AE162" t="s">
        <v>20</v>
      </c>
      <c r="AH162">
        <v>0</v>
      </c>
    </row>
    <row r="163" spans="1:34" ht="43.5">
      <c r="A163" t="s">
        <v>696</v>
      </c>
      <c r="B163" s="4" t="s">
        <v>1901</v>
      </c>
      <c r="C163" s="4" t="s">
        <v>1900</v>
      </c>
      <c r="G163" s="10" t="s">
        <v>25</v>
      </c>
      <c r="H163" s="10"/>
      <c r="I163" s="10">
        <v>1</v>
      </c>
      <c r="J163" s="10">
        <v>5</v>
      </c>
      <c r="K163" s="10" t="s">
        <v>2175</v>
      </c>
      <c r="L163" s="10" t="s">
        <v>2159</v>
      </c>
      <c r="M163" s="10"/>
      <c r="N163" s="11"/>
      <c r="O163" s="10"/>
      <c r="P163" s="10">
        <v>830</v>
      </c>
      <c r="Q163" s="10">
        <v>408.10305831448517</v>
      </c>
      <c r="R163" s="10"/>
      <c r="S163" s="10" t="s">
        <v>2387</v>
      </c>
      <c r="T163" s="10" t="s">
        <v>2387</v>
      </c>
      <c r="U163" s="10"/>
      <c r="V163" s="10"/>
      <c r="W163" s="10"/>
      <c r="X163" s="10"/>
      <c r="Y163" s="10"/>
      <c r="Z163" s="10"/>
      <c r="AA163" s="10"/>
      <c r="AB163" s="10"/>
      <c r="AC163" s="10"/>
      <c r="AD163" s="10"/>
      <c r="AE163" t="s">
        <v>19</v>
      </c>
      <c r="AH163">
        <v>1</v>
      </c>
    </row>
    <row r="164" spans="1:34" ht="43.5">
      <c r="A164" t="s">
        <v>696</v>
      </c>
      <c r="B164" s="4" t="s">
        <v>1903</v>
      </c>
      <c r="C164" s="4" t="s">
        <v>1902</v>
      </c>
      <c r="G164" s="10" t="s">
        <v>25</v>
      </c>
      <c r="H164" s="10"/>
      <c r="I164" s="10">
        <v>1</v>
      </c>
      <c r="J164" s="10">
        <v>3</v>
      </c>
      <c r="K164" s="10" t="s">
        <v>2168</v>
      </c>
      <c r="L164" s="10" t="s">
        <v>2159</v>
      </c>
      <c r="M164" s="10"/>
      <c r="N164" s="11"/>
      <c r="O164" s="10"/>
      <c r="P164" s="10">
        <v>1701</v>
      </c>
      <c r="Q164" s="10">
        <v>836.36542432884255</v>
      </c>
      <c r="R164" s="10"/>
      <c r="S164" s="10" t="s">
        <v>2387</v>
      </c>
      <c r="T164" s="10" t="s">
        <v>2387</v>
      </c>
      <c r="U164" s="10"/>
      <c r="V164" s="10"/>
      <c r="W164" s="10"/>
      <c r="X164" s="10"/>
      <c r="Y164" s="10"/>
      <c r="Z164" s="10"/>
      <c r="AA164" s="10"/>
      <c r="AB164" s="10"/>
      <c r="AC164" s="10"/>
      <c r="AD164" s="10"/>
      <c r="AE164" t="s">
        <v>19</v>
      </c>
      <c r="AH164">
        <v>1</v>
      </c>
    </row>
    <row r="165" spans="1:34" ht="116">
      <c r="A165" t="s">
        <v>699</v>
      </c>
      <c r="B165" s="4" t="s">
        <v>1911</v>
      </c>
      <c r="C165" s="4" t="s">
        <v>1910</v>
      </c>
      <c r="G165" s="10" t="s">
        <v>25</v>
      </c>
      <c r="H165" s="10"/>
      <c r="I165" s="10">
        <v>1</v>
      </c>
      <c r="J165" s="10">
        <v>3</v>
      </c>
      <c r="K165" s="10" t="s">
        <v>2158</v>
      </c>
      <c r="L165" s="10" t="s">
        <v>2159</v>
      </c>
      <c r="M165" s="10"/>
      <c r="N165" s="11"/>
      <c r="O165" s="10"/>
      <c r="P165" s="10">
        <v>2475</v>
      </c>
      <c r="Q165" s="10">
        <v>1216.9338184678927</v>
      </c>
      <c r="R165" s="10"/>
      <c r="S165" s="10" t="s">
        <v>2387</v>
      </c>
      <c r="T165" s="10" t="s">
        <v>2387</v>
      </c>
      <c r="U165" s="10"/>
      <c r="V165" s="10"/>
      <c r="W165" s="10"/>
      <c r="X165" s="10"/>
      <c r="Y165" s="10"/>
      <c r="Z165" s="10"/>
      <c r="AA165" s="10"/>
      <c r="AB165" s="10"/>
      <c r="AC165" s="10"/>
      <c r="AD165" s="10"/>
      <c r="AE165" t="s">
        <v>20</v>
      </c>
      <c r="AH165">
        <v>0</v>
      </c>
    </row>
    <row r="166" spans="1:34" ht="43.5">
      <c r="A166" t="s">
        <v>702</v>
      </c>
      <c r="B166" s="4" t="s">
        <v>1925</v>
      </c>
      <c r="C166" s="4" t="s">
        <v>1924</v>
      </c>
      <c r="G166" s="10" t="s">
        <v>25</v>
      </c>
      <c r="H166" s="10"/>
      <c r="I166" s="10">
        <v>1</v>
      </c>
      <c r="J166" s="10">
        <v>3</v>
      </c>
      <c r="K166" s="10" t="s">
        <v>2168</v>
      </c>
      <c r="L166" s="10" t="s">
        <v>2153</v>
      </c>
      <c r="M166" s="10" t="s">
        <v>2229</v>
      </c>
      <c r="N166" s="11" t="s">
        <v>2309</v>
      </c>
      <c r="O166" s="10"/>
      <c r="P166" s="10">
        <v>1701</v>
      </c>
      <c r="Q166" s="10">
        <v>836.36542432884255</v>
      </c>
      <c r="R166" s="10"/>
      <c r="S166" s="10" t="s">
        <v>2387</v>
      </c>
      <c r="T166" s="10" t="s">
        <v>2387</v>
      </c>
      <c r="U166" s="10"/>
      <c r="V166" s="10"/>
      <c r="W166" s="10"/>
      <c r="X166" s="10"/>
      <c r="Y166" s="10"/>
      <c r="Z166" s="10"/>
      <c r="AA166" s="10"/>
      <c r="AB166" s="10"/>
      <c r="AC166" s="10"/>
      <c r="AD166" s="10"/>
      <c r="AE166" t="s">
        <v>19</v>
      </c>
      <c r="AH166">
        <v>1</v>
      </c>
    </row>
    <row r="167" spans="1:34" ht="43.5">
      <c r="A167" t="s">
        <v>706</v>
      </c>
      <c r="B167" s="4" t="s">
        <v>1936</v>
      </c>
      <c r="C167" s="4" t="s">
        <v>1937</v>
      </c>
      <c r="G167" s="10" t="s">
        <v>24</v>
      </c>
      <c r="H167" s="10"/>
      <c r="I167" s="10">
        <v>1</v>
      </c>
      <c r="J167" s="10">
        <v>2</v>
      </c>
      <c r="K167" s="10" t="s">
        <v>2168</v>
      </c>
      <c r="L167" s="10" t="s">
        <v>2200</v>
      </c>
      <c r="M167" s="10"/>
      <c r="N167" s="11"/>
      <c r="O167" s="10"/>
      <c r="P167" s="10">
        <v>171</v>
      </c>
      <c r="Q167" s="10">
        <v>84.079063821418046</v>
      </c>
      <c r="R167" s="10"/>
      <c r="S167" s="10" t="s">
        <v>2387</v>
      </c>
      <c r="T167" s="10" t="s">
        <v>2387</v>
      </c>
      <c r="U167" s="10"/>
      <c r="V167" s="10"/>
      <c r="W167" s="10"/>
      <c r="X167" s="10"/>
      <c r="Y167" s="10"/>
      <c r="Z167" s="10"/>
      <c r="AA167" s="10"/>
      <c r="AB167" s="10"/>
      <c r="AC167" s="10"/>
      <c r="AD167" s="10"/>
      <c r="AE167" t="s">
        <v>19</v>
      </c>
      <c r="AH167">
        <v>1</v>
      </c>
    </row>
    <row r="168" spans="1:34" ht="43.5">
      <c r="A168" t="s">
        <v>714</v>
      </c>
      <c r="B168" s="4" t="s">
        <v>1944</v>
      </c>
      <c r="C168" s="4" t="s">
        <v>1943</v>
      </c>
      <c r="G168" s="10" t="s">
        <v>24</v>
      </c>
      <c r="H168" s="10"/>
      <c r="I168" s="10">
        <v>1</v>
      </c>
      <c r="J168" s="10">
        <v>3</v>
      </c>
      <c r="K168" s="10" t="s">
        <v>2175</v>
      </c>
      <c r="L168" s="10" t="s">
        <v>2159</v>
      </c>
      <c r="M168" s="10"/>
      <c r="N168" s="11"/>
      <c r="O168" s="10"/>
      <c r="P168" s="10">
        <v>743</v>
      </c>
      <c r="Q168" s="10">
        <v>365.32599075621988</v>
      </c>
      <c r="R168" s="10"/>
      <c r="S168" s="10" t="s">
        <v>2387</v>
      </c>
      <c r="T168" s="10" t="s">
        <v>2387</v>
      </c>
      <c r="U168" s="10"/>
      <c r="V168" s="10"/>
      <c r="W168" s="10"/>
      <c r="X168" s="10"/>
      <c r="Y168" s="10"/>
      <c r="Z168" s="10"/>
      <c r="AA168" s="10"/>
      <c r="AB168" s="10"/>
      <c r="AC168" s="10"/>
      <c r="AD168" s="10"/>
      <c r="AE168" t="s">
        <v>19</v>
      </c>
      <c r="AH168">
        <v>1</v>
      </c>
    </row>
    <row r="169" spans="1:34" ht="87">
      <c r="A169" t="s">
        <v>715</v>
      </c>
      <c r="B169" s="4" t="s">
        <v>1946</v>
      </c>
      <c r="C169" s="4" t="s">
        <v>1945</v>
      </c>
      <c r="G169" s="10" t="s">
        <v>25</v>
      </c>
      <c r="H169" s="10"/>
      <c r="I169" s="10">
        <v>1</v>
      </c>
      <c r="J169" s="10">
        <v>3</v>
      </c>
      <c r="K169" s="10" t="s">
        <v>2168</v>
      </c>
      <c r="L169" s="10" t="s">
        <v>2159</v>
      </c>
      <c r="M169" s="10"/>
      <c r="N169" s="11"/>
      <c r="O169" s="10"/>
      <c r="P169" s="10">
        <v>1701</v>
      </c>
      <c r="Q169" s="10">
        <v>836.36542432884255</v>
      </c>
      <c r="R169" s="10"/>
      <c r="S169" s="10" t="s">
        <v>2387</v>
      </c>
      <c r="T169" s="10" t="s">
        <v>2387</v>
      </c>
      <c r="U169" s="10"/>
      <c r="V169" s="10"/>
      <c r="W169" s="10"/>
      <c r="X169" s="10"/>
      <c r="Y169" s="10"/>
      <c r="Z169" s="10"/>
      <c r="AA169" s="10"/>
      <c r="AB169" s="10"/>
      <c r="AC169" s="10"/>
      <c r="AD169" s="10"/>
      <c r="AE169" t="s">
        <v>19</v>
      </c>
      <c r="AH169">
        <v>1</v>
      </c>
    </row>
    <row r="170" spans="1:34" ht="29">
      <c r="A170" t="s">
        <v>716</v>
      </c>
      <c r="B170" s="4" t="s">
        <v>1950</v>
      </c>
      <c r="C170" s="4" t="s">
        <v>1949</v>
      </c>
      <c r="G170" s="10" t="s">
        <v>25</v>
      </c>
      <c r="H170" s="10"/>
      <c r="I170" s="10">
        <v>1</v>
      </c>
      <c r="J170" s="10">
        <v>3</v>
      </c>
      <c r="K170" s="10" t="s">
        <v>2168</v>
      </c>
      <c r="L170" s="10" t="s">
        <v>2159</v>
      </c>
      <c r="M170" s="10"/>
      <c r="N170" s="11"/>
      <c r="O170" s="10"/>
      <c r="P170" s="10">
        <v>186</v>
      </c>
      <c r="Q170" s="10">
        <v>91.454420296981013</v>
      </c>
      <c r="R170" s="10"/>
      <c r="S170" s="10" t="s">
        <v>2387</v>
      </c>
      <c r="T170" s="10" t="s">
        <v>2387</v>
      </c>
      <c r="U170" s="10"/>
      <c r="V170" s="10"/>
      <c r="W170" s="10"/>
      <c r="X170" s="10"/>
      <c r="Y170" s="10"/>
      <c r="Z170" s="10"/>
      <c r="AA170" s="10"/>
      <c r="AB170" s="10"/>
      <c r="AC170" s="10"/>
      <c r="AD170" s="10"/>
      <c r="AE170" t="s">
        <v>19</v>
      </c>
      <c r="AH170">
        <v>1</v>
      </c>
    </row>
    <row r="171" spans="1:34" ht="43.5">
      <c r="A171" t="s">
        <v>717</v>
      </c>
      <c r="B171" s="4" t="s">
        <v>1956</v>
      </c>
      <c r="C171" s="4" t="s">
        <v>1955</v>
      </c>
      <c r="G171" s="10" t="s">
        <v>25</v>
      </c>
      <c r="H171" s="10"/>
      <c r="I171" s="10">
        <v>1</v>
      </c>
      <c r="J171" s="10">
        <v>3</v>
      </c>
      <c r="K171" s="10" t="s">
        <v>2168</v>
      </c>
      <c r="L171" s="10" t="s">
        <v>2159</v>
      </c>
      <c r="M171" s="10"/>
      <c r="N171" s="11"/>
      <c r="O171" s="10"/>
      <c r="P171" s="10">
        <v>1701</v>
      </c>
      <c r="Q171" s="10">
        <v>836.36542432884255</v>
      </c>
      <c r="R171" s="10"/>
      <c r="S171" s="10" t="s">
        <v>2387</v>
      </c>
      <c r="T171" s="10" t="s">
        <v>2387</v>
      </c>
      <c r="U171" s="10"/>
      <c r="V171" s="10"/>
      <c r="W171" s="10"/>
      <c r="X171" s="10"/>
      <c r="Y171" s="10"/>
      <c r="Z171" s="10"/>
      <c r="AA171" s="10"/>
      <c r="AB171" s="10"/>
      <c r="AC171" s="10"/>
      <c r="AD171" s="10"/>
      <c r="AE171" t="s">
        <v>19</v>
      </c>
      <c r="AH171">
        <v>1</v>
      </c>
    </row>
    <row r="172" spans="1:34" ht="29">
      <c r="A172" t="s">
        <v>721</v>
      </c>
      <c r="B172" s="4" t="s">
        <v>1961</v>
      </c>
      <c r="C172" s="4" t="s">
        <v>1962</v>
      </c>
      <c r="G172" s="10" t="s">
        <v>25</v>
      </c>
      <c r="H172" s="10"/>
      <c r="I172" s="10">
        <v>1</v>
      </c>
      <c r="J172" s="10">
        <v>2</v>
      </c>
      <c r="K172" s="10" t="s">
        <v>2158</v>
      </c>
      <c r="L172" s="10" t="s">
        <v>2200</v>
      </c>
      <c r="M172" s="10"/>
      <c r="N172" s="11"/>
      <c r="O172" s="10"/>
      <c r="P172" s="10">
        <v>2475</v>
      </c>
      <c r="Q172" s="10">
        <v>1216.9338184678927</v>
      </c>
      <c r="R172" s="10"/>
      <c r="S172" s="10" t="s">
        <v>2387</v>
      </c>
      <c r="T172" s="10" t="s">
        <v>2387</v>
      </c>
      <c r="U172" s="10"/>
      <c r="V172" s="10"/>
      <c r="W172" s="10"/>
      <c r="X172" s="10"/>
      <c r="Y172" s="10"/>
      <c r="Z172" s="10"/>
      <c r="AA172" s="10"/>
      <c r="AB172" s="10"/>
      <c r="AC172" s="10"/>
      <c r="AD172" s="10"/>
      <c r="AE172" t="s">
        <v>19</v>
      </c>
      <c r="AH172">
        <v>1</v>
      </c>
    </row>
    <row r="173" spans="1:34" ht="87">
      <c r="A173" t="s">
        <v>725</v>
      </c>
      <c r="B173" s="4" t="s">
        <v>1974</v>
      </c>
      <c r="C173" s="4" t="s">
        <v>1975</v>
      </c>
      <c r="G173" s="10" t="s">
        <v>24</v>
      </c>
      <c r="H173" s="10"/>
      <c r="I173" s="10">
        <v>1</v>
      </c>
      <c r="J173" s="10">
        <v>2</v>
      </c>
      <c r="K173" s="10" t="s">
        <v>2168</v>
      </c>
      <c r="L173" s="10" t="s">
        <v>2200</v>
      </c>
      <c r="M173" s="10"/>
      <c r="N173" s="11"/>
      <c r="O173" s="10"/>
      <c r="P173" s="10">
        <v>171</v>
      </c>
      <c r="Q173" s="10">
        <v>84.079063821418046</v>
      </c>
      <c r="R173" s="10"/>
      <c r="S173" s="10" t="s">
        <v>2387</v>
      </c>
      <c r="T173" s="10" t="s">
        <v>2387</v>
      </c>
      <c r="U173" s="10"/>
      <c r="V173" s="10"/>
      <c r="W173" s="10"/>
      <c r="X173" s="10"/>
      <c r="Y173" s="10"/>
      <c r="Z173" s="10"/>
      <c r="AA173" s="10"/>
      <c r="AB173" s="10"/>
      <c r="AC173" s="10"/>
      <c r="AD173" s="10"/>
      <c r="AE173" t="s">
        <v>19</v>
      </c>
      <c r="AH173">
        <v>1</v>
      </c>
    </row>
    <row r="174" spans="1:34" ht="87">
      <c r="A174" t="s">
        <v>725</v>
      </c>
      <c r="B174" s="4" t="s">
        <v>1976</v>
      </c>
      <c r="C174" s="4" t="s">
        <v>1973</v>
      </c>
      <c r="G174" s="10" t="s">
        <v>25</v>
      </c>
      <c r="H174" s="10"/>
      <c r="I174" s="10">
        <v>1</v>
      </c>
      <c r="J174" s="10">
        <v>3</v>
      </c>
      <c r="K174" s="10" t="s">
        <v>2168</v>
      </c>
      <c r="L174" s="10" t="s">
        <v>2159</v>
      </c>
      <c r="M174" s="10"/>
      <c r="N174" s="11"/>
      <c r="O174" s="10"/>
      <c r="P174" s="10">
        <v>1701</v>
      </c>
      <c r="Q174" s="10">
        <v>836.36542432884255</v>
      </c>
      <c r="R174" s="10"/>
      <c r="S174" s="10" t="s">
        <v>2387</v>
      </c>
      <c r="T174" s="10" t="s">
        <v>2387</v>
      </c>
      <c r="U174" s="10"/>
      <c r="V174" s="10"/>
      <c r="W174" s="10"/>
      <c r="X174" s="10"/>
      <c r="Y174" s="10"/>
      <c r="Z174" s="10"/>
      <c r="AA174" s="10"/>
      <c r="AB174" s="10"/>
      <c r="AC174" s="10"/>
      <c r="AD174" s="10"/>
      <c r="AE174" t="s">
        <v>19</v>
      </c>
      <c r="AH174">
        <v>1</v>
      </c>
    </row>
    <row r="175" spans="1:34" ht="58">
      <c r="A175" t="s">
        <v>744</v>
      </c>
      <c r="B175" s="4" t="s">
        <v>1986</v>
      </c>
      <c r="C175" s="4" t="s">
        <v>1985</v>
      </c>
      <c r="G175" s="10" t="s">
        <v>24</v>
      </c>
      <c r="H175" s="10"/>
      <c r="I175" s="10">
        <v>1</v>
      </c>
      <c r="J175" s="10">
        <v>5</v>
      </c>
      <c r="K175" s="10" t="s">
        <v>2175</v>
      </c>
      <c r="L175" s="10" t="s">
        <v>2159</v>
      </c>
      <c r="M175" s="10"/>
      <c r="N175" s="11"/>
      <c r="O175" s="10"/>
      <c r="P175" s="10">
        <v>830</v>
      </c>
      <c r="Q175" s="10">
        <v>408.10305831448517</v>
      </c>
      <c r="R175" s="10"/>
      <c r="S175" s="10" t="s">
        <v>2387</v>
      </c>
      <c r="T175" s="10" t="s">
        <v>2387</v>
      </c>
      <c r="U175" s="10"/>
      <c r="V175" s="10"/>
      <c r="W175" s="10"/>
      <c r="X175" s="10"/>
      <c r="Y175" s="10"/>
      <c r="Z175" s="10"/>
      <c r="AA175" s="10"/>
      <c r="AB175" s="10"/>
      <c r="AC175" s="10"/>
      <c r="AD175" s="10"/>
      <c r="AE175" t="s">
        <v>19</v>
      </c>
      <c r="AH175">
        <v>1</v>
      </c>
    </row>
    <row r="176" spans="1:34" ht="43.5">
      <c r="A176" t="s">
        <v>747</v>
      </c>
      <c r="B176" s="4" t="s">
        <v>1992</v>
      </c>
      <c r="C176" s="4" t="s">
        <v>1991</v>
      </c>
      <c r="G176" s="10" t="s">
        <v>25</v>
      </c>
      <c r="H176" s="10"/>
      <c r="I176" s="10">
        <v>1</v>
      </c>
      <c r="J176" s="10">
        <v>3</v>
      </c>
      <c r="K176" s="10" t="s">
        <v>2175</v>
      </c>
      <c r="L176" s="10" t="s">
        <v>2159</v>
      </c>
      <c r="M176" s="10"/>
      <c r="N176" s="11"/>
      <c r="O176" s="10"/>
      <c r="P176" s="10">
        <v>312</v>
      </c>
      <c r="Q176" s="10">
        <v>153.4074146917101</v>
      </c>
      <c r="R176" s="10"/>
      <c r="S176" s="10" t="s">
        <v>2387</v>
      </c>
      <c r="T176" s="10" t="s">
        <v>2387</v>
      </c>
      <c r="U176" s="10"/>
      <c r="V176" s="10"/>
      <c r="W176" s="10"/>
      <c r="X176" s="10"/>
      <c r="Y176" s="10"/>
      <c r="Z176" s="10"/>
      <c r="AA176" s="10"/>
      <c r="AB176" s="10"/>
      <c r="AC176" s="10"/>
      <c r="AD176" s="10"/>
      <c r="AE176" t="s">
        <v>19</v>
      </c>
      <c r="AH176">
        <v>1</v>
      </c>
    </row>
    <row r="177" spans="1:34">
      <c r="A177" t="s">
        <v>747</v>
      </c>
      <c r="B177" s="4" t="s">
        <v>1994</v>
      </c>
      <c r="C177" s="4" t="s">
        <v>1993</v>
      </c>
      <c r="G177" s="10" t="s">
        <v>25</v>
      </c>
      <c r="H177" s="10"/>
      <c r="I177" s="10">
        <v>1</v>
      </c>
      <c r="J177" s="10">
        <v>1</v>
      </c>
      <c r="K177" s="10" t="s">
        <v>2158</v>
      </c>
      <c r="L177" s="10" t="s">
        <v>2200</v>
      </c>
      <c r="M177" s="10"/>
      <c r="N177" s="11"/>
      <c r="O177" s="10"/>
      <c r="P177" s="10">
        <v>2475</v>
      </c>
      <c r="Q177" s="10">
        <v>1216.9338184678927</v>
      </c>
      <c r="R177" s="10"/>
      <c r="S177" s="10" t="s">
        <v>2387</v>
      </c>
      <c r="T177" s="10" t="s">
        <v>2387</v>
      </c>
      <c r="U177" s="10"/>
      <c r="V177" s="10"/>
      <c r="W177" s="10"/>
      <c r="X177" s="10"/>
      <c r="Y177" s="10"/>
      <c r="Z177" s="10"/>
      <c r="AA177" s="10"/>
      <c r="AB177" s="10"/>
      <c r="AC177" s="10"/>
      <c r="AD177" s="10"/>
      <c r="AE177" t="s">
        <v>19</v>
      </c>
      <c r="AH177">
        <v>1</v>
      </c>
    </row>
    <row r="178" spans="1:34" ht="43.5">
      <c r="A178" t="s">
        <v>750</v>
      </c>
      <c r="B178" s="4" t="s">
        <v>1998</v>
      </c>
      <c r="C178" s="4" t="s">
        <v>1997</v>
      </c>
      <c r="G178" s="10" t="s">
        <v>25</v>
      </c>
      <c r="H178" s="10"/>
      <c r="I178" s="10">
        <v>1</v>
      </c>
      <c r="J178" s="10">
        <v>5</v>
      </c>
      <c r="K178" s="10" t="s">
        <v>2175</v>
      </c>
      <c r="L178" s="10" t="s">
        <v>2159</v>
      </c>
      <c r="M178" s="10"/>
      <c r="N178" s="11"/>
      <c r="O178" s="10"/>
      <c r="P178" s="10">
        <v>830</v>
      </c>
      <c r="Q178" s="10">
        <v>408.10305831448517</v>
      </c>
      <c r="R178" s="10"/>
      <c r="S178" s="10" t="s">
        <v>2387</v>
      </c>
      <c r="T178" s="10" t="s">
        <v>2387</v>
      </c>
      <c r="U178" s="10"/>
      <c r="V178" s="10"/>
      <c r="W178" s="10"/>
      <c r="X178" s="10"/>
      <c r="Y178" s="10"/>
      <c r="Z178" s="10"/>
      <c r="AA178" s="10"/>
      <c r="AB178" s="10"/>
      <c r="AC178" s="10"/>
      <c r="AD178" s="10"/>
      <c r="AE178" t="s">
        <v>19</v>
      </c>
      <c r="AH178">
        <v>1</v>
      </c>
    </row>
    <row r="179" spans="1:34" ht="43.5">
      <c r="A179" t="s">
        <v>753</v>
      </c>
      <c r="B179" s="4" t="s">
        <v>2001</v>
      </c>
      <c r="C179" s="4" t="s">
        <v>2002</v>
      </c>
      <c r="G179" s="10" t="s">
        <v>24</v>
      </c>
      <c r="H179" s="10"/>
      <c r="I179" s="10">
        <v>1</v>
      </c>
      <c r="J179" s="10">
        <v>3</v>
      </c>
      <c r="K179" s="10" t="s">
        <v>2158</v>
      </c>
      <c r="L179" s="10" t="s">
        <v>2153</v>
      </c>
      <c r="M179" s="10" t="s">
        <v>2231</v>
      </c>
      <c r="N179" s="11" t="s">
        <v>2230</v>
      </c>
      <c r="O179" s="10"/>
      <c r="P179" s="10">
        <v>2475</v>
      </c>
      <c r="Q179" s="10">
        <v>1216.9338184678927</v>
      </c>
      <c r="R179" s="10"/>
      <c r="S179" s="10" t="s">
        <v>2387</v>
      </c>
      <c r="T179" s="10" t="s">
        <v>2387</v>
      </c>
      <c r="U179" s="10"/>
      <c r="V179" s="10"/>
      <c r="W179" s="10"/>
      <c r="X179" s="10"/>
      <c r="Y179" s="10"/>
      <c r="Z179" s="10"/>
      <c r="AA179" s="10"/>
      <c r="AB179" s="10"/>
      <c r="AC179" s="10"/>
      <c r="AD179" s="10"/>
      <c r="AE179" t="s">
        <v>19</v>
      </c>
      <c r="AH179">
        <v>1</v>
      </c>
    </row>
    <row r="180" spans="1:34" ht="72.5">
      <c r="A180" t="s">
        <v>755</v>
      </c>
      <c r="B180" s="4" t="s">
        <v>2007</v>
      </c>
      <c r="C180" s="4" t="s">
        <v>2009</v>
      </c>
      <c r="G180" s="10" t="s">
        <v>25</v>
      </c>
      <c r="H180" s="10"/>
      <c r="I180" s="10">
        <v>1</v>
      </c>
      <c r="J180" s="10">
        <v>1</v>
      </c>
      <c r="K180" s="10" t="s">
        <v>2158</v>
      </c>
      <c r="L180" s="10" t="s">
        <v>2200</v>
      </c>
      <c r="M180" s="10"/>
      <c r="N180" s="11"/>
      <c r="O180" s="10"/>
      <c r="P180" s="10">
        <v>2475</v>
      </c>
      <c r="Q180" s="10">
        <v>1216.9338184678927</v>
      </c>
      <c r="R180" s="10"/>
      <c r="S180" s="10" t="s">
        <v>2387</v>
      </c>
      <c r="T180" s="10" t="s">
        <v>2387</v>
      </c>
      <c r="U180" s="10"/>
      <c r="V180" s="10"/>
      <c r="W180" s="10"/>
      <c r="X180" s="10"/>
      <c r="Y180" s="10"/>
      <c r="Z180" s="10"/>
      <c r="AA180" s="10"/>
      <c r="AB180" s="10"/>
      <c r="AC180" s="10"/>
      <c r="AD180" s="10"/>
      <c r="AE180" t="s">
        <v>19</v>
      </c>
      <c r="AH180">
        <v>1</v>
      </c>
    </row>
    <row r="181" spans="1:34" ht="29">
      <c r="A181" t="s">
        <v>756</v>
      </c>
      <c r="B181" s="4" t="s">
        <v>2011</v>
      </c>
      <c r="C181" s="4" t="s">
        <v>2012</v>
      </c>
      <c r="G181" s="10" t="s">
        <v>25</v>
      </c>
      <c r="H181" s="10"/>
      <c r="I181" s="10">
        <v>1</v>
      </c>
      <c r="J181" s="10">
        <v>3</v>
      </c>
      <c r="K181" s="10" t="s">
        <v>2177</v>
      </c>
      <c r="L181" s="10" t="s">
        <v>2159</v>
      </c>
      <c r="M181" s="10"/>
      <c r="N181" s="11"/>
      <c r="O181" s="10"/>
      <c r="P181" s="10">
        <v>166</v>
      </c>
      <c r="Q181" s="10">
        <v>81.620611662897048</v>
      </c>
      <c r="R181" s="10"/>
      <c r="S181" s="10" t="s">
        <v>2387</v>
      </c>
      <c r="T181" s="10" t="s">
        <v>2387</v>
      </c>
      <c r="U181" s="10"/>
      <c r="V181" s="10"/>
      <c r="W181" s="10"/>
      <c r="X181" s="10"/>
      <c r="Y181" s="10"/>
      <c r="Z181" s="10"/>
      <c r="AA181" s="10"/>
      <c r="AB181" s="10"/>
      <c r="AC181" s="10"/>
      <c r="AD181" s="10"/>
      <c r="AE181" t="s">
        <v>19</v>
      </c>
      <c r="AH181">
        <v>1</v>
      </c>
    </row>
    <row r="182" spans="1:34" ht="101.5">
      <c r="A182" t="s">
        <v>757</v>
      </c>
      <c r="B182" s="4" t="s">
        <v>2015</v>
      </c>
      <c r="C182" s="4" t="s">
        <v>2018</v>
      </c>
      <c r="G182" s="10" t="s">
        <v>24</v>
      </c>
      <c r="H182" s="10"/>
      <c r="I182" s="10">
        <v>1</v>
      </c>
      <c r="J182" s="10">
        <v>3</v>
      </c>
      <c r="K182" s="10" t="s">
        <v>2158</v>
      </c>
      <c r="L182" s="10" t="s">
        <v>2159</v>
      </c>
      <c r="M182" s="10"/>
      <c r="N182" s="11"/>
      <c r="O182" s="10"/>
      <c r="P182" s="10">
        <v>2475</v>
      </c>
      <c r="Q182" s="10">
        <v>1216.9338184678927</v>
      </c>
      <c r="R182" s="10"/>
      <c r="S182" s="10" t="s">
        <v>2387</v>
      </c>
      <c r="T182" s="10" t="s">
        <v>2387</v>
      </c>
      <c r="U182" s="10"/>
      <c r="V182" s="10"/>
      <c r="W182" s="10"/>
      <c r="X182" s="10"/>
      <c r="Y182" s="10"/>
      <c r="Z182" s="10"/>
      <c r="AA182" s="10"/>
      <c r="AB182" s="10"/>
      <c r="AC182" s="10"/>
      <c r="AD182" s="10"/>
      <c r="AE182" t="s">
        <v>19</v>
      </c>
      <c r="AH182">
        <v>1</v>
      </c>
    </row>
    <row r="183" spans="1:34" ht="43.5">
      <c r="A183" t="s">
        <v>758</v>
      </c>
      <c r="B183" s="4" t="s">
        <v>2020</v>
      </c>
      <c r="C183" s="4" t="s">
        <v>2019</v>
      </c>
      <c r="G183" s="10" t="s">
        <v>24</v>
      </c>
      <c r="H183" s="10"/>
      <c r="I183" s="10">
        <v>1</v>
      </c>
      <c r="J183" s="10">
        <v>3</v>
      </c>
      <c r="K183" s="10" t="s">
        <v>2168</v>
      </c>
      <c r="L183" s="10" t="s">
        <v>2159</v>
      </c>
      <c r="M183" s="10"/>
      <c r="N183" s="11"/>
      <c r="O183" s="10"/>
      <c r="P183" s="10">
        <v>86</v>
      </c>
      <c r="Q183" s="10">
        <v>42.285377126561116</v>
      </c>
      <c r="R183" s="10"/>
      <c r="S183" s="10" t="s">
        <v>2387</v>
      </c>
      <c r="T183" s="10" t="s">
        <v>2387</v>
      </c>
      <c r="U183" s="10"/>
      <c r="V183" s="10"/>
      <c r="W183" s="10"/>
      <c r="X183" s="10"/>
      <c r="Y183" s="10"/>
      <c r="Z183" s="10"/>
      <c r="AA183" s="10"/>
      <c r="AB183" s="10"/>
      <c r="AC183" s="10"/>
      <c r="AD183" s="10"/>
      <c r="AE183" t="s">
        <v>19</v>
      </c>
      <c r="AH183">
        <v>1</v>
      </c>
    </row>
    <row r="184" spans="1:34" ht="43.5">
      <c r="A184" t="s">
        <v>760</v>
      </c>
      <c r="B184" s="4" t="s">
        <v>2026</v>
      </c>
      <c r="C184" s="4" t="s">
        <v>2023</v>
      </c>
      <c r="G184" s="10" t="s">
        <v>25</v>
      </c>
      <c r="H184" s="10"/>
      <c r="I184" s="10">
        <v>1</v>
      </c>
      <c r="J184" s="10">
        <v>1</v>
      </c>
      <c r="K184" s="10" t="s">
        <v>2158</v>
      </c>
      <c r="L184" s="10" t="s">
        <v>2200</v>
      </c>
      <c r="M184" s="10"/>
      <c r="N184" s="11"/>
      <c r="O184" s="10"/>
      <c r="P184" s="10">
        <v>2475</v>
      </c>
      <c r="Q184" s="10">
        <v>1216.9338184678927</v>
      </c>
      <c r="R184" s="10"/>
      <c r="S184" s="10" t="s">
        <v>2387</v>
      </c>
      <c r="T184" s="10" t="s">
        <v>2387</v>
      </c>
      <c r="U184" s="10"/>
      <c r="V184" s="10"/>
      <c r="W184" s="10"/>
      <c r="X184" s="10"/>
      <c r="Y184" s="10"/>
      <c r="Z184" s="10"/>
      <c r="AA184" s="10"/>
      <c r="AB184" s="10"/>
      <c r="AC184" s="10"/>
      <c r="AD184" s="10"/>
      <c r="AE184" t="s">
        <v>19</v>
      </c>
      <c r="AH184">
        <v>1</v>
      </c>
    </row>
    <row r="185" spans="1:34" ht="29">
      <c r="A185" t="s">
        <v>762</v>
      </c>
      <c r="B185" s="4" t="s">
        <v>2032</v>
      </c>
      <c r="C185" s="4" t="s">
        <v>2031</v>
      </c>
      <c r="G185" s="10" t="s">
        <v>24</v>
      </c>
      <c r="H185" s="10"/>
      <c r="I185" s="10">
        <v>1</v>
      </c>
      <c r="J185" s="10">
        <v>3</v>
      </c>
      <c r="K185" s="10" t="s">
        <v>2168</v>
      </c>
      <c r="L185" s="10" t="s">
        <v>2159</v>
      </c>
      <c r="M185" s="10"/>
      <c r="N185" s="11"/>
      <c r="O185" s="10"/>
      <c r="P185" s="10">
        <v>86</v>
      </c>
      <c r="Q185" s="10">
        <v>42.285377126561116</v>
      </c>
      <c r="R185" s="10"/>
      <c r="S185" s="10" t="s">
        <v>2387</v>
      </c>
      <c r="T185" s="10" t="s">
        <v>2387</v>
      </c>
      <c r="U185" s="10"/>
      <c r="V185" s="10"/>
      <c r="W185" s="10"/>
      <c r="X185" s="10"/>
      <c r="Y185" s="10"/>
      <c r="Z185" s="10"/>
      <c r="AA185" s="10"/>
      <c r="AB185" s="10"/>
      <c r="AC185" s="10"/>
      <c r="AD185" s="10"/>
      <c r="AE185" t="s">
        <v>19</v>
      </c>
      <c r="AH185">
        <v>1</v>
      </c>
    </row>
    <row r="186" spans="1:34" ht="29">
      <c r="A186" t="s">
        <v>764</v>
      </c>
      <c r="B186" s="4" t="s">
        <v>2039</v>
      </c>
      <c r="C186" s="4" t="s">
        <v>2038</v>
      </c>
      <c r="G186" s="10" t="s">
        <v>25</v>
      </c>
      <c r="H186" s="10"/>
      <c r="I186" s="10">
        <v>1</v>
      </c>
      <c r="J186" s="10">
        <v>1</v>
      </c>
      <c r="K186" s="10" t="s">
        <v>2158</v>
      </c>
      <c r="L186" s="10" t="s">
        <v>2200</v>
      </c>
      <c r="M186" s="10"/>
      <c r="N186" s="11"/>
      <c r="O186" s="10"/>
      <c r="P186" s="10">
        <v>2475</v>
      </c>
      <c r="Q186" s="10">
        <v>1216.9338184678927</v>
      </c>
      <c r="R186" s="10"/>
      <c r="S186" s="10" t="s">
        <v>2387</v>
      </c>
      <c r="T186" s="10" t="s">
        <v>2387</v>
      </c>
      <c r="U186" s="10"/>
      <c r="V186" s="10"/>
      <c r="W186" s="10"/>
      <c r="X186" s="10"/>
      <c r="Y186" s="10"/>
      <c r="Z186" s="10"/>
      <c r="AA186" s="10"/>
      <c r="AB186" s="10"/>
      <c r="AC186" s="10"/>
      <c r="AD186" s="10"/>
      <c r="AE186" t="s">
        <v>19</v>
      </c>
      <c r="AH186">
        <v>1</v>
      </c>
    </row>
    <row r="187" spans="1:34" ht="43.5">
      <c r="A187" t="s">
        <v>768</v>
      </c>
      <c r="B187" s="4" t="s">
        <v>2042</v>
      </c>
      <c r="C187" s="4" t="s">
        <v>2043</v>
      </c>
      <c r="G187" s="10" t="s">
        <v>25</v>
      </c>
      <c r="H187" s="10"/>
      <c r="I187" s="10">
        <v>1</v>
      </c>
      <c r="J187" s="10">
        <v>3</v>
      </c>
      <c r="K187" s="10" t="s">
        <v>2158</v>
      </c>
      <c r="L187" s="10" t="s">
        <v>2159</v>
      </c>
      <c r="M187" s="10"/>
      <c r="N187" s="11"/>
      <c r="O187" s="10"/>
      <c r="P187" s="10">
        <v>2475</v>
      </c>
      <c r="Q187" s="10">
        <v>1216.9338184678927</v>
      </c>
      <c r="R187" s="10"/>
      <c r="S187" s="10" t="s">
        <v>2387</v>
      </c>
      <c r="T187" s="10" t="s">
        <v>2387</v>
      </c>
      <c r="U187" s="10"/>
      <c r="V187" s="10"/>
      <c r="W187" s="10"/>
      <c r="X187" s="10"/>
      <c r="Y187" s="10"/>
      <c r="Z187" s="10"/>
      <c r="AA187" s="10"/>
      <c r="AB187" s="10"/>
      <c r="AC187" s="10"/>
      <c r="AD187" s="10"/>
      <c r="AE187" t="s">
        <v>19</v>
      </c>
      <c r="AH187">
        <v>1</v>
      </c>
    </row>
    <row r="188" spans="1:34" ht="29">
      <c r="A188" t="s">
        <v>772</v>
      </c>
      <c r="B188" s="4" t="s">
        <v>2046</v>
      </c>
      <c r="C188" s="4" t="s">
        <v>2047</v>
      </c>
      <c r="G188" s="10" t="s">
        <v>25</v>
      </c>
      <c r="H188" s="10"/>
      <c r="I188" s="10">
        <v>1</v>
      </c>
      <c r="J188" s="10">
        <v>1</v>
      </c>
      <c r="K188" s="10" t="s">
        <v>2158</v>
      </c>
      <c r="L188" s="10" t="s">
        <v>2200</v>
      </c>
      <c r="M188" s="10"/>
      <c r="N188" s="11"/>
      <c r="O188" s="10"/>
      <c r="P188" s="10">
        <v>2475</v>
      </c>
      <c r="Q188" s="10">
        <v>1216.9338184678927</v>
      </c>
      <c r="R188" s="10"/>
      <c r="S188" s="10" t="s">
        <v>2387</v>
      </c>
      <c r="T188" s="10" t="s">
        <v>2387</v>
      </c>
      <c r="U188" s="10"/>
      <c r="V188" s="10"/>
      <c r="W188" s="10"/>
      <c r="X188" s="10"/>
      <c r="Y188" s="10"/>
      <c r="Z188" s="10"/>
      <c r="AA188" s="10"/>
      <c r="AB188" s="10"/>
      <c r="AC188" s="10"/>
      <c r="AD188" s="10"/>
      <c r="AE188" t="s">
        <v>19</v>
      </c>
      <c r="AH188">
        <v>1</v>
      </c>
    </row>
    <row r="189" spans="1:34" ht="29">
      <c r="A189" t="s">
        <v>774</v>
      </c>
      <c r="B189" s="4" t="s">
        <v>2051</v>
      </c>
      <c r="C189" s="4" t="s">
        <v>2050</v>
      </c>
      <c r="G189" s="10" t="s">
        <v>24</v>
      </c>
      <c r="H189" s="10"/>
      <c r="I189" s="10">
        <v>1</v>
      </c>
      <c r="J189" s="10">
        <v>2</v>
      </c>
      <c r="K189" s="10" t="s">
        <v>2158</v>
      </c>
      <c r="L189" s="10" t="s">
        <v>2200</v>
      </c>
      <c r="M189" s="10"/>
      <c r="N189" s="11"/>
      <c r="O189" s="10"/>
      <c r="P189" s="10">
        <v>2475</v>
      </c>
      <c r="Q189" s="10">
        <v>1216.9338184678927</v>
      </c>
      <c r="R189" s="10"/>
      <c r="S189" s="10" t="s">
        <v>2387</v>
      </c>
      <c r="T189" s="10" t="s">
        <v>2387</v>
      </c>
      <c r="U189" s="10"/>
      <c r="V189" s="10"/>
      <c r="W189" s="10"/>
      <c r="X189" s="10"/>
      <c r="Y189" s="10"/>
      <c r="Z189" s="10"/>
      <c r="AA189" s="10"/>
      <c r="AB189" s="10"/>
      <c r="AC189" s="10"/>
      <c r="AD189" s="10"/>
      <c r="AE189" t="s">
        <v>19</v>
      </c>
      <c r="AH189">
        <v>1</v>
      </c>
    </row>
    <row r="190" spans="1:34" ht="43.5">
      <c r="A190" t="s">
        <v>779</v>
      </c>
      <c r="B190" s="4" t="s">
        <v>2066</v>
      </c>
      <c r="C190" s="4" t="s">
        <v>2065</v>
      </c>
      <c r="G190" s="10" t="s">
        <v>25</v>
      </c>
      <c r="H190" s="10"/>
      <c r="I190" s="10">
        <v>1</v>
      </c>
      <c r="J190" s="10">
        <v>1</v>
      </c>
      <c r="K190" s="10" t="s">
        <v>2158</v>
      </c>
      <c r="L190" s="10" t="s">
        <v>2200</v>
      </c>
      <c r="M190" s="10"/>
      <c r="N190" s="11"/>
      <c r="O190" s="10"/>
      <c r="P190" s="10">
        <v>2475</v>
      </c>
      <c r="Q190" s="10">
        <v>1216.9338184678927</v>
      </c>
      <c r="R190" s="10"/>
      <c r="S190" s="10" t="s">
        <v>2387</v>
      </c>
      <c r="T190" s="10" t="s">
        <v>2387</v>
      </c>
      <c r="U190" s="10"/>
      <c r="V190" s="10"/>
      <c r="W190" s="10"/>
      <c r="X190" s="10"/>
      <c r="Y190" s="10"/>
      <c r="Z190" s="10"/>
      <c r="AA190" s="10"/>
      <c r="AB190" s="10"/>
      <c r="AC190" s="10"/>
      <c r="AD190" s="10"/>
      <c r="AE190" t="s">
        <v>19</v>
      </c>
      <c r="AH190">
        <v>1</v>
      </c>
    </row>
    <row r="191" spans="1:34" ht="43.5">
      <c r="A191" t="s">
        <v>779</v>
      </c>
      <c r="B191" s="4" t="s">
        <v>2067</v>
      </c>
      <c r="C191" s="4" t="s">
        <v>2065</v>
      </c>
      <c r="G191" s="10" t="s">
        <v>25</v>
      </c>
      <c r="H191" s="10"/>
      <c r="I191" s="10">
        <v>1</v>
      </c>
      <c r="J191" s="10">
        <v>3</v>
      </c>
      <c r="K191" s="10" t="s">
        <v>2158</v>
      </c>
      <c r="L191" s="10" t="s">
        <v>2159</v>
      </c>
      <c r="M191" s="10"/>
      <c r="N191" s="11"/>
      <c r="O191" s="10"/>
      <c r="P191" s="10">
        <v>2475</v>
      </c>
      <c r="Q191" s="10">
        <v>1216.9338184678927</v>
      </c>
      <c r="R191" s="10"/>
      <c r="S191" s="10" t="s">
        <v>2387</v>
      </c>
      <c r="T191" s="10" t="s">
        <v>2387</v>
      </c>
      <c r="U191" s="10"/>
      <c r="V191" s="10"/>
      <c r="W191" s="10"/>
      <c r="X191" s="10"/>
      <c r="Y191" s="10"/>
      <c r="Z191" s="10"/>
      <c r="AA191" s="10"/>
      <c r="AB191" s="10"/>
      <c r="AC191" s="10"/>
      <c r="AD191" s="10"/>
      <c r="AE191" t="s">
        <v>19</v>
      </c>
      <c r="AH191">
        <v>1</v>
      </c>
    </row>
    <row r="192" spans="1:34" ht="29">
      <c r="A192" t="s">
        <v>786</v>
      </c>
      <c r="B192" s="4" t="s">
        <v>2077</v>
      </c>
      <c r="C192" s="4" t="s">
        <v>2076</v>
      </c>
      <c r="G192" s="10" t="s">
        <v>24</v>
      </c>
      <c r="H192" s="10"/>
      <c r="I192" s="10">
        <v>1</v>
      </c>
      <c r="J192" s="10">
        <v>3</v>
      </c>
      <c r="K192" s="10" t="s">
        <v>2158</v>
      </c>
      <c r="L192" s="10" t="s">
        <v>2159</v>
      </c>
      <c r="M192" s="10"/>
      <c r="N192" s="11"/>
      <c r="O192" s="10"/>
      <c r="P192" s="10">
        <v>2475</v>
      </c>
      <c r="Q192" s="10">
        <v>1216.9338184678927</v>
      </c>
      <c r="R192" s="10"/>
      <c r="S192" s="10" t="s">
        <v>2387</v>
      </c>
      <c r="T192" s="10" t="s">
        <v>2387</v>
      </c>
      <c r="U192" s="10"/>
      <c r="V192" s="10"/>
      <c r="W192" s="10"/>
      <c r="X192" s="10"/>
      <c r="Y192" s="10"/>
      <c r="Z192" s="10"/>
      <c r="AA192" s="10"/>
      <c r="AB192" s="10"/>
      <c r="AC192" s="10"/>
      <c r="AD192" s="10"/>
      <c r="AE192" t="s">
        <v>19</v>
      </c>
      <c r="AH192">
        <v>1</v>
      </c>
    </row>
    <row r="193" spans="1:34" ht="72.5">
      <c r="A193" t="s">
        <v>787</v>
      </c>
      <c r="B193" s="4" t="s">
        <v>2091</v>
      </c>
      <c r="C193" s="4" t="s">
        <v>2088</v>
      </c>
      <c r="G193" s="10" t="s">
        <v>25</v>
      </c>
      <c r="H193" s="10"/>
      <c r="I193" s="10">
        <v>1</v>
      </c>
      <c r="J193" s="10">
        <v>3</v>
      </c>
      <c r="K193" s="10" t="s">
        <v>2175</v>
      </c>
      <c r="L193" s="10" t="s">
        <v>2159</v>
      </c>
      <c r="M193" s="10"/>
      <c r="N193" s="11"/>
      <c r="O193" s="10"/>
      <c r="P193" s="10">
        <v>743</v>
      </c>
      <c r="Q193" s="10">
        <v>365.32599075621988</v>
      </c>
      <c r="R193" s="10"/>
      <c r="S193" s="10" t="s">
        <v>2387</v>
      </c>
      <c r="T193" s="10" t="s">
        <v>2387</v>
      </c>
      <c r="U193" s="10"/>
      <c r="V193" s="10"/>
      <c r="W193" s="10"/>
      <c r="X193" s="10"/>
      <c r="Y193" s="10"/>
      <c r="Z193" s="10"/>
      <c r="AA193" s="10"/>
      <c r="AB193" s="10"/>
      <c r="AC193" s="10"/>
      <c r="AD193" s="10"/>
      <c r="AE193" t="s">
        <v>19</v>
      </c>
      <c r="AH193">
        <v>1</v>
      </c>
    </row>
    <row r="194" spans="1:34" ht="43.5">
      <c r="A194" t="s">
        <v>788</v>
      </c>
      <c r="B194" s="4" t="s">
        <v>2101</v>
      </c>
      <c r="C194" s="4" t="s">
        <v>2098</v>
      </c>
      <c r="G194" s="10" t="s">
        <v>25</v>
      </c>
      <c r="H194" s="10"/>
      <c r="I194" s="10">
        <v>1</v>
      </c>
      <c r="J194" s="10">
        <v>3</v>
      </c>
      <c r="K194" s="10" t="s">
        <v>2168</v>
      </c>
      <c r="L194" s="10" t="s">
        <v>2159</v>
      </c>
      <c r="M194" s="10"/>
      <c r="N194" s="11"/>
      <c r="O194" s="10"/>
      <c r="P194" s="10">
        <v>1701</v>
      </c>
      <c r="Q194" s="10">
        <v>836.36542432884255</v>
      </c>
      <c r="R194" s="10"/>
      <c r="S194" s="10" t="s">
        <v>2387</v>
      </c>
      <c r="T194" s="10" t="s">
        <v>2387</v>
      </c>
      <c r="U194" s="10"/>
      <c r="V194" s="10"/>
      <c r="W194" s="10"/>
      <c r="X194" s="10"/>
      <c r="Y194" s="10"/>
      <c r="Z194" s="10"/>
      <c r="AA194" s="10"/>
      <c r="AB194" s="10"/>
      <c r="AC194" s="10"/>
      <c r="AD194" s="10"/>
      <c r="AE194" t="s">
        <v>19</v>
      </c>
      <c r="AH194">
        <v>1</v>
      </c>
    </row>
    <row r="195" spans="1:34" ht="29">
      <c r="A195" t="s">
        <v>792</v>
      </c>
      <c r="B195" s="4" t="s">
        <v>2107</v>
      </c>
      <c r="C195" s="4" t="s">
        <v>2108</v>
      </c>
      <c r="G195" s="10" t="s">
        <v>25</v>
      </c>
      <c r="H195" s="10"/>
      <c r="I195" s="10">
        <v>1</v>
      </c>
      <c r="J195" s="10">
        <v>3</v>
      </c>
      <c r="K195" s="10" t="s">
        <v>2168</v>
      </c>
      <c r="L195" s="10" t="s">
        <v>2159</v>
      </c>
      <c r="M195" s="10"/>
      <c r="N195" s="11"/>
      <c r="O195" s="10"/>
      <c r="P195" s="10">
        <v>1701</v>
      </c>
      <c r="Q195" s="10">
        <v>836.36542432884255</v>
      </c>
      <c r="R195" s="10"/>
      <c r="S195" s="10" t="s">
        <v>2387</v>
      </c>
      <c r="T195" s="10" t="s">
        <v>2387</v>
      </c>
      <c r="U195" s="10"/>
      <c r="V195" s="10"/>
      <c r="W195" s="10"/>
      <c r="X195" s="10"/>
      <c r="Y195" s="10"/>
      <c r="Z195" s="10"/>
      <c r="AA195" s="10"/>
      <c r="AB195" s="10"/>
      <c r="AC195" s="10"/>
      <c r="AD195" s="10"/>
      <c r="AE195" t="s">
        <v>19</v>
      </c>
      <c r="AH195">
        <v>1</v>
      </c>
    </row>
    <row r="196" spans="1:34" ht="29">
      <c r="A196" t="s">
        <v>793</v>
      </c>
      <c r="B196" s="4" t="s">
        <v>2109</v>
      </c>
      <c r="C196" s="4" t="s">
        <v>2110</v>
      </c>
      <c r="G196" s="10" t="s">
        <v>24</v>
      </c>
      <c r="H196" s="10"/>
      <c r="I196" s="10">
        <v>1</v>
      </c>
      <c r="J196" s="10">
        <v>2</v>
      </c>
      <c r="K196" s="10" t="s">
        <v>2177</v>
      </c>
      <c r="L196" s="10" t="s">
        <v>2200</v>
      </c>
      <c r="M196" s="10"/>
      <c r="N196" s="11"/>
      <c r="O196" s="10"/>
      <c r="P196" s="10">
        <v>613</v>
      </c>
      <c r="Q196" s="10">
        <v>301.40623463467404</v>
      </c>
      <c r="R196" s="10"/>
      <c r="S196" s="10" t="s">
        <v>2387</v>
      </c>
      <c r="T196" s="10" t="s">
        <v>2387</v>
      </c>
      <c r="U196" s="10"/>
      <c r="V196" s="10"/>
      <c r="W196" s="10"/>
      <c r="X196" s="10"/>
      <c r="Y196" s="10"/>
      <c r="Z196" s="10"/>
      <c r="AA196" s="10"/>
      <c r="AB196" s="10"/>
      <c r="AC196" s="10"/>
      <c r="AD196" s="10"/>
      <c r="AE196" t="s">
        <v>20</v>
      </c>
      <c r="AH196">
        <v>0</v>
      </c>
    </row>
    <row r="197" spans="1:34" ht="29">
      <c r="A197" t="s">
        <v>796</v>
      </c>
      <c r="B197" s="4" t="s">
        <v>2114</v>
      </c>
      <c r="C197" s="4" t="s">
        <v>2113</v>
      </c>
      <c r="G197" s="10" t="s">
        <v>24</v>
      </c>
      <c r="H197" s="10"/>
      <c r="I197" s="10">
        <v>1</v>
      </c>
      <c r="J197" s="10">
        <v>3</v>
      </c>
      <c r="K197" s="10" t="s">
        <v>2168</v>
      </c>
      <c r="L197" s="10" t="s">
        <v>2159</v>
      </c>
      <c r="M197" s="10"/>
      <c r="N197" s="11"/>
      <c r="O197" s="10"/>
      <c r="P197" s="10">
        <v>1701</v>
      </c>
      <c r="Q197" s="10">
        <v>836.36542432884255</v>
      </c>
      <c r="R197" s="10"/>
      <c r="S197" s="10" t="s">
        <v>2387</v>
      </c>
      <c r="T197" s="10" t="s">
        <v>2387</v>
      </c>
      <c r="U197" s="10"/>
      <c r="V197" s="10"/>
      <c r="W197" s="10"/>
      <c r="X197" s="10"/>
      <c r="Y197" s="10"/>
      <c r="Z197" s="10"/>
      <c r="AA197" s="10"/>
      <c r="AB197" s="10"/>
      <c r="AC197" s="10"/>
      <c r="AD197" s="10"/>
      <c r="AE197" t="s">
        <v>19</v>
      </c>
      <c r="AH197">
        <v>1</v>
      </c>
    </row>
    <row r="198" spans="1:34" ht="43.5">
      <c r="A198" t="s">
        <v>799</v>
      </c>
      <c r="B198" s="4" t="s">
        <v>2120</v>
      </c>
      <c r="C198" s="4" t="s">
        <v>2119</v>
      </c>
      <c r="G198" s="10" t="s">
        <v>24</v>
      </c>
      <c r="H198" s="10"/>
      <c r="I198" s="10">
        <v>1</v>
      </c>
      <c r="J198" s="10">
        <v>3</v>
      </c>
      <c r="K198" s="10" t="s">
        <v>2158</v>
      </c>
      <c r="L198" s="10" t="s">
        <v>2159</v>
      </c>
      <c r="M198" s="10"/>
      <c r="N198" s="11"/>
      <c r="O198" s="10"/>
      <c r="P198" s="10">
        <v>2475</v>
      </c>
      <c r="Q198" s="10">
        <v>1216.9338184678927</v>
      </c>
      <c r="R198" s="10"/>
      <c r="S198" s="10" t="s">
        <v>2387</v>
      </c>
      <c r="T198" s="10" t="s">
        <v>2387</v>
      </c>
      <c r="U198" s="10"/>
      <c r="V198" s="10"/>
      <c r="W198" s="10"/>
      <c r="X198" s="10"/>
      <c r="Y198" s="10"/>
      <c r="Z198" s="10"/>
      <c r="AA198" s="10"/>
      <c r="AB198" s="10"/>
      <c r="AC198" s="10"/>
      <c r="AD198" s="10"/>
      <c r="AE198" t="s">
        <v>19</v>
      </c>
      <c r="AH198">
        <v>1</v>
      </c>
    </row>
    <row r="199" spans="1:34" ht="58">
      <c r="A199" t="s">
        <v>808</v>
      </c>
      <c r="B199" s="4" t="s">
        <v>2131</v>
      </c>
      <c r="C199" s="4" t="s">
        <v>2132</v>
      </c>
      <c r="G199" s="10" t="s">
        <v>24</v>
      </c>
      <c r="H199" s="10"/>
      <c r="I199" s="10">
        <v>1</v>
      </c>
      <c r="J199" s="10">
        <v>4</v>
      </c>
      <c r="K199" s="10" t="s">
        <v>2158</v>
      </c>
      <c r="L199" s="10" t="s">
        <v>2153</v>
      </c>
      <c r="M199" s="10" t="s">
        <v>2231</v>
      </c>
      <c r="N199" s="11" t="s">
        <v>2230</v>
      </c>
      <c r="O199" s="10"/>
      <c r="P199" s="10">
        <v>2475</v>
      </c>
      <c r="Q199" s="10">
        <v>1216.9338184678927</v>
      </c>
      <c r="R199" s="10"/>
      <c r="S199" s="10" t="s">
        <v>2387</v>
      </c>
      <c r="T199" s="10" t="s">
        <v>2387</v>
      </c>
      <c r="U199" s="10"/>
      <c r="V199" s="10"/>
      <c r="W199" s="10"/>
      <c r="X199" s="10"/>
      <c r="Y199" s="10"/>
      <c r="Z199" s="10"/>
      <c r="AA199" s="10"/>
      <c r="AB199" s="10"/>
      <c r="AC199" s="10"/>
      <c r="AD199" s="10"/>
      <c r="AE199" t="s">
        <v>19</v>
      </c>
      <c r="AH199">
        <v>1</v>
      </c>
    </row>
    <row r="200" spans="1:34" ht="58">
      <c r="A200" t="s">
        <v>808</v>
      </c>
      <c r="B200" s="4" t="s">
        <v>2131</v>
      </c>
      <c r="C200" s="4" t="s">
        <v>2133</v>
      </c>
      <c r="G200" s="10" t="s">
        <v>24</v>
      </c>
      <c r="H200" s="10"/>
      <c r="I200" s="10">
        <v>1</v>
      </c>
      <c r="J200" s="10">
        <v>3</v>
      </c>
      <c r="K200" s="10" t="s">
        <v>2158</v>
      </c>
      <c r="L200" s="10" t="s">
        <v>2159</v>
      </c>
      <c r="M200" s="10"/>
      <c r="N200" s="11"/>
      <c r="O200" s="10"/>
      <c r="P200" s="10">
        <v>2475</v>
      </c>
      <c r="Q200" s="10">
        <v>1216.9338184678927</v>
      </c>
      <c r="R200" s="10"/>
      <c r="S200" s="10" t="s">
        <v>2387</v>
      </c>
      <c r="T200" s="10" t="s">
        <v>2387</v>
      </c>
      <c r="U200" s="10"/>
      <c r="V200" s="10"/>
      <c r="W200" s="10"/>
      <c r="X200" s="10"/>
      <c r="Y200" s="10"/>
      <c r="Z200" s="10"/>
      <c r="AA200" s="10"/>
      <c r="AB200" s="10"/>
      <c r="AC200" s="10"/>
      <c r="AD200" s="10"/>
      <c r="AE200" t="s">
        <v>19</v>
      </c>
      <c r="AH200">
        <v>1</v>
      </c>
    </row>
    <row r="201" spans="1:34" ht="43.5">
      <c r="A201" t="s">
        <v>809</v>
      </c>
      <c r="B201" s="4" t="s">
        <v>2135</v>
      </c>
      <c r="C201" s="4" t="s">
        <v>2134</v>
      </c>
      <c r="G201" s="10" t="s">
        <v>24</v>
      </c>
      <c r="H201" s="10"/>
      <c r="I201" s="10">
        <v>1</v>
      </c>
      <c r="J201" s="10">
        <v>4</v>
      </c>
      <c r="K201" s="10" t="s">
        <v>2158</v>
      </c>
      <c r="L201" s="10" t="s">
        <v>2153</v>
      </c>
      <c r="M201" s="10" t="s">
        <v>2231</v>
      </c>
      <c r="N201" s="11" t="s">
        <v>2230</v>
      </c>
      <c r="O201" s="10"/>
      <c r="P201" s="10">
        <v>2475</v>
      </c>
      <c r="Q201" s="10">
        <v>1216.9338184678927</v>
      </c>
      <c r="R201" s="10"/>
      <c r="S201" s="10" t="s">
        <v>2387</v>
      </c>
      <c r="T201" s="10" t="s">
        <v>2387</v>
      </c>
      <c r="U201" s="10"/>
      <c r="V201" s="10"/>
      <c r="W201" s="10"/>
      <c r="X201" s="10"/>
      <c r="Y201" s="10"/>
      <c r="Z201" s="10"/>
      <c r="AA201" s="10"/>
      <c r="AB201" s="10"/>
      <c r="AC201" s="10"/>
      <c r="AD201" s="10"/>
      <c r="AE201" t="s">
        <v>19</v>
      </c>
      <c r="AH201">
        <v>1</v>
      </c>
    </row>
    <row r="204" spans="1:34">
      <c r="D204" t="s">
        <v>2384</v>
      </c>
      <c r="E204">
        <v>20338</v>
      </c>
    </row>
    <row r="205" spans="1:34">
      <c r="D205" t="s">
        <v>2389</v>
      </c>
      <c r="E205">
        <f>MEDIAN(Q:Q)</f>
        <v>836.36542432884255</v>
      </c>
    </row>
    <row r="208" spans="1:34">
      <c r="D208" t="s">
        <v>2390</v>
      </c>
      <c r="E208">
        <f>COUNTIFS(G:G, "Addition", Q:Q, "&gt;=" &amp; $E$205)</f>
        <v>61</v>
      </c>
    </row>
    <row r="209" spans="4:5">
      <c r="D209" t="s">
        <v>2391</v>
      </c>
      <c r="E209">
        <f>COUNTIFS(G:G, "Omission", Q:Q, "&gt;=" &amp; $E$205)</f>
        <v>74</v>
      </c>
    </row>
    <row r="210" spans="4:5">
      <c r="D210" t="s">
        <v>2392</v>
      </c>
      <c r="E210">
        <f>E208/(E208+E209)</f>
        <v>0.45185185185185184</v>
      </c>
    </row>
    <row r="211" spans="4:5">
      <c r="D211" t="s">
        <v>2393</v>
      </c>
      <c r="E211">
        <f>COUNTIFS(G:G, "Addition", Q:Q, "&lt;" &amp; $E$205)</f>
        <v>30</v>
      </c>
    </row>
    <row r="212" spans="4:5">
      <c r="D212" t="s">
        <v>2394</v>
      </c>
      <c r="E212">
        <f>COUNTIFS(G:G, "Omission", Q:Q, "&lt;" &amp; $E$205)</f>
        <v>35</v>
      </c>
    </row>
    <row r="213" spans="4:5">
      <c r="D213" t="s">
        <v>2395</v>
      </c>
      <c r="E213">
        <f>E211/(E211+E212)</f>
        <v>0.46153846153846156</v>
      </c>
    </row>
    <row r="216" spans="4:5">
      <c r="D216" t="s">
        <v>2396</v>
      </c>
      <c r="E216">
        <f>COUNTIFS(G:G, "Addition", K:K, "Article")</f>
        <v>44</v>
      </c>
    </row>
    <row r="217" spans="4:5">
      <c r="D217" t="s">
        <v>2397</v>
      </c>
      <c r="E217">
        <f>COUNTIFS(G:G, "Omission", K:K, "Article")</f>
        <v>52</v>
      </c>
    </row>
    <row r="218" spans="4:5">
      <c r="D218" t="s">
        <v>2398</v>
      </c>
      <c r="E218">
        <f>COUNTIFS(G:G, "Addition", K:K, "Article")/(COUNTIFS(G:G, "Addition", K:K, "Article") + COUNTIFS(G:G, "Omission", K:K, "Article"))</f>
        <v>0.45833333333333331</v>
      </c>
    </row>
  </sheetData>
  <conditionalFormatting sqref="G2:G201">
    <cfRule type="expression" dxfId="251" priority="10">
      <formula>$I2&lt;&gt;""</formula>
    </cfRule>
    <cfRule type="expression" dxfId="250" priority="11">
      <formula>$I2=""</formula>
    </cfRule>
  </conditionalFormatting>
  <conditionalFormatting sqref="H2:L201 O2:P201">
    <cfRule type="expression" dxfId="249" priority="27">
      <formula>AND(OR($I2="Addition",$I2="Omission"), H2="")</formula>
    </cfRule>
    <cfRule type="expression" dxfId="248" priority="28">
      <formula>AND($I2&lt;&gt;"Addition",$I2&lt;&gt;"Omission",$I2&lt;&gt;"Substitution - Word")</formula>
    </cfRule>
  </conditionalFormatting>
  <conditionalFormatting sqref="H2:P201">
    <cfRule type="expression" dxfId="247" priority="26">
      <formula>AND(OR($I2="Addition",$I2="Omission"), H2&lt;&gt;"")</formula>
    </cfRule>
  </conditionalFormatting>
  <conditionalFormatting sqref="K2:K201">
    <cfRule type="expression" dxfId="246" priority="21">
      <formula>AND($K2&lt;&gt;"",$K2&gt;1)</formula>
    </cfRule>
  </conditionalFormatting>
  <conditionalFormatting sqref="M2:N201">
    <cfRule type="expression" dxfId="245" priority="17">
      <formula>$N2="Absent"</formula>
    </cfRule>
    <cfRule type="expression" dxfId="244" priority="18">
      <formula>$N2="NA"</formula>
    </cfRule>
    <cfRule type="expression" dxfId="243" priority="19">
      <formula>AND(OR($I2="Addition",$I2="Omission"), M2="")</formula>
    </cfRule>
    <cfRule type="expression" dxfId="242" priority="20">
      <formula>AND($I2&lt;&gt;"Addition",$I2&lt;&gt;"Omission")</formula>
    </cfRule>
  </conditionalFormatting>
  <conditionalFormatting sqref="O2:O201">
    <cfRule type="expression" dxfId="241" priority="22">
      <formula>OR($I2="Addition",$I2="Omission",$I2 = "Substitution - Word")</formula>
    </cfRule>
  </conditionalFormatting>
  <conditionalFormatting sqref="Q2:Q201">
    <cfRule type="expression" dxfId="240" priority="1">
      <formula>AND(OR($I2="Addition",$I2="Omission"), Q2&lt;&gt;"")</formula>
    </cfRule>
    <cfRule type="expression" dxfId="239" priority="2">
      <formula>AND(OR($I2="Addition",$I2="Omission"), Q2="")</formula>
    </cfRule>
    <cfRule type="expression" dxfId="238" priority="3">
      <formula>AND($I2&lt;&gt;"Addition",$I2&lt;&gt;"Omission",$I2&lt;&gt;"Substitution - Word")</formula>
    </cfRule>
  </conditionalFormatting>
  <conditionalFormatting sqref="R2:T201">
    <cfRule type="expression" dxfId="237" priority="23">
      <formula>AND(AND(LEFT($I2,3)="Sub", RIGHT($I2,4)&lt;&gt;"Form"),$T2&lt;&gt;"")</formula>
    </cfRule>
    <cfRule type="expression" dxfId="236" priority="24">
      <formula>AND(AND(LEFT($I2,3)="Sub", RIGHT($I2,4)&lt;&gt;"Form"),$T2="")</formula>
    </cfRule>
    <cfRule type="expression" dxfId="235" priority="25">
      <formula>"&lt;&gt;AND(LEFT($J2,3)=""Sub"", RIGHT($J2,4)&lt;&gt;""Form"")"</formula>
    </cfRule>
  </conditionalFormatting>
  <conditionalFormatting sqref="S2:T201">
    <cfRule type="expression" dxfId="234" priority="7">
      <formula>AND(AND(LEFT($I2,3)="Sub", RIGHT($I2,4)&lt;&gt;"Form"),$T2&lt;&gt;"")</formula>
    </cfRule>
    <cfRule type="expression" dxfId="233" priority="8">
      <formula>AND(AND(LEFT($I2,3)="Sub", RIGHT($I2,4)&lt;&gt;"Form"),$T2="")</formula>
    </cfRule>
    <cfRule type="expression" dxfId="232" priority="9">
      <formula>"&lt;&gt;AND(LEFT($J2,3)=""Sub"", RIGHT($J2,4)&lt;&gt;""Form"")"</formula>
    </cfRule>
  </conditionalFormatting>
  <conditionalFormatting sqref="U2">
    <cfRule type="expression" dxfId="231" priority="6">
      <formula>AND($AD2&lt;&gt;"Yes",$AE2="")</formula>
    </cfRule>
  </conditionalFormatting>
  <conditionalFormatting sqref="U2:U201">
    <cfRule type="expression" dxfId="230" priority="13">
      <formula>AND($W2&lt;&gt;"",OR($AD2="Yes",$AE2&lt;&gt;""))</formula>
    </cfRule>
    <cfRule type="expression" dxfId="229" priority="14">
      <formula>OR($AD2="Yes",$AE2&lt;&gt;"")</formula>
    </cfRule>
  </conditionalFormatting>
  <conditionalFormatting sqref="U3:U201">
    <cfRule type="expression" dxfId="228" priority="31">
      <formula>AND($AD3&lt;&gt;"Yes",$AE3="")</formula>
    </cfRule>
  </conditionalFormatting>
  <conditionalFormatting sqref="U2:AD2">
    <cfRule type="expression" dxfId="227" priority="4">
      <formula>AND($I2&lt;&gt;"",$I2&lt;&gt;"Unclear due to correction")</formula>
    </cfRule>
    <cfRule type="expression" dxfId="226" priority="5">
      <formula>OR($I2="",$I2="Unclear due to correction")</formula>
    </cfRule>
  </conditionalFormatting>
  <conditionalFormatting sqref="U3:AD201">
    <cfRule type="expression" dxfId="225" priority="29">
      <formula>AND($I3&lt;&gt;"",$I3&lt;&gt;"Unclear due to correction")</formula>
    </cfRule>
    <cfRule type="expression" dxfId="224" priority="30">
      <formula>OR($I3="",$I3="Unclear due to correction")</formula>
    </cfRule>
  </conditionalFormatting>
  <conditionalFormatting sqref="V2:V201">
    <cfRule type="expression" dxfId="223" priority="12">
      <formula>AND($I2&lt;&gt;"",$I2&lt;&gt;"Unclear due to correction",$X2="")</formula>
    </cfRule>
  </conditionalFormatting>
  <conditionalFormatting sqref="W2:W201">
    <cfRule type="expression" dxfId="222" priority="15">
      <formula>AND($X2="Yes",$Y2="")</formula>
    </cfRule>
    <cfRule type="expression" dxfId="221" priority="16">
      <formula>$X2=""</formula>
    </cfRule>
  </conditionalFormatting>
  <conditionalFormatting sqref="AB2:AB201">
    <cfRule type="expression" dxfId="220" priority="32">
      <formula>AND(OR($AB2&lt;&gt;"",$AC2&lt;&gt;""),$AD2="")</formula>
    </cfRule>
  </conditionalFormatting>
  <dataValidations count="1">
    <dataValidation allowBlank="1" showInputMessage="1" sqref="V3:V201" xr:uid="{EE4EE929-94D5-4507-8D9B-0B6EB70D6CA2}"/>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DA4C3761-E99B-4E0E-9354-7FE8570F570D}">
          <x14:formula1>
            <xm:f>'Data Regularization'!$Q$2:$Q$4</xm:f>
          </x14:formula1>
          <xm:sqref>AE2:AG201</xm:sqref>
        </x14:dataValidation>
        <x14:dataValidation type="list" allowBlank="1" showInputMessage="1" showErrorMessage="1" xr:uid="{CB182DCA-ABE5-4F19-A4E6-A7EC21506AF6}">
          <x14:formula1>
            <xm:f>'Data Regularization'!$B$2:$B$1048576</xm:f>
          </x14:formula1>
          <xm:sqref>E2:E201</xm:sqref>
        </x14:dataValidation>
        <x14:dataValidation type="list" allowBlank="1" showInputMessage="1" showErrorMessage="1" xr:uid="{60C93690-C322-4F4A-88B9-4A41237DB0F1}">
          <x14:formula1>
            <xm:f>'Data Regularization'!$A$2:$A$1048576</xm:f>
          </x14:formula1>
          <xm:sqref>D2:D201</xm:sqref>
        </x14:dataValidation>
        <x14:dataValidation type="list" allowBlank="1" showInputMessage="1" showErrorMessage="1" xr:uid="{D809430E-28D0-46C3-A57B-948201F77D8D}">
          <x14:formula1>
            <xm:f>'Data Regularization'!$C$2:$C$29</xm:f>
          </x14:formula1>
          <xm:sqref>F2:F201</xm:sqref>
        </x14:dataValidation>
        <x14:dataValidation type="list" allowBlank="1" showInputMessage="1" showErrorMessage="1" xr:uid="{46899B96-4A05-4CD1-A802-2D2F11DFD912}">
          <x14:formula1>
            <xm:f>'Data Regularization'!$Q$2:$Q$1048576</xm:f>
          </x14:formula1>
          <xm:sqref>AD2:AD201</xm:sqref>
        </x14:dataValidation>
        <x14:dataValidation type="list" allowBlank="1" showInputMessage="1" showErrorMessage="1" xr:uid="{5D1E4D5D-81B5-4AF2-90A9-90A0AF01DE34}">
          <x14:formula1>
            <xm:f>'Data Regularization'!$P$2:$P$1048576</xm:f>
          </x14:formula1>
          <xm:sqref>AC2:AC201</xm:sqref>
        </x14:dataValidation>
        <x14:dataValidation type="list" allowBlank="1" showInputMessage="1" showErrorMessage="1" xr:uid="{CFC7D4BD-AA61-43F1-AB7B-DBF6D2B9A117}">
          <x14:formula1>
            <xm:f>'Data Regularization'!$O$2:$O$1048576</xm:f>
          </x14:formula1>
          <xm:sqref>AB3:AB201</xm:sqref>
        </x14:dataValidation>
        <x14:dataValidation type="list" allowBlank="1" showInputMessage="1" showErrorMessage="1" xr:uid="{D04B8DB1-1B9A-40B9-82E3-62D295301983}">
          <x14:formula1>
            <xm:f>'Data Regularization'!$N$2:$N$1048576</xm:f>
          </x14:formula1>
          <xm:sqref>Z3:Z201</xm:sqref>
        </x14:dataValidation>
        <x14:dataValidation type="list" allowBlank="1" showInputMessage="1" showErrorMessage="1" xr:uid="{BF13832A-EDE3-4942-986A-875FFE4A89E9}">
          <x14:formula1>
            <xm:f>'Data Regularization'!$M$2:$M$1048576</xm:f>
          </x14:formula1>
          <xm:sqref>Y3:Y201</xm:sqref>
        </x14:dataValidation>
        <x14:dataValidation type="list" allowBlank="1" showInputMessage="1" showErrorMessage="1" xr:uid="{EEF7100C-B898-49E8-87DE-896FCFF34C5D}">
          <x14:formula1>
            <xm:f>'Data Regularization'!$L$2:$L$1048576</xm:f>
          </x14:formula1>
          <xm:sqref>X3:X201</xm:sqref>
        </x14:dataValidation>
        <x14:dataValidation type="list" allowBlank="1" showInputMessage="1" showErrorMessage="1" xr:uid="{DC4DA3BF-0C40-4011-929E-C3A59B106D0C}">
          <x14:formula1>
            <xm:f>'Data Regularization'!$K$2:$K$1048576</xm:f>
          </x14:formula1>
          <xm:sqref>W3:W201 U3:U201</xm:sqref>
        </x14:dataValidation>
        <x14:dataValidation type="list" allowBlank="1" showInputMessage="1" showErrorMessage="1" xr:uid="{3C066EAC-7832-4EBA-831D-1F1D8D393E55}">
          <x14:formula1>
            <xm:f>'Data Regularization'!$G$2:$G$1048576</xm:f>
          </x14:formula1>
          <xm:sqref>O3:O201</xm:sqref>
        </x14:dataValidation>
        <x14:dataValidation type="list" allowBlank="1" showInputMessage="1" showErrorMessage="1" xr:uid="{BD1DAC10-B611-47EC-BC45-D2FBE12BC25E}">
          <x14:formula1>
            <xm:f>'Data Regularization'!$F$2:$F$1048576</xm:f>
          </x14:formula1>
          <xm:sqref>L3:L201</xm:sqref>
        </x14:dataValidation>
        <x14:dataValidation type="list" allowBlank="1" showInputMessage="1" showErrorMessage="1" xr:uid="{53CB14CB-EC49-4326-82FE-6CD28765EEEB}">
          <x14:formula1>
            <xm:f>'Data Regularization'!$E$2:$E$1048576</xm:f>
          </x14:formula1>
          <xm:sqref>K3:K201</xm:sqref>
        </x14:dataValidation>
        <x14:dataValidation type="list" allowBlank="1" showInputMessage="1" showErrorMessage="1" xr:uid="{B59F40FD-C4A0-4535-A4F3-3AADDA071917}">
          <x14:formula1>
            <xm:f>'Data Regularization'!$D$2:$D$1048576</xm:f>
          </x14:formula1>
          <xm:sqref>G3:G201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C47E3-1913-4D55-BEED-26D6A897FD07}">
  <dimension ref="A1:AJ45"/>
  <sheetViews>
    <sheetView workbookViewId="0">
      <pane xSplit="3" ySplit="1" topLeftCell="D24" activePane="bottomRight" state="frozen"/>
      <selection pane="topRight" activeCell="D1" sqref="D1"/>
      <selection pane="bottomLeft" activeCell="A2" sqref="A2"/>
      <selection pane="bottomRight" activeCell="A32" sqref="A32"/>
    </sheetView>
  </sheetViews>
  <sheetFormatPr defaultRowHeight="14.5"/>
  <sheetData>
    <row r="1" spans="1:36" s="1" customFormat="1" ht="29">
      <c r="A1" s="1" t="s">
        <v>0</v>
      </c>
      <c r="B1" s="1" t="s">
        <v>5</v>
      </c>
      <c r="C1" s="3" t="s">
        <v>6</v>
      </c>
      <c r="D1" s="1" t="s">
        <v>2181</v>
      </c>
      <c r="E1" s="1" t="s">
        <v>2182</v>
      </c>
      <c r="F1" s="1" t="s">
        <v>2183</v>
      </c>
      <c r="G1" s="1" t="s">
        <v>3</v>
      </c>
      <c r="H1" s="1" t="s">
        <v>2184</v>
      </c>
      <c r="I1" s="1" t="s">
        <v>2185</v>
      </c>
      <c r="J1" s="1" t="s">
        <v>2186</v>
      </c>
      <c r="K1" s="1" t="s">
        <v>2187</v>
      </c>
      <c r="L1" s="1" t="s">
        <v>2146</v>
      </c>
      <c r="M1" s="1" t="s">
        <v>2188</v>
      </c>
      <c r="N1" s="9" t="s">
        <v>2189</v>
      </c>
      <c r="O1" s="1" t="s">
        <v>2147</v>
      </c>
      <c r="P1" s="1" t="s">
        <v>2190</v>
      </c>
      <c r="Q1" s="1" t="s">
        <v>2388</v>
      </c>
      <c r="R1" s="1" t="s">
        <v>2191</v>
      </c>
      <c r="S1" s="1" t="s">
        <v>2385</v>
      </c>
      <c r="T1" s="1" t="s">
        <v>2386</v>
      </c>
      <c r="U1" s="1" t="s">
        <v>2194</v>
      </c>
      <c r="V1" s="1" t="s">
        <v>2195</v>
      </c>
      <c r="W1" s="1" t="s">
        <v>2196</v>
      </c>
      <c r="X1" s="1" t="s">
        <v>2148</v>
      </c>
      <c r="Y1" s="1" t="s">
        <v>2149</v>
      </c>
      <c r="Z1" s="1" t="s">
        <v>2150</v>
      </c>
      <c r="AA1" s="1" t="s">
        <v>2192</v>
      </c>
      <c r="AB1" s="1" t="s">
        <v>2197</v>
      </c>
      <c r="AC1" s="1" t="s">
        <v>2151</v>
      </c>
      <c r="AD1" s="1" t="s">
        <v>2193</v>
      </c>
      <c r="AE1" s="1" t="s">
        <v>2215</v>
      </c>
      <c r="AF1" s="1" t="s">
        <v>2207</v>
      </c>
      <c r="AG1" s="1" t="s">
        <v>2214</v>
      </c>
    </row>
    <row r="2" spans="1:36" ht="43.5">
      <c r="A2" t="s">
        <v>42</v>
      </c>
      <c r="B2" s="4" t="s">
        <v>815</v>
      </c>
      <c r="C2" s="4" t="s">
        <v>816</v>
      </c>
      <c r="G2" s="10" t="s">
        <v>25</v>
      </c>
      <c r="H2" s="10"/>
      <c r="I2" s="10">
        <v>1</v>
      </c>
      <c r="J2" s="10">
        <v>4</v>
      </c>
      <c r="K2" s="10" t="s">
        <v>2219</v>
      </c>
      <c r="L2" s="10" t="s">
        <v>2159</v>
      </c>
      <c r="M2" s="10"/>
      <c r="N2" s="11"/>
      <c r="O2" s="10"/>
      <c r="P2" s="10">
        <v>295</v>
      </c>
      <c r="Q2" s="10">
        <v>145.04867735273871</v>
      </c>
      <c r="R2" s="10"/>
      <c r="S2" s="10" t="s">
        <v>2387</v>
      </c>
      <c r="T2" s="10" t="s">
        <v>2387</v>
      </c>
      <c r="U2" s="10"/>
      <c r="V2" s="10"/>
      <c r="W2" s="10"/>
      <c r="X2" s="10"/>
      <c r="Y2" s="10"/>
      <c r="Z2" s="10"/>
      <c r="AA2" s="10"/>
      <c r="AB2" s="10"/>
      <c r="AC2" s="10"/>
      <c r="AD2" s="10"/>
      <c r="AE2" t="s">
        <v>19</v>
      </c>
      <c r="AF2" t="s">
        <v>20</v>
      </c>
      <c r="AG2" t="s">
        <v>20</v>
      </c>
      <c r="AH2">
        <v>1</v>
      </c>
      <c r="AI2" t="s">
        <v>2213</v>
      </c>
      <c r="AJ2">
        <v>0.3888888888888889</v>
      </c>
    </row>
    <row r="3" spans="1:36" ht="58">
      <c r="A3" t="s">
        <v>56</v>
      </c>
      <c r="B3" s="4" t="s">
        <v>821</v>
      </c>
      <c r="C3" s="4" t="s">
        <v>822</v>
      </c>
      <c r="F3" t="s">
        <v>19</v>
      </c>
      <c r="G3" s="10" t="s">
        <v>24</v>
      </c>
      <c r="H3" s="10"/>
      <c r="I3" s="10">
        <v>1</v>
      </c>
      <c r="J3" s="10">
        <v>8</v>
      </c>
      <c r="K3" s="10" t="s">
        <v>2173</v>
      </c>
      <c r="L3" s="10" t="s">
        <v>2153</v>
      </c>
      <c r="M3" s="10" t="s">
        <v>2231</v>
      </c>
      <c r="N3" s="11" t="s">
        <v>2232</v>
      </c>
      <c r="O3" s="10"/>
      <c r="P3" s="10">
        <v>0</v>
      </c>
      <c r="Q3" s="10">
        <v>0</v>
      </c>
      <c r="R3" s="10"/>
      <c r="S3" s="10" t="s">
        <v>2387</v>
      </c>
      <c r="T3" s="10" t="s">
        <v>2387</v>
      </c>
      <c r="U3" s="10"/>
      <c r="V3" s="10"/>
      <c r="W3" s="10"/>
      <c r="X3" s="10"/>
      <c r="Y3" s="10"/>
      <c r="Z3" s="10"/>
      <c r="AA3" s="10"/>
      <c r="AB3" s="10"/>
      <c r="AC3" s="10"/>
      <c r="AD3" s="10"/>
      <c r="AE3" t="s">
        <v>20</v>
      </c>
      <c r="AF3" t="s">
        <v>20</v>
      </c>
      <c r="AG3" t="s">
        <v>20</v>
      </c>
      <c r="AH3">
        <v>0</v>
      </c>
    </row>
    <row r="4" spans="1:36" ht="43.5">
      <c r="A4" t="s">
        <v>145</v>
      </c>
      <c r="B4" s="4" t="s">
        <v>918</v>
      </c>
      <c r="C4" s="4" t="s">
        <v>919</v>
      </c>
      <c r="F4" t="s">
        <v>19</v>
      </c>
      <c r="G4" s="10" t="s">
        <v>25</v>
      </c>
      <c r="H4" s="10"/>
      <c r="I4" s="10">
        <v>1</v>
      </c>
      <c r="J4" s="10">
        <v>5</v>
      </c>
      <c r="K4" s="10" t="s">
        <v>2152</v>
      </c>
      <c r="L4" s="10" t="s">
        <v>2159</v>
      </c>
      <c r="M4" s="10"/>
      <c r="N4" s="11"/>
      <c r="O4" s="10"/>
      <c r="P4" s="10">
        <v>8</v>
      </c>
      <c r="Q4" s="10">
        <v>3.9335234536335926</v>
      </c>
      <c r="R4" s="10"/>
      <c r="S4" s="10" t="s">
        <v>2387</v>
      </c>
      <c r="T4" s="10" t="s">
        <v>2387</v>
      </c>
      <c r="U4" s="10"/>
      <c r="V4" s="10"/>
      <c r="W4" s="10"/>
      <c r="X4" s="10"/>
      <c r="Y4" s="10"/>
      <c r="Z4" s="10"/>
      <c r="AA4" s="10"/>
      <c r="AB4" s="10"/>
      <c r="AC4" s="10"/>
      <c r="AD4" s="10"/>
      <c r="AE4" t="s">
        <v>20</v>
      </c>
      <c r="AH4">
        <v>0</v>
      </c>
    </row>
    <row r="5" spans="1:36" ht="72.5">
      <c r="A5" t="s">
        <v>163</v>
      </c>
      <c r="B5" s="4" t="s">
        <v>940</v>
      </c>
      <c r="C5" s="4" t="s">
        <v>941</v>
      </c>
      <c r="F5" t="s">
        <v>19</v>
      </c>
      <c r="G5" s="10" t="s">
        <v>25</v>
      </c>
      <c r="H5" s="10"/>
      <c r="I5" s="10">
        <v>1</v>
      </c>
      <c r="J5" s="10">
        <v>5</v>
      </c>
      <c r="K5" s="10" t="s">
        <v>2152</v>
      </c>
      <c r="L5" s="10" t="s">
        <v>2153</v>
      </c>
      <c r="M5" s="10" t="s">
        <v>2231</v>
      </c>
      <c r="N5" s="11" t="s">
        <v>2230</v>
      </c>
      <c r="O5" s="10"/>
      <c r="P5" s="10">
        <v>266</v>
      </c>
      <c r="Q5" s="10">
        <v>130.78965483331694</v>
      </c>
      <c r="R5" s="10"/>
      <c r="S5" s="10" t="s">
        <v>2387</v>
      </c>
      <c r="T5" s="10" t="s">
        <v>2387</v>
      </c>
      <c r="U5" s="10"/>
      <c r="V5" s="10"/>
      <c r="W5" s="10"/>
      <c r="X5" s="10"/>
      <c r="Y5" s="10"/>
      <c r="Z5" s="10"/>
      <c r="AA5" s="10"/>
      <c r="AB5" s="10"/>
      <c r="AC5" s="10"/>
      <c r="AD5" s="10"/>
      <c r="AE5" t="s">
        <v>20</v>
      </c>
      <c r="AH5">
        <v>0</v>
      </c>
    </row>
    <row r="6" spans="1:36" ht="43.5">
      <c r="A6" t="s">
        <v>186</v>
      </c>
      <c r="B6" s="4" t="s">
        <v>973</v>
      </c>
      <c r="C6" s="4" t="s">
        <v>972</v>
      </c>
      <c r="G6" s="10" t="s">
        <v>24</v>
      </c>
      <c r="H6" s="10"/>
      <c r="I6" s="10">
        <v>1</v>
      </c>
      <c r="J6" s="10">
        <v>2</v>
      </c>
      <c r="K6" s="10" t="s">
        <v>2164</v>
      </c>
      <c r="L6" s="10" t="s">
        <v>2200</v>
      </c>
      <c r="M6" s="10"/>
      <c r="N6" s="11"/>
      <c r="O6" s="10"/>
      <c r="P6" s="10">
        <v>129</v>
      </c>
      <c r="Q6" s="10">
        <v>63.428065689841674</v>
      </c>
      <c r="R6" s="10"/>
      <c r="S6" s="10" t="s">
        <v>2387</v>
      </c>
      <c r="T6" s="10" t="s">
        <v>2387</v>
      </c>
      <c r="U6" s="10"/>
      <c r="V6" s="10"/>
      <c r="W6" s="10"/>
      <c r="X6" s="10"/>
      <c r="Y6" s="10"/>
      <c r="Z6" s="10"/>
      <c r="AA6" s="10"/>
      <c r="AB6" s="10"/>
      <c r="AC6" s="10"/>
      <c r="AD6" s="10"/>
      <c r="AE6" t="s">
        <v>19</v>
      </c>
      <c r="AH6">
        <v>1</v>
      </c>
    </row>
    <row r="7" spans="1:36" ht="29">
      <c r="A7" t="s">
        <v>267</v>
      </c>
      <c r="B7" s="4" t="s">
        <v>1091</v>
      </c>
      <c r="C7" s="4" t="s">
        <v>1092</v>
      </c>
      <c r="G7" s="10" t="s">
        <v>25</v>
      </c>
      <c r="H7" s="10"/>
      <c r="I7" s="10">
        <v>1</v>
      </c>
      <c r="J7" s="10">
        <v>3</v>
      </c>
      <c r="K7" s="10" t="s">
        <v>2173</v>
      </c>
      <c r="L7" s="10" t="s">
        <v>2159</v>
      </c>
      <c r="M7" s="10"/>
      <c r="N7" s="11"/>
      <c r="O7" s="10"/>
      <c r="P7" s="10">
        <v>75</v>
      </c>
      <c r="Q7" s="10">
        <v>36.876782377814926</v>
      </c>
      <c r="R7" s="10"/>
      <c r="S7" s="10" t="s">
        <v>2387</v>
      </c>
      <c r="T7" s="10" t="s">
        <v>2387</v>
      </c>
      <c r="U7" s="10"/>
      <c r="V7" s="10"/>
      <c r="W7" s="10"/>
      <c r="X7" s="10"/>
      <c r="Y7" s="10"/>
      <c r="Z7" s="10"/>
      <c r="AA7" s="10"/>
      <c r="AB7" s="10"/>
      <c r="AC7" s="10"/>
      <c r="AD7" s="10"/>
      <c r="AE7" t="s">
        <v>19</v>
      </c>
      <c r="AH7">
        <v>1</v>
      </c>
    </row>
    <row r="8" spans="1:36" ht="58">
      <c r="A8" t="s">
        <v>271</v>
      </c>
      <c r="B8" s="4" t="s">
        <v>1114</v>
      </c>
      <c r="C8" s="4" t="s">
        <v>1113</v>
      </c>
      <c r="G8" s="10" t="s">
        <v>24</v>
      </c>
      <c r="H8" s="10"/>
      <c r="I8" s="10">
        <v>1</v>
      </c>
      <c r="J8" s="10">
        <v>7</v>
      </c>
      <c r="K8" s="10" t="s">
        <v>2173</v>
      </c>
      <c r="L8" s="10" t="s">
        <v>2153</v>
      </c>
      <c r="M8" s="10" t="s">
        <v>2262</v>
      </c>
      <c r="N8" s="11" t="s">
        <v>2230</v>
      </c>
      <c r="O8" s="10"/>
      <c r="P8" s="10">
        <v>47</v>
      </c>
      <c r="Q8" s="10">
        <v>23.109450290097357</v>
      </c>
      <c r="R8" s="10"/>
      <c r="S8" s="10" t="s">
        <v>2387</v>
      </c>
      <c r="T8" s="10" t="s">
        <v>2387</v>
      </c>
      <c r="U8" s="10"/>
      <c r="V8" s="10"/>
      <c r="W8" s="10"/>
      <c r="X8" s="10"/>
      <c r="Y8" s="10"/>
      <c r="Z8" s="10"/>
      <c r="AA8" s="10"/>
      <c r="AB8" s="10"/>
      <c r="AC8" s="10"/>
      <c r="AD8" s="10" t="s">
        <v>19</v>
      </c>
      <c r="AE8" t="s">
        <v>19</v>
      </c>
      <c r="AH8">
        <v>1</v>
      </c>
    </row>
    <row r="9" spans="1:36" ht="43.5">
      <c r="A9" t="s">
        <v>300</v>
      </c>
      <c r="B9" s="4" t="s">
        <v>1148</v>
      </c>
      <c r="C9" s="4" t="s">
        <v>1147</v>
      </c>
      <c r="G9" s="10" t="s">
        <v>24</v>
      </c>
      <c r="H9" s="10"/>
      <c r="I9" s="10">
        <v>1</v>
      </c>
      <c r="J9" s="10">
        <v>2</v>
      </c>
      <c r="K9" s="10" t="s">
        <v>2164</v>
      </c>
      <c r="L9" s="10" t="s">
        <v>2200</v>
      </c>
      <c r="M9" s="10"/>
      <c r="N9" s="11"/>
      <c r="O9" s="10"/>
      <c r="P9" s="10">
        <v>129</v>
      </c>
      <c r="Q9" s="10">
        <v>63.428065689841674</v>
      </c>
      <c r="R9" s="10"/>
      <c r="S9" s="10" t="s">
        <v>2387</v>
      </c>
      <c r="T9" s="10" t="s">
        <v>2387</v>
      </c>
      <c r="U9" s="10"/>
      <c r="V9" s="10"/>
      <c r="W9" s="10"/>
      <c r="X9" s="10"/>
      <c r="Y9" s="10"/>
      <c r="Z9" s="10"/>
      <c r="AA9" s="10"/>
      <c r="AB9" s="10"/>
      <c r="AC9" s="10"/>
      <c r="AD9" s="10"/>
      <c r="AE9" t="s">
        <v>19</v>
      </c>
      <c r="AH9">
        <v>1</v>
      </c>
    </row>
    <row r="10" spans="1:36" ht="101.5">
      <c r="A10" t="s">
        <v>352</v>
      </c>
      <c r="B10" s="4" t="s">
        <v>1209</v>
      </c>
      <c r="C10" s="4" t="s">
        <v>1210</v>
      </c>
      <c r="G10" s="10" t="s">
        <v>25</v>
      </c>
      <c r="H10" s="10"/>
      <c r="I10" s="10">
        <v>1</v>
      </c>
      <c r="J10" s="10">
        <v>3</v>
      </c>
      <c r="K10" s="10" t="s">
        <v>2173</v>
      </c>
      <c r="L10" s="10" t="s">
        <v>2159</v>
      </c>
      <c r="M10" s="10"/>
      <c r="N10" s="11"/>
      <c r="O10" s="10"/>
      <c r="P10" s="10">
        <v>52</v>
      </c>
      <c r="Q10" s="10">
        <v>25.567902448618351</v>
      </c>
      <c r="R10" s="10"/>
      <c r="S10" s="10" t="s">
        <v>2387</v>
      </c>
      <c r="T10" s="10" t="s">
        <v>2387</v>
      </c>
      <c r="U10" s="10"/>
      <c r="V10" s="10"/>
      <c r="W10" s="10"/>
      <c r="X10" s="10"/>
      <c r="Y10" s="10"/>
      <c r="Z10" s="10"/>
      <c r="AA10" s="10"/>
      <c r="AB10" s="10"/>
      <c r="AC10" s="10"/>
      <c r="AD10" s="10"/>
      <c r="AE10" t="s">
        <v>19</v>
      </c>
      <c r="AH10">
        <v>1</v>
      </c>
    </row>
    <row r="11" spans="1:36" ht="116">
      <c r="A11" t="s">
        <v>415</v>
      </c>
      <c r="B11" s="4" t="s">
        <v>1319</v>
      </c>
      <c r="C11" s="4" t="s">
        <v>1320</v>
      </c>
      <c r="G11" s="10" t="s">
        <v>24</v>
      </c>
      <c r="H11" s="10"/>
      <c r="I11" s="10">
        <v>1</v>
      </c>
      <c r="J11" s="10">
        <v>12</v>
      </c>
      <c r="K11" s="10" t="s">
        <v>2219</v>
      </c>
      <c r="L11" s="10" t="s">
        <v>2153</v>
      </c>
      <c r="M11" s="10" t="s">
        <v>2229</v>
      </c>
      <c r="N11" s="11" t="s">
        <v>2276</v>
      </c>
      <c r="O11" s="10" t="s">
        <v>2154</v>
      </c>
      <c r="P11" s="10">
        <v>11</v>
      </c>
      <c r="Q11" s="10">
        <v>5.4085947487461903</v>
      </c>
      <c r="R11" s="10"/>
      <c r="S11" s="10" t="s">
        <v>2387</v>
      </c>
      <c r="T11" s="10" t="s">
        <v>2387</v>
      </c>
      <c r="U11" s="10"/>
      <c r="V11" s="10"/>
      <c r="W11" s="10"/>
      <c r="X11" s="10"/>
      <c r="Y11" s="10"/>
      <c r="Z11" s="10"/>
      <c r="AA11" s="10"/>
      <c r="AB11" s="10"/>
      <c r="AC11" s="10"/>
      <c r="AD11" s="10"/>
      <c r="AE11" t="s">
        <v>20</v>
      </c>
      <c r="AH11">
        <v>0</v>
      </c>
    </row>
    <row r="12" spans="1:36" ht="43.5">
      <c r="A12" t="s">
        <v>455</v>
      </c>
      <c r="B12" s="4" t="s">
        <v>2282</v>
      </c>
      <c r="C12" s="4" t="s">
        <v>2283</v>
      </c>
      <c r="F12" t="s">
        <v>19</v>
      </c>
      <c r="G12" s="10" t="s">
        <v>24</v>
      </c>
      <c r="H12" s="10"/>
      <c r="I12" s="10">
        <v>1</v>
      </c>
      <c r="J12" s="10">
        <v>1</v>
      </c>
      <c r="K12" s="10" t="s">
        <v>2152</v>
      </c>
      <c r="L12" s="10" t="s">
        <v>2200</v>
      </c>
      <c r="M12" s="10"/>
      <c r="N12" s="11"/>
      <c r="O12" s="10"/>
      <c r="P12" s="10">
        <v>9</v>
      </c>
      <c r="Q12" s="10">
        <v>4.4252138853377909</v>
      </c>
      <c r="R12" s="10"/>
      <c r="S12" s="10" t="s">
        <v>2387</v>
      </c>
      <c r="T12" s="10" t="s">
        <v>2387</v>
      </c>
      <c r="U12" s="10"/>
      <c r="V12" s="10"/>
      <c r="W12" s="10"/>
      <c r="X12" s="10"/>
      <c r="Y12" s="10"/>
      <c r="Z12" s="10"/>
      <c r="AA12" s="10"/>
      <c r="AB12" s="10"/>
      <c r="AC12" s="10"/>
      <c r="AD12" s="10"/>
      <c r="AE12" t="s">
        <v>20</v>
      </c>
      <c r="AH12">
        <v>0</v>
      </c>
    </row>
    <row r="13" spans="1:36" ht="58">
      <c r="A13" t="s">
        <v>475</v>
      </c>
      <c r="B13" s="4" t="s">
        <v>1413</v>
      </c>
      <c r="C13" s="4" t="s">
        <v>1412</v>
      </c>
      <c r="G13" s="10" t="s">
        <v>24</v>
      </c>
      <c r="H13" s="10"/>
      <c r="I13" s="10">
        <v>1</v>
      </c>
      <c r="J13" s="10">
        <v>5</v>
      </c>
      <c r="K13" s="10" t="s">
        <v>2152</v>
      </c>
      <c r="L13" s="10" t="s">
        <v>2159</v>
      </c>
      <c r="M13" s="10"/>
      <c r="N13" s="11"/>
      <c r="O13" s="10"/>
      <c r="P13" s="10">
        <v>266</v>
      </c>
      <c r="Q13" s="10">
        <v>130.78965483331694</v>
      </c>
      <c r="R13" s="10"/>
      <c r="S13" s="10" t="s">
        <v>2387</v>
      </c>
      <c r="T13" s="10" t="s">
        <v>2387</v>
      </c>
      <c r="U13" s="10"/>
      <c r="V13" s="10"/>
      <c r="W13" s="10"/>
      <c r="X13" s="10"/>
      <c r="Y13" s="10"/>
      <c r="Z13" s="10"/>
      <c r="AA13" s="10"/>
      <c r="AB13" s="10"/>
      <c r="AC13" s="10"/>
      <c r="AD13" s="10"/>
      <c r="AE13" t="s">
        <v>19</v>
      </c>
      <c r="AH13">
        <v>1</v>
      </c>
    </row>
    <row r="14" spans="1:36" ht="58">
      <c r="A14" t="s">
        <v>475</v>
      </c>
      <c r="B14" s="4" t="s">
        <v>1417</v>
      </c>
      <c r="C14" s="4" t="s">
        <v>1414</v>
      </c>
      <c r="G14" s="10" t="s">
        <v>25</v>
      </c>
      <c r="H14" s="10"/>
      <c r="I14" s="10">
        <v>1</v>
      </c>
      <c r="J14" s="10">
        <v>2</v>
      </c>
      <c r="K14" s="10" t="s">
        <v>2173</v>
      </c>
      <c r="L14" s="10" t="s">
        <v>2200</v>
      </c>
      <c r="M14" s="10"/>
      <c r="N14" s="11"/>
      <c r="O14" s="10"/>
      <c r="P14" s="10">
        <v>250</v>
      </c>
      <c r="Q14" s="10">
        <v>122.92260792604976</v>
      </c>
      <c r="R14" s="10"/>
      <c r="S14" s="10" t="s">
        <v>2387</v>
      </c>
      <c r="T14" s="10" t="s">
        <v>2387</v>
      </c>
      <c r="U14" s="10"/>
      <c r="V14" s="10"/>
      <c r="W14" s="10"/>
      <c r="X14" s="10"/>
      <c r="Y14" s="10"/>
      <c r="Z14" s="10"/>
      <c r="AA14" s="10"/>
      <c r="AB14" s="10"/>
      <c r="AC14" s="10"/>
      <c r="AD14" s="10"/>
      <c r="AE14" t="s">
        <v>19</v>
      </c>
      <c r="AH14">
        <v>1</v>
      </c>
    </row>
    <row r="15" spans="1:36" ht="72.5">
      <c r="A15" t="s">
        <v>494</v>
      </c>
      <c r="B15" s="4" t="s">
        <v>1465</v>
      </c>
      <c r="C15" s="4" t="s">
        <v>1466</v>
      </c>
      <c r="F15" t="s">
        <v>19</v>
      </c>
      <c r="G15" s="10" t="s">
        <v>24</v>
      </c>
      <c r="H15" s="10"/>
      <c r="I15" s="10">
        <v>1</v>
      </c>
      <c r="J15" s="10">
        <v>6</v>
      </c>
      <c r="K15" s="10" t="s">
        <v>2173</v>
      </c>
      <c r="L15" s="10" t="s">
        <v>2159</v>
      </c>
      <c r="M15" s="10"/>
      <c r="N15" s="11"/>
      <c r="O15" s="10"/>
      <c r="P15" s="10">
        <v>250</v>
      </c>
      <c r="Q15" s="10">
        <v>122.92260792604976</v>
      </c>
      <c r="R15" s="10"/>
      <c r="S15" s="10" t="s">
        <v>2387</v>
      </c>
      <c r="T15" s="10" t="s">
        <v>2387</v>
      </c>
      <c r="U15" s="10"/>
      <c r="V15" s="10"/>
      <c r="W15" s="10"/>
      <c r="X15" s="10"/>
      <c r="Y15" s="10"/>
      <c r="Z15" s="10"/>
      <c r="AA15" s="10"/>
      <c r="AB15" s="10"/>
      <c r="AC15" s="10"/>
      <c r="AD15" s="10"/>
      <c r="AE15" t="s">
        <v>20</v>
      </c>
      <c r="AH15">
        <v>0</v>
      </c>
    </row>
    <row r="16" spans="1:36" ht="29">
      <c r="A16" t="s">
        <v>545</v>
      </c>
      <c r="B16" s="4" t="s">
        <v>1583</v>
      </c>
      <c r="C16" s="4" t="s">
        <v>1582</v>
      </c>
      <c r="G16" s="10" t="s">
        <v>25</v>
      </c>
      <c r="H16" s="10"/>
      <c r="I16" s="10">
        <v>1</v>
      </c>
      <c r="J16" s="10">
        <v>5</v>
      </c>
      <c r="K16" s="10" t="s">
        <v>2219</v>
      </c>
      <c r="L16" s="10" t="s">
        <v>2159</v>
      </c>
      <c r="M16" s="10"/>
      <c r="N16" s="11"/>
      <c r="O16" s="10"/>
      <c r="P16" s="10">
        <v>295</v>
      </c>
      <c r="Q16" s="10">
        <v>145.04867735273871</v>
      </c>
      <c r="R16" s="10"/>
      <c r="S16" s="10" t="s">
        <v>2387</v>
      </c>
      <c r="T16" s="10" t="s">
        <v>2387</v>
      </c>
      <c r="U16" s="10"/>
      <c r="V16" s="10"/>
      <c r="W16" s="10"/>
      <c r="X16" s="10"/>
      <c r="Y16" s="10"/>
      <c r="Z16" s="10"/>
      <c r="AA16" s="10"/>
      <c r="AB16" s="10"/>
      <c r="AC16" s="10"/>
      <c r="AD16" s="10"/>
      <c r="AE16" t="s">
        <v>19</v>
      </c>
      <c r="AH16">
        <v>1</v>
      </c>
    </row>
    <row r="17" spans="1:34" ht="72.5">
      <c r="A17" t="s">
        <v>564</v>
      </c>
      <c r="B17" s="4" t="s">
        <v>1603</v>
      </c>
      <c r="C17" s="4" t="s">
        <v>1602</v>
      </c>
      <c r="G17" s="10" t="s">
        <v>25</v>
      </c>
      <c r="H17" s="10"/>
      <c r="I17" s="10">
        <v>1</v>
      </c>
      <c r="J17" s="10">
        <v>3</v>
      </c>
      <c r="K17" s="10" t="s">
        <v>2173</v>
      </c>
      <c r="L17" s="10" t="s">
        <v>2159</v>
      </c>
      <c r="M17" s="10"/>
      <c r="N17" s="11"/>
      <c r="O17" s="10"/>
      <c r="P17" s="10">
        <v>52</v>
      </c>
      <c r="Q17" s="10">
        <v>25.567902448618351</v>
      </c>
      <c r="R17" s="10"/>
      <c r="S17" s="10" t="s">
        <v>2387</v>
      </c>
      <c r="T17" s="10" t="s">
        <v>2387</v>
      </c>
      <c r="U17" s="10"/>
      <c r="V17" s="10"/>
      <c r="W17" s="10"/>
      <c r="X17" s="10"/>
      <c r="Y17" s="10"/>
      <c r="Z17" s="10"/>
      <c r="AA17" s="10"/>
      <c r="AB17" s="10"/>
      <c r="AC17" s="10"/>
      <c r="AD17" s="10"/>
      <c r="AE17" t="s">
        <v>20</v>
      </c>
      <c r="AH17">
        <v>0</v>
      </c>
    </row>
    <row r="18" spans="1:34" ht="58">
      <c r="A18" t="s">
        <v>580</v>
      </c>
      <c r="B18" s="4" t="s">
        <v>1649</v>
      </c>
      <c r="C18" s="4" t="s">
        <v>1646</v>
      </c>
      <c r="G18" s="10" t="s">
        <v>25</v>
      </c>
      <c r="H18" s="10"/>
      <c r="I18" s="10">
        <v>1</v>
      </c>
      <c r="J18" s="10">
        <v>6</v>
      </c>
      <c r="K18" s="10" t="s">
        <v>2152</v>
      </c>
      <c r="L18" s="10" t="s">
        <v>2153</v>
      </c>
      <c r="M18" s="10" t="s">
        <v>2229</v>
      </c>
      <c r="N18" s="11" t="s">
        <v>2232</v>
      </c>
      <c r="O18" s="10"/>
      <c r="P18" s="10">
        <v>24</v>
      </c>
      <c r="Q18" s="10">
        <v>11.800570360900778</v>
      </c>
      <c r="R18" s="10"/>
      <c r="S18" s="10" t="s">
        <v>2387</v>
      </c>
      <c r="T18" s="10" t="s">
        <v>2387</v>
      </c>
      <c r="U18" s="10"/>
      <c r="V18" s="10"/>
      <c r="W18" s="10"/>
      <c r="X18" s="10"/>
      <c r="Y18" s="10"/>
      <c r="Z18" s="10"/>
      <c r="AA18" s="10"/>
      <c r="AB18" s="10"/>
      <c r="AC18" s="10"/>
      <c r="AD18" s="10"/>
      <c r="AE18" t="s">
        <v>19</v>
      </c>
      <c r="AH18">
        <v>1</v>
      </c>
    </row>
    <row r="19" spans="1:34" ht="29">
      <c r="A19" t="s">
        <v>616</v>
      </c>
      <c r="B19" s="4" t="s">
        <v>1734</v>
      </c>
      <c r="C19" s="4" t="s">
        <v>1735</v>
      </c>
      <c r="G19" s="10" t="s">
        <v>25</v>
      </c>
      <c r="H19" s="10"/>
      <c r="I19" s="10">
        <v>1</v>
      </c>
      <c r="J19" s="10">
        <v>1</v>
      </c>
      <c r="K19" s="10" t="s">
        <v>2152</v>
      </c>
      <c r="L19" s="10" t="s">
        <v>2200</v>
      </c>
      <c r="M19" s="10"/>
      <c r="N19" s="11"/>
      <c r="O19" s="10"/>
      <c r="P19" s="10">
        <v>5</v>
      </c>
      <c r="Q19" s="10">
        <v>2.4584521585209949</v>
      </c>
      <c r="R19" s="10"/>
      <c r="S19" s="10" t="s">
        <v>2387</v>
      </c>
      <c r="T19" s="10" t="s">
        <v>2387</v>
      </c>
      <c r="U19" s="10"/>
      <c r="V19" s="10"/>
      <c r="W19" s="10"/>
      <c r="X19" s="10"/>
      <c r="Y19" s="10"/>
      <c r="Z19" s="10"/>
      <c r="AA19" s="10"/>
      <c r="AB19" s="10"/>
      <c r="AC19" s="10"/>
      <c r="AD19" s="10"/>
      <c r="AE19" t="s">
        <v>19</v>
      </c>
      <c r="AH19">
        <v>1</v>
      </c>
    </row>
    <row r="20" spans="1:34" ht="58">
      <c r="A20" t="s">
        <v>641</v>
      </c>
      <c r="B20" s="4" t="s">
        <v>1770</v>
      </c>
      <c r="C20" s="4" t="s">
        <v>1769</v>
      </c>
      <c r="G20" s="10" t="s">
        <v>25</v>
      </c>
      <c r="H20" s="10"/>
      <c r="I20" s="10">
        <v>1</v>
      </c>
      <c r="J20" s="10">
        <v>5</v>
      </c>
      <c r="K20" s="10" t="s">
        <v>2152</v>
      </c>
      <c r="L20" s="10" t="s">
        <v>2159</v>
      </c>
      <c r="M20" s="10"/>
      <c r="N20" s="11"/>
      <c r="O20" s="10"/>
      <c r="P20" s="10">
        <v>15</v>
      </c>
      <c r="Q20" s="10">
        <v>7.3753564755629855</v>
      </c>
      <c r="R20" s="10"/>
      <c r="S20" s="10" t="s">
        <v>2387</v>
      </c>
      <c r="T20" s="10" t="s">
        <v>2387</v>
      </c>
      <c r="U20" s="10"/>
      <c r="V20" s="10"/>
      <c r="W20" s="10"/>
      <c r="X20" s="10"/>
      <c r="Y20" s="10"/>
      <c r="Z20" s="10"/>
      <c r="AA20" s="10"/>
      <c r="AB20" s="10"/>
      <c r="AC20" s="10"/>
      <c r="AD20" s="10"/>
      <c r="AE20" t="s">
        <v>19</v>
      </c>
      <c r="AH20">
        <v>1</v>
      </c>
    </row>
    <row r="21" spans="1:34" ht="29">
      <c r="A21" t="s">
        <v>649</v>
      </c>
      <c r="B21" s="4" t="s">
        <v>1800</v>
      </c>
      <c r="C21" s="4" t="s">
        <v>1801</v>
      </c>
      <c r="G21" s="10" t="s">
        <v>25</v>
      </c>
      <c r="H21" s="10"/>
      <c r="I21" s="10">
        <v>1</v>
      </c>
      <c r="J21" s="10">
        <v>3</v>
      </c>
      <c r="K21" s="10" t="s">
        <v>2152</v>
      </c>
      <c r="L21" s="10" t="s">
        <v>2159</v>
      </c>
      <c r="M21" s="10"/>
      <c r="N21" s="11"/>
      <c r="O21" s="10"/>
      <c r="P21" s="10">
        <v>44</v>
      </c>
      <c r="Q21" s="10">
        <v>21.634378994984761</v>
      </c>
      <c r="R21" s="10"/>
      <c r="S21" s="10" t="s">
        <v>2387</v>
      </c>
      <c r="T21" s="10" t="s">
        <v>2387</v>
      </c>
      <c r="U21" s="10" t="s">
        <v>2198</v>
      </c>
      <c r="V21" s="10"/>
      <c r="W21" s="10"/>
      <c r="X21" s="10"/>
      <c r="Y21" s="10"/>
      <c r="Z21" s="10"/>
      <c r="AA21" s="10"/>
      <c r="AB21" s="10"/>
      <c r="AC21" s="10"/>
      <c r="AD21" s="10"/>
      <c r="AE21" t="s">
        <v>19</v>
      </c>
      <c r="AH21">
        <v>1</v>
      </c>
    </row>
    <row r="22" spans="1:34" ht="29">
      <c r="A22" t="s">
        <v>653</v>
      </c>
      <c r="B22" s="4" t="s">
        <v>1808</v>
      </c>
      <c r="C22" s="4" t="s">
        <v>1809</v>
      </c>
      <c r="F22" t="s">
        <v>19</v>
      </c>
      <c r="G22" s="10" t="s">
        <v>25</v>
      </c>
      <c r="H22" s="10"/>
      <c r="I22" s="10">
        <v>1</v>
      </c>
      <c r="J22" s="10">
        <v>3</v>
      </c>
      <c r="K22" s="10" t="s">
        <v>2179</v>
      </c>
      <c r="L22" s="10" t="s">
        <v>2159</v>
      </c>
      <c r="M22" s="10"/>
      <c r="N22" s="11"/>
      <c r="O22" s="10"/>
      <c r="P22" s="10">
        <v>204</v>
      </c>
      <c r="Q22" s="10">
        <v>100.30484806765661</v>
      </c>
      <c r="R22" s="10"/>
      <c r="S22" s="10" t="s">
        <v>2387</v>
      </c>
      <c r="T22" s="10" t="s">
        <v>2387</v>
      </c>
      <c r="U22" s="10"/>
      <c r="V22" s="10"/>
      <c r="W22" s="10"/>
      <c r="X22" s="10"/>
      <c r="Y22" s="10"/>
      <c r="Z22" s="10"/>
      <c r="AA22" s="10"/>
      <c r="AB22" s="10"/>
      <c r="AC22" s="10"/>
      <c r="AD22" s="10"/>
      <c r="AE22" t="s">
        <v>20</v>
      </c>
      <c r="AH22">
        <v>0</v>
      </c>
    </row>
    <row r="23" spans="1:34" ht="29">
      <c r="A23" t="s">
        <v>672</v>
      </c>
      <c r="B23" s="4" t="s">
        <v>1833</v>
      </c>
      <c r="C23" s="4" t="s">
        <v>1832</v>
      </c>
      <c r="G23" s="10" t="s">
        <v>24</v>
      </c>
      <c r="H23" s="10"/>
      <c r="I23" s="10">
        <v>1</v>
      </c>
      <c r="J23" s="10">
        <v>4</v>
      </c>
      <c r="K23" s="10" t="s">
        <v>2219</v>
      </c>
      <c r="L23" s="10" t="s">
        <v>2159</v>
      </c>
      <c r="M23" s="10"/>
      <c r="N23" s="11"/>
      <c r="O23" s="10"/>
      <c r="P23" s="10">
        <v>295</v>
      </c>
      <c r="Q23" s="10">
        <v>145.04867735273871</v>
      </c>
      <c r="R23" s="10"/>
      <c r="S23" s="10" t="s">
        <v>2387</v>
      </c>
      <c r="T23" s="10" t="s">
        <v>2387</v>
      </c>
      <c r="U23" s="10"/>
      <c r="V23" s="10"/>
      <c r="W23" s="10"/>
      <c r="X23" s="10"/>
      <c r="Y23" s="10"/>
      <c r="Z23" s="10"/>
      <c r="AA23" s="10"/>
      <c r="AB23" s="10"/>
      <c r="AC23" s="10"/>
      <c r="AD23" s="10"/>
      <c r="AE23" t="s">
        <v>19</v>
      </c>
      <c r="AH23">
        <v>1</v>
      </c>
    </row>
    <row r="24" spans="1:34" ht="72.5">
      <c r="A24" t="s">
        <v>687</v>
      </c>
      <c r="B24" s="4" t="s">
        <v>1871</v>
      </c>
      <c r="C24" s="6" t="s">
        <v>1874</v>
      </c>
      <c r="G24" s="10" t="s">
        <v>24</v>
      </c>
      <c r="H24" s="10"/>
      <c r="I24" s="10">
        <v>1</v>
      </c>
      <c r="J24" s="10">
        <v>4</v>
      </c>
      <c r="K24" s="10" t="s">
        <v>2219</v>
      </c>
      <c r="L24" s="10" t="s">
        <v>2159</v>
      </c>
      <c r="M24" s="10"/>
      <c r="N24" s="11"/>
      <c r="O24" s="10"/>
      <c r="P24" s="10">
        <v>295</v>
      </c>
      <c r="Q24" s="10">
        <v>145.04867735273871</v>
      </c>
      <c r="R24" s="10"/>
      <c r="S24" s="10" t="s">
        <v>2387</v>
      </c>
      <c r="T24" s="10" t="s">
        <v>2387</v>
      </c>
      <c r="U24" s="10"/>
      <c r="V24" s="10"/>
      <c r="W24" s="10"/>
      <c r="X24" s="10"/>
      <c r="Y24" s="10"/>
      <c r="Z24" s="10"/>
      <c r="AA24" s="10"/>
      <c r="AB24" s="10"/>
      <c r="AC24" s="10"/>
      <c r="AD24" s="10" t="s">
        <v>19</v>
      </c>
      <c r="AE24" t="s">
        <v>19</v>
      </c>
      <c r="AH24">
        <v>1</v>
      </c>
    </row>
    <row r="25" spans="1:34" ht="43.5">
      <c r="A25" t="s">
        <v>690</v>
      </c>
      <c r="B25" s="4" t="s">
        <v>1886</v>
      </c>
      <c r="C25" s="4" t="s">
        <v>1885</v>
      </c>
      <c r="G25" s="10" t="s">
        <v>25</v>
      </c>
      <c r="H25" s="10"/>
      <c r="I25" s="10">
        <v>1</v>
      </c>
      <c r="J25" s="10">
        <v>5</v>
      </c>
      <c r="K25" s="10" t="s">
        <v>2173</v>
      </c>
      <c r="L25" s="10" t="s">
        <v>2159</v>
      </c>
      <c r="M25" s="10"/>
      <c r="N25" s="11"/>
      <c r="O25" s="10"/>
      <c r="P25" s="10">
        <v>115</v>
      </c>
      <c r="Q25" s="10">
        <v>56.544399645982892</v>
      </c>
      <c r="R25" s="10"/>
      <c r="S25" s="10" t="s">
        <v>2387</v>
      </c>
      <c r="T25" s="10" t="s">
        <v>2387</v>
      </c>
      <c r="U25" s="10"/>
      <c r="V25" s="10"/>
      <c r="W25" s="10"/>
      <c r="X25" s="10"/>
      <c r="Y25" s="10"/>
      <c r="Z25" s="10"/>
      <c r="AA25" s="10"/>
      <c r="AB25" s="10"/>
      <c r="AC25" s="10"/>
      <c r="AD25" s="10"/>
      <c r="AE25" t="s">
        <v>19</v>
      </c>
      <c r="AH25">
        <v>1</v>
      </c>
    </row>
    <row r="26" spans="1:34" ht="29">
      <c r="A26" t="s">
        <v>694</v>
      </c>
      <c r="B26" s="4" t="s">
        <v>1896</v>
      </c>
      <c r="C26" s="4" t="s">
        <v>1897</v>
      </c>
      <c r="G26" s="10" t="s">
        <v>25</v>
      </c>
      <c r="H26" s="10"/>
      <c r="I26" s="10">
        <v>1</v>
      </c>
      <c r="J26" s="10">
        <v>2</v>
      </c>
      <c r="K26" s="10" t="s">
        <v>2164</v>
      </c>
      <c r="L26" s="10" t="s">
        <v>2200</v>
      </c>
      <c r="M26" s="10"/>
      <c r="N26" s="11"/>
      <c r="O26" s="10"/>
      <c r="P26" s="10">
        <v>129</v>
      </c>
      <c r="Q26" s="10">
        <v>63.428065689841674</v>
      </c>
      <c r="R26" s="10"/>
      <c r="S26" s="10" t="s">
        <v>2387</v>
      </c>
      <c r="T26" s="10" t="s">
        <v>2387</v>
      </c>
      <c r="U26" s="10"/>
      <c r="V26" s="10"/>
      <c r="W26" s="10"/>
      <c r="X26" s="10"/>
      <c r="Y26" s="10"/>
      <c r="Z26" s="10"/>
      <c r="AA26" s="10"/>
      <c r="AB26" s="10"/>
      <c r="AC26" s="10"/>
      <c r="AD26" s="10"/>
      <c r="AE26" t="s">
        <v>19</v>
      </c>
      <c r="AH26">
        <v>1</v>
      </c>
    </row>
    <row r="27" spans="1:34" ht="29">
      <c r="A27" t="s">
        <v>701</v>
      </c>
      <c r="B27" s="4" t="s">
        <v>1920</v>
      </c>
      <c r="C27" s="4" t="s">
        <v>1919</v>
      </c>
      <c r="G27" s="10" t="s">
        <v>24</v>
      </c>
      <c r="H27" s="10"/>
      <c r="I27" s="10">
        <v>1</v>
      </c>
      <c r="J27" s="10">
        <v>2</v>
      </c>
      <c r="K27" s="10" t="s">
        <v>2173</v>
      </c>
      <c r="L27" s="10" t="s">
        <v>2200</v>
      </c>
      <c r="M27" s="10"/>
      <c r="N27" s="11"/>
      <c r="O27" s="10"/>
      <c r="P27" s="10">
        <v>75</v>
      </c>
      <c r="Q27" s="10">
        <v>36.876782377814926</v>
      </c>
      <c r="R27" s="10"/>
      <c r="S27" s="10" t="s">
        <v>2387</v>
      </c>
      <c r="T27" s="10" t="s">
        <v>2387</v>
      </c>
      <c r="U27" s="10"/>
      <c r="V27" s="10"/>
      <c r="W27" s="10"/>
      <c r="X27" s="10"/>
      <c r="Y27" s="10"/>
      <c r="Z27" s="10"/>
      <c r="AA27" s="10"/>
      <c r="AB27" s="10"/>
      <c r="AC27" s="10"/>
      <c r="AD27" s="10"/>
      <c r="AE27" t="s">
        <v>19</v>
      </c>
      <c r="AH27">
        <v>1</v>
      </c>
    </row>
    <row r="28" spans="1:34" ht="72.5">
      <c r="A28" t="s">
        <v>704</v>
      </c>
      <c r="B28" s="4" t="s">
        <v>1930</v>
      </c>
      <c r="C28" s="4" t="s">
        <v>1933</v>
      </c>
      <c r="G28" s="10" t="s">
        <v>24</v>
      </c>
      <c r="H28" s="10"/>
      <c r="I28" s="10">
        <v>1</v>
      </c>
      <c r="J28" s="10">
        <v>4</v>
      </c>
      <c r="K28" s="10" t="s">
        <v>2219</v>
      </c>
      <c r="L28" s="10" t="s">
        <v>2159</v>
      </c>
      <c r="M28" s="10"/>
      <c r="N28" s="11"/>
      <c r="O28" s="10"/>
      <c r="P28" s="10">
        <v>295</v>
      </c>
      <c r="Q28" s="10">
        <v>145.04867735273871</v>
      </c>
      <c r="R28" s="10"/>
      <c r="S28" s="10" t="s">
        <v>2387</v>
      </c>
      <c r="T28" s="10" t="s">
        <v>2387</v>
      </c>
      <c r="U28" s="10"/>
      <c r="V28" s="10"/>
      <c r="W28" s="10"/>
      <c r="X28" s="10"/>
      <c r="Y28" s="10"/>
      <c r="Z28" s="10"/>
      <c r="AA28" s="10"/>
      <c r="AB28" s="10"/>
      <c r="AC28" s="10"/>
      <c r="AD28" s="10"/>
      <c r="AE28" t="s">
        <v>19</v>
      </c>
      <c r="AH28">
        <v>1</v>
      </c>
    </row>
    <row r="29" spans="1:34" ht="43.5">
      <c r="A29" t="s">
        <v>734</v>
      </c>
      <c r="B29" s="4" t="s">
        <v>1977</v>
      </c>
      <c r="C29" s="4" t="s">
        <v>1978</v>
      </c>
      <c r="G29" s="10" t="s">
        <v>25</v>
      </c>
      <c r="H29" s="10"/>
      <c r="I29" s="10">
        <v>1</v>
      </c>
      <c r="J29" s="10">
        <v>5</v>
      </c>
      <c r="K29" s="10" t="s">
        <v>2219</v>
      </c>
      <c r="L29" s="10" t="s">
        <v>2153</v>
      </c>
      <c r="M29" s="10" t="s">
        <v>2231</v>
      </c>
      <c r="N29" s="11" t="s">
        <v>2230</v>
      </c>
      <c r="O29" s="10"/>
      <c r="P29" s="10">
        <v>295</v>
      </c>
      <c r="Q29" s="10">
        <v>145.04867735273871</v>
      </c>
      <c r="R29" s="10"/>
      <c r="S29" s="10" t="s">
        <v>2387</v>
      </c>
      <c r="T29" s="10" t="s">
        <v>2387</v>
      </c>
      <c r="U29" s="10"/>
      <c r="V29" s="10"/>
      <c r="W29" s="10"/>
      <c r="X29" s="10"/>
      <c r="Y29" s="10"/>
      <c r="Z29" s="10"/>
      <c r="AA29" s="10"/>
      <c r="AB29" s="10"/>
      <c r="AC29" s="10"/>
      <c r="AD29" s="10"/>
      <c r="AE29" t="s">
        <v>19</v>
      </c>
      <c r="AH29">
        <v>1</v>
      </c>
    </row>
    <row r="30" spans="1:34" ht="87">
      <c r="A30" t="s">
        <v>740</v>
      </c>
      <c r="B30" s="4" t="s">
        <v>1979</v>
      </c>
      <c r="C30" s="4" t="s">
        <v>1982</v>
      </c>
      <c r="G30" s="10" t="s">
        <v>24</v>
      </c>
      <c r="H30" s="10"/>
      <c r="I30" s="10">
        <v>1</v>
      </c>
      <c r="J30" s="10">
        <v>1</v>
      </c>
      <c r="K30" s="10" t="s">
        <v>2152</v>
      </c>
      <c r="L30" s="10" t="s">
        <v>2200</v>
      </c>
      <c r="M30" s="10"/>
      <c r="N30" s="11"/>
      <c r="O30" s="10"/>
      <c r="P30" s="10">
        <v>5</v>
      </c>
      <c r="Q30" s="10">
        <v>2.4584521585209949</v>
      </c>
      <c r="R30" s="10"/>
      <c r="S30" s="10" t="s">
        <v>2387</v>
      </c>
      <c r="T30" s="10" t="s">
        <v>2387</v>
      </c>
      <c r="U30" s="10"/>
      <c r="V30" s="10"/>
      <c r="W30" s="10"/>
      <c r="X30" s="10"/>
      <c r="Y30" s="10"/>
      <c r="Z30" s="10"/>
      <c r="AA30" s="10"/>
      <c r="AB30" s="10"/>
      <c r="AC30" s="10"/>
      <c r="AD30" s="10"/>
      <c r="AE30" t="s">
        <v>19</v>
      </c>
      <c r="AH30">
        <v>1</v>
      </c>
    </row>
    <row r="31" spans="1:34" ht="58">
      <c r="A31" t="s">
        <v>747</v>
      </c>
      <c r="B31" s="4" t="s">
        <v>1996</v>
      </c>
      <c r="C31" s="4" t="s">
        <v>1995</v>
      </c>
      <c r="G31" s="10" t="s">
        <v>24</v>
      </c>
      <c r="H31" s="10"/>
      <c r="I31" s="10">
        <v>1</v>
      </c>
      <c r="J31" s="10">
        <v>5</v>
      </c>
      <c r="K31" s="10" t="s">
        <v>2219</v>
      </c>
      <c r="L31" s="10" t="s">
        <v>2159</v>
      </c>
      <c r="M31" s="10"/>
      <c r="N31" s="11"/>
      <c r="O31" s="10"/>
      <c r="P31" s="10">
        <v>295</v>
      </c>
      <c r="Q31" s="10">
        <v>145.04867735273871</v>
      </c>
      <c r="R31" s="10"/>
      <c r="S31" s="10" t="s">
        <v>2387</v>
      </c>
      <c r="T31" s="10" t="s">
        <v>2387</v>
      </c>
      <c r="U31" s="10"/>
      <c r="V31" s="10"/>
      <c r="W31" s="10"/>
      <c r="X31" s="10"/>
      <c r="Y31" s="10"/>
      <c r="Z31" s="10"/>
      <c r="AA31" s="10"/>
      <c r="AB31" s="10"/>
      <c r="AC31" s="10"/>
      <c r="AD31" s="10"/>
      <c r="AE31" t="s">
        <v>19</v>
      </c>
      <c r="AH31">
        <v>1</v>
      </c>
    </row>
    <row r="32" spans="1:34" ht="72.5">
      <c r="A32" t="s">
        <v>812</v>
      </c>
      <c r="B32" s="4" t="s">
        <v>2143</v>
      </c>
      <c r="C32" s="4" t="s">
        <v>2140</v>
      </c>
      <c r="G32" s="10" t="s">
        <v>25</v>
      </c>
      <c r="H32" s="10"/>
      <c r="I32" s="10">
        <v>1</v>
      </c>
      <c r="J32" s="10">
        <v>5</v>
      </c>
      <c r="K32" s="10" t="s">
        <v>2152</v>
      </c>
      <c r="L32" s="10" t="s">
        <v>2159</v>
      </c>
      <c r="M32" s="10"/>
      <c r="N32" s="11"/>
      <c r="O32" s="10"/>
      <c r="P32" s="10">
        <v>24</v>
      </c>
      <c r="Q32" s="10">
        <v>11.800570360900778</v>
      </c>
      <c r="R32" s="10"/>
      <c r="S32" s="10" t="s">
        <v>2387</v>
      </c>
      <c r="T32" s="10" t="s">
        <v>2387</v>
      </c>
      <c r="U32" s="10"/>
      <c r="V32" s="10"/>
      <c r="W32" s="10"/>
      <c r="X32" s="10"/>
      <c r="Y32" s="10"/>
      <c r="Z32" s="10"/>
      <c r="AA32" s="10"/>
      <c r="AB32" s="10"/>
      <c r="AC32" s="10"/>
      <c r="AD32" s="10"/>
      <c r="AE32" t="s">
        <v>19</v>
      </c>
      <c r="AH32">
        <v>1</v>
      </c>
    </row>
    <row r="35" spans="4:5">
      <c r="D35" t="s">
        <v>2384</v>
      </c>
      <c r="E35">
        <v>20338</v>
      </c>
    </row>
    <row r="36" spans="4:5">
      <c r="D36" t="s">
        <v>2389</v>
      </c>
      <c r="E36">
        <f>MEDIAN(Q:Q)</f>
        <v>56.544399645982892</v>
      </c>
    </row>
    <row r="39" spans="4:5">
      <c r="D39" t="s">
        <v>2390</v>
      </c>
      <c r="E39">
        <f>COUNTIFS(G:G, "Addition", Q:Q, "&gt;=" &amp; $E$36)</f>
        <v>8</v>
      </c>
    </row>
    <row r="40" spans="4:5">
      <c r="D40" t="s">
        <v>2391</v>
      </c>
      <c r="E40">
        <f>COUNTIFS(G:G, "Omission", Q:Q, "&gt;=" &amp; $E$36)</f>
        <v>8</v>
      </c>
    </row>
    <row r="41" spans="4:5">
      <c r="D41" t="s">
        <v>2392</v>
      </c>
      <c r="E41">
        <f>E39/(E39+E40)</f>
        <v>0.5</v>
      </c>
    </row>
    <row r="42" spans="4:5">
      <c r="D42" t="s">
        <v>2393</v>
      </c>
      <c r="E42">
        <f>COUNTIFS(G:G, "Addition", Q:Q, "&lt;" &amp; $E$36)</f>
        <v>6</v>
      </c>
    </row>
    <row r="43" spans="4:5">
      <c r="D43" t="s">
        <v>2394</v>
      </c>
      <c r="E43">
        <f>COUNTIFS(G:G, "Omission", Q:Q, "&lt;" &amp; $E$36)</f>
        <v>9</v>
      </c>
    </row>
    <row r="44" spans="4:5">
      <c r="D44" t="s">
        <v>2395</v>
      </c>
      <c r="E44">
        <f>E42/(E42+E43)</f>
        <v>0.4</v>
      </c>
    </row>
    <row r="45" spans="4:5">
      <c r="D45" t="s">
        <v>2409</v>
      </c>
      <c r="E45">
        <f>E41-E44</f>
        <v>9.9999999999999978E-2</v>
      </c>
    </row>
  </sheetData>
  <conditionalFormatting sqref="G2:G32">
    <cfRule type="expression" dxfId="219" priority="7">
      <formula>$I2&lt;&gt;""</formula>
    </cfRule>
    <cfRule type="expression" dxfId="218" priority="8">
      <formula>$I2=""</formula>
    </cfRule>
  </conditionalFormatting>
  <conditionalFormatting sqref="H2:L32 O2:P32">
    <cfRule type="expression" dxfId="217" priority="24">
      <formula>AND(OR($I2="Addition",$I2="Omission"), H2="")</formula>
    </cfRule>
    <cfRule type="expression" dxfId="216" priority="25">
      <formula>AND($I2&lt;&gt;"Addition",$I2&lt;&gt;"Omission",$I2&lt;&gt;"Substitution - Word")</formula>
    </cfRule>
  </conditionalFormatting>
  <conditionalFormatting sqref="H2:P32">
    <cfRule type="expression" dxfId="215" priority="23">
      <formula>AND(OR($I2="Addition",$I2="Omission"), H2&lt;&gt;"")</formula>
    </cfRule>
  </conditionalFormatting>
  <conditionalFormatting sqref="K2:K32">
    <cfRule type="expression" dxfId="214" priority="18">
      <formula>AND($K2&lt;&gt;"",$K2&gt;1)</formula>
    </cfRule>
  </conditionalFormatting>
  <conditionalFormatting sqref="M2:N32">
    <cfRule type="expression" dxfId="213" priority="14">
      <formula>$N2="Absent"</formula>
    </cfRule>
    <cfRule type="expression" dxfId="212" priority="15">
      <formula>$N2="NA"</formula>
    </cfRule>
    <cfRule type="expression" dxfId="211" priority="16">
      <formula>AND(OR($I2="Addition",$I2="Omission"), M2="")</formula>
    </cfRule>
    <cfRule type="expression" dxfId="210" priority="17">
      <formula>AND($I2&lt;&gt;"Addition",$I2&lt;&gt;"Omission")</formula>
    </cfRule>
  </conditionalFormatting>
  <conditionalFormatting sqref="O2:O32">
    <cfRule type="expression" dxfId="209" priority="19">
      <formula>OR($I2="Addition",$I2="Omission",$I2 = "Substitution - Word")</formula>
    </cfRule>
  </conditionalFormatting>
  <conditionalFormatting sqref="Q2:Q32">
    <cfRule type="expression" dxfId="208" priority="1">
      <formula>AND(OR($I2="Addition",$I2="Omission"), Q2&lt;&gt;"")</formula>
    </cfRule>
    <cfRule type="expression" dxfId="207" priority="2">
      <formula>AND(OR($I2="Addition",$I2="Omission"), Q2="")</formula>
    </cfRule>
    <cfRule type="expression" dxfId="206" priority="3">
      <formula>AND($I2&lt;&gt;"Addition",$I2&lt;&gt;"Omission",$I2&lt;&gt;"Substitution - Word")</formula>
    </cfRule>
  </conditionalFormatting>
  <conditionalFormatting sqref="R2:T32">
    <cfRule type="expression" dxfId="205" priority="20">
      <formula>AND(AND(LEFT($I2,3)="Sub", RIGHT($I2,4)&lt;&gt;"Form"),$T2&lt;&gt;"")</formula>
    </cfRule>
    <cfRule type="expression" dxfId="204" priority="21">
      <formula>AND(AND(LEFT($I2,3)="Sub", RIGHT($I2,4)&lt;&gt;"Form"),$T2="")</formula>
    </cfRule>
    <cfRule type="expression" dxfId="203" priority="22">
      <formula>"&lt;&gt;AND(LEFT($J2,3)=""Sub"", RIGHT($J2,4)&lt;&gt;""Form"")"</formula>
    </cfRule>
  </conditionalFormatting>
  <conditionalFormatting sqref="S2:T32">
    <cfRule type="expression" dxfId="202" priority="4">
      <formula>AND(AND(LEFT($I2,3)="Sub", RIGHT($I2,4)&lt;&gt;"Form"),$T2&lt;&gt;"")</formula>
    </cfRule>
    <cfRule type="expression" dxfId="201" priority="5">
      <formula>AND(AND(LEFT($I2,3)="Sub", RIGHT($I2,4)&lt;&gt;"Form"),$T2="")</formula>
    </cfRule>
    <cfRule type="expression" dxfId="200" priority="6">
      <formula>"&lt;&gt;AND(LEFT($J2,3)=""Sub"", RIGHT($J2,4)&lt;&gt;""Form"")"</formula>
    </cfRule>
  </conditionalFormatting>
  <conditionalFormatting sqref="U2:U32">
    <cfRule type="expression" dxfId="199" priority="10">
      <formula>AND($W2&lt;&gt;"",OR($AD2="Yes",$AE2&lt;&gt;""))</formula>
    </cfRule>
    <cfRule type="expression" dxfId="198" priority="11">
      <formula>OR($AD2="Yes",$AE2&lt;&gt;"")</formula>
    </cfRule>
    <cfRule type="expression" dxfId="197" priority="28">
      <formula>AND($AD2&lt;&gt;"Yes",$AE2="")</formula>
    </cfRule>
  </conditionalFormatting>
  <conditionalFormatting sqref="U2:AD32">
    <cfRule type="expression" dxfId="196" priority="26">
      <formula>AND($I2&lt;&gt;"",$I2&lt;&gt;"Unclear due to correction")</formula>
    </cfRule>
    <cfRule type="expression" dxfId="195" priority="27">
      <formula>OR($I2="",$I2="Unclear due to correction")</formula>
    </cfRule>
  </conditionalFormatting>
  <conditionalFormatting sqref="V2:V32">
    <cfRule type="expression" dxfId="194" priority="9">
      <formula>AND($I2&lt;&gt;"",$I2&lt;&gt;"Unclear due to correction",$X2="")</formula>
    </cfRule>
  </conditionalFormatting>
  <conditionalFormatting sqref="W2:W32">
    <cfRule type="expression" dxfId="193" priority="12">
      <formula>AND($X2="Yes",$Y2="")</formula>
    </cfRule>
    <cfRule type="expression" dxfId="192" priority="13">
      <formula>$X2=""</formula>
    </cfRule>
  </conditionalFormatting>
  <conditionalFormatting sqref="AB2:AB32">
    <cfRule type="expression" dxfId="191" priority="29">
      <formula>AND(OR($AB2&lt;&gt;"",$AC2&lt;&gt;""),$AD2="")</formula>
    </cfRule>
  </conditionalFormatting>
  <dataValidations count="1">
    <dataValidation allowBlank="1" showInputMessage="1" sqref="V3:V32" xr:uid="{055AF3B7-A943-42ED-BA08-2EDD338325DE}"/>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098FFDB9-7002-4A59-B1ED-ED9F7612055B}">
          <x14:formula1>
            <xm:f>'Data Regularization'!$Q$2:$Q$4</xm:f>
          </x14:formula1>
          <xm:sqref>AE2:AG32</xm:sqref>
        </x14:dataValidation>
        <x14:dataValidation type="list" allowBlank="1" showInputMessage="1" showErrorMessage="1" xr:uid="{13DA1C4E-4EC2-4F45-A6E1-754991C52C9E}">
          <x14:formula1>
            <xm:f>'Data Regularization'!$B$2:$B$1048576</xm:f>
          </x14:formula1>
          <xm:sqref>E2:E32</xm:sqref>
        </x14:dataValidation>
        <x14:dataValidation type="list" allowBlank="1" showInputMessage="1" showErrorMessage="1" xr:uid="{A75EA14E-D4EE-4A45-A302-F00B1E5E236D}">
          <x14:formula1>
            <xm:f>'Data Regularization'!$A$2:$A$1048576</xm:f>
          </x14:formula1>
          <xm:sqref>D2:D32</xm:sqref>
        </x14:dataValidation>
        <x14:dataValidation type="list" allowBlank="1" showInputMessage="1" showErrorMessage="1" xr:uid="{C8C7540E-CAD7-4D09-BA45-54C16A85DFA7}">
          <x14:formula1>
            <xm:f>'Data Regularization'!$C$2:$C$29</xm:f>
          </x14:formula1>
          <xm:sqref>F2:F32</xm:sqref>
        </x14:dataValidation>
        <x14:dataValidation type="list" allowBlank="1" showInputMessage="1" showErrorMessage="1" xr:uid="{2A12105A-5394-4F0A-B3E2-4B6E9B9E9081}">
          <x14:formula1>
            <xm:f>'Data Regularization'!$Q$2:$Q$1048576</xm:f>
          </x14:formula1>
          <xm:sqref>AD3:AD32</xm:sqref>
        </x14:dataValidation>
        <x14:dataValidation type="list" allowBlank="1" showInputMessage="1" showErrorMessage="1" xr:uid="{6096E829-1B29-4859-A472-7CEF8CE7AB67}">
          <x14:formula1>
            <xm:f>'Data Regularization'!$P$2:$P$1048576</xm:f>
          </x14:formula1>
          <xm:sqref>AC3:AC32</xm:sqref>
        </x14:dataValidation>
        <x14:dataValidation type="list" allowBlank="1" showInputMessage="1" showErrorMessage="1" xr:uid="{0204ECEA-820B-4BFE-86DF-B4737C65E24B}">
          <x14:formula1>
            <xm:f>'Data Regularization'!$O$2:$O$1048576</xm:f>
          </x14:formula1>
          <xm:sqref>AB3:AB32</xm:sqref>
        </x14:dataValidation>
        <x14:dataValidation type="list" allowBlank="1" showInputMessage="1" showErrorMessage="1" xr:uid="{11A65336-35C8-4773-BCC2-3875E3A40859}">
          <x14:formula1>
            <xm:f>'Data Regularization'!$N$2:$N$1048576</xm:f>
          </x14:formula1>
          <xm:sqref>Z3:Z32</xm:sqref>
        </x14:dataValidation>
        <x14:dataValidation type="list" allowBlank="1" showInputMessage="1" showErrorMessage="1" xr:uid="{EEC2EDCE-2C46-4BFC-94CD-500AAAF3D3B8}">
          <x14:formula1>
            <xm:f>'Data Regularization'!$M$2:$M$1048576</xm:f>
          </x14:formula1>
          <xm:sqref>Y3:Y32</xm:sqref>
        </x14:dataValidation>
        <x14:dataValidation type="list" allowBlank="1" showInputMessage="1" showErrorMessage="1" xr:uid="{E14EB839-7E97-48B5-AEC6-1BAF1B4CB510}">
          <x14:formula1>
            <xm:f>'Data Regularization'!$L$2:$L$1048576</xm:f>
          </x14:formula1>
          <xm:sqref>X3:X32</xm:sqref>
        </x14:dataValidation>
        <x14:dataValidation type="list" allowBlank="1" showInputMessage="1" showErrorMessage="1" xr:uid="{9DCD8EAC-4A84-4F18-931E-AE772FE70248}">
          <x14:formula1>
            <xm:f>'Data Regularization'!$K$2:$K$1048576</xm:f>
          </x14:formula1>
          <xm:sqref>W3:W32 U3:U32</xm:sqref>
        </x14:dataValidation>
        <x14:dataValidation type="list" allowBlank="1" showInputMessage="1" showErrorMessage="1" xr:uid="{5774633A-E85A-450D-85EA-8F98B5BC1C0A}">
          <x14:formula1>
            <xm:f>'Data Regularization'!$G$2:$G$1048576</xm:f>
          </x14:formula1>
          <xm:sqref>O3:O32</xm:sqref>
        </x14:dataValidation>
        <x14:dataValidation type="list" allowBlank="1" showInputMessage="1" showErrorMessage="1" xr:uid="{6A5A7FA7-F032-447C-B4F3-3F3CE0D8F207}">
          <x14:formula1>
            <xm:f>'Data Regularization'!$F$2:$F$1048576</xm:f>
          </x14:formula1>
          <xm:sqref>L3:L32</xm:sqref>
        </x14:dataValidation>
        <x14:dataValidation type="list" allowBlank="1" showInputMessage="1" showErrorMessage="1" xr:uid="{782EFA03-F4EC-4682-97E1-613A3F410BA6}">
          <x14:formula1>
            <xm:f>'Data Regularization'!$E$2:$E$1048576</xm:f>
          </x14:formula1>
          <xm:sqref>K3:K32</xm:sqref>
        </x14:dataValidation>
        <x14:dataValidation type="list" allowBlank="1" showInputMessage="1" showErrorMessage="1" xr:uid="{8DE0BC59-0753-46DC-B1FE-6DDBF82A8BA8}">
          <x14:formula1>
            <xm:f>'Data Regularization'!$D$2:$D$1048576</xm:f>
          </x14:formula1>
          <xm:sqref>G3:G32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7E751-1DD4-48D2-A5C8-724489D2AE65}">
  <dimension ref="A1:AJ132"/>
  <sheetViews>
    <sheetView workbookViewId="0">
      <pane xSplit="3" ySplit="1" topLeftCell="D102" activePane="bottomRight" state="frozen"/>
      <selection pane="topRight" activeCell="D1" sqref="D1"/>
      <selection pane="bottomLeft" activeCell="A2" sqref="A2"/>
      <selection pane="bottomRight" activeCell="A113" sqref="A113"/>
    </sheetView>
  </sheetViews>
  <sheetFormatPr defaultRowHeight="14.5"/>
  <sheetData>
    <row r="1" spans="1:36" s="1" customFormat="1" ht="29">
      <c r="A1" s="1" t="s">
        <v>0</v>
      </c>
      <c r="B1" s="1" t="s">
        <v>5</v>
      </c>
      <c r="C1" s="3" t="s">
        <v>6</v>
      </c>
      <c r="D1" s="1" t="s">
        <v>2181</v>
      </c>
      <c r="E1" s="1" t="s">
        <v>2182</v>
      </c>
      <c r="F1" s="1" t="s">
        <v>2183</v>
      </c>
      <c r="G1" s="1" t="s">
        <v>3</v>
      </c>
      <c r="H1" s="1" t="s">
        <v>2184</v>
      </c>
      <c r="I1" s="1" t="s">
        <v>2185</v>
      </c>
      <c r="J1" s="1" t="s">
        <v>2186</v>
      </c>
      <c r="K1" s="1" t="s">
        <v>2187</v>
      </c>
      <c r="L1" s="1" t="s">
        <v>2146</v>
      </c>
      <c r="M1" s="1" t="s">
        <v>2188</v>
      </c>
      <c r="N1" s="9" t="s">
        <v>2189</v>
      </c>
      <c r="O1" s="1" t="s">
        <v>2147</v>
      </c>
      <c r="P1" s="1" t="s">
        <v>2190</v>
      </c>
      <c r="Q1" s="1" t="s">
        <v>2191</v>
      </c>
      <c r="R1" s="1" t="s">
        <v>2385</v>
      </c>
      <c r="S1" s="1" t="s">
        <v>2386</v>
      </c>
      <c r="T1" s="1" t="s">
        <v>2399</v>
      </c>
      <c r="U1" s="1" t="s">
        <v>2400</v>
      </c>
      <c r="V1" s="1" t="s">
        <v>2401</v>
      </c>
      <c r="W1" s="1" t="s">
        <v>2194</v>
      </c>
      <c r="X1" s="1" t="s">
        <v>2195</v>
      </c>
      <c r="Y1" s="1" t="s">
        <v>2196</v>
      </c>
      <c r="Z1" s="1" t="s">
        <v>2148</v>
      </c>
      <c r="AA1" s="1" t="s">
        <v>2149</v>
      </c>
      <c r="AB1" s="1" t="s">
        <v>2150</v>
      </c>
      <c r="AC1" s="1" t="s">
        <v>2192</v>
      </c>
      <c r="AD1" s="1" t="s">
        <v>2197</v>
      </c>
      <c r="AE1" s="1" t="s">
        <v>2151</v>
      </c>
      <c r="AF1" s="1" t="s">
        <v>2193</v>
      </c>
      <c r="AG1" s="1" t="s">
        <v>2215</v>
      </c>
      <c r="AH1" s="1" t="s">
        <v>2207</v>
      </c>
      <c r="AI1" s="1" t="s">
        <v>2214</v>
      </c>
    </row>
    <row r="2" spans="1:36" ht="43.5">
      <c r="A2" t="s">
        <v>73</v>
      </c>
      <c r="B2" s="4" t="s">
        <v>836</v>
      </c>
      <c r="C2" s="4" t="s">
        <v>835</v>
      </c>
      <c r="G2" s="10" t="s">
        <v>2199</v>
      </c>
      <c r="H2" s="10"/>
      <c r="I2" s="10"/>
      <c r="J2" s="10"/>
      <c r="K2" s="10"/>
      <c r="L2" s="10"/>
      <c r="M2" s="10"/>
      <c r="N2" s="11"/>
      <c r="O2" s="10"/>
      <c r="P2" s="10"/>
      <c r="Q2" s="10">
        <v>118</v>
      </c>
      <c r="R2" s="10">
        <v>11</v>
      </c>
      <c r="S2" s="10">
        <v>129</v>
      </c>
      <c r="T2" s="13">
        <f>IF(ISNUMBER(R2), (R2/$E$116)*10000, "")</f>
        <v>5.4085947487461903</v>
      </c>
      <c r="U2" s="13">
        <f>IF(ISNUMBER(S2), (S2/$E$116)*10000, "")</f>
        <v>63.428065689841674</v>
      </c>
      <c r="V2" s="13">
        <f>IF(ISNUMBER(Q2), U2-T2, "")</f>
        <v>58.019470941095484</v>
      </c>
      <c r="W2" s="10"/>
      <c r="X2" s="10"/>
      <c r="Y2" s="10"/>
      <c r="Z2" s="10"/>
      <c r="AA2" s="10"/>
      <c r="AB2" s="10"/>
      <c r="AC2" s="10"/>
      <c r="AD2" s="10"/>
      <c r="AE2" s="10"/>
      <c r="AF2" s="10"/>
      <c r="AG2" t="s">
        <v>19</v>
      </c>
      <c r="AH2" t="s">
        <v>20</v>
      </c>
      <c r="AI2" t="s">
        <v>20</v>
      </c>
      <c r="AJ2">
        <v>1</v>
      </c>
    </row>
    <row r="3" spans="1:36" ht="29">
      <c r="A3" t="s">
        <v>111</v>
      </c>
      <c r="B3" s="4" t="s">
        <v>871</v>
      </c>
      <c r="C3" s="4" t="s">
        <v>872</v>
      </c>
      <c r="G3" s="10" t="s">
        <v>2199</v>
      </c>
      <c r="H3" s="10"/>
      <c r="I3" s="10"/>
      <c r="J3" s="10"/>
      <c r="K3" s="10"/>
      <c r="L3" s="10"/>
      <c r="M3" s="10"/>
      <c r="N3" s="11"/>
      <c r="O3" s="10"/>
      <c r="P3" s="10"/>
      <c r="Q3" s="10">
        <v>-456</v>
      </c>
      <c r="R3" s="10">
        <v>768</v>
      </c>
      <c r="S3" s="10">
        <v>312</v>
      </c>
      <c r="T3" s="13">
        <f t="shared" ref="T3:T66" si="0">IF(ISNUMBER(R3), (R3/$E$116)*10000, "")</f>
        <v>377.6182515488249</v>
      </c>
      <c r="U3" s="13">
        <f t="shared" ref="U3:U66" si="1">IF(ISNUMBER(S3), (S3/$E$116)*10000, "")</f>
        <v>153.4074146917101</v>
      </c>
      <c r="V3" s="13">
        <f t="shared" ref="V3:V66" si="2">IF(ISNUMBER(Q3), U3-T3, "")</f>
        <v>-224.2108368571148</v>
      </c>
      <c r="W3" s="10"/>
      <c r="X3" s="10"/>
      <c r="Y3" s="10"/>
      <c r="Z3" s="10"/>
      <c r="AA3" s="10"/>
      <c r="AB3" s="10"/>
      <c r="AC3" s="10"/>
      <c r="AD3" s="10"/>
      <c r="AE3" s="10"/>
      <c r="AF3" s="10"/>
      <c r="AG3" t="s">
        <v>19</v>
      </c>
      <c r="AH3" t="s">
        <v>20</v>
      </c>
      <c r="AI3" t="s">
        <v>19</v>
      </c>
      <c r="AJ3">
        <v>1</v>
      </c>
    </row>
    <row r="4" spans="1:36" ht="43.5">
      <c r="A4" t="s">
        <v>115</v>
      </c>
      <c r="B4" s="4" t="s">
        <v>880</v>
      </c>
      <c r="C4" s="4" t="s">
        <v>879</v>
      </c>
      <c r="F4" t="s">
        <v>19</v>
      </c>
      <c r="G4" s="10" t="s">
        <v>2199</v>
      </c>
      <c r="H4" s="10"/>
      <c r="I4" s="10"/>
      <c r="J4" s="10"/>
      <c r="K4" s="10"/>
      <c r="L4" s="10"/>
      <c r="M4" s="10"/>
      <c r="N4" s="11"/>
      <c r="O4" s="10"/>
      <c r="P4" s="10"/>
      <c r="Q4" s="10">
        <v>-830</v>
      </c>
      <c r="R4" s="10">
        <v>830</v>
      </c>
      <c r="S4" s="10">
        <v>0</v>
      </c>
      <c r="T4" s="13">
        <f t="shared" si="0"/>
        <v>408.10305831448517</v>
      </c>
      <c r="U4" s="13">
        <f t="shared" si="1"/>
        <v>0</v>
      </c>
      <c r="V4" s="13">
        <f t="shared" si="2"/>
        <v>-408.10305831448517</v>
      </c>
      <c r="W4" s="10"/>
      <c r="X4" s="10"/>
      <c r="Y4" s="10"/>
      <c r="Z4" s="10"/>
      <c r="AA4" s="10"/>
      <c r="AB4" s="10"/>
      <c r="AC4" s="10"/>
      <c r="AD4" s="10"/>
      <c r="AE4" s="10"/>
      <c r="AF4" s="10"/>
      <c r="AG4" t="s">
        <v>20</v>
      </c>
      <c r="AJ4">
        <v>0</v>
      </c>
    </row>
    <row r="5" spans="1:36" ht="87">
      <c r="A5" t="s">
        <v>131</v>
      </c>
      <c r="B5" s="4" t="s">
        <v>889</v>
      </c>
      <c r="C5" s="4" t="s">
        <v>890</v>
      </c>
      <c r="G5" s="10" t="s">
        <v>2199</v>
      </c>
      <c r="H5" s="10"/>
      <c r="I5" s="10"/>
      <c r="J5" s="10"/>
      <c r="K5" s="10"/>
      <c r="L5" s="10"/>
      <c r="M5" s="10"/>
      <c r="N5" s="11"/>
      <c r="O5" s="10"/>
      <c r="P5" s="10"/>
      <c r="Q5" s="10">
        <v>118</v>
      </c>
      <c r="R5" s="10">
        <v>132</v>
      </c>
      <c r="S5" s="10">
        <v>250</v>
      </c>
      <c r="T5" s="13">
        <f t="shared" si="0"/>
        <v>64.903136984954273</v>
      </c>
      <c r="U5" s="13">
        <f t="shared" si="1"/>
        <v>122.92260792604976</v>
      </c>
      <c r="V5" s="13">
        <f t="shared" si="2"/>
        <v>58.019470941095491</v>
      </c>
      <c r="W5" s="10"/>
      <c r="X5" s="10"/>
      <c r="Y5" s="10"/>
      <c r="Z5" s="10"/>
      <c r="AA5" s="10"/>
      <c r="AB5" s="10"/>
      <c r="AC5" s="10"/>
      <c r="AD5" s="10"/>
      <c r="AE5" s="10"/>
      <c r="AF5" s="10"/>
      <c r="AG5" t="s">
        <v>19</v>
      </c>
      <c r="AJ5">
        <v>1</v>
      </c>
    </row>
    <row r="6" spans="1:36" ht="72.5">
      <c r="A6" t="s">
        <v>131</v>
      </c>
      <c r="B6" s="4" t="s">
        <v>891</v>
      </c>
      <c r="C6" s="4" t="s">
        <v>892</v>
      </c>
      <c r="G6" s="10" t="s">
        <v>2199</v>
      </c>
      <c r="H6" s="10"/>
      <c r="I6" s="10"/>
      <c r="J6" s="10"/>
      <c r="K6" s="10"/>
      <c r="L6" s="10"/>
      <c r="M6" s="10"/>
      <c r="N6" s="11"/>
      <c r="O6" s="10"/>
      <c r="P6" s="10"/>
      <c r="Q6" s="10">
        <v>-17</v>
      </c>
      <c r="R6" s="10">
        <v>18</v>
      </c>
      <c r="S6" s="10">
        <v>1</v>
      </c>
      <c r="T6" s="13">
        <f t="shared" si="0"/>
        <v>8.8504277706755818</v>
      </c>
      <c r="U6" s="13">
        <f t="shared" si="1"/>
        <v>0.49169043170419907</v>
      </c>
      <c r="V6" s="13">
        <f t="shared" si="2"/>
        <v>-8.3587373389713822</v>
      </c>
      <c r="W6" s="10"/>
      <c r="X6" s="10"/>
      <c r="Y6" s="10"/>
      <c r="Z6" s="10"/>
      <c r="AA6" s="10"/>
      <c r="AB6" s="10"/>
      <c r="AC6" s="10"/>
      <c r="AD6" s="10"/>
      <c r="AE6" s="10"/>
      <c r="AF6" s="10"/>
      <c r="AG6" t="s">
        <v>19</v>
      </c>
      <c r="AJ6">
        <v>1</v>
      </c>
    </row>
    <row r="7" spans="1:36">
      <c r="A7" t="s">
        <v>138</v>
      </c>
      <c r="B7" s="4" t="s">
        <v>903</v>
      </c>
      <c r="C7" s="4" t="s">
        <v>902</v>
      </c>
      <c r="G7" s="10" t="s">
        <v>2199</v>
      </c>
      <c r="H7" s="10"/>
      <c r="I7" s="10"/>
      <c r="J7" s="10"/>
      <c r="K7" s="10"/>
      <c r="L7" s="10"/>
      <c r="M7" s="10"/>
      <c r="N7" s="11"/>
      <c r="O7" s="10"/>
      <c r="P7" s="10"/>
      <c r="Q7" s="10">
        <v>813</v>
      </c>
      <c r="R7" s="10">
        <v>17</v>
      </c>
      <c r="S7" s="10">
        <v>830</v>
      </c>
      <c r="T7" s="13">
        <f t="shared" si="0"/>
        <v>8.3587373389713839</v>
      </c>
      <c r="U7" s="13">
        <f t="shared" si="1"/>
        <v>408.10305831448517</v>
      </c>
      <c r="V7" s="13">
        <f t="shared" si="2"/>
        <v>399.7443209755138</v>
      </c>
      <c r="W7" s="10"/>
      <c r="X7" s="10"/>
      <c r="Y7" s="10"/>
      <c r="Z7" s="10"/>
      <c r="AA7" s="10"/>
      <c r="AB7" s="10"/>
      <c r="AC7" s="10"/>
      <c r="AD7" s="10"/>
      <c r="AE7" s="10"/>
      <c r="AF7" s="10"/>
      <c r="AG7" t="s">
        <v>19</v>
      </c>
      <c r="AJ7">
        <v>1</v>
      </c>
    </row>
    <row r="8" spans="1:36" ht="58">
      <c r="A8" t="s">
        <v>158</v>
      </c>
      <c r="B8" s="4" t="s">
        <v>935</v>
      </c>
      <c r="C8" s="4" t="s">
        <v>934</v>
      </c>
      <c r="G8" s="10" t="s">
        <v>2199</v>
      </c>
      <c r="H8" s="10"/>
      <c r="I8" s="10"/>
      <c r="J8" s="10"/>
      <c r="K8" s="10"/>
      <c r="L8" s="10"/>
      <c r="M8" s="10"/>
      <c r="N8" s="11"/>
      <c r="O8" s="10"/>
      <c r="P8" s="10"/>
      <c r="Q8" s="10">
        <v>732</v>
      </c>
      <c r="R8" s="10">
        <v>98</v>
      </c>
      <c r="S8" s="10">
        <v>830</v>
      </c>
      <c r="T8" s="13">
        <f t="shared" si="0"/>
        <v>48.185662307011505</v>
      </c>
      <c r="U8" s="13">
        <f t="shared" si="1"/>
        <v>408.10305831448517</v>
      </c>
      <c r="V8" s="13">
        <f t="shared" si="2"/>
        <v>359.91739600747366</v>
      </c>
      <c r="W8" s="10"/>
      <c r="X8" s="10"/>
      <c r="Y8" s="10"/>
      <c r="Z8" s="10"/>
      <c r="AA8" s="10"/>
      <c r="AB8" s="10"/>
      <c r="AC8" s="10"/>
      <c r="AD8" s="10"/>
      <c r="AE8" s="10"/>
      <c r="AF8" s="10"/>
      <c r="AG8" t="s">
        <v>19</v>
      </c>
      <c r="AJ8">
        <v>1</v>
      </c>
    </row>
    <row r="9" spans="1:36" ht="43.5">
      <c r="A9" t="s">
        <v>178</v>
      </c>
      <c r="B9" s="4" t="s">
        <v>954</v>
      </c>
      <c r="C9" s="4" t="s">
        <v>955</v>
      </c>
      <c r="G9" s="10" t="s">
        <v>2199</v>
      </c>
      <c r="H9" s="10"/>
      <c r="I9" s="10"/>
      <c r="J9" s="10"/>
      <c r="K9" s="10"/>
      <c r="L9" s="10"/>
      <c r="M9" s="10"/>
      <c r="N9" s="11"/>
      <c r="O9" s="10"/>
      <c r="P9" s="10"/>
      <c r="Q9" s="10">
        <v>118</v>
      </c>
      <c r="R9" s="10">
        <v>132</v>
      </c>
      <c r="S9" s="10">
        <v>250</v>
      </c>
      <c r="T9" s="13">
        <f t="shared" si="0"/>
        <v>64.903136984954273</v>
      </c>
      <c r="U9" s="13">
        <f t="shared" si="1"/>
        <v>122.92260792604976</v>
      </c>
      <c r="V9" s="13">
        <f t="shared" si="2"/>
        <v>58.019470941095491</v>
      </c>
      <c r="W9" s="10"/>
      <c r="X9" s="10"/>
      <c r="Y9" s="10"/>
      <c r="Z9" s="10"/>
      <c r="AA9" s="10"/>
      <c r="AB9" s="10"/>
      <c r="AC9" s="10"/>
      <c r="AD9" s="10"/>
      <c r="AE9" s="10"/>
      <c r="AF9" s="10"/>
      <c r="AG9" t="s">
        <v>19</v>
      </c>
      <c r="AJ9">
        <v>1</v>
      </c>
    </row>
    <row r="10" spans="1:36" ht="29">
      <c r="A10" t="s">
        <v>180</v>
      </c>
      <c r="B10" s="4" t="s">
        <v>960</v>
      </c>
      <c r="C10" s="4" t="s">
        <v>961</v>
      </c>
      <c r="G10" s="10" t="s">
        <v>2199</v>
      </c>
      <c r="H10" s="10"/>
      <c r="I10" s="10"/>
      <c r="J10" s="10"/>
      <c r="K10" s="10"/>
      <c r="L10" s="10"/>
      <c r="M10" s="10"/>
      <c r="N10" s="11"/>
      <c r="O10" s="10"/>
      <c r="P10" s="10"/>
      <c r="Q10" s="10">
        <v>-26</v>
      </c>
      <c r="R10" s="10">
        <v>31</v>
      </c>
      <c r="S10" s="10">
        <v>5</v>
      </c>
      <c r="T10" s="13">
        <f t="shared" si="0"/>
        <v>15.242403382830171</v>
      </c>
      <c r="U10" s="13">
        <f t="shared" si="1"/>
        <v>2.4584521585209949</v>
      </c>
      <c r="V10" s="13">
        <f t="shared" si="2"/>
        <v>-12.783951224309176</v>
      </c>
      <c r="W10" s="10"/>
      <c r="X10" s="10"/>
      <c r="Y10" s="10"/>
      <c r="Z10" s="10"/>
      <c r="AA10" s="10"/>
      <c r="AB10" s="10"/>
      <c r="AC10" s="10"/>
      <c r="AD10" s="10"/>
      <c r="AE10" s="10"/>
      <c r="AF10" s="10"/>
      <c r="AG10" t="s">
        <v>19</v>
      </c>
      <c r="AJ10">
        <v>1</v>
      </c>
    </row>
    <row r="11" spans="1:36" ht="29">
      <c r="A11" t="s">
        <v>183</v>
      </c>
      <c r="B11" s="4" t="s">
        <v>962</v>
      </c>
      <c r="C11" s="4" t="s">
        <v>963</v>
      </c>
      <c r="G11" s="10" t="s">
        <v>2199</v>
      </c>
      <c r="H11" s="10"/>
      <c r="I11" s="10"/>
      <c r="J11" s="10"/>
      <c r="K11" s="10"/>
      <c r="L11" s="10"/>
      <c r="M11" s="10"/>
      <c r="N11" s="11"/>
      <c r="O11" s="10"/>
      <c r="P11" s="10"/>
      <c r="Q11" s="10">
        <v>4</v>
      </c>
      <c r="R11" s="10">
        <v>2</v>
      </c>
      <c r="S11" s="10">
        <v>6</v>
      </c>
      <c r="T11" s="13">
        <f t="shared" si="0"/>
        <v>0.98338086340839814</v>
      </c>
      <c r="U11" s="13">
        <f t="shared" si="1"/>
        <v>2.9501425902251945</v>
      </c>
      <c r="V11" s="13">
        <f t="shared" si="2"/>
        <v>1.9667617268167965</v>
      </c>
      <c r="W11" s="10"/>
      <c r="X11" s="10"/>
      <c r="Y11" s="10"/>
      <c r="Z11" s="10"/>
      <c r="AA11" s="10"/>
      <c r="AB11" s="10"/>
      <c r="AC11" s="10"/>
      <c r="AD11" s="10"/>
      <c r="AE11" s="10"/>
      <c r="AF11" s="10"/>
      <c r="AG11" t="s">
        <v>19</v>
      </c>
      <c r="AJ11">
        <v>1</v>
      </c>
    </row>
    <row r="12" spans="1:36" ht="29">
      <c r="A12" t="s">
        <v>190</v>
      </c>
      <c r="B12" s="4" t="s">
        <v>976</v>
      </c>
      <c r="C12" s="4" t="s">
        <v>977</v>
      </c>
      <c r="G12" s="10" t="s">
        <v>2199</v>
      </c>
      <c r="H12" s="10"/>
      <c r="I12" s="10"/>
      <c r="J12" s="10"/>
      <c r="K12" s="10"/>
      <c r="L12" s="10"/>
      <c r="M12" s="10"/>
      <c r="N12" s="11"/>
      <c r="O12" s="10"/>
      <c r="P12" s="10"/>
      <c r="Q12" s="10">
        <v>-680</v>
      </c>
      <c r="R12" s="10">
        <v>830</v>
      </c>
      <c r="S12" s="10">
        <v>150</v>
      </c>
      <c r="T12" s="13">
        <f t="shared" si="0"/>
        <v>408.10305831448517</v>
      </c>
      <c r="U12" s="13">
        <f t="shared" si="1"/>
        <v>73.753564755629853</v>
      </c>
      <c r="V12" s="13">
        <f t="shared" si="2"/>
        <v>-334.34949355885533</v>
      </c>
      <c r="W12" s="10"/>
      <c r="X12" s="10"/>
      <c r="Y12" s="10"/>
      <c r="Z12" s="10"/>
      <c r="AA12" s="10"/>
      <c r="AB12" s="10"/>
      <c r="AC12" s="10"/>
      <c r="AD12" s="10"/>
      <c r="AE12" s="10"/>
      <c r="AF12" s="10"/>
      <c r="AG12" t="s">
        <v>19</v>
      </c>
      <c r="AJ12">
        <v>1</v>
      </c>
    </row>
    <row r="13" spans="1:36" ht="29">
      <c r="A13" t="s">
        <v>224</v>
      </c>
      <c r="B13" s="4" t="s">
        <v>225</v>
      </c>
      <c r="C13" s="4" t="s">
        <v>226</v>
      </c>
      <c r="G13" s="10" t="s">
        <v>2199</v>
      </c>
      <c r="H13" s="10"/>
      <c r="I13" s="10"/>
      <c r="J13" s="10"/>
      <c r="K13" s="10"/>
      <c r="L13" s="10"/>
      <c r="M13" s="10"/>
      <c r="N13" s="11"/>
      <c r="O13" s="10"/>
      <c r="P13" s="10"/>
      <c r="Q13" s="10">
        <v>2</v>
      </c>
      <c r="R13" s="10">
        <v>0</v>
      </c>
      <c r="S13" s="10">
        <v>2</v>
      </c>
      <c r="T13" s="13">
        <f t="shared" si="0"/>
        <v>0</v>
      </c>
      <c r="U13" s="13">
        <f t="shared" si="1"/>
        <v>0.98338086340839814</v>
      </c>
      <c r="V13" s="13">
        <f t="shared" si="2"/>
        <v>0.98338086340839814</v>
      </c>
      <c r="W13" s="10"/>
      <c r="X13" s="10"/>
      <c r="Y13" s="10"/>
      <c r="Z13" s="10"/>
      <c r="AA13" s="10"/>
      <c r="AB13" s="10"/>
      <c r="AC13" s="10"/>
      <c r="AD13" s="10"/>
      <c r="AE13" s="10"/>
      <c r="AF13" s="10"/>
      <c r="AG13" t="s">
        <v>20</v>
      </c>
      <c r="AJ13">
        <v>0</v>
      </c>
    </row>
    <row r="14" spans="1:36" ht="101.5">
      <c r="A14" t="s">
        <v>232</v>
      </c>
      <c r="B14" s="4" t="s">
        <v>1008</v>
      </c>
      <c r="C14" s="4" t="s">
        <v>1009</v>
      </c>
      <c r="G14" s="10" t="s">
        <v>2199</v>
      </c>
      <c r="H14" s="10"/>
      <c r="I14" s="10"/>
      <c r="J14" s="10"/>
      <c r="K14" s="10"/>
      <c r="L14" s="10"/>
      <c r="M14" s="10"/>
      <c r="N14" s="11"/>
      <c r="O14" s="10"/>
      <c r="P14" s="10"/>
      <c r="Q14" s="10">
        <v>3</v>
      </c>
      <c r="R14" s="10">
        <v>4</v>
      </c>
      <c r="S14" s="10">
        <v>7</v>
      </c>
      <c r="T14" s="13">
        <f t="shared" si="0"/>
        <v>1.9667617268167963</v>
      </c>
      <c r="U14" s="13">
        <f t="shared" si="1"/>
        <v>3.4418330219293933</v>
      </c>
      <c r="V14" s="13">
        <f t="shared" si="2"/>
        <v>1.475071295112597</v>
      </c>
      <c r="W14" s="10"/>
      <c r="X14" s="10"/>
      <c r="Y14" s="10"/>
      <c r="Z14" s="10"/>
      <c r="AA14" s="10"/>
      <c r="AB14" s="10"/>
      <c r="AC14" s="10"/>
      <c r="AD14" s="10"/>
      <c r="AE14" s="10"/>
      <c r="AF14" s="10"/>
      <c r="AG14" t="s">
        <v>19</v>
      </c>
      <c r="AJ14">
        <v>1</v>
      </c>
    </row>
    <row r="15" spans="1:36" ht="43.5">
      <c r="A15" t="s">
        <v>239</v>
      </c>
      <c r="B15" s="4" t="s">
        <v>1025</v>
      </c>
      <c r="C15" s="4" t="s">
        <v>1024</v>
      </c>
      <c r="G15" s="10" t="s">
        <v>2199</v>
      </c>
      <c r="H15" s="10"/>
      <c r="I15" s="10"/>
      <c r="J15" s="10"/>
      <c r="K15" s="10"/>
      <c r="L15" s="10"/>
      <c r="M15" s="10"/>
      <c r="N15" s="11"/>
      <c r="O15" s="10"/>
      <c r="P15" s="10"/>
      <c r="Q15" s="10">
        <v>619</v>
      </c>
      <c r="R15" s="10">
        <v>124</v>
      </c>
      <c r="S15" s="10">
        <v>743</v>
      </c>
      <c r="T15" s="13">
        <f t="shared" si="0"/>
        <v>60.969613531320682</v>
      </c>
      <c r="U15" s="13">
        <f t="shared" si="1"/>
        <v>365.32599075621988</v>
      </c>
      <c r="V15" s="13">
        <f t="shared" si="2"/>
        <v>304.35637722489918</v>
      </c>
      <c r="W15" s="10"/>
      <c r="X15" s="10"/>
      <c r="Y15" s="10"/>
      <c r="Z15" s="10"/>
      <c r="AA15" s="10"/>
      <c r="AB15" s="10"/>
      <c r="AC15" s="10"/>
      <c r="AD15" s="10"/>
      <c r="AE15" s="10"/>
      <c r="AF15" s="10"/>
      <c r="AG15" t="s">
        <v>19</v>
      </c>
      <c r="AJ15">
        <v>1</v>
      </c>
    </row>
    <row r="16" spans="1:36" ht="58">
      <c r="A16" t="s">
        <v>242</v>
      </c>
      <c r="B16" s="4" t="s">
        <v>2255</v>
      </c>
      <c r="C16" s="4" t="s">
        <v>2256</v>
      </c>
      <c r="G16" s="10" t="s">
        <v>2199</v>
      </c>
      <c r="H16" s="10"/>
      <c r="I16" s="10"/>
      <c r="J16" s="10"/>
      <c r="K16" s="10"/>
      <c r="L16" s="10"/>
      <c r="M16" s="10"/>
      <c r="N16" s="11"/>
      <c r="O16" s="10"/>
      <c r="P16" s="10"/>
      <c r="Q16" s="10">
        <v>-3</v>
      </c>
      <c r="R16" s="10">
        <v>10</v>
      </c>
      <c r="S16" s="10">
        <v>7</v>
      </c>
      <c r="T16" s="13">
        <f t="shared" si="0"/>
        <v>4.9169043170419897</v>
      </c>
      <c r="U16" s="13">
        <f t="shared" si="1"/>
        <v>3.4418330219293933</v>
      </c>
      <c r="V16" s="13">
        <f t="shared" si="2"/>
        <v>-1.4750712951125964</v>
      </c>
      <c r="W16" s="10"/>
      <c r="X16" s="10"/>
      <c r="Y16" s="10"/>
      <c r="Z16" s="10"/>
      <c r="AA16" s="10"/>
      <c r="AB16" s="10"/>
      <c r="AC16" s="10"/>
      <c r="AD16" s="10"/>
      <c r="AE16" s="10"/>
      <c r="AF16" s="10"/>
      <c r="AG16" t="s">
        <v>19</v>
      </c>
      <c r="AJ16">
        <v>1</v>
      </c>
    </row>
    <row r="17" spans="1:36" ht="43.5">
      <c r="A17" t="s">
        <v>264</v>
      </c>
      <c r="B17" s="4" t="s">
        <v>1089</v>
      </c>
      <c r="C17" s="4" t="s">
        <v>1090</v>
      </c>
      <c r="G17" s="10" t="s">
        <v>2199</v>
      </c>
      <c r="H17" s="10"/>
      <c r="I17" s="10"/>
      <c r="J17" s="10"/>
      <c r="K17" s="10"/>
      <c r="L17" s="10"/>
      <c r="M17" s="10"/>
      <c r="N17" s="11"/>
      <c r="O17" s="10"/>
      <c r="P17" s="10"/>
      <c r="Q17" s="10">
        <v>-813</v>
      </c>
      <c r="R17" s="10">
        <v>830</v>
      </c>
      <c r="S17" s="10">
        <v>17</v>
      </c>
      <c r="T17" s="13">
        <f t="shared" si="0"/>
        <v>408.10305831448517</v>
      </c>
      <c r="U17" s="13">
        <f t="shared" si="1"/>
        <v>8.3587373389713839</v>
      </c>
      <c r="V17" s="13">
        <f t="shared" si="2"/>
        <v>-399.7443209755138</v>
      </c>
      <c r="W17" s="10"/>
      <c r="X17" s="10"/>
      <c r="Y17" s="10"/>
      <c r="Z17" s="10"/>
      <c r="AA17" s="10"/>
      <c r="AB17" s="10"/>
      <c r="AC17" s="10"/>
      <c r="AD17" s="10"/>
      <c r="AE17" s="10"/>
      <c r="AF17" s="10"/>
      <c r="AG17" t="s">
        <v>19</v>
      </c>
      <c r="AJ17">
        <v>1</v>
      </c>
    </row>
    <row r="18" spans="1:36" ht="72.5">
      <c r="A18" t="s">
        <v>282</v>
      </c>
      <c r="B18" s="4" t="s">
        <v>1124</v>
      </c>
      <c r="C18" s="4" t="s">
        <v>1123</v>
      </c>
      <c r="G18" s="10" t="s">
        <v>2199</v>
      </c>
      <c r="H18" s="10"/>
      <c r="I18" s="10"/>
      <c r="J18" s="10"/>
      <c r="K18" s="10"/>
      <c r="L18" s="10"/>
      <c r="M18" s="10"/>
      <c r="N18" s="11"/>
      <c r="O18" s="10"/>
      <c r="P18" s="10"/>
      <c r="Q18" s="10">
        <v>-253</v>
      </c>
      <c r="R18" s="10">
        <v>280</v>
      </c>
      <c r="S18" s="10">
        <v>27</v>
      </c>
      <c r="T18" s="13">
        <f t="shared" si="0"/>
        <v>137.67332087717574</v>
      </c>
      <c r="U18" s="13">
        <f t="shared" si="1"/>
        <v>13.275641656013374</v>
      </c>
      <c r="V18" s="13">
        <f t="shared" si="2"/>
        <v>-124.39767922116236</v>
      </c>
      <c r="W18" s="10"/>
      <c r="X18" s="10"/>
      <c r="Y18" s="10"/>
      <c r="Z18" s="10"/>
      <c r="AA18" s="10"/>
      <c r="AB18" s="10"/>
      <c r="AC18" s="10"/>
      <c r="AD18" s="10"/>
      <c r="AE18" s="10"/>
      <c r="AF18" s="10"/>
      <c r="AG18" t="s">
        <v>19</v>
      </c>
      <c r="AJ18">
        <v>1</v>
      </c>
    </row>
    <row r="19" spans="1:36" ht="29">
      <c r="A19" t="s">
        <v>292</v>
      </c>
      <c r="B19" s="4" t="s">
        <v>1135</v>
      </c>
      <c r="C19" s="4" t="s">
        <v>1136</v>
      </c>
      <c r="G19" s="10" t="s">
        <v>2199</v>
      </c>
      <c r="H19" s="10"/>
      <c r="I19" s="10"/>
      <c r="J19" s="10"/>
      <c r="K19" s="10"/>
      <c r="L19" s="10"/>
      <c r="M19" s="10"/>
      <c r="N19" s="11"/>
      <c r="O19" s="10"/>
      <c r="P19" s="10"/>
      <c r="Q19" s="10">
        <v>-431</v>
      </c>
      <c r="R19" s="10">
        <v>743</v>
      </c>
      <c r="S19" s="10">
        <v>312</v>
      </c>
      <c r="T19" s="13">
        <f t="shared" si="0"/>
        <v>365.32599075621988</v>
      </c>
      <c r="U19" s="13">
        <f t="shared" si="1"/>
        <v>153.4074146917101</v>
      </c>
      <c r="V19" s="13">
        <f t="shared" si="2"/>
        <v>-211.91857606450978</v>
      </c>
      <c r="W19" s="10"/>
      <c r="X19" s="10"/>
      <c r="Y19" s="10"/>
      <c r="Z19" s="10"/>
      <c r="AA19" s="10"/>
      <c r="AB19" s="10"/>
      <c r="AC19" s="10"/>
      <c r="AD19" s="10"/>
      <c r="AE19" s="10"/>
      <c r="AF19" s="10"/>
      <c r="AG19" t="s">
        <v>19</v>
      </c>
      <c r="AJ19">
        <v>1</v>
      </c>
    </row>
    <row r="20" spans="1:36" ht="58">
      <c r="A20" t="s">
        <v>300</v>
      </c>
      <c r="B20" s="4" t="s">
        <v>1145</v>
      </c>
      <c r="C20" s="4" t="s">
        <v>1144</v>
      </c>
      <c r="G20" s="10" t="s">
        <v>2199</v>
      </c>
      <c r="H20" s="10"/>
      <c r="I20" s="10"/>
      <c r="J20" s="10"/>
      <c r="K20" s="10"/>
      <c r="L20" s="10"/>
      <c r="M20" s="10"/>
      <c r="N20" s="11"/>
      <c r="O20" s="10"/>
      <c r="P20" s="10"/>
      <c r="Q20" s="10">
        <v>52</v>
      </c>
      <c r="R20" s="10">
        <v>7</v>
      </c>
      <c r="S20" s="10">
        <v>59</v>
      </c>
      <c r="T20" s="13">
        <f t="shared" si="0"/>
        <v>3.4418330219293933</v>
      </c>
      <c r="U20" s="13">
        <f t="shared" si="1"/>
        <v>29.009735470547742</v>
      </c>
      <c r="V20" s="13">
        <f t="shared" si="2"/>
        <v>25.567902448618348</v>
      </c>
      <c r="W20" s="10"/>
      <c r="X20" s="10"/>
      <c r="Y20" s="10"/>
      <c r="Z20" s="10"/>
      <c r="AA20" s="10"/>
      <c r="AB20" s="10"/>
      <c r="AC20" s="10"/>
      <c r="AD20" s="10"/>
      <c r="AE20" s="10"/>
      <c r="AF20" s="10"/>
      <c r="AG20" t="s">
        <v>19</v>
      </c>
      <c r="AJ20">
        <v>1</v>
      </c>
    </row>
    <row r="21" spans="1:36">
      <c r="A21" t="s">
        <v>300</v>
      </c>
      <c r="B21" s="4" t="s">
        <v>305</v>
      </c>
      <c r="C21" s="6" t="s">
        <v>306</v>
      </c>
      <c r="D21" t="s">
        <v>32</v>
      </c>
      <c r="G21" s="10" t="s">
        <v>2199</v>
      </c>
      <c r="H21" s="10"/>
      <c r="I21" s="10"/>
      <c r="J21" s="10"/>
      <c r="K21" s="10"/>
      <c r="L21" s="10"/>
      <c r="M21" s="10"/>
      <c r="N21" s="11"/>
      <c r="O21" s="10"/>
      <c r="P21" s="10"/>
      <c r="Q21" s="10">
        <v>37</v>
      </c>
      <c r="R21" s="10">
        <v>2</v>
      </c>
      <c r="S21" s="10">
        <v>39</v>
      </c>
      <c r="T21" s="13">
        <f t="shared" si="0"/>
        <v>0.98338086340839814</v>
      </c>
      <c r="U21" s="13">
        <f t="shared" si="1"/>
        <v>19.175926836463763</v>
      </c>
      <c r="V21" s="13">
        <f t="shared" si="2"/>
        <v>18.192545973055363</v>
      </c>
      <c r="W21" s="10"/>
      <c r="X21" s="10"/>
      <c r="Y21" s="10"/>
      <c r="Z21" s="10"/>
      <c r="AA21" s="10"/>
      <c r="AB21" s="10"/>
      <c r="AC21" s="10"/>
      <c r="AD21" s="10"/>
      <c r="AE21" s="10"/>
      <c r="AF21" s="10"/>
      <c r="AG21" t="s">
        <v>19</v>
      </c>
      <c r="AJ21">
        <v>1</v>
      </c>
    </row>
    <row r="22" spans="1:36" ht="29">
      <c r="A22" t="s">
        <v>316</v>
      </c>
      <c r="B22" s="4" t="s">
        <v>1154</v>
      </c>
      <c r="C22" s="4" t="s">
        <v>1155</v>
      </c>
      <c r="G22" s="10" t="s">
        <v>2199</v>
      </c>
      <c r="H22" s="10"/>
      <c r="I22" s="10"/>
      <c r="J22" s="10"/>
      <c r="K22" s="10"/>
      <c r="L22" s="10"/>
      <c r="M22" s="10"/>
      <c r="N22" s="11"/>
      <c r="O22" s="10"/>
      <c r="P22" s="10"/>
      <c r="Q22" s="10">
        <v>-431</v>
      </c>
      <c r="R22" s="10">
        <v>743</v>
      </c>
      <c r="S22" s="10">
        <v>312</v>
      </c>
      <c r="T22" s="13">
        <f t="shared" si="0"/>
        <v>365.32599075621988</v>
      </c>
      <c r="U22" s="13">
        <f t="shared" si="1"/>
        <v>153.4074146917101</v>
      </c>
      <c r="V22" s="13">
        <f t="shared" si="2"/>
        <v>-211.91857606450978</v>
      </c>
      <c r="W22" s="10"/>
      <c r="X22" s="10"/>
      <c r="Y22" s="10"/>
      <c r="Z22" s="10"/>
      <c r="AA22" s="10"/>
      <c r="AB22" s="10"/>
      <c r="AC22" s="10"/>
      <c r="AD22" s="10"/>
      <c r="AE22" s="10"/>
      <c r="AF22" s="10"/>
      <c r="AG22" t="s">
        <v>19</v>
      </c>
      <c r="AJ22">
        <v>1</v>
      </c>
    </row>
    <row r="23" spans="1:36" ht="29">
      <c r="A23" t="s">
        <v>318</v>
      </c>
      <c r="B23" s="4" t="s">
        <v>1160</v>
      </c>
      <c r="C23" s="4" t="s">
        <v>1161</v>
      </c>
      <c r="F23" t="s">
        <v>19</v>
      </c>
      <c r="G23" s="10" t="s">
        <v>2199</v>
      </c>
      <c r="H23" s="10"/>
      <c r="I23" s="10"/>
      <c r="J23" s="10"/>
      <c r="K23" s="10"/>
      <c r="L23" s="10"/>
      <c r="M23" s="10"/>
      <c r="N23" s="11"/>
      <c r="O23" s="10"/>
      <c r="P23" s="10"/>
      <c r="Q23" s="10">
        <v>2</v>
      </c>
      <c r="R23" s="10">
        <v>1</v>
      </c>
      <c r="S23" s="10">
        <v>3</v>
      </c>
      <c r="T23" s="13">
        <f t="shared" si="0"/>
        <v>0.49169043170419907</v>
      </c>
      <c r="U23" s="13">
        <f t="shared" si="1"/>
        <v>1.4750712951125973</v>
      </c>
      <c r="V23" s="13">
        <f t="shared" si="2"/>
        <v>0.98338086340839825</v>
      </c>
      <c r="W23" s="10"/>
      <c r="X23" s="10"/>
      <c r="Y23" s="10"/>
      <c r="Z23" s="10"/>
      <c r="AA23" s="10"/>
      <c r="AB23" s="10"/>
      <c r="AC23" s="10"/>
      <c r="AD23" s="10"/>
      <c r="AE23" s="10"/>
      <c r="AF23" s="10"/>
      <c r="AG23" t="s">
        <v>19</v>
      </c>
      <c r="AJ23">
        <v>1</v>
      </c>
    </row>
    <row r="24" spans="1:36" ht="72.5">
      <c r="A24" t="s">
        <v>336</v>
      </c>
      <c r="B24" s="4" t="s">
        <v>1183</v>
      </c>
      <c r="C24" s="4" t="s">
        <v>1182</v>
      </c>
      <c r="G24" s="10" t="s">
        <v>2199</v>
      </c>
      <c r="H24" s="10"/>
      <c r="I24" s="10"/>
      <c r="J24" s="10"/>
      <c r="K24" s="10"/>
      <c r="L24" s="10"/>
      <c r="M24" s="10"/>
      <c r="N24" s="11"/>
      <c r="O24" s="10"/>
      <c r="P24" s="10"/>
      <c r="Q24" s="10">
        <v>-1530</v>
      </c>
      <c r="R24" s="10">
        <v>1701</v>
      </c>
      <c r="S24" s="10">
        <v>171</v>
      </c>
      <c r="T24" s="13">
        <f t="shared" si="0"/>
        <v>836.36542432884255</v>
      </c>
      <c r="U24" s="13">
        <f t="shared" si="1"/>
        <v>84.079063821418046</v>
      </c>
      <c r="V24" s="13">
        <f t="shared" si="2"/>
        <v>-752.28636050742455</v>
      </c>
      <c r="W24" s="10"/>
      <c r="X24" s="10"/>
      <c r="Y24" s="10"/>
      <c r="Z24" s="10"/>
      <c r="AA24" s="10"/>
      <c r="AB24" s="10"/>
      <c r="AC24" s="10"/>
      <c r="AD24" s="10"/>
      <c r="AE24" s="10"/>
      <c r="AF24" s="10"/>
      <c r="AG24" t="s">
        <v>19</v>
      </c>
      <c r="AJ24">
        <v>1</v>
      </c>
    </row>
    <row r="25" spans="1:36" ht="58">
      <c r="A25" t="s">
        <v>344</v>
      </c>
      <c r="B25" s="4" t="s">
        <v>1201</v>
      </c>
      <c r="C25" s="4" t="s">
        <v>1200</v>
      </c>
      <c r="G25" s="10" t="s">
        <v>2199</v>
      </c>
      <c r="H25" s="10"/>
      <c r="I25" s="10"/>
      <c r="J25" s="10"/>
      <c r="K25" s="10"/>
      <c r="L25" s="10"/>
      <c r="M25" s="10"/>
      <c r="N25" s="11"/>
      <c r="O25" s="10"/>
      <c r="P25" s="10"/>
      <c r="Q25" s="10">
        <v>4</v>
      </c>
      <c r="R25" s="10">
        <v>1</v>
      </c>
      <c r="S25" s="10">
        <v>5</v>
      </c>
      <c r="T25" s="13">
        <f t="shared" si="0"/>
        <v>0.49169043170419907</v>
      </c>
      <c r="U25" s="13">
        <f t="shared" si="1"/>
        <v>2.4584521585209949</v>
      </c>
      <c r="V25" s="13">
        <f t="shared" si="2"/>
        <v>1.9667617268167958</v>
      </c>
      <c r="W25" s="10"/>
      <c r="X25" s="10"/>
      <c r="Y25" s="10"/>
      <c r="Z25" s="10"/>
      <c r="AA25" s="10"/>
      <c r="AB25" s="10"/>
      <c r="AC25" s="10"/>
      <c r="AD25" s="10"/>
      <c r="AE25" s="10"/>
      <c r="AF25" s="10"/>
      <c r="AG25" t="s">
        <v>19</v>
      </c>
      <c r="AJ25">
        <v>1</v>
      </c>
    </row>
    <row r="26" spans="1:36" ht="43.5">
      <c r="A26" t="s">
        <v>356</v>
      </c>
      <c r="B26" s="4" t="s">
        <v>1222</v>
      </c>
      <c r="C26" s="4" t="s">
        <v>1221</v>
      </c>
      <c r="G26" s="10" t="s">
        <v>2199</v>
      </c>
      <c r="H26" s="10"/>
      <c r="I26" s="10"/>
      <c r="J26" s="10"/>
      <c r="K26" s="10"/>
      <c r="L26" s="10"/>
      <c r="M26" s="10"/>
      <c r="N26" s="11"/>
      <c r="O26" s="10"/>
      <c r="P26" s="10"/>
      <c r="Q26" s="10">
        <v>-1664</v>
      </c>
      <c r="R26" s="10">
        <v>1701</v>
      </c>
      <c r="S26" s="10">
        <v>37</v>
      </c>
      <c r="T26" s="13">
        <f t="shared" si="0"/>
        <v>836.36542432884255</v>
      </c>
      <c r="U26" s="13">
        <f t="shared" si="1"/>
        <v>18.192545973055363</v>
      </c>
      <c r="V26" s="13">
        <f t="shared" si="2"/>
        <v>-818.17287835578713</v>
      </c>
      <c r="W26" s="10"/>
      <c r="X26" s="10"/>
      <c r="Y26" s="10"/>
      <c r="Z26" s="10"/>
      <c r="AA26" s="10"/>
      <c r="AB26" s="10"/>
      <c r="AC26" s="10"/>
      <c r="AD26" s="10"/>
      <c r="AE26" s="10"/>
      <c r="AF26" s="10"/>
      <c r="AG26" t="s">
        <v>19</v>
      </c>
      <c r="AJ26">
        <v>1</v>
      </c>
    </row>
    <row r="27" spans="1:36" ht="43.5">
      <c r="A27" t="s">
        <v>359</v>
      </c>
      <c r="B27" s="4" t="s">
        <v>1227</v>
      </c>
      <c r="C27" s="4" t="s">
        <v>361</v>
      </c>
      <c r="G27" s="10" t="s">
        <v>2199</v>
      </c>
      <c r="H27" s="10"/>
      <c r="I27" s="10"/>
      <c r="J27" s="10"/>
      <c r="K27" s="10"/>
      <c r="L27" s="10"/>
      <c r="M27" s="10"/>
      <c r="N27" s="11"/>
      <c r="O27" s="10"/>
      <c r="P27" s="10"/>
      <c r="Q27" s="10">
        <v>-1</v>
      </c>
      <c r="R27" s="10">
        <v>2</v>
      </c>
      <c r="S27" s="10">
        <v>1</v>
      </c>
      <c r="T27" s="13">
        <f t="shared" si="0"/>
        <v>0.98338086340839814</v>
      </c>
      <c r="U27" s="13">
        <f t="shared" si="1"/>
        <v>0.49169043170419907</v>
      </c>
      <c r="V27" s="13">
        <f t="shared" si="2"/>
        <v>-0.49169043170419907</v>
      </c>
      <c r="W27" s="10"/>
      <c r="X27" s="10"/>
      <c r="Y27" s="10"/>
      <c r="Z27" s="10"/>
      <c r="AA27" s="10"/>
      <c r="AB27" s="10"/>
      <c r="AC27" s="10"/>
      <c r="AD27" s="10"/>
      <c r="AE27" s="10"/>
      <c r="AF27" s="10"/>
      <c r="AG27" t="s">
        <v>19</v>
      </c>
      <c r="AJ27">
        <v>1</v>
      </c>
    </row>
    <row r="28" spans="1:36" ht="29">
      <c r="A28" t="s">
        <v>364</v>
      </c>
      <c r="B28" s="4" t="s">
        <v>1232</v>
      </c>
      <c r="C28" s="4" t="s">
        <v>1231</v>
      </c>
      <c r="G28" s="10" t="s">
        <v>2199</v>
      </c>
      <c r="H28" s="10"/>
      <c r="I28" s="10"/>
      <c r="J28" s="10"/>
      <c r="K28" s="10"/>
      <c r="L28" s="10"/>
      <c r="M28" s="10"/>
      <c r="N28" s="11"/>
      <c r="O28" s="10"/>
      <c r="P28" s="10"/>
      <c r="Q28" s="10">
        <v>-2195</v>
      </c>
      <c r="R28" s="10">
        <v>2475</v>
      </c>
      <c r="S28" s="10">
        <v>280</v>
      </c>
      <c r="T28" s="13">
        <f t="shared" si="0"/>
        <v>1216.9338184678927</v>
      </c>
      <c r="U28" s="13">
        <f t="shared" si="1"/>
        <v>137.67332087717574</v>
      </c>
      <c r="V28" s="13">
        <f t="shared" si="2"/>
        <v>-1079.260497590717</v>
      </c>
      <c r="W28" s="10"/>
      <c r="X28" s="10"/>
      <c r="Y28" s="10"/>
      <c r="Z28" s="10"/>
      <c r="AA28" s="10"/>
      <c r="AB28" s="10"/>
      <c r="AC28" s="10"/>
      <c r="AD28" s="10"/>
      <c r="AE28" s="10"/>
      <c r="AF28" s="10"/>
      <c r="AG28" t="s">
        <v>19</v>
      </c>
      <c r="AJ28">
        <v>1</v>
      </c>
    </row>
    <row r="29" spans="1:36" ht="43.5">
      <c r="A29" t="s">
        <v>365</v>
      </c>
      <c r="B29" s="4" t="s">
        <v>1236</v>
      </c>
      <c r="C29" s="4" t="s">
        <v>1235</v>
      </c>
      <c r="G29" s="10" t="s">
        <v>2199</v>
      </c>
      <c r="H29" s="10"/>
      <c r="I29" s="10"/>
      <c r="J29" s="10"/>
      <c r="K29" s="10"/>
      <c r="L29" s="10"/>
      <c r="M29" s="10"/>
      <c r="N29" s="11"/>
      <c r="O29" s="10"/>
      <c r="P29" s="10"/>
      <c r="Q29" s="10">
        <v>26</v>
      </c>
      <c r="R29" s="10">
        <v>79</v>
      </c>
      <c r="S29" s="10">
        <v>105</v>
      </c>
      <c r="T29" s="13">
        <f t="shared" si="0"/>
        <v>38.843544104631725</v>
      </c>
      <c r="U29" s="13">
        <f t="shared" si="1"/>
        <v>51.627495328940903</v>
      </c>
      <c r="V29" s="13">
        <f t="shared" si="2"/>
        <v>12.783951224309178</v>
      </c>
      <c r="W29" s="10"/>
      <c r="X29" s="10"/>
      <c r="Y29" s="10"/>
      <c r="Z29" s="10"/>
      <c r="AA29" s="10"/>
      <c r="AB29" s="10"/>
      <c r="AC29" s="10"/>
      <c r="AD29" s="10"/>
      <c r="AE29" s="10"/>
      <c r="AF29" s="10"/>
      <c r="AG29" t="s">
        <v>19</v>
      </c>
      <c r="AJ29">
        <v>1</v>
      </c>
    </row>
    <row r="30" spans="1:36" ht="29">
      <c r="A30" t="s">
        <v>365</v>
      </c>
      <c r="B30" s="4" t="s">
        <v>370</v>
      </c>
      <c r="C30" s="4" t="s">
        <v>371</v>
      </c>
      <c r="G30" s="10" t="s">
        <v>2199</v>
      </c>
      <c r="H30" s="10"/>
      <c r="I30" s="10"/>
      <c r="J30" s="10"/>
      <c r="K30" s="10"/>
      <c r="L30" s="10"/>
      <c r="M30" s="10"/>
      <c r="N30" s="11"/>
      <c r="O30" s="10"/>
      <c r="P30" s="10"/>
      <c r="Q30" s="10">
        <v>1</v>
      </c>
      <c r="R30" s="10">
        <v>1</v>
      </c>
      <c r="S30" s="10">
        <v>2</v>
      </c>
      <c r="T30" s="13">
        <f t="shared" si="0"/>
        <v>0.49169043170419907</v>
      </c>
      <c r="U30" s="13">
        <f t="shared" si="1"/>
        <v>0.98338086340839814</v>
      </c>
      <c r="V30" s="13">
        <f t="shared" si="2"/>
        <v>0.49169043170419907</v>
      </c>
      <c r="W30" s="10"/>
      <c r="X30" s="10"/>
      <c r="Y30" s="10"/>
      <c r="Z30" s="10"/>
      <c r="AA30" s="10"/>
      <c r="AB30" s="10"/>
      <c r="AC30" s="10"/>
      <c r="AD30" s="10"/>
      <c r="AE30" s="10"/>
      <c r="AF30" s="10"/>
      <c r="AG30" t="s">
        <v>19</v>
      </c>
      <c r="AJ30">
        <v>1</v>
      </c>
    </row>
    <row r="31" spans="1:36" ht="43.5">
      <c r="A31" t="s">
        <v>365</v>
      </c>
      <c r="B31" s="4" t="s">
        <v>1242</v>
      </c>
      <c r="C31" s="4" t="s">
        <v>1241</v>
      </c>
      <c r="G31" s="10" t="s">
        <v>2199</v>
      </c>
      <c r="H31" s="10"/>
      <c r="I31" s="10"/>
      <c r="J31" s="10"/>
      <c r="K31" s="10"/>
      <c r="L31" s="10"/>
      <c r="M31" s="10"/>
      <c r="N31" s="11"/>
      <c r="O31" s="10"/>
      <c r="P31" s="10"/>
      <c r="Q31" s="10">
        <v>67</v>
      </c>
      <c r="R31" s="10">
        <v>99</v>
      </c>
      <c r="S31" s="10">
        <v>166</v>
      </c>
      <c r="T31" s="13">
        <f t="shared" si="0"/>
        <v>48.677352738715705</v>
      </c>
      <c r="U31" s="13">
        <f t="shared" si="1"/>
        <v>81.620611662897048</v>
      </c>
      <c r="V31" s="13">
        <f t="shared" si="2"/>
        <v>32.943258924181343</v>
      </c>
      <c r="W31" s="10"/>
      <c r="X31" s="10"/>
      <c r="Y31" s="10"/>
      <c r="Z31" s="10"/>
      <c r="AA31" s="10"/>
      <c r="AB31" s="10"/>
      <c r="AC31" s="10"/>
      <c r="AD31" s="10"/>
      <c r="AE31" s="10"/>
      <c r="AF31" s="10"/>
      <c r="AG31" t="s">
        <v>19</v>
      </c>
      <c r="AJ31">
        <v>1</v>
      </c>
    </row>
    <row r="32" spans="1:36">
      <c r="A32" t="s">
        <v>375</v>
      </c>
      <c r="B32" s="4" t="s">
        <v>376</v>
      </c>
      <c r="C32" s="4" t="s">
        <v>377</v>
      </c>
      <c r="G32" s="10" t="s">
        <v>2199</v>
      </c>
      <c r="H32" s="10"/>
      <c r="I32" s="10"/>
      <c r="J32" s="10"/>
      <c r="K32" s="10"/>
      <c r="L32" s="10"/>
      <c r="M32" s="10"/>
      <c r="N32" s="11"/>
      <c r="O32" s="10"/>
      <c r="P32" s="10"/>
      <c r="Q32" s="10">
        <v>8</v>
      </c>
      <c r="R32" s="10">
        <v>2</v>
      </c>
      <c r="S32" s="10">
        <v>10</v>
      </c>
      <c r="T32" s="13">
        <f t="shared" si="0"/>
        <v>0.98338086340839814</v>
      </c>
      <c r="U32" s="13">
        <f t="shared" si="1"/>
        <v>4.9169043170419897</v>
      </c>
      <c r="V32" s="13">
        <f t="shared" si="2"/>
        <v>3.9335234536335917</v>
      </c>
      <c r="W32" s="10"/>
      <c r="X32" s="10"/>
      <c r="Y32" s="10"/>
      <c r="Z32" s="10"/>
      <c r="AA32" s="10"/>
      <c r="AB32" s="10"/>
      <c r="AC32" s="10"/>
      <c r="AD32" s="10"/>
      <c r="AE32" s="10"/>
      <c r="AF32" s="10"/>
      <c r="AG32" t="s">
        <v>19</v>
      </c>
      <c r="AJ32">
        <v>1</v>
      </c>
    </row>
    <row r="33" spans="1:36" ht="43.5">
      <c r="A33" t="s">
        <v>384</v>
      </c>
      <c r="B33" s="4" t="s">
        <v>1270</v>
      </c>
      <c r="C33" s="4" t="s">
        <v>1271</v>
      </c>
      <c r="G33" s="10" t="s">
        <v>2199</v>
      </c>
      <c r="H33" s="10"/>
      <c r="I33" s="10"/>
      <c r="J33" s="10"/>
      <c r="K33" s="10"/>
      <c r="L33" s="10"/>
      <c r="M33" s="10"/>
      <c r="N33" s="11"/>
      <c r="O33" s="10"/>
      <c r="P33" s="10"/>
      <c r="Q33" s="10">
        <v>-7</v>
      </c>
      <c r="R33" s="10">
        <v>7</v>
      </c>
      <c r="S33" s="10">
        <v>0</v>
      </c>
      <c r="T33" s="13">
        <f t="shared" si="0"/>
        <v>3.4418330219293933</v>
      </c>
      <c r="U33" s="13">
        <f t="shared" si="1"/>
        <v>0</v>
      </c>
      <c r="V33" s="13">
        <f t="shared" si="2"/>
        <v>-3.4418330219293933</v>
      </c>
      <c r="W33" s="10"/>
      <c r="X33" s="10"/>
      <c r="Y33" s="10"/>
      <c r="Z33" s="10"/>
      <c r="AA33" s="10"/>
      <c r="AB33" s="10"/>
      <c r="AC33" s="10"/>
      <c r="AD33" s="10"/>
      <c r="AE33" s="10"/>
      <c r="AF33" s="10"/>
      <c r="AG33" t="s">
        <v>19</v>
      </c>
      <c r="AJ33">
        <v>1</v>
      </c>
    </row>
    <row r="34" spans="1:36" ht="29">
      <c r="A34" t="s">
        <v>396</v>
      </c>
      <c r="B34" s="4" t="s">
        <v>1278</v>
      </c>
      <c r="C34" s="4" t="s">
        <v>1279</v>
      </c>
      <c r="G34" s="10" t="s">
        <v>2199</v>
      </c>
      <c r="H34" s="10"/>
      <c r="I34" s="10"/>
      <c r="J34" s="10"/>
      <c r="K34" s="10"/>
      <c r="L34" s="10"/>
      <c r="M34" s="10"/>
      <c r="N34" s="11"/>
      <c r="O34" s="10"/>
      <c r="P34" s="10"/>
      <c r="Q34" s="10">
        <v>249</v>
      </c>
      <c r="R34" s="10">
        <v>31</v>
      </c>
      <c r="S34" s="10">
        <v>280</v>
      </c>
      <c r="T34" s="13">
        <f t="shared" si="0"/>
        <v>15.242403382830171</v>
      </c>
      <c r="U34" s="13">
        <f t="shared" si="1"/>
        <v>137.67332087717574</v>
      </c>
      <c r="V34" s="13">
        <f t="shared" si="2"/>
        <v>122.43091749434556</v>
      </c>
      <c r="W34" s="10"/>
      <c r="X34" s="10"/>
      <c r="Y34" s="10"/>
      <c r="Z34" s="10"/>
      <c r="AA34" s="10"/>
      <c r="AB34" s="10"/>
      <c r="AC34" s="10"/>
      <c r="AD34" s="10"/>
      <c r="AE34" s="10"/>
      <c r="AF34" s="10"/>
      <c r="AG34" t="s">
        <v>19</v>
      </c>
      <c r="AJ34">
        <v>1</v>
      </c>
    </row>
    <row r="35" spans="1:36" ht="43.5">
      <c r="A35" t="s">
        <v>396</v>
      </c>
      <c r="B35" s="4" t="s">
        <v>1281</v>
      </c>
      <c r="C35" s="4" t="s">
        <v>1280</v>
      </c>
      <c r="G35" s="10" t="s">
        <v>2199</v>
      </c>
      <c r="H35" s="10"/>
      <c r="I35" s="10"/>
      <c r="J35" s="10"/>
      <c r="K35" s="10"/>
      <c r="L35" s="10"/>
      <c r="M35" s="10"/>
      <c r="N35" s="11"/>
      <c r="O35" s="10"/>
      <c r="P35" s="10"/>
      <c r="Q35" s="10">
        <v>-603</v>
      </c>
      <c r="R35" s="10">
        <v>613</v>
      </c>
      <c r="S35" s="10">
        <v>10</v>
      </c>
      <c r="T35" s="13">
        <f t="shared" si="0"/>
        <v>301.40623463467404</v>
      </c>
      <c r="U35" s="13">
        <f t="shared" si="1"/>
        <v>4.9169043170419897</v>
      </c>
      <c r="V35" s="13">
        <f t="shared" si="2"/>
        <v>-296.48933031763204</v>
      </c>
      <c r="W35" s="10"/>
      <c r="X35" s="10"/>
      <c r="Y35" s="10"/>
      <c r="Z35" s="10"/>
      <c r="AA35" s="10"/>
      <c r="AB35" s="10"/>
      <c r="AC35" s="10"/>
      <c r="AD35" s="10"/>
      <c r="AE35" s="10"/>
      <c r="AF35" s="10"/>
      <c r="AG35" t="s">
        <v>19</v>
      </c>
      <c r="AJ35">
        <v>1</v>
      </c>
    </row>
    <row r="36" spans="1:36" ht="58">
      <c r="A36" t="s">
        <v>397</v>
      </c>
      <c r="B36" s="4" t="s">
        <v>1282</v>
      </c>
      <c r="C36" s="4" t="s">
        <v>1283</v>
      </c>
      <c r="G36" s="10" t="s">
        <v>2199</v>
      </c>
      <c r="H36" s="10"/>
      <c r="I36" s="10"/>
      <c r="J36" s="10"/>
      <c r="K36" s="10"/>
      <c r="L36" s="10"/>
      <c r="M36" s="10"/>
      <c r="N36" s="11"/>
      <c r="O36" s="10"/>
      <c r="P36" s="10"/>
      <c r="Q36" s="10">
        <v>-1</v>
      </c>
      <c r="R36" s="10">
        <v>1</v>
      </c>
      <c r="S36" s="10">
        <v>0</v>
      </c>
      <c r="T36" s="13">
        <f t="shared" si="0"/>
        <v>0.49169043170419907</v>
      </c>
      <c r="U36" s="13">
        <f t="shared" si="1"/>
        <v>0</v>
      </c>
      <c r="V36" s="13">
        <f t="shared" si="2"/>
        <v>-0.49169043170419907</v>
      </c>
      <c r="W36" s="10"/>
      <c r="X36" s="10"/>
      <c r="Y36" s="10"/>
      <c r="Z36" s="10"/>
      <c r="AA36" s="10"/>
      <c r="AB36" s="10"/>
      <c r="AC36" s="10"/>
      <c r="AD36" s="10"/>
      <c r="AE36" s="10"/>
      <c r="AF36" s="10"/>
      <c r="AG36" t="s">
        <v>19</v>
      </c>
      <c r="AJ36">
        <v>1</v>
      </c>
    </row>
    <row r="37" spans="1:36" ht="43.5">
      <c r="A37" t="s">
        <v>402</v>
      </c>
      <c r="B37" s="4" t="s">
        <v>1292</v>
      </c>
      <c r="C37" s="4" t="s">
        <v>1291</v>
      </c>
      <c r="G37" s="10" t="s">
        <v>2199</v>
      </c>
      <c r="H37" s="10"/>
      <c r="I37" s="10"/>
      <c r="J37" s="10"/>
      <c r="K37" s="10"/>
      <c r="L37" s="10"/>
      <c r="M37" s="10"/>
      <c r="N37" s="11"/>
      <c r="O37" s="10"/>
      <c r="P37" s="10"/>
      <c r="Q37" s="10">
        <v>4</v>
      </c>
      <c r="R37" s="10">
        <v>1</v>
      </c>
      <c r="S37" s="10">
        <v>5</v>
      </c>
      <c r="T37" s="13">
        <f t="shared" si="0"/>
        <v>0.49169043170419907</v>
      </c>
      <c r="U37" s="13">
        <f t="shared" si="1"/>
        <v>2.4584521585209949</v>
      </c>
      <c r="V37" s="13">
        <f t="shared" si="2"/>
        <v>1.9667617268167958</v>
      </c>
      <c r="W37" s="10"/>
      <c r="X37" s="10"/>
      <c r="Y37" s="10"/>
      <c r="Z37" s="10"/>
      <c r="AA37" s="10"/>
      <c r="AB37" s="10"/>
      <c r="AC37" s="10"/>
      <c r="AD37" s="10"/>
      <c r="AE37" s="10"/>
      <c r="AF37" s="10"/>
      <c r="AG37" t="s">
        <v>19</v>
      </c>
      <c r="AJ37">
        <v>1</v>
      </c>
    </row>
    <row r="38" spans="1:36" ht="116">
      <c r="A38" t="s">
        <v>402</v>
      </c>
      <c r="B38" s="4" t="s">
        <v>1293</v>
      </c>
      <c r="C38" s="4" t="s">
        <v>1294</v>
      </c>
      <c r="G38" s="10" t="s">
        <v>2199</v>
      </c>
      <c r="H38" s="10"/>
      <c r="I38" s="10"/>
      <c r="J38" s="10"/>
      <c r="K38" s="10"/>
      <c r="L38" s="10"/>
      <c r="M38" s="10"/>
      <c r="N38" s="11"/>
      <c r="O38" s="10"/>
      <c r="P38" s="10"/>
      <c r="Q38" s="10">
        <v>-1</v>
      </c>
      <c r="R38" s="10">
        <v>1</v>
      </c>
      <c r="S38" s="10">
        <v>0</v>
      </c>
      <c r="T38" s="13">
        <f t="shared" si="0"/>
        <v>0.49169043170419907</v>
      </c>
      <c r="U38" s="13">
        <f t="shared" si="1"/>
        <v>0</v>
      </c>
      <c r="V38" s="13">
        <f t="shared" si="2"/>
        <v>-0.49169043170419907</v>
      </c>
      <c r="W38" s="10"/>
      <c r="X38" s="10"/>
      <c r="Y38" s="10"/>
      <c r="Z38" s="10"/>
      <c r="AA38" s="10"/>
      <c r="AB38" s="10"/>
      <c r="AC38" s="10"/>
      <c r="AD38" s="10"/>
      <c r="AE38" s="10"/>
      <c r="AF38" s="10"/>
      <c r="AG38" t="s">
        <v>19</v>
      </c>
      <c r="AJ38">
        <v>1</v>
      </c>
    </row>
    <row r="39" spans="1:36" ht="43.5">
      <c r="A39" t="s">
        <v>405</v>
      </c>
      <c r="B39" s="4" t="s">
        <v>1298</v>
      </c>
      <c r="C39" s="4" t="s">
        <v>1297</v>
      </c>
      <c r="G39" s="10" t="s">
        <v>2199</v>
      </c>
      <c r="H39" s="10"/>
      <c r="I39" s="10"/>
      <c r="J39" s="10"/>
      <c r="K39" s="10"/>
      <c r="L39" s="10"/>
      <c r="M39" s="10"/>
      <c r="N39" s="11"/>
      <c r="O39" s="10"/>
      <c r="P39" s="10"/>
      <c r="Q39" s="10">
        <v>-61</v>
      </c>
      <c r="R39" s="10">
        <v>166</v>
      </c>
      <c r="S39" s="10">
        <v>105</v>
      </c>
      <c r="T39" s="13">
        <f t="shared" si="0"/>
        <v>81.620611662897048</v>
      </c>
      <c r="U39" s="13">
        <f t="shared" si="1"/>
        <v>51.627495328940903</v>
      </c>
      <c r="V39" s="13">
        <f t="shared" si="2"/>
        <v>-29.993116333956145</v>
      </c>
      <c r="W39" s="10"/>
      <c r="X39" s="10"/>
      <c r="Y39" s="10"/>
      <c r="Z39" s="10"/>
      <c r="AA39" s="10"/>
      <c r="AB39" s="10"/>
      <c r="AC39" s="10"/>
      <c r="AD39" s="10"/>
      <c r="AE39" s="10"/>
      <c r="AF39" s="10"/>
      <c r="AG39" t="s">
        <v>19</v>
      </c>
      <c r="AJ39">
        <v>1</v>
      </c>
    </row>
    <row r="40" spans="1:36" ht="72.5">
      <c r="A40" t="s">
        <v>405</v>
      </c>
      <c r="B40" s="4" t="s">
        <v>1301</v>
      </c>
      <c r="C40" s="4" t="s">
        <v>1302</v>
      </c>
      <c r="G40" s="10" t="s">
        <v>2199</v>
      </c>
      <c r="H40" s="10"/>
      <c r="I40" s="10"/>
      <c r="J40" s="10"/>
      <c r="K40" s="10"/>
      <c r="L40" s="10"/>
      <c r="M40" s="10"/>
      <c r="N40" s="11"/>
      <c r="O40" s="10"/>
      <c r="P40" s="10"/>
      <c r="Q40" s="10">
        <v>-67</v>
      </c>
      <c r="R40" s="10">
        <v>166</v>
      </c>
      <c r="S40" s="10">
        <v>99</v>
      </c>
      <c r="T40" s="13">
        <f t="shared" si="0"/>
        <v>81.620611662897048</v>
      </c>
      <c r="U40" s="13">
        <f t="shared" si="1"/>
        <v>48.677352738715705</v>
      </c>
      <c r="V40" s="13">
        <f t="shared" si="2"/>
        <v>-32.943258924181343</v>
      </c>
      <c r="W40" s="10"/>
      <c r="X40" s="10"/>
      <c r="Y40" s="10"/>
      <c r="Z40" s="10"/>
      <c r="AA40" s="10"/>
      <c r="AB40" s="10"/>
      <c r="AC40" s="10"/>
      <c r="AD40" s="10"/>
      <c r="AE40" s="10"/>
      <c r="AF40" s="10"/>
      <c r="AG40" t="s">
        <v>19</v>
      </c>
      <c r="AJ40">
        <v>1</v>
      </c>
    </row>
    <row r="41" spans="1:36" ht="43.5">
      <c r="A41" t="s">
        <v>414</v>
      </c>
      <c r="B41" s="4" t="s">
        <v>1315</v>
      </c>
      <c r="C41" s="4" t="s">
        <v>1316</v>
      </c>
      <c r="G41" s="10" t="s">
        <v>2199</v>
      </c>
      <c r="H41" s="10"/>
      <c r="I41" s="10"/>
      <c r="J41" s="10"/>
      <c r="K41" s="10"/>
      <c r="L41" s="10"/>
      <c r="M41" s="10"/>
      <c r="N41" s="11"/>
      <c r="O41" s="10"/>
      <c r="P41" s="10"/>
      <c r="Q41" s="10">
        <v>-67</v>
      </c>
      <c r="R41" s="10">
        <v>166</v>
      </c>
      <c r="S41" s="10">
        <v>99</v>
      </c>
      <c r="T41" s="13">
        <f t="shared" si="0"/>
        <v>81.620611662897048</v>
      </c>
      <c r="U41" s="13">
        <f t="shared" si="1"/>
        <v>48.677352738715705</v>
      </c>
      <c r="V41" s="13">
        <f t="shared" si="2"/>
        <v>-32.943258924181343</v>
      </c>
      <c r="W41" s="10"/>
      <c r="X41" s="10"/>
      <c r="Y41" s="10"/>
      <c r="Z41" s="10"/>
      <c r="AA41" s="10"/>
      <c r="AB41" s="10"/>
      <c r="AC41" s="10"/>
      <c r="AD41" s="10"/>
      <c r="AE41" s="10"/>
      <c r="AF41" s="10"/>
      <c r="AG41" t="s">
        <v>19</v>
      </c>
      <c r="AJ41">
        <v>1</v>
      </c>
    </row>
    <row r="42" spans="1:36" ht="29">
      <c r="A42" t="s">
        <v>416</v>
      </c>
      <c r="B42" s="4" t="s">
        <v>1325</v>
      </c>
      <c r="C42" s="4" t="s">
        <v>1326</v>
      </c>
      <c r="G42" s="10" t="s">
        <v>2199</v>
      </c>
      <c r="H42" s="10"/>
      <c r="I42" s="10"/>
      <c r="J42" s="10"/>
      <c r="K42" s="10"/>
      <c r="L42" s="10"/>
      <c r="M42" s="10"/>
      <c r="N42" s="11"/>
      <c r="O42" s="10"/>
      <c r="P42" s="10"/>
      <c r="Q42" s="10">
        <v>-1</v>
      </c>
      <c r="R42" s="10">
        <v>1</v>
      </c>
      <c r="S42" s="10">
        <v>0</v>
      </c>
      <c r="T42" s="13">
        <f t="shared" si="0"/>
        <v>0.49169043170419907</v>
      </c>
      <c r="U42" s="13">
        <f t="shared" si="1"/>
        <v>0</v>
      </c>
      <c r="V42" s="13">
        <f t="shared" si="2"/>
        <v>-0.49169043170419907</v>
      </c>
      <c r="W42" s="10"/>
      <c r="X42" s="10"/>
      <c r="Y42" s="10"/>
      <c r="Z42" s="10"/>
      <c r="AA42" s="10"/>
      <c r="AB42" s="10"/>
      <c r="AC42" s="10"/>
      <c r="AD42" s="10"/>
      <c r="AE42" s="10"/>
      <c r="AF42" s="10"/>
      <c r="AG42" t="s">
        <v>19</v>
      </c>
      <c r="AJ42">
        <v>1</v>
      </c>
    </row>
    <row r="43" spans="1:36" ht="43.5">
      <c r="A43" t="s">
        <v>445</v>
      </c>
      <c r="B43" s="4" t="s">
        <v>1363</v>
      </c>
      <c r="C43" s="4" t="s">
        <v>1362</v>
      </c>
      <c r="G43" s="10" t="s">
        <v>2199</v>
      </c>
      <c r="H43" s="10"/>
      <c r="I43" s="10"/>
      <c r="J43" s="10"/>
      <c r="K43" s="10"/>
      <c r="L43" s="10"/>
      <c r="M43" s="10"/>
      <c r="N43" s="11"/>
      <c r="O43" s="10"/>
      <c r="P43" s="10"/>
      <c r="Q43" s="10">
        <v>2</v>
      </c>
      <c r="R43" s="10">
        <v>1</v>
      </c>
      <c r="S43" s="10">
        <v>3</v>
      </c>
      <c r="T43" s="13">
        <f t="shared" si="0"/>
        <v>0.49169043170419907</v>
      </c>
      <c r="U43" s="13">
        <f t="shared" si="1"/>
        <v>1.4750712951125973</v>
      </c>
      <c r="V43" s="13">
        <f t="shared" si="2"/>
        <v>0.98338086340839825</v>
      </c>
      <c r="W43" s="10"/>
      <c r="X43" s="10"/>
      <c r="Y43" s="10"/>
      <c r="Z43" s="10"/>
      <c r="AA43" s="10"/>
      <c r="AB43" s="10"/>
      <c r="AC43" s="10"/>
      <c r="AD43" s="10"/>
      <c r="AE43" s="10"/>
      <c r="AF43" s="10"/>
      <c r="AG43" t="s">
        <v>19</v>
      </c>
      <c r="AJ43">
        <v>1</v>
      </c>
    </row>
    <row r="44" spans="1:36" ht="87">
      <c r="A44" t="s">
        <v>447</v>
      </c>
      <c r="B44" s="4" t="s">
        <v>1367</v>
      </c>
      <c r="C44" s="4" t="s">
        <v>1368</v>
      </c>
      <c r="G44" s="10" t="s">
        <v>2199</v>
      </c>
      <c r="H44" s="10"/>
      <c r="I44" s="10"/>
      <c r="J44" s="10"/>
      <c r="K44" s="10"/>
      <c r="L44" s="10"/>
      <c r="M44" s="10"/>
      <c r="N44" s="11"/>
      <c r="O44" s="10"/>
      <c r="P44" s="10"/>
      <c r="Q44" s="10">
        <v>-2</v>
      </c>
      <c r="R44" s="10">
        <v>3</v>
      </c>
      <c r="S44" s="10">
        <v>1</v>
      </c>
      <c r="T44" s="13">
        <f t="shared" si="0"/>
        <v>1.4750712951125973</v>
      </c>
      <c r="U44" s="13">
        <f t="shared" si="1"/>
        <v>0.49169043170419907</v>
      </c>
      <c r="V44" s="13">
        <f t="shared" si="2"/>
        <v>-0.98338086340839825</v>
      </c>
      <c r="W44" s="10"/>
      <c r="X44" s="10"/>
      <c r="Y44" s="10"/>
      <c r="Z44" s="10"/>
      <c r="AA44" s="10"/>
      <c r="AB44" s="10"/>
      <c r="AC44" s="10"/>
      <c r="AD44" s="10"/>
      <c r="AE44" s="10"/>
      <c r="AF44" s="10" t="s">
        <v>19</v>
      </c>
      <c r="AG44" t="s">
        <v>19</v>
      </c>
      <c r="AJ44">
        <v>1</v>
      </c>
    </row>
    <row r="45" spans="1:36" ht="43.5">
      <c r="A45" t="s">
        <v>454</v>
      </c>
      <c r="B45" s="4" t="s">
        <v>1383</v>
      </c>
      <c r="C45" s="4" t="s">
        <v>1384</v>
      </c>
      <c r="F45" t="s">
        <v>22</v>
      </c>
      <c r="G45" s="10" t="s">
        <v>2199</v>
      </c>
      <c r="H45" s="10"/>
      <c r="I45" s="10"/>
      <c r="J45" s="10"/>
      <c r="K45" s="10"/>
      <c r="L45" s="10"/>
      <c r="M45" s="10"/>
      <c r="N45" s="11"/>
      <c r="O45" s="10"/>
      <c r="P45" s="10"/>
      <c r="Q45" s="10">
        <v>9</v>
      </c>
      <c r="R45" s="10">
        <v>7</v>
      </c>
      <c r="S45" s="10">
        <v>16</v>
      </c>
      <c r="T45" s="13">
        <f t="shared" si="0"/>
        <v>3.4418330219293933</v>
      </c>
      <c r="U45" s="13">
        <f t="shared" si="1"/>
        <v>7.8670469072671851</v>
      </c>
      <c r="V45" s="13">
        <f t="shared" si="2"/>
        <v>4.4252138853377918</v>
      </c>
      <c r="W45" s="10"/>
      <c r="X45" s="10"/>
      <c r="Y45" s="10"/>
      <c r="Z45" s="10"/>
      <c r="AA45" s="10"/>
      <c r="AB45" s="10"/>
      <c r="AC45" s="10"/>
      <c r="AD45" s="10"/>
      <c r="AE45" s="10"/>
      <c r="AF45" s="10"/>
      <c r="AG45" t="s">
        <v>19</v>
      </c>
      <c r="AJ45">
        <v>1</v>
      </c>
    </row>
    <row r="46" spans="1:36" ht="43.5">
      <c r="A46" t="s">
        <v>467</v>
      </c>
      <c r="B46" s="4" t="s">
        <v>1392</v>
      </c>
      <c r="C46" s="4" t="s">
        <v>1393</v>
      </c>
      <c r="G46" s="10" t="s">
        <v>2199</v>
      </c>
      <c r="H46" s="10"/>
      <c r="I46" s="10"/>
      <c r="J46" s="10"/>
      <c r="K46" s="10"/>
      <c r="L46" s="10"/>
      <c r="M46" s="10"/>
      <c r="N46" s="11"/>
      <c r="O46" s="10"/>
      <c r="P46" s="10"/>
      <c r="Q46" s="10">
        <v>15</v>
      </c>
      <c r="R46" s="10">
        <v>171</v>
      </c>
      <c r="S46" s="10">
        <v>186</v>
      </c>
      <c r="T46" s="13">
        <f t="shared" si="0"/>
        <v>84.079063821418046</v>
      </c>
      <c r="U46" s="13">
        <f t="shared" si="1"/>
        <v>91.454420296981013</v>
      </c>
      <c r="V46" s="13">
        <f t="shared" si="2"/>
        <v>7.3753564755629668</v>
      </c>
      <c r="W46" s="10"/>
      <c r="X46" s="10"/>
      <c r="Y46" s="10"/>
      <c r="Z46" s="10"/>
      <c r="AA46" s="10"/>
      <c r="AB46" s="10"/>
      <c r="AC46" s="10"/>
      <c r="AD46" s="10"/>
      <c r="AE46" s="10"/>
      <c r="AF46" s="10"/>
      <c r="AG46" t="s">
        <v>19</v>
      </c>
      <c r="AJ46">
        <v>1</v>
      </c>
    </row>
    <row r="47" spans="1:36" ht="43.5">
      <c r="A47" t="s">
        <v>469</v>
      </c>
      <c r="B47" s="4" t="s">
        <v>1399</v>
      </c>
      <c r="C47" s="4" t="s">
        <v>1398</v>
      </c>
      <c r="G47" s="10" t="s">
        <v>2199</v>
      </c>
      <c r="H47" s="10"/>
      <c r="I47" s="10"/>
      <c r="J47" s="10"/>
      <c r="K47" s="10"/>
      <c r="L47" s="10"/>
      <c r="M47" s="10"/>
      <c r="N47" s="11"/>
      <c r="O47" s="10"/>
      <c r="P47" s="10"/>
      <c r="Q47" s="10">
        <v>2376</v>
      </c>
      <c r="R47" s="10">
        <v>99</v>
      </c>
      <c r="S47" s="10">
        <v>2475</v>
      </c>
      <c r="T47" s="13">
        <f t="shared" si="0"/>
        <v>48.677352738715705</v>
      </c>
      <c r="U47" s="13">
        <f t="shared" si="1"/>
        <v>1216.9338184678927</v>
      </c>
      <c r="V47" s="13">
        <f t="shared" si="2"/>
        <v>1168.2564657291771</v>
      </c>
      <c r="W47" s="10"/>
      <c r="X47" s="10"/>
      <c r="Y47" s="10"/>
      <c r="Z47" s="10"/>
      <c r="AA47" s="10"/>
      <c r="AB47" s="10"/>
      <c r="AC47" s="10"/>
      <c r="AD47" s="10"/>
      <c r="AE47" s="10"/>
      <c r="AF47" s="10"/>
      <c r="AG47" t="s">
        <v>19</v>
      </c>
      <c r="AJ47">
        <v>1</v>
      </c>
    </row>
    <row r="48" spans="1:36" ht="43.5">
      <c r="A48" t="s">
        <v>470</v>
      </c>
      <c r="B48" s="4" t="s">
        <v>1403</v>
      </c>
      <c r="C48" s="4" t="s">
        <v>1402</v>
      </c>
      <c r="G48" s="10" t="s">
        <v>2199</v>
      </c>
      <c r="H48" s="10"/>
      <c r="I48" s="10"/>
      <c r="J48" s="10"/>
      <c r="K48" s="10"/>
      <c r="L48" s="10"/>
      <c r="M48" s="10"/>
      <c r="N48" s="11"/>
      <c r="O48" s="10"/>
      <c r="P48" s="10"/>
      <c r="Q48" s="10">
        <v>111</v>
      </c>
      <c r="R48" s="10">
        <v>99</v>
      </c>
      <c r="S48" s="10">
        <v>210</v>
      </c>
      <c r="T48" s="13">
        <f t="shared" si="0"/>
        <v>48.677352738715705</v>
      </c>
      <c r="U48" s="13">
        <f t="shared" si="1"/>
        <v>103.25499065788181</v>
      </c>
      <c r="V48" s="13">
        <f t="shared" si="2"/>
        <v>54.577637919166101</v>
      </c>
      <c r="W48" s="10"/>
      <c r="X48" s="10"/>
      <c r="Y48" s="10"/>
      <c r="Z48" s="10"/>
      <c r="AA48" s="10"/>
      <c r="AB48" s="10"/>
      <c r="AC48" s="10"/>
      <c r="AD48" s="10"/>
      <c r="AE48" s="10"/>
      <c r="AF48" s="10"/>
      <c r="AG48" t="s">
        <v>19</v>
      </c>
      <c r="AJ48">
        <v>1</v>
      </c>
    </row>
    <row r="49" spans="1:36" ht="72.5">
      <c r="A49" t="s">
        <v>475</v>
      </c>
      <c r="B49" s="4" t="s">
        <v>1408</v>
      </c>
      <c r="C49" s="4" t="s">
        <v>1409</v>
      </c>
      <c r="G49" s="10" t="s">
        <v>2199</v>
      </c>
      <c r="H49" s="10"/>
      <c r="I49" s="10"/>
      <c r="J49" s="10"/>
      <c r="K49" s="10"/>
      <c r="L49" s="10"/>
      <c r="M49" s="10"/>
      <c r="N49" s="11"/>
      <c r="O49" s="10"/>
      <c r="P49" s="10"/>
      <c r="Q49" s="10">
        <v>-575</v>
      </c>
      <c r="R49" s="10">
        <v>743</v>
      </c>
      <c r="S49" s="10">
        <v>168</v>
      </c>
      <c r="T49" s="13">
        <f t="shared" si="0"/>
        <v>365.32599075621988</v>
      </c>
      <c r="U49" s="13">
        <f t="shared" si="1"/>
        <v>82.603992526305433</v>
      </c>
      <c r="V49" s="13">
        <f t="shared" si="2"/>
        <v>-282.72199822991445</v>
      </c>
      <c r="W49" s="10"/>
      <c r="X49" s="10"/>
      <c r="Y49" s="10"/>
      <c r="Z49" s="10"/>
      <c r="AA49" s="10"/>
      <c r="AB49" s="10"/>
      <c r="AC49" s="10"/>
      <c r="AD49" s="10"/>
      <c r="AE49" s="10"/>
      <c r="AF49" s="10"/>
      <c r="AG49" t="s">
        <v>19</v>
      </c>
      <c r="AJ49">
        <v>1</v>
      </c>
    </row>
    <row r="50" spans="1:36" ht="58">
      <c r="A50" t="s">
        <v>475</v>
      </c>
      <c r="B50" s="4" t="s">
        <v>1411</v>
      </c>
      <c r="C50" s="4" t="s">
        <v>1410</v>
      </c>
      <c r="G50" s="10" t="s">
        <v>2199</v>
      </c>
      <c r="H50" s="10"/>
      <c r="I50" s="10"/>
      <c r="J50" s="10"/>
      <c r="K50" s="10"/>
      <c r="L50" s="10"/>
      <c r="M50" s="10"/>
      <c r="N50" s="11"/>
      <c r="O50" s="10"/>
      <c r="P50" s="10"/>
      <c r="Q50" s="10">
        <v>597</v>
      </c>
      <c r="R50" s="10">
        <v>146</v>
      </c>
      <c r="S50" s="10">
        <v>743</v>
      </c>
      <c r="T50" s="13">
        <f t="shared" si="0"/>
        <v>71.786803028813054</v>
      </c>
      <c r="U50" s="13">
        <f t="shared" si="1"/>
        <v>365.32599075621988</v>
      </c>
      <c r="V50" s="13">
        <f t="shared" si="2"/>
        <v>293.53918772740684</v>
      </c>
      <c r="W50" s="10"/>
      <c r="X50" s="10"/>
      <c r="Y50" s="10"/>
      <c r="Z50" s="10"/>
      <c r="AA50" s="10"/>
      <c r="AB50" s="10"/>
      <c r="AC50" s="10"/>
      <c r="AD50" s="10"/>
      <c r="AE50" s="10"/>
      <c r="AF50" s="10"/>
      <c r="AG50" t="s">
        <v>19</v>
      </c>
      <c r="AJ50">
        <v>1</v>
      </c>
    </row>
    <row r="51" spans="1:36" ht="29">
      <c r="A51" t="s">
        <v>476</v>
      </c>
      <c r="B51" s="4" t="s">
        <v>1418</v>
      </c>
      <c r="C51" s="4" t="s">
        <v>1419</v>
      </c>
      <c r="G51" s="10" t="s">
        <v>2199</v>
      </c>
      <c r="H51" s="10"/>
      <c r="I51" s="10"/>
      <c r="J51" s="10"/>
      <c r="K51" s="10"/>
      <c r="L51" s="10"/>
      <c r="M51" s="10"/>
      <c r="N51" s="11"/>
      <c r="O51" s="10"/>
      <c r="P51" s="10"/>
      <c r="Q51" s="10">
        <v>-37</v>
      </c>
      <c r="R51" s="10">
        <v>37</v>
      </c>
      <c r="S51" s="10">
        <v>0</v>
      </c>
      <c r="T51" s="13">
        <f t="shared" si="0"/>
        <v>18.192545973055363</v>
      </c>
      <c r="U51" s="13">
        <f t="shared" si="1"/>
        <v>0</v>
      </c>
      <c r="V51" s="13">
        <f t="shared" si="2"/>
        <v>-18.192545973055363</v>
      </c>
      <c r="W51" s="10"/>
      <c r="X51" s="10"/>
      <c r="Y51" s="10"/>
      <c r="Z51" s="10"/>
      <c r="AA51" s="10"/>
      <c r="AB51" s="10"/>
      <c r="AC51" s="10"/>
      <c r="AD51" s="10"/>
      <c r="AE51" s="10"/>
      <c r="AF51" s="10"/>
      <c r="AG51" t="s">
        <v>19</v>
      </c>
      <c r="AJ51">
        <v>1</v>
      </c>
    </row>
    <row r="52" spans="1:36">
      <c r="A52" t="s">
        <v>482</v>
      </c>
      <c r="B52" s="4" t="s">
        <v>483</v>
      </c>
      <c r="C52" s="4" t="s">
        <v>484</v>
      </c>
      <c r="G52" s="10" t="s">
        <v>2199</v>
      </c>
      <c r="H52" s="10"/>
      <c r="I52" s="10"/>
      <c r="J52" s="10"/>
      <c r="K52" s="10"/>
      <c r="L52" s="10"/>
      <c r="M52" s="10"/>
      <c r="N52" s="11"/>
      <c r="O52" s="10"/>
      <c r="P52" s="10"/>
      <c r="Q52" s="10">
        <v>3</v>
      </c>
      <c r="R52" s="10">
        <v>4</v>
      </c>
      <c r="S52" s="10">
        <v>7</v>
      </c>
      <c r="T52" s="13">
        <f t="shared" si="0"/>
        <v>1.9667617268167963</v>
      </c>
      <c r="U52" s="13">
        <f t="shared" si="1"/>
        <v>3.4418330219293933</v>
      </c>
      <c r="V52" s="13">
        <f t="shared" si="2"/>
        <v>1.475071295112597</v>
      </c>
      <c r="W52" s="10"/>
      <c r="X52" s="10"/>
      <c r="Y52" s="10"/>
      <c r="Z52" s="10"/>
      <c r="AA52" s="10"/>
      <c r="AB52" s="10"/>
      <c r="AC52" s="10"/>
      <c r="AD52" s="10"/>
      <c r="AE52" s="10"/>
      <c r="AF52" s="10"/>
      <c r="AG52" t="s">
        <v>19</v>
      </c>
      <c r="AJ52">
        <v>1</v>
      </c>
    </row>
    <row r="53" spans="1:36" ht="72.5">
      <c r="A53" t="s">
        <v>486</v>
      </c>
      <c r="B53" s="4" t="s">
        <v>1436</v>
      </c>
      <c r="C53" s="4" t="s">
        <v>1437</v>
      </c>
      <c r="G53" s="10" t="s">
        <v>2199</v>
      </c>
      <c r="H53" s="10"/>
      <c r="I53" s="10"/>
      <c r="J53" s="10"/>
      <c r="K53" s="10"/>
      <c r="L53" s="10"/>
      <c r="M53" s="10"/>
      <c r="N53" s="11"/>
      <c r="O53" s="10"/>
      <c r="P53" s="10"/>
      <c r="Q53" s="10">
        <v>447</v>
      </c>
      <c r="R53" s="10">
        <v>166</v>
      </c>
      <c r="S53" s="10">
        <v>613</v>
      </c>
      <c r="T53" s="13">
        <f t="shared" si="0"/>
        <v>81.620611662897048</v>
      </c>
      <c r="U53" s="13">
        <f t="shared" si="1"/>
        <v>301.40623463467404</v>
      </c>
      <c r="V53" s="13">
        <f t="shared" si="2"/>
        <v>219.785622971777</v>
      </c>
      <c r="W53" s="10"/>
      <c r="X53" s="10"/>
      <c r="Y53" s="10"/>
      <c r="Z53" s="10"/>
      <c r="AA53" s="10"/>
      <c r="AB53" s="10"/>
      <c r="AC53" s="10"/>
      <c r="AD53" s="10"/>
      <c r="AE53" s="10"/>
      <c r="AF53" s="10"/>
      <c r="AG53" t="s">
        <v>19</v>
      </c>
      <c r="AJ53">
        <v>1</v>
      </c>
    </row>
    <row r="54" spans="1:36" ht="43.5">
      <c r="A54" t="s">
        <v>489</v>
      </c>
      <c r="B54" s="4" t="s">
        <v>1444</v>
      </c>
      <c r="C54" s="4" t="s">
        <v>1443</v>
      </c>
      <c r="G54" s="10" t="s">
        <v>2199</v>
      </c>
      <c r="H54" s="10"/>
      <c r="I54" s="10"/>
      <c r="J54" s="10"/>
      <c r="K54" s="10"/>
      <c r="L54" s="10"/>
      <c r="M54" s="10"/>
      <c r="N54" s="11"/>
      <c r="O54" s="10"/>
      <c r="P54" s="10"/>
      <c r="Q54" s="10">
        <v>111</v>
      </c>
      <c r="R54" s="10">
        <v>99</v>
      </c>
      <c r="S54" s="10">
        <v>210</v>
      </c>
      <c r="T54" s="13">
        <f t="shared" si="0"/>
        <v>48.677352738715705</v>
      </c>
      <c r="U54" s="13">
        <f t="shared" si="1"/>
        <v>103.25499065788181</v>
      </c>
      <c r="V54" s="13">
        <f t="shared" si="2"/>
        <v>54.577637919166101</v>
      </c>
      <c r="W54" s="10"/>
      <c r="X54" s="10"/>
      <c r="Y54" s="10"/>
      <c r="Z54" s="10"/>
      <c r="AA54" s="10"/>
      <c r="AB54" s="10"/>
      <c r="AC54" s="10"/>
      <c r="AD54" s="10"/>
      <c r="AE54" s="10"/>
      <c r="AF54" s="10"/>
      <c r="AG54" t="s">
        <v>19</v>
      </c>
      <c r="AJ54">
        <v>1</v>
      </c>
    </row>
    <row r="55" spans="1:36" ht="87">
      <c r="A55" t="s">
        <v>492</v>
      </c>
      <c r="B55" s="4" t="s">
        <v>1451</v>
      </c>
      <c r="C55" s="4" t="s">
        <v>1452</v>
      </c>
      <c r="G55" s="10" t="s">
        <v>2199</v>
      </c>
      <c r="H55" s="10"/>
      <c r="I55" s="10"/>
      <c r="J55" s="10"/>
      <c r="K55" s="10"/>
      <c r="L55" s="10"/>
      <c r="M55" s="10"/>
      <c r="N55" s="11"/>
      <c r="O55" s="10"/>
      <c r="P55" s="10"/>
      <c r="Q55" s="10">
        <v>181</v>
      </c>
      <c r="R55" s="10">
        <v>5</v>
      </c>
      <c r="S55" s="10">
        <v>186</v>
      </c>
      <c r="T55" s="13">
        <f t="shared" si="0"/>
        <v>2.4584521585209949</v>
      </c>
      <c r="U55" s="13">
        <f t="shared" si="1"/>
        <v>91.454420296981013</v>
      </c>
      <c r="V55" s="13">
        <f t="shared" si="2"/>
        <v>88.995968138460015</v>
      </c>
      <c r="W55" s="10"/>
      <c r="X55" s="10"/>
      <c r="Y55" s="10"/>
      <c r="Z55" s="10"/>
      <c r="AA55" s="10"/>
      <c r="AB55" s="10"/>
      <c r="AC55" s="10"/>
      <c r="AD55" s="10"/>
      <c r="AE55" s="10"/>
      <c r="AF55" s="10"/>
      <c r="AG55" t="s">
        <v>19</v>
      </c>
      <c r="AJ55">
        <v>1</v>
      </c>
    </row>
    <row r="56" spans="1:36" ht="43.5">
      <c r="A56" t="s">
        <v>492</v>
      </c>
      <c r="B56" s="4" t="s">
        <v>1455</v>
      </c>
      <c r="C56" s="4" t="s">
        <v>1456</v>
      </c>
      <c r="G56" s="10" t="s">
        <v>2199</v>
      </c>
      <c r="H56" s="10"/>
      <c r="I56" s="10"/>
      <c r="J56" s="10"/>
      <c r="K56" s="10"/>
      <c r="L56" s="10"/>
      <c r="M56" s="10"/>
      <c r="N56" s="11"/>
      <c r="O56" s="10"/>
      <c r="P56" s="10"/>
      <c r="Q56" s="10">
        <v>-24</v>
      </c>
      <c r="R56" s="10">
        <v>31</v>
      </c>
      <c r="S56" s="10">
        <v>7</v>
      </c>
      <c r="T56" s="13">
        <f t="shared" si="0"/>
        <v>15.242403382830171</v>
      </c>
      <c r="U56" s="13">
        <f t="shared" si="1"/>
        <v>3.4418330219293933</v>
      </c>
      <c r="V56" s="13">
        <f t="shared" si="2"/>
        <v>-11.800570360900778</v>
      </c>
      <c r="W56" s="10"/>
      <c r="X56" s="10"/>
      <c r="Y56" s="10"/>
      <c r="Z56" s="10"/>
      <c r="AA56" s="10"/>
      <c r="AB56" s="10"/>
      <c r="AC56" s="10"/>
      <c r="AD56" s="10"/>
      <c r="AE56" s="10"/>
      <c r="AF56" s="10"/>
      <c r="AG56" t="s">
        <v>19</v>
      </c>
      <c r="AJ56">
        <v>1</v>
      </c>
    </row>
    <row r="57" spans="1:36" ht="72.5">
      <c r="A57" t="s">
        <v>494</v>
      </c>
      <c r="B57" s="4" t="s">
        <v>1472</v>
      </c>
      <c r="C57" s="4" t="s">
        <v>1473</v>
      </c>
      <c r="G57" s="10" t="s">
        <v>2199</v>
      </c>
      <c r="H57" s="10"/>
      <c r="I57" s="10"/>
      <c r="J57" s="10"/>
      <c r="K57" s="10"/>
      <c r="L57" s="10"/>
      <c r="M57" s="10"/>
      <c r="N57" s="11"/>
      <c r="O57" s="10"/>
      <c r="P57" s="10"/>
      <c r="Q57" s="10">
        <v>-1684</v>
      </c>
      <c r="R57" s="10">
        <v>1701</v>
      </c>
      <c r="S57" s="10">
        <v>17</v>
      </c>
      <c r="T57" s="13">
        <f t="shared" si="0"/>
        <v>836.36542432884255</v>
      </c>
      <c r="U57" s="13">
        <f t="shared" si="1"/>
        <v>8.3587373389713839</v>
      </c>
      <c r="V57" s="13">
        <f t="shared" si="2"/>
        <v>-828.00668698987113</v>
      </c>
      <c r="W57" s="10"/>
      <c r="X57" s="10"/>
      <c r="Y57" s="10"/>
      <c r="Z57" s="10"/>
      <c r="AA57" s="10"/>
      <c r="AB57" s="10"/>
      <c r="AC57" s="10"/>
      <c r="AD57" s="10"/>
      <c r="AE57" s="10"/>
      <c r="AF57" s="10"/>
      <c r="AG57" t="s">
        <v>19</v>
      </c>
      <c r="AJ57">
        <v>1</v>
      </c>
    </row>
    <row r="58" spans="1:36" ht="174">
      <c r="A58" t="s">
        <v>511</v>
      </c>
      <c r="B58" s="4" t="s">
        <v>1497</v>
      </c>
      <c r="C58" s="4" t="s">
        <v>1498</v>
      </c>
      <c r="G58" s="10" t="s">
        <v>2199</v>
      </c>
      <c r="H58" s="10"/>
      <c r="I58" s="10"/>
      <c r="J58" s="10"/>
      <c r="K58" s="10"/>
      <c r="L58" s="10"/>
      <c r="M58" s="10"/>
      <c r="N58" s="11"/>
      <c r="O58" s="10"/>
      <c r="P58" s="10"/>
      <c r="Q58" s="10">
        <v>-1699</v>
      </c>
      <c r="R58" s="10">
        <v>1701</v>
      </c>
      <c r="S58" s="10">
        <v>2</v>
      </c>
      <c r="T58" s="13">
        <f t="shared" si="0"/>
        <v>836.36542432884255</v>
      </c>
      <c r="U58" s="13">
        <f t="shared" si="1"/>
        <v>0.98338086340839814</v>
      </c>
      <c r="V58" s="13">
        <f t="shared" si="2"/>
        <v>-835.38204346543421</v>
      </c>
      <c r="W58" s="10"/>
      <c r="X58" s="10"/>
      <c r="Y58" s="10"/>
      <c r="Z58" s="10"/>
      <c r="AA58" s="10"/>
      <c r="AB58" s="10"/>
      <c r="AC58" s="10"/>
      <c r="AD58" s="10"/>
      <c r="AE58" s="10"/>
      <c r="AF58" s="10"/>
      <c r="AG58" t="s">
        <v>19</v>
      </c>
      <c r="AJ58">
        <v>1</v>
      </c>
    </row>
    <row r="59" spans="1:36" ht="72.5">
      <c r="A59" t="s">
        <v>512</v>
      </c>
      <c r="B59" s="4" t="s">
        <v>1501</v>
      </c>
      <c r="C59" s="4" t="s">
        <v>1502</v>
      </c>
      <c r="G59" s="10" t="s">
        <v>2199</v>
      </c>
      <c r="H59" s="10"/>
      <c r="I59" s="10"/>
      <c r="J59" s="10"/>
      <c r="K59" s="10"/>
      <c r="L59" s="10"/>
      <c r="M59" s="10"/>
      <c r="N59" s="11"/>
      <c r="O59" s="10"/>
      <c r="P59" s="10"/>
      <c r="Q59" s="10">
        <v>26</v>
      </c>
      <c r="R59" s="10">
        <v>5</v>
      </c>
      <c r="S59" s="10">
        <v>31</v>
      </c>
      <c r="T59" s="13">
        <f t="shared" si="0"/>
        <v>2.4584521585209949</v>
      </c>
      <c r="U59" s="13">
        <f t="shared" si="1"/>
        <v>15.242403382830171</v>
      </c>
      <c r="V59" s="13">
        <f t="shared" si="2"/>
        <v>12.783951224309176</v>
      </c>
      <c r="W59" s="10"/>
      <c r="X59" s="10"/>
      <c r="Y59" s="10"/>
      <c r="Z59" s="10"/>
      <c r="AA59" s="10"/>
      <c r="AB59" s="10"/>
      <c r="AC59" s="10"/>
      <c r="AD59" s="10"/>
      <c r="AE59" s="10"/>
      <c r="AF59" s="10"/>
      <c r="AG59" t="s">
        <v>19</v>
      </c>
      <c r="AJ59">
        <v>1</v>
      </c>
    </row>
    <row r="60" spans="1:36">
      <c r="A60" t="s">
        <v>512</v>
      </c>
      <c r="B60" s="4" t="s">
        <v>513</v>
      </c>
      <c r="C60" s="4" t="s">
        <v>514</v>
      </c>
      <c r="G60" s="10" t="s">
        <v>2199</v>
      </c>
      <c r="H60" s="10"/>
      <c r="I60" s="10"/>
      <c r="J60" s="10"/>
      <c r="K60" s="10"/>
      <c r="L60" s="10"/>
      <c r="M60" s="10"/>
      <c r="N60" s="11"/>
      <c r="O60" s="10"/>
      <c r="P60" s="10"/>
      <c r="Q60" s="10">
        <v>-3</v>
      </c>
      <c r="R60" s="10">
        <v>4</v>
      </c>
      <c r="S60" s="10">
        <v>1</v>
      </c>
      <c r="T60" s="13">
        <f t="shared" si="0"/>
        <v>1.9667617268167963</v>
      </c>
      <c r="U60" s="13">
        <f t="shared" si="1"/>
        <v>0.49169043170419907</v>
      </c>
      <c r="V60" s="13">
        <f t="shared" si="2"/>
        <v>-1.4750712951125973</v>
      </c>
      <c r="W60" s="10"/>
      <c r="X60" s="10"/>
      <c r="Y60" s="10"/>
      <c r="Z60" s="10"/>
      <c r="AA60" s="10"/>
      <c r="AB60" s="10"/>
      <c r="AC60" s="10"/>
      <c r="AD60" s="10"/>
      <c r="AE60" s="10"/>
      <c r="AF60" s="10"/>
      <c r="AG60" t="s">
        <v>19</v>
      </c>
      <c r="AJ60">
        <v>1</v>
      </c>
    </row>
    <row r="61" spans="1:36" ht="58">
      <c r="A61" t="s">
        <v>512</v>
      </c>
      <c r="B61" s="4" t="s">
        <v>1503</v>
      </c>
      <c r="C61" s="4" t="s">
        <v>1504</v>
      </c>
      <c r="F61" t="s">
        <v>19</v>
      </c>
      <c r="G61" s="10" t="s">
        <v>2199</v>
      </c>
      <c r="H61" s="10"/>
      <c r="I61" s="10"/>
      <c r="J61" s="10"/>
      <c r="K61" s="10"/>
      <c r="L61" s="10"/>
      <c r="M61" s="10"/>
      <c r="N61" s="11"/>
      <c r="O61" s="10"/>
      <c r="P61" s="10"/>
      <c r="Q61" s="10">
        <v>-39</v>
      </c>
      <c r="R61" s="10">
        <v>41</v>
      </c>
      <c r="S61" s="10">
        <v>2</v>
      </c>
      <c r="T61" s="13">
        <f t="shared" si="0"/>
        <v>20.159307699872159</v>
      </c>
      <c r="U61" s="13">
        <f t="shared" si="1"/>
        <v>0.98338086340839814</v>
      </c>
      <c r="V61" s="13">
        <f t="shared" si="2"/>
        <v>-19.175926836463759</v>
      </c>
      <c r="W61" s="10"/>
      <c r="X61" s="10"/>
      <c r="Y61" s="10"/>
      <c r="Z61" s="10"/>
      <c r="AA61" s="10"/>
      <c r="AB61" s="10"/>
      <c r="AC61" s="10"/>
      <c r="AD61" s="10"/>
      <c r="AE61" s="10"/>
      <c r="AF61" s="10"/>
      <c r="AG61" t="s">
        <v>20</v>
      </c>
      <c r="AJ61">
        <v>0</v>
      </c>
    </row>
    <row r="62" spans="1:36" ht="58">
      <c r="A62" t="s">
        <v>512</v>
      </c>
      <c r="B62" s="4" t="s">
        <v>1505</v>
      </c>
      <c r="C62" s="4" t="s">
        <v>1506</v>
      </c>
      <c r="G62" s="10" t="s">
        <v>2199</v>
      </c>
      <c r="H62" s="10"/>
      <c r="I62" s="10"/>
      <c r="J62" s="10"/>
      <c r="K62" s="10"/>
      <c r="L62" s="10"/>
      <c r="M62" s="10"/>
      <c r="N62" s="11"/>
      <c r="O62" s="10"/>
      <c r="P62" s="10"/>
      <c r="Q62" s="10">
        <v>447</v>
      </c>
      <c r="R62" s="10">
        <v>166</v>
      </c>
      <c r="S62" s="10">
        <v>613</v>
      </c>
      <c r="T62" s="13">
        <f t="shared" si="0"/>
        <v>81.620611662897048</v>
      </c>
      <c r="U62" s="13">
        <f t="shared" si="1"/>
        <v>301.40623463467404</v>
      </c>
      <c r="V62" s="13">
        <f t="shared" si="2"/>
        <v>219.785622971777</v>
      </c>
      <c r="W62" s="10"/>
      <c r="X62" s="10"/>
      <c r="Y62" s="10"/>
      <c r="Z62" s="10"/>
      <c r="AA62" s="10"/>
      <c r="AB62" s="10"/>
      <c r="AC62" s="10"/>
      <c r="AD62" s="10"/>
      <c r="AE62" s="10"/>
      <c r="AF62" s="10"/>
      <c r="AG62" t="s">
        <v>19</v>
      </c>
      <c r="AJ62">
        <v>1</v>
      </c>
    </row>
    <row r="63" spans="1:36" ht="29">
      <c r="A63" t="s">
        <v>517</v>
      </c>
      <c r="B63" s="4" t="s">
        <v>1511</v>
      </c>
      <c r="C63" s="4" t="s">
        <v>1512</v>
      </c>
      <c r="G63" s="10" t="s">
        <v>2199</v>
      </c>
      <c r="H63" s="10"/>
      <c r="I63" s="10"/>
      <c r="J63" s="10"/>
      <c r="K63" s="10"/>
      <c r="L63" s="10"/>
      <c r="M63" s="10"/>
      <c r="N63" s="11"/>
      <c r="O63" s="10"/>
      <c r="P63" s="10"/>
      <c r="Q63" s="10">
        <v>-813</v>
      </c>
      <c r="R63" s="10">
        <v>830</v>
      </c>
      <c r="S63" s="10">
        <v>17</v>
      </c>
      <c r="T63" s="13">
        <f t="shared" si="0"/>
        <v>408.10305831448517</v>
      </c>
      <c r="U63" s="13">
        <f t="shared" si="1"/>
        <v>8.3587373389713839</v>
      </c>
      <c r="V63" s="13">
        <f t="shared" si="2"/>
        <v>-399.7443209755138</v>
      </c>
      <c r="W63" s="10"/>
      <c r="X63" s="10"/>
      <c r="Y63" s="10"/>
      <c r="Z63" s="10"/>
      <c r="AA63" s="10"/>
      <c r="AB63" s="10"/>
      <c r="AC63" s="10"/>
      <c r="AD63" s="10"/>
      <c r="AE63" s="10"/>
      <c r="AF63" s="10"/>
      <c r="AG63" t="s">
        <v>19</v>
      </c>
      <c r="AJ63">
        <v>1</v>
      </c>
    </row>
    <row r="64" spans="1:36" ht="58">
      <c r="A64" t="s">
        <v>526</v>
      </c>
      <c r="B64" s="4" t="s">
        <v>1537</v>
      </c>
      <c r="C64" s="4" t="s">
        <v>1538</v>
      </c>
      <c r="G64" s="10" t="s">
        <v>2199</v>
      </c>
      <c r="H64" s="10"/>
      <c r="I64" s="10"/>
      <c r="J64" s="10"/>
      <c r="K64" s="10"/>
      <c r="L64" s="10"/>
      <c r="M64" s="10"/>
      <c r="N64" s="11"/>
      <c r="O64" s="10"/>
      <c r="P64" s="10"/>
      <c r="Q64" s="10">
        <v>-24</v>
      </c>
      <c r="R64" s="10">
        <v>29</v>
      </c>
      <c r="S64" s="10">
        <v>5</v>
      </c>
      <c r="T64" s="13">
        <f t="shared" si="0"/>
        <v>14.259022519421771</v>
      </c>
      <c r="U64" s="13">
        <f t="shared" si="1"/>
        <v>2.4584521585209949</v>
      </c>
      <c r="V64" s="13">
        <f t="shared" si="2"/>
        <v>-11.800570360900776</v>
      </c>
      <c r="W64" s="10"/>
      <c r="X64" s="10"/>
      <c r="Y64" s="10"/>
      <c r="Z64" s="10"/>
      <c r="AA64" s="10"/>
      <c r="AB64" s="10"/>
      <c r="AC64" s="10"/>
      <c r="AD64" s="10"/>
      <c r="AE64" s="10"/>
      <c r="AF64" s="10"/>
      <c r="AG64" t="s">
        <v>19</v>
      </c>
      <c r="AJ64">
        <v>1</v>
      </c>
    </row>
    <row r="65" spans="1:36" ht="29">
      <c r="A65" t="s">
        <v>528</v>
      </c>
      <c r="B65" s="4" t="s">
        <v>1543</v>
      </c>
      <c r="C65" s="4" t="s">
        <v>1544</v>
      </c>
      <c r="G65" s="10" t="s">
        <v>2199</v>
      </c>
      <c r="H65" s="10"/>
      <c r="I65" s="10"/>
      <c r="J65" s="10"/>
      <c r="K65" s="10"/>
      <c r="L65" s="10"/>
      <c r="M65" s="10"/>
      <c r="N65" s="11"/>
      <c r="O65" s="10"/>
      <c r="P65" s="10"/>
      <c r="Q65" s="10">
        <v>-1</v>
      </c>
      <c r="R65" s="10">
        <v>14</v>
      </c>
      <c r="S65" s="10">
        <v>13</v>
      </c>
      <c r="T65" s="13">
        <f t="shared" si="0"/>
        <v>6.8836660438587867</v>
      </c>
      <c r="U65" s="13">
        <f t="shared" si="1"/>
        <v>6.3919756121545879</v>
      </c>
      <c r="V65" s="13">
        <f t="shared" si="2"/>
        <v>-0.49169043170419879</v>
      </c>
      <c r="W65" s="10"/>
      <c r="X65" s="10"/>
      <c r="Y65" s="10"/>
      <c r="Z65" s="10"/>
      <c r="AA65" s="10"/>
      <c r="AB65" s="10"/>
      <c r="AC65" s="10"/>
      <c r="AD65" s="10"/>
      <c r="AE65" s="10"/>
      <c r="AF65" s="10"/>
      <c r="AG65" t="s">
        <v>19</v>
      </c>
      <c r="AJ65">
        <v>1</v>
      </c>
    </row>
    <row r="66" spans="1:36" ht="29">
      <c r="A66" t="s">
        <v>529</v>
      </c>
      <c r="B66" s="4" t="s">
        <v>1545</v>
      </c>
      <c r="C66" s="4" t="s">
        <v>1546</v>
      </c>
      <c r="G66" s="10" t="s">
        <v>2199</v>
      </c>
      <c r="H66" s="10"/>
      <c r="I66" s="10"/>
      <c r="J66" s="10"/>
      <c r="K66" s="10"/>
      <c r="L66" s="10"/>
      <c r="M66" s="10"/>
      <c r="N66" s="11"/>
      <c r="O66" s="10"/>
      <c r="P66" s="10"/>
      <c r="Q66" s="10">
        <v>-121</v>
      </c>
      <c r="R66" s="10">
        <v>129</v>
      </c>
      <c r="S66" s="10">
        <v>8</v>
      </c>
      <c r="T66" s="13">
        <f t="shared" si="0"/>
        <v>63.428065689841674</v>
      </c>
      <c r="U66" s="13">
        <f t="shared" si="1"/>
        <v>3.9335234536335926</v>
      </c>
      <c r="V66" s="13">
        <f t="shared" si="2"/>
        <v>-59.494542236208083</v>
      </c>
      <c r="W66" s="10"/>
      <c r="X66" s="10"/>
      <c r="Y66" s="10"/>
      <c r="Z66" s="10"/>
      <c r="AA66" s="10"/>
      <c r="AB66" s="10"/>
      <c r="AC66" s="10"/>
      <c r="AD66" s="10"/>
      <c r="AE66" s="10"/>
      <c r="AF66" s="10"/>
      <c r="AG66" t="s">
        <v>19</v>
      </c>
      <c r="AJ66">
        <v>1</v>
      </c>
    </row>
    <row r="67" spans="1:36" ht="58">
      <c r="A67" t="s">
        <v>537</v>
      </c>
      <c r="B67" s="4" t="s">
        <v>1558</v>
      </c>
      <c r="C67" s="4" t="s">
        <v>1557</v>
      </c>
      <c r="G67" s="10" t="s">
        <v>2199</v>
      </c>
      <c r="H67" s="10"/>
      <c r="I67" s="10"/>
      <c r="J67" s="10"/>
      <c r="K67" s="10"/>
      <c r="L67" s="10"/>
      <c r="M67" s="10"/>
      <c r="N67" s="11"/>
      <c r="O67" s="10"/>
      <c r="P67" s="10"/>
      <c r="Q67" s="10">
        <v>-63</v>
      </c>
      <c r="R67" s="10">
        <v>129</v>
      </c>
      <c r="S67" s="10">
        <v>66</v>
      </c>
      <c r="T67" s="13">
        <f t="shared" ref="T67:T113" si="3">IF(ISNUMBER(R67), (R67/$E$116)*10000, "")</f>
        <v>63.428065689841674</v>
      </c>
      <c r="U67" s="13">
        <f t="shared" ref="U67:U113" si="4">IF(ISNUMBER(S67), (S67/$E$116)*10000, "")</f>
        <v>32.451568492477136</v>
      </c>
      <c r="V67" s="13">
        <f t="shared" ref="V67:V113" si="5">IF(ISNUMBER(Q67), U67-T67, "")</f>
        <v>-30.976497197364537</v>
      </c>
      <c r="W67" s="10"/>
      <c r="X67" s="10"/>
      <c r="Y67" s="10"/>
      <c r="Z67" s="10"/>
      <c r="AA67" s="10"/>
      <c r="AB67" s="10"/>
      <c r="AC67" s="10"/>
      <c r="AD67" s="10"/>
      <c r="AE67" s="10"/>
      <c r="AF67" s="10"/>
      <c r="AG67" t="s">
        <v>19</v>
      </c>
      <c r="AJ67">
        <v>1</v>
      </c>
    </row>
    <row r="68" spans="1:36" ht="72.5">
      <c r="A68" t="s">
        <v>537</v>
      </c>
      <c r="B68" s="4" t="s">
        <v>1559</v>
      </c>
      <c r="C68" s="4" t="s">
        <v>1560</v>
      </c>
      <c r="G68" s="10" t="s">
        <v>2199</v>
      </c>
      <c r="H68" s="10"/>
      <c r="I68" s="10"/>
      <c r="J68" s="10"/>
      <c r="K68" s="10"/>
      <c r="L68" s="10"/>
      <c r="M68" s="10"/>
      <c r="N68" s="11"/>
      <c r="O68" s="10"/>
      <c r="P68" s="10"/>
      <c r="Q68" s="10">
        <v>1</v>
      </c>
      <c r="R68" s="10">
        <v>0</v>
      </c>
      <c r="S68" s="10">
        <v>1</v>
      </c>
      <c r="T68" s="13">
        <f t="shared" si="3"/>
        <v>0</v>
      </c>
      <c r="U68" s="13">
        <f t="shared" si="4"/>
        <v>0.49169043170419907</v>
      </c>
      <c r="V68" s="13">
        <f t="shared" si="5"/>
        <v>0.49169043170419907</v>
      </c>
      <c r="W68" s="10"/>
      <c r="X68" s="10"/>
      <c r="Y68" s="10"/>
      <c r="Z68" s="10"/>
      <c r="AA68" s="10"/>
      <c r="AB68" s="10"/>
      <c r="AC68" s="10"/>
      <c r="AD68" s="10"/>
      <c r="AE68" s="10"/>
      <c r="AF68" s="10"/>
      <c r="AG68" t="s">
        <v>19</v>
      </c>
      <c r="AJ68">
        <v>1</v>
      </c>
    </row>
    <row r="69" spans="1:36" ht="43.5">
      <c r="A69" t="s">
        <v>546</v>
      </c>
      <c r="B69" s="4" t="s">
        <v>1584</v>
      </c>
      <c r="C69" s="4" t="s">
        <v>1585</v>
      </c>
      <c r="G69" s="10" t="s">
        <v>2199</v>
      </c>
      <c r="H69" s="10"/>
      <c r="I69" s="10"/>
      <c r="J69" s="10"/>
      <c r="K69" s="10"/>
      <c r="L69" s="10"/>
      <c r="M69" s="10"/>
      <c r="N69" s="11"/>
      <c r="O69" s="10"/>
      <c r="P69" s="10"/>
      <c r="Q69" s="10">
        <v>-1</v>
      </c>
      <c r="R69" s="10">
        <v>1</v>
      </c>
      <c r="S69" s="10">
        <v>0</v>
      </c>
      <c r="T69" s="13">
        <f t="shared" si="3"/>
        <v>0.49169043170419907</v>
      </c>
      <c r="U69" s="13">
        <f t="shared" si="4"/>
        <v>0</v>
      </c>
      <c r="V69" s="13">
        <f t="shared" si="5"/>
        <v>-0.49169043170419907</v>
      </c>
      <c r="W69" s="10"/>
      <c r="X69" s="10"/>
      <c r="Y69" s="10"/>
      <c r="Z69" s="10"/>
      <c r="AA69" s="10"/>
      <c r="AB69" s="10"/>
      <c r="AC69" s="10"/>
      <c r="AD69" s="10"/>
      <c r="AE69" s="10"/>
      <c r="AF69" s="10"/>
      <c r="AG69" t="s">
        <v>19</v>
      </c>
      <c r="AJ69">
        <v>1</v>
      </c>
    </row>
    <row r="70" spans="1:36" ht="29">
      <c r="A70" t="s">
        <v>552</v>
      </c>
      <c r="B70" s="4" t="s">
        <v>553</v>
      </c>
      <c r="C70" s="4" t="s">
        <v>554</v>
      </c>
      <c r="G70" s="10" t="s">
        <v>2199</v>
      </c>
      <c r="H70" s="10"/>
      <c r="I70" s="10"/>
      <c r="J70" s="10"/>
      <c r="K70" s="10"/>
      <c r="L70" s="10"/>
      <c r="M70" s="10"/>
      <c r="N70" s="11"/>
      <c r="O70" s="10"/>
      <c r="P70" s="10"/>
      <c r="Q70" s="10">
        <v>-1</v>
      </c>
      <c r="R70" s="10">
        <v>1</v>
      </c>
      <c r="S70" s="10">
        <v>0</v>
      </c>
      <c r="T70" s="13">
        <f t="shared" si="3"/>
        <v>0.49169043170419907</v>
      </c>
      <c r="U70" s="13">
        <f t="shared" si="4"/>
        <v>0</v>
      </c>
      <c r="V70" s="13">
        <f t="shared" si="5"/>
        <v>-0.49169043170419907</v>
      </c>
      <c r="W70" s="10"/>
      <c r="X70" s="10"/>
      <c r="Y70" s="10"/>
      <c r="Z70" s="10"/>
      <c r="AA70" s="10"/>
      <c r="AB70" s="10"/>
      <c r="AC70" s="10"/>
      <c r="AD70" s="10"/>
      <c r="AE70" s="10"/>
      <c r="AF70" s="10"/>
      <c r="AG70" t="s">
        <v>19</v>
      </c>
      <c r="AJ70">
        <v>1</v>
      </c>
    </row>
    <row r="71" spans="1:36" ht="29">
      <c r="A71" t="s">
        <v>579</v>
      </c>
      <c r="B71" s="4" t="s">
        <v>1636</v>
      </c>
      <c r="C71" s="4" t="s">
        <v>1637</v>
      </c>
      <c r="G71" s="10" t="s">
        <v>2199</v>
      </c>
      <c r="H71" s="10"/>
      <c r="I71" s="10"/>
      <c r="J71" s="10"/>
      <c r="K71" s="10"/>
      <c r="L71" s="10"/>
      <c r="M71" s="10"/>
      <c r="N71" s="11"/>
      <c r="O71" s="10"/>
      <c r="P71" s="10"/>
      <c r="Q71" s="10">
        <v>1</v>
      </c>
      <c r="R71" s="10">
        <v>3</v>
      </c>
      <c r="S71" s="10">
        <v>4</v>
      </c>
      <c r="T71" s="13">
        <f t="shared" si="3"/>
        <v>1.4750712951125973</v>
      </c>
      <c r="U71" s="13">
        <f t="shared" si="4"/>
        <v>1.9667617268167963</v>
      </c>
      <c r="V71" s="13">
        <f t="shared" si="5"/>
        <v>0.49169043170419902</v>
      </c>
      <c r="W71" s="10"/>
      <c r="X71" s="10"/>
      <c r="Y71" s="10"/>
      <c r="Z71" s="10"/>
      <c r="AA71" s="10"/>
      <c r="AB71" s="10"/>
      <c r="AC71" s="10"/>
      <c r="AD71" s="10"/>
      <c r="AE71" s="10"/>
      <c r="AF71" s="10"/>
      <c r="AG71" t="s">
        <v>19</v>
      </c>
      <c r="AJ71">
        <v>1</v>
      </c>
    </row>
    <row r="72" spans="1:36" ht="29">
      <c r="A72" t="s">
        <v>580</v>
      </c>
      <c r="B72" s="4" t="s">
        <v>1643</v>
      </c>
      <c r="C72" s="4" t="s">
        <v>1644</v>
      </c>
      <c r="G72" s="10" t="s">
        <v>2199</v>
      </c>
      <c r="H72" s="10"/>
      <c r="I72" s="10"/>
      <c r="J72" s="10"/>
      <c r="K72" s="10"/>
      <c r="L72" s="10"/>
      <c r="M72" s="10"/>
      <c r="N72" s="11"/>
      <c r="O72" s="10"/>
      <c r="P72" s="10"/>
      <c r="Q72" s="10">
        <v>-27</v>
      </c>
      <c r="R72" s="10">
        <v>29</v>
      </c>
      <c r="S72" s="10">
        <v>2</v>
      </c>
      <c r="T72" s="13">
        <f t="shared" si="3"/>
        <v>14.259022519421771</v>
      </c>
      <c r="U72" s="13">
        <f t="shared" si="4"/>
        <v>0.98338086340839814</v>
      </c>
      <c r="V72" s="13">
        <f t="shared" si="5"/>
        <v>-13.275641656013374</v>
      </c>
      <c r="W72" s="10"/>
      <c r="X72" s="10"/>
      <c r="Y72" s="10"/>
      <c r="Z72" s="10"/>
      <c r="AA72" s="10"/>
      <c r="AB72" s="10"/>
      <c r="AC72" s="10"/>
      <c r="AD72" s="10"/>
      <c r="AE72" s="10"/>
      <c r="AF72" s="10"/>
      <c r="AG72" t="s">
        <v>19</v>
      </c>
      <c r="AJ72">
        <v>1</v>
      </c>
    </row>
    <row r="73" spans="1:36" ht="29">
      <c r="A73" t="s">
        <v>586</v>
      </c>
      <c r="B73" s="4" t="s">
        <v>1656</v>
      </c>
      <c r="C73" s="4" t="s">
        <v>1657</v>
      </c>
      <c r="G73" s="10" t="s">
        <v>2199</v>
      </c>
      <c r="H73" s="10"/>
      <c r="I73" s="10"/>
      <c r="J73" s="10"/>
      <c r="K73" s="10"/>
      <c r="L73" s="10"/>
      <c r="M73" s="10"/>
      <c r="N73" s="11"/>
      <c r="O73" s="10"/>
      <c r="P73" s="10"/>
      <c r="Q73" s="10">
        <v>10</v>
      </c>
      <c r="R73" s="10">
        <v>1</v>
      </c>
      <c r="S73" s="10">
        <v>11</v>
      </c>
      <c r="T73" s="13">
        <f t="shared" si="3"/>
        <v>0.49169043170419907</v>
      </c>
      <c r="U73" s="13">
        <f t="shared" si="4"/>
        <v>5.4085947487461903</v>
      </c>
      <c r="V73" s="13">
        <f t="shared" si="5"/>
        <v>4.9169043170419915</v>
      </c>
      <c r="W73" s="10"/>
      <c r="X73" s="10"/>
      <c r="Y73" s="10"/>
      <c r="Z73" s="10"/>
      <c r="AA73" s="10"/>
      <c r="AB73" s="10"/>
      <c r="AC73" s="10"/>
      <c r="AD73" s="10"/>
      <c r="AE73" s="10"/>
      <c r="AF73" s="10"/>
      <c r="AG73" t="s">
        <v>19</v>
      </c>
      <c r="AJ73">
        <v>1</v>
      </c>
    </row>
    <row r="74" spans="1:36" ht="72.5">
      <c r="A74" t="s">
        <v>587</v>
      </c>
      <c r="B74" s="4" t="s">
        <v>1658</v>
      </c>
      <c r="C74" s="4" t="s">
        <v>1659</v>
      </c>
      <c r="G74" s="10" t="s">
        <v>2199</v>
      </c>
      <c r="H74" s="10"/>
      <c r="I74" s="10"/>
      <c r="J74" s="10"/>
      <c r="K74" s="10"/>
      <c r="L74" s="10"/>
      <c r="M74" s="10"/>
      <c r="N74" s="11"/>
      <c r="O74" s="10"/>
      <c r="P74" s="10"/>
      <c r="Q74" s="10">
        <v>196</v>
      </c>
      <c r="R74" s="10">
        <v>8</v>
      </c>
      <c r="S74" s="10">
        <v>204</v>
      </c>
      <c r="T74" s="13">
        <f t="shared" si="3"/>
        <v>3.9335234536335926</v>
      </c>
      <c r="U74" s="13">
        <f t="shared" si="4"/>
        <v>100.30484806765661</v>
      </c>
      <c r="V74" s="13">
        <f t="shared" si="5"/>
        <v>96.37132461402301</v>
      </c>
      <c r="W74" s="10"/>
      <c r="X74" s="10"/>
      <c r="Y74" s="10"/>
      <c r="Z74" s="10"/>
      <c r="AA74" s="10"/>
      <c r="AB74" s="10"/>
      <c r="AC74" s="10"/>
      <c r="AD74" s="10"/>
      <c r="AE74" s="10"/>
      <c r="AF74" s="10"/>
      <c r="AG74" t="s">
        <v>19</v>
      </c>
      <c r="AJ74">
        <v>1</v>
      </c>
    </row>
    <row r="75" spans="1:36" ht="43.5">
      <c r="A75" t="s">
        <v>591</v>
      </c>
      <c r="B75" s="4" t="s">
        <v>1664</v>
      </c>
      <c r="C75" s="4" t="s">
        <v>1665</v>
      </c>
      <c r="G75" s="10" t="s">
        <v>2199</v>
      </c>
      <c r="H75" s="10"/>
      <c r="I75" s="10"/>
      <c r="J75" s="10"/>
      <c r="K75" s="10"/>
      <c r="L75" s="10"/>
      <c r="M75" s="10"/>
      <c r="N75" s="11"/>
      <c r="O75" s="10"/>
      <c r="P75" s="10"/>
      <c r="Q75" s="10">
        <v>-15</v>
      </c>
      <c r="R75" s="10">
        <v>186</v>
      </c>
      <c r="S75" s="10">
        <v>171</v>
      </c>
      <c r="T75" s="13">
        <f t="shared" si="3"/>
        <v>91.454420296981013</v>
      </c>
      <c r="U75" s="13">
        <f t="shared" si="4"/>
        <v>84.079063821418046</v>
      </c>
      <c r="V75" s="13">
        <f t="shared" si="5"/>
        <v>-7.3753564755629668</v>
      </c>
      <c r="W75" s="10"/>
      <c r="X75" s="10"/>
      <c r="Y75" s="10"/>
      <c r="Z75" s="10"/>
      <c r="AA75" s="10"/>
      <c r="AB75" s="10"/>
      <c r="AC75" s="10"/>
      <c r="AD75" s="10"/>
      <c r="AE75" s="10"/>
      <c r="AF75" s="10"/>
      <c r="AG75" t="s">
        <v>19</v>
      </c>
      <c r="AJ75">
        <v>1</v>
      </c>
    </row>
    <row r="76" spans="1:36" ht="29">
      <c r="A76" t="s">
        <v>603</v>
      </c>
      <c r="B76" s="4" t="s">
        <v>1695</v>
      </c>
      <c r="C76" s="4" t="s">
        <v>1696</v>
      </c>
      <c r="G76" s="10" t="s">
        <v>2199</v>
      </c>
      <c r="H76" s="10"/>
      <c r="I76" s="10"/>
      <c r="J76" s="10"/>
      <c r="K76" s="10"/>
      <c r="L76" s="10"/>
      <c r="M76" s="10"/>
      <c r="N76" s="11"/>
      <c r="O76" s="10"/>
      <c r="P76" s="10"/>
      <c r="Q76" s="10">
        <v>-1088</v>
      </c>
      <c r="R76" s="10">
        <v>1701</v>
      </c>
      <c r="S76" s="10">
        <v>613</v>
      </c>
      <c r="T76" s="13">
        <f t="shared" si="3"/>
        <v>836.36542432884255</v>
      </c>
      <c r="U76" s="13">
        <f t="shared" si="4"/>
        <v>301.40623463467404</v>
      </c>
      <c r="V76" s="13">
        <f t="shared" si="5"/>
        <v>-534.95918969416857</v>
      </c>
      <c r="W76" s="10"/>
      <c r="X76" s="10"/>
      <c r="Y76" s="10"/>
      <c r="Z76" s="10"/>
      <c r="AA76" s="10"/>
      <c r="AB76" s="10"/>
      <c r="AC76" s="10"/>
      <c r="AD76" s="10"/>
      <c r="AE76" s="10"/>
      <c r="AF76" s="10"/>
      <c r="AG76" t="s">
        <v>19</v>
      </c>
      <c r="AJ76">
        <v>1</v>
      </c>
    </row>
    <row r="77" spans="1:36" ht="116">
      <c r="A77" t="s">
        <v>606</v>
      </c>
      <c r="B77" s="4" t="s">
        <v>1707</v>
      </c>
      <c r="C77" s="4" t="s">
        <v>1708</v>
      </c>
      <c r="G77" s="10" t="s">
        <v>2199</v>
      </c>
      <c r="H77" s="10"/>
      <c r="I77" s="10"/>
      <c r="J77" s="10"/>
      <c r="K77" s="10"/>
      <c r="L77" s="10"/>
      <c r="M77" s="10"/>
      <c r="N77" s="11"/>
      <c r="O77" s="10"/>
      <c r="P77" s="10"/>
      <c r="Q77" s="10">
        <v>-53</v>
      </c>
      <c r="R77" s="10">
        <v>63</v>
      </c>
      <c r="S77" s="10">
        <v>10</v>
      </c>
      <c r="T77" s="13">
        <f t="shared" si="3"/>
        <v>30.976497197364541</v>
      </c>
      <c r="U77" s="13">
        <f t="shared" si="4"/>
        <v>4.9169043170419897</v>
      </c>
      <c r="V77" s="13">
        <f t="shared" si="5"/>
        <v>-26.059592880322551</v>
      </c>
      <c r="W77" s="10"/>
      <c r="X77" s="10"/>
      <c r="Y77" s="10"/>
      <c r="Z77" s="10"/>
      <c r="AA77" s="10"/>
      <c r="AB77" s="10"/>
      <c r="AC77" s="10"/>
      <c r="AD77" s="10"/>
      <c r="AE77" s="10"/>
      <c r="AF77" s="10"/>
      <c r="AG77" t="s">
        <v>19</v>
      </c>
      <c r="AJ77">
        <v>1</v>
      </c>
    </row>
    <row r="78" spans="1:36" ht="43.5">
      <c r="A78" t="s">
        <v>607</v>
      </c>
      <c r="B78" s="4" t="s">
        <v>1714</v>
      </c>
      <c r="C78" s="4" t="s">
        <v>1713</v>
      </c>
      <c r="G78" s="10" t="s">
        <v>2199</v>
      </c>
      <c r="H78" s="10"/>
      <c r="I78" s="10"/>
      <c r="J78" s="10"/>
      <c r="K78" s="10"/>
      <c r="L78" s="10"/>
      <c r="M78" s="10"/>
      <c r="N78" s="11"/>
      <c r="O78" s="10"/>
      <c r="P78" s="10"/>
      <c r="Q78" s="10">
        <v>-156</v>
      </c>
      <c r="R78" s="10">
        <v>166</v>
      </c>
      <c r="S78" s="10">
        <v>10</v>
      </c>
      <c r="T78" s="13">
        <f t="shared" si="3"/>
        <v>81.620611662897048</v>
      </c>
      <c r="U78" s="13">
        <f t="shared" si="4"/>
        <v>4.9169043170419897</v>
      </c>
      <c r="V78" s="13">
        <f t="shared" si="5"/>
        <v>-76.703707345855065</v>
      </c>
      <c r="W78" s="10"/>
      <c r="X78" s="10"/>
      <c r="Y78" s="10"/>
      <c r="Z78" s="10"/>
      <c r="AA78" s="10"/>
      <c r="AB78" s="10"/>
      <c r="AC78" s="10"/>
      <c r="AD78" s="10"/>
      <c r="AE78" s="10"/>
      <c r="AF78" s="10"/>
      <c r="AG78" t="s">
        <v>19</v>
      </c>
      <c r="AJ78">
        <v>1</v>
      </c>
    </row>
    <row r="79" spans="1:36" ht="87">
      <c r="A79" t="s">
        <v>616</v>
      </c>
      <c r="B79" s="4" t="s">
        <v>1733</v>
      </c>
      <c r="C79" s="4" t="s">
        <v>2298</v>
      </c>
      <c r="G79" s="10" t="s">
        <v>2199</v>
      </c>
      <c r="H79" s="10"/>
      <c r="I79" s="10"/>
      <c r="J79" s="10"/>
      <c r="K79" s="10"/>
      <c r="L79" s="10"/>
      <c r="M79" s="10"/>
      <c r="N79" s="11"/>
      <c r="O79" s="10"/>
      <c r="P79" s="10"/>
      <c r="Q79" s="10">
        <v>1</v>
      </c>
      <c r="R79" s="10">
        <v>2</v>
      </c>
      <c r="S79" s="10">
        <v>3</v>
      </c>
      <c r="T79" s="13">
        <f t="shared" si="3"/>
        <v>0.98338086340839814</v>
      </c>
      <c r="U79" s="13">
        <f t="shared" si="4"/>
        <v>1.4750712951125973</v>
      </c>
      <c r="V79" s="13">
        <f t="shared" si="5"/>
        <v>0.49169043170419913</v>
      </c>
      <c r="W79" s="10"/>
      <c r="X79" s="10"/>
      <c r="Y79" s="10"/>
      <c r="Z79" s="10"/>
      <c r="AA79" s="10"/>
      <c r="AB79" s="10"/>
      <c r="AC79" s="10"/>
      <c r="AD79" s="10"/>
      <c r="AE79" s="10"/>
      <c r="AF79" s="10"/>
      <c r="AG79" t="s">
        <v>20</v>
      </c>
      <c r="AJ79">
        <v>0</v>
      </c>
    </row>
    <row r="80" spans="1:36" ht="29">
      <c r="A80" t="s">
        <v>627</v>
      </c>
      <c r="B80" s="4" t="s">
        <v>1750</v>
      </c>
      <c r="C80" s="4" t="s">
        <v>1751</v>
      </c>
      <c r="G80" s="10" t="s">
        <v>2199</v>
      </c>
      <c r="H80" s="10"/>
      <c r="I80" s="10"/>
      <c r="J80" s="10"/>
      <c r="K80" s="10"/>
      <c r="L80" s="10"/>
      <c r="M80" s="10"/>
      <c r="N80" s="11"/>
      <c r="O80" s="10"/>
      <c r="P80" s="10"/>
      <c r="Q80" s="10">
        <v>-431</v>
      </c>
      <c r="R80" s="10">
        <v>743</v>
      </c>
      <c r="S80" s="10">
        <v>312</v>
      </c>
      <c r="T80" s="13">
        <f t="shared" si="3"/>
        <v>365.32599075621988</v>
      </c>
      <c r="U80" s="13">
        <f t="shared" si="4"/>
        <v>153.4074146917101</v>
      </c>
      <c r="V80" s="13">
        <f t="shared" si="5"/>
        <v>-211.91857606450978</v>
      </c>
      <c r="W80" s="10"/>
      <c r="X80" s="10"/>
      <c r="Y80" s="10"/>
      <c r="Z80" s="10"/>
      <c r="AA80" s="10"/>
      <c r="AB80" s="10"/>
      <c r="AC80" s="10"/>
      <c r="AD80" s="10"/>
      <c r="AE80" s="10"/>
      <c r="AF80" s="10"/>
      <c r="AG80" t="s">
        <v>19</v>
      </c>
      <c r="AJ80">
        <v>1</v>
      </c>
    </row>
    <row r="81" spans="1:36" ht="188.5">
      <c r="A81" t="s">
        <v>642</v>
      </c>
      <c r="B81" s="4" t="s">
        <v>1779</v>
      </c>
      <c r="C81" s="4" t="s">
        <v>1778</v>
      </c>
      <c r="G81" s="10" t="s">
        <v>2202</v>
      </c>
      <c r="H81" s="10"/>
      <c r="I81" s="10"/>
      <c r="J81" s="10"/>
      <c r="K81" s="10"/>
      <c r="L81" s="10"/>
      <c r="M81" s="10"/>
      <c r="N81" s="11"/>
      <c r="O81" s="10"/>
      <c r="P81" s="10"/>
      <c r="Q81" s="10">
        <v>-2180</v>
      </c>
      <c r="R81" s="10">
        <v>2475</v>
      </c>
      <c r="S81" s="10">
        <v>295</v>
      </c>
      <c r="T81" s="13">
        <f t="shared" si="3"/>
        <v>1216.9338184678927</v>
      </c>
      <c r="U81" s="13">
        <f t="shared" si="4"/>
        <v>145.04867735273871</v>
      </c>
      <c r="V81" s="13">
        <f t="shared" si="5"/>
        <v>-1071.8851411151541</v>
      </c>
      <c r="W81" s="10"/>
      <c r="X81" s="10"/>
      <c r="Y81" s="10"/>
      <c r="Z81" s="10"/>
      <c r="AA81" s="10"/>
      <c r="AB81" s="10"/>
      <c r="AC81" s="10"/>
      <c r="AD81" s="10"/>
      <c r="AE81" s="10"/>
      <c r="AF81" s="10"/>
      <c r="AG81" t="s">
        <v>19</v>
      </c>
      <c r="AJ81">
        <v>1</v>
      </c>
    </row>
    <row r="82" spans="1:36" ht="145">
      <c r="A82" t="s">
        <v>665</v>
      </c>
      <c r="B82" s="4" t="s">
        <v>1820</v>
      </c>
      <c r="C82" s="4" t="s">
        <v>1821</v>
      </c>
      <c r="G82" s="10" t="s">
        <v>2199</v>
      </c>
      <c r="H82" s="10"/>
      <c r="I82" s="10"/>
      <c r="J82" s="10"/>
      <c r="K82" s="10"/>
      <c r="L82" s="10"/>
      <c r="M82" s="10"/>
      <c r="N82" s="11"/>
      <c r="O82" s="10"/>
      <c r="P82" s="10"/>
      <c r="Q82" s="10">
        <v>111</v>
      </c>
      <c r="R82" s="10">
        <v>99</v>
      </c>
      <c r="S82" s="10">
        <v>210</v>
      </c>
      <c r="T82" s="13">
        <f t="shared" si="3"/>
        <v>48.677352738715705</v>
      </c>
      <c r="U82" s="13">
        <f t="shared" si="4"/>
        <v>103.25499065788181</v>
      </c>
      <c r="V82" s="13">
        <f t="shared" si="5"/>
        <v>54.577637919166101</v>
      </c>
      <c r="W82" s="10"/>
      <c r="X82" s="10"/>
      <c r="Y82" s="10"/>
      <c r="Z82" s="10"/>
      <c r="AA82" s="10"/>
      <c r="AB82" s="10"/>
      <c r="AC82" s="10"/>
      <c r="AD82" s="10"/>
      <c r="AE82" s="10"/>
      <c r="AF82" s="10"/>
      <c r="AG82" t="s">
        <v>19</v>
      </c>
      <c r="AJ82">
        <v>1</v>
      </c>
    </row>
    <row r="83" spans="1:36" ht="29">
      <c r="A83" t="s">
        <v>676</v>
      </c>
      <c r="B83" s="4" t="s">
        <v>677</v>
      </c>
      <c r="C83" s="4" t="s">
        <v>678</v>
      </c>
      <c r="G83" s="10" t="s">
        <v>2199</v>
      </c>
      <c r="H83" s="10"/>
      <c r="I83" s="10"/>
      <c r="J83" s="10"/>
      <c r="K83" s="10"/>
      <c r="L83" s="10"/>
      <c r="M83" s="10"/>
      <c r="N83" s="10"/>
      <c r="O83" s="10"/>
      <c r="P83" s="10"/>
      <c r="Q83" s="10">
        <v>-1</v>
      </c>
      <c r="R83" s="10">
        <v>1</v>
      </c>
      <c r="S83" s="10">
        <v>0</v>
      </c>
      <c r="T83" s="13">
        <f t="shared" si="3"/>
        <v>0.49169043170419907</v>
      </c>
      <c r="U83" s="13">
        <f t="shared" si="4"/>
        <v>0</v>
      </c>
      <c r="V83" s="13">
        <f t="shared" si="5"/>
        <v>-0.49169043170419907</v>
      </c>
      <c r="W83" s="10"/>
      <c r="X83" s="10"/>
      <c r="Y83" s="10"/>
      <c r="Z83" s="10"/>
      <c r="AA83" s="10"/>
      <c r="AB83" s="10"/>
      <c r="AC83" s="10"/>
      <c r="AD83" s="10"/>
      <c r="AE83" s="10"/>
      <c r="AF83" s="10"/>
      <c r="AG83" t="s">
        <v>20</v>
      </c>
      <c r="AJ83">
        <v>0</v>
      </c>
    </row>
    <row r="84" spans="1:36" ht="72.5">
      <c r="A84" t="s">
        <v>687</v>
      </c>
      <c r="B84" s="4" t="s">
        <v>1872</v>
      </c>
      <c r="C84" s="4" t="s">
        <v>1873</v>
      </c>
      <c r="G84" s="10" t="s">
        <v>2199</v>
      </c>
      <c r="H84" s="10"/>
      <c r="I84" s="10"/>
      <c r="J84" s="10"/>
      <c r="K84" s="10"/>
      <c r="L84" s="10"/>
      <c r="M84" s="10"/>
      <c r="N84" s="11"/>
      <c r="O84" s="10"/>
      <c r="P84" s="10"/>
      <c r="Q84" s="10">
        <v>-256</v>
      </c>
      <c r="R84" s="10">
        <v>266</v>
      </c>
      <c r="S84" s="10">
        <v>10</v>
      </c>
      <c r="T84" s="13">
        <f t="shared" si="3"/>
        <v>130.78965483331694</v>
      </c>
      <c r="U84" s="13">
        <f t="shared" si="4"/>
        <v>4.9169043170419897</v>
      </c>
      <c r="V84" s="13">
        <f t="shared" si="5"/>
        <v>-125.87275051627495</v>
      </c>
      <c r="W84" s="10"/>
      <c r="X84" s="10"/>
      <c r="Y84" s="10"/>
      <c r="Z84" s="10"/>
      <c r="AA84" s="10"/>
      <c r="AB84" s="10"/>
      <c r="AC84" s="10"/>
      <c r="AD84" s="10"/>
      <c r="AE84" s="10"/>
      <c r="AF84" s="10"/>
      <c r="AG84" t="s">
        <v>19</v>
      </c>
      <c r="AJ84">
        <v>1</v>
      </c>
    </row>
    <row r="85" spans="1:36" ht="58">
      <c r="A85" t="s">
        <v>689</v>
      </c>
      <c r="B85" s="4" t="s">
        <v>1880</v>
      </c>
      <c r="C85" s="4" t="s">
        <v>1879</v>
      </c>
      <c r="G85" s="10" t="s">
        <v>2199</v>
      </c>
      <c r="H85" s="10"/>
      <c r="I85" s="10"/>
      <c r="J85" s="10"/>
      <c r="K85" s="10"/>
      <c r="L85" s="10"/>
      <c r="M85" s="10"/>
      <c r="N85" s="11"/>
      <c r="O85" s="10"/>
      <c r="P85" s="10"/>
      <c r="Q85" s="10">
        <v>-32</v>
      </c>
      <c r="R85" s="10">
        <v>63</v>
      </c>
      <c r="S85" s="10">
        <v>31</v>
      </c>
      <c r="T85" s="13">
        <f t="shared" si="3"/>
        <v>30.976497197364541</v>
      </c>
      <c r="U85" s="13">
        <f t="shared" si="4"/>
        <v>15.242403382830171</v>
      </c>
      <c r="V85" s="13">
        <f t="shared" si="5"/>
        <v>-15.73409381453437</v>
      </c>
      <c r="W85" s="10"/>
      <c r="X85" s="10"/>
      <c r="Y85" s="10"/>
      <c r="Z85" s="10"/>
      <c r="AA85" s="10"/>
      <c r="AB85" s="10"/>
      <c r="AC85" s="10"/>
      <c r="AD85" s="10"/>
      <c r="AE85" s="10"/>
      <c r="AF85" s="10"/>
      <c r="AG85" t="s">
        <v>19</v>
      </c>
      <c r="AJ85">
        <v>1</v>
      </c>
    </row>
    <row r="86" spans="1:36" ht="58">
      <c r="A86" t="s">
        <v>693</v>
      </c>
      <c r="B86" s="4" t="s">
        <v>1893</v>
      </c>
      <c r="C86" s="4" t="s">
        <v>1894</v>
      </c>
      <c r="G86" s="10" t="s">
        <v>2199</v>
      </c>
      <c r="H86" s="10"/>
      <c r="I86" s="10"/>
      <c r="J86" s="10"/>
      <c r="K86" s="10"/>
      <c r="L86" s="10"/>
      <c r="M86" s="10"/>
      <c r="N86" s="10"/>
      <c r="O86" s="10"/>
      <c r="P86" s="10"/>
      <c r="Q86" s="10">
        <v>-2</v>
      </c>
      <c r="R86" s="10">
        <v>3</v>
      </c>
      <c r="S86" s="10">
        <v>1</v>
      </c>
      <c r="T86" s="13">
        <f t="shared" si="3"/>
        <v>1.4750712951125973</v>
      </c>
      <c r="U86" s="13">
        <f t="shared" si="4"/>
        <v>0.49169043170419907</v>
      </c>
      <c r="V86" s="13">
        <f t="shared" si="5"/>
        <v>-0.98338086340839825</v>
      </c>
      <c r="W86" s="10"/>
      <c r="X86" s="10"/>
      <c r="Y86" s="10"/>
      <c r="Z86" s="10"/>
      <c r="AA86" s="10"/>
      <c r="AB86" s="10"/>
      <c r="AC86" s="10"/>
      <c r="AD86" s="10"/>
      <c r="AE86" s="10"/>
      <c r="AF86" s="10"/>
      <c r="AG86" t="s">
        <v>19</v>
      </c>
      <c r="AJ86">
        <v>1</v>
      </c>
    </row>
    <row r="87" spans="1:36" ht="29">
      <c r="A87" t="s">
        <v>697</v>
      </c>
      <c r="B87" s="4" t="s">
        <v>1907</v>
      </c>
      <c r="C87" s="4" t="s">
        <v>1906</v>
      </c>
      <c r="G87" s="10" t="s">
        <v>2199</v>
      </c>
      <c r="H87" s="10"/>
      <c r="I87" s="10"/>
      <c r="J87" s="10"/>
      <c r="K87" s="10"/>
      <c r="L87" s="10"/>
      <c r="M87" s="10"/>
      <c r="N87" s="11"/>
      <c r="O87" s="10"/>
      <c r="P87" s="10"/>
      <c r="Q87" s="10">
        <v>447</v>
      </c>
      <c r="R87" s="10">
        <v>166</v>
      </c>
      <c r="S87" s="10">
        <v>613</v>
      </c>
      <c r="T87" s="13">
        <f t="shared" si="3"/>
        <v>81.620611662897048</v>
      </c>
      <c r="U87" s="13">
        <f t="shared" si="4"/>
        <v>301.40623463467404</v>
      </c>
      <c r="V87" s="13">
        <f t="shared" si="5"/>
        <v>219.785622971777</v>
      </c>
      <c r="W87" s="10"/>
      <c r="X87" s="10"/>
      <c r="Y87" s="10"/>
      <c r="Z87" s="10"/>
      <c r="AA87" s="10"/>
      <c r="AB87" s="10"/>
      <c r="AC87" s="10"/>
      <c r="AD87" s="10"/>
      <c r="AE87" s="10"/>
      <c r="AF87" s="10"/>
      <c r="AG87" t="s">
        <v>19</v>
      </c>
      <c r="AJ87">
        <v>1</v>
      </c>
    </row>
    <row r="88" spans="1:36" ht="43.5">
      <c r="A88" t="s">
        <v>698</v>
      </c>
      <c r="B88" s="4" t="s">
        <v>1909</v>
      </c>
      <c r="C88" s="4" t="s">
        <v>1908</v>
      </c>
      <c r="G88" s="10" t="s">
        <v>2199</v>
      </c>
      <c r="H88" s="10"/>
      <c r="I88" s="10"/>
      <c r="J88" s="10"/>
      <c r="K88" s="10"/>
      <c r="L88" s="10"/>
      <c r="M88" s="10"/>
      <c r="N88" s="11"/>
      <c r="O88" s="10"/>
      <c r="P88" s="10"/>
      <c r="Q88" s="10">
        <v>2448</v>
      </c>
      <c r="R88" s="10">
        <v>27</v>
      </c>
      <c r="S88" s="10">
        <v>2475</v>
      </c>
      <c r="T88" s="13">
        <f t="shared" si="3"/>
        <v>13.275641656013374</v>
      </c>
      <c r="U88" s="13">
        <f t="shared" si="4"/>
        <v>1216.9338184678927</v>
      </c>
      <c r="V88" s="13">
        <f t="shared" si="5"/>
        <v>1203.6581768118792</v>
      </c>
      <c r="W88" s="10"/>
      <c r="X88" s="10"/>
      <c r="Y88" s="10"/>
      <c r="Z88" s="10"/>
      <c r="AA88" s="10"/>
      <c r="AB88" s="10"/>
      <c r="AC88" s="10"/>
      <c r="AD88" s="10"/>
      <c r="AE88" s="10"/>
      <c r="AF88" s="10"/>
      <c r="AG88" t="s">
        <v>19</v>
      </c>
      <c r="AJ88">
        <v>1</v>
      </c>
    </row>
    <row r="89" spans="1:36">
      <c r="A89" t="s">
        <v>701</v>
      </c>
      <c r="B89" s="4" t="s">
        <v>1922</v>
      </c>
      <c r="C89" s="4" t="s">
        <v>1923</v>
      </c>
      <c r="G89" s="10" t="s">
        <v>2199</v>
      </c>
      <c r="H89" s="10"/>
      <c r="I89" s="10"/>
      <c r="J89" s="10"/>
      <c r="K89" s="10"/>
      <c r="L89" s="10"/>
      <c r="M89" s="10"/>
      <c r="N89" s="11"/>
      <c r="O89" s="10"/>
      <c r="P89" s="10"/>
      <c r="Q89" s="10">
        <v>-2</v>
      </c>
      <c r="R89" s="10">
        <v>5</v>
      </c>
      <c r="S89" s="10">
        <v>3</v>
      </c>
      <c r="T89" s="13">
        <f t="shared" si="3"/>
        <v>2.4584521585209949</v>
      </c>
      <c r="U89" s="13">
        <f t="shared" si="4"/>
        <v>1.4750712951125973</v>
      </c>
      <c r="V89" s="13">
        <f t="shared" si="5"/>
        <v>-0.98338086340839759</v>
      </c>
      <c r="W89" s="10"/>
      <c r="X89" s="10"/>
      <c r="Y89" s="10"/>
      <c r="Z89" s="10"/>
      <c r="AA89" s="10"/>
      <c r="AB89" s="10"/>
      <c r="AC89" s="10"/>
      <c r="AD89" s="10"/>
      <c r="AE89" s="10"/>
      <c r="AF89" s="10"/>
      <c r="AG89" t="s">
        <v>19</v>
      </c>
      <c r="AJ89">
        <v>1</v>
      </c>
    </row>
    <row r="90" spans="1:36" ht="43.5">
      <c r="A90" t="s">
        <v>709</v>
      </c>
      <c r="B90" s="4" t="s">
        <v>1939</v>
      </c>
      <c r="C90" s="4" t="s">
        <v>1938</v>
      </c>
      <c r="G90" s="10" t="s">
        <v>2202</v>
      </c>
      <c r="H90" s="10"/>
      <c r="I90" s="10"/>
      <c r="J90" s="10"/>
      <c r="K90" s="10"/>
      <c r="L90" s="10"/>
      <c r="M90" s="10"/>
      <c r="N90" s="11"/>
      <c r="O90" s="10"/>
      <c r="P90" s="10"/>
      <c r="Q90" s="10">
        <v>4</v>
      </c>
      <c r="R90" s="10">
        <v>2</v>
      </c>
      <c r="S90" s="10">
        <v>6</v>
      </c>
      <c r="T90" s="13">
        <f t="shared" si="3"/>
        <v>0.98338086340839814</v>
      </c>
      <c r="U90" s="13">
        <f t="shared" si="4"/>
        <v>2.9501425902251945</v>
      </c>
      <c r="V90" s="13">
        <f t="shared" si="5"/>
        <v>1.9667617268167965</v>
      </c>
      <c r="W90" s="10"/>
      <c r="X90" s="10"/>
      <c r="Y90" s="10"/>
      <c r="Z90" s="10"/>
      <c r="AA90" s="10"/>
      <c r="AB90" s="10"/>
      <c r="AC90" s="10"/>
      <c r="AD90" s="10"/>
      <c r="AE90" s="10"/>
      <c r="AF90" s="10"/>
      <c r="AG90" t="s">
        <v>19</v>
      </c>
      <c r="AJ90">
        <v>1</v>
      </c>
    </row>
    <row r="91" spans="1:36" ht="29">
      <c r="A91" t="s">
        <v>710</v>
      </c>
      <c r="B91" s="4" t="s">
        <v>711</v>
      </c>
      <c r="C91" s="4" t="s">
        <v>712</v>
      </c>
      <c r="G91" s="10" t="s">
        <v>2199</v>
      </c>
      <c r="H91" s="10"/>
      <c r="I91" s="10"/>
      <c r="J91" s="10"/>
      <c r="K91" s="10"/>
      <c r="L91" s="10"/>
      <c r="M91" s="10"/>
      <c r="N91" s="11"/>
      <c r="O91" s="10"/>
      <c r="P91" s="10"/>
      <c r="Q91" s="10">
        <v>-1</v>
      </c>
      <c r="R91" s="10">
        <v>1</v>
      </c>
      <c r="S91" s="10">
        <v>0</v>
      </c>
      <c r="T91" s="13">
        <f t="shared" si="3"/>
        <v>0.49169043170419907</v>
      </c>
      <c r="U91" s="13">
        <f t="shared" si="4"/>
        <v>0</v>
      </c>
      <c r="V91" s="13">
        <f t="shared" si="5"/>
        <v>-0.49169043170419907</v>
      </c>
      <c r="W91" s="10"/>
      <c r="X91" s="10"/>
      <c r="Y91" s="10"/>
      <c r="Z91" s="10"/>
      <c r="AA91" s="10"/>
      <c r="AB91" s="10"/>
      <c r="AC91" s="10"/>
      <c r="AD91" s="10"/>
      <c r="AE91" s="10"/>
      <c r="AF91" s="10"/>
      <c r="AG91" t="s">
        <v>19</v>
      </c>
      <c r="AJ91">
        <v>1</v>
      </c>
    </row>
    <row r="92" spans="1:36" ht="43.5">
      <c r="A92" t="s">
        <v>717</v>
      </c>
      <c r="B92" s="4" t="s">
        <v>1951</v>
      </c>
      <c r="C92" s="4" t="s">
        <v>1952</v>
      </c>
      <c r="G92" s="10" t="s">
        <v>2199</v>
      </c>
      <c r="H92" s="10"/>
      <c r="I92" s="10"/>
      <c r="J92" s="10"/>
      <c r="K92" s="10"/>
      <c r="L92" s="10"/>
      <c r="M92" s="10"/>
      <c r="N92" s="11"/>
      <c r="O92" s="10"/>
      <c r="P92" s="10"/>
      <c r="Q92" s="10">
        <v>-5</v>
      </c>
      <c r="R92" s="10">
        <v>31</v>
      </c>
      <c r="S92" s="10">
        <v>26</v>
      </c>
      <c r="T92" s="13">
        <f t="shared" si="3"/>
        <v>15.242403382830171</v>
      </c>
      <c r="U92" s="13">
        <f t="shared" si="4"/>
        <v>12.783951224309176</v>
      </c>
      <c r="V92" s="13">
        <f t="shared" si="5"/>
        <v>-2.4584521585209949</v>
      </c>
      <c r="W92" s="10"/>
      <c r="X92" s="10"/>
      <c r="Y92" s="10"/>
      <c r="Z92" s="10"/>
      <c r="AA92" s="10"/>
      <c r="AB92" s="10"/>
      <c r="AC92" s="10"/>
      <c r="AD92" s="10"/>
      <c r="AE92" s="10"/>
      <c r="AF92" s="10"/>
      <c r="AG92" t="s">
        <v>19</v>
      </c>
      <c r="AJ92">
        <v>1</v>
      </c>
    </row>
    <row r="93" spans="1:36" ht="43.5">
      <c r="A93" t="s">
        <v>723</v>
      </c>
      <c r="B93" s="4" t="s">
        <v>1968</v>
      </c>
      <c r="C93" s="4" t="s">
        <v>1967</v>
      </c>
      <c r="G93" s="10" t="s">
        <v>2199</v>
      </c>
      <c r="H93" s="10"/>
      <c r="I93" s="10"/>
      <c r="J93" s="10"/>
      <c r="K93" s="10"/>
      <c r="L93" s="10"/>
      <c r="M93" s="10"/>
      <c r="N93" s="11"/>
      <c r="O93" s="10"/>
      <c r="P93" s="10"/>
      <c r="Q93" s="10">
        <v>-1862</v>
      </c>
      <c r="R93" s="10">
        <v>2475</v>
      </c>
      <c r="S93" s="10">
        <v>613</v>
      </c>
      <c r="T93" s="13">
        <f t="shared" si="3"/>
        <v>1216.9338184678927</v>
      </c>
      <c r="U93" s="13">
        <f t="shared" si="4"/>
        <v>301.40623463467404</v>
      </c>
      <c r="V93" s="13">
        <f t="shared" si="5"/>
        <v>-915.52758383321861</v>
      </c>
      <c r="W93" s="10"/>
      <c r="X93" s="10"/>
      <c r="Y93" s="10"/>
      <c r="Z93" s="10"/>
      <c r="AA93" s="10"/>
      <c r="AB93" s="10"/>
      <c r="AC93" s="10"/>
      <c r="AD93" s="10"/>
      <c r="AE93" s="10"/>
      <c r="AF93" s="10"/>
      <c r="AG93" t="s">
        <v>19</v>
      </c>
      <c r="AJ93">
        <v>1</v>
      </c>
    </row>
    <row r="94" spans="1:36">
      <c r="A94" t="s">
        <v>727</v>
      </c>
      <c r="B94" s="4" t="s">
        <v>685</v>
      </c>
      <c r="C94" s="4" t="s">
        <v>728</v>
      </c>
      <c r="G94" s="10" t="s">
        <v>2199</v>
      </c>
      <c r="H94" s="10"/>
      <c r="I94" s="10"/>
      <c r="J94" s="10"/>
      <c r="K94" s="10"/>
      <c r="L94" s="10"/>
      <c r="M94" s="10"/>
      <c r="N94" s="11"/>
      <c r="O94" s="10"/>
      <c r="P94" s="10"/>
      <c r="Q94" s="10">
        <v>-14</v>
      </c>
      <c r="R94" s="10">
        <v>23</v>
      </c>
      <c r="S94" s="10">
        <v>9</v>
      </c>
      <c r="T94" s="13">
        <f t="shared" si="3"/>
        <v>11.308879929196578</v>
      </c>
      <c r="U94" s="13">
        <f t="shared" si="4"/>
        <v>4.4252138853377909</v>
      </c>
      <c r="V94" s="13">
        <f t="shared" si="5"/>
        <v>-6.8836660438587876</v>
      </c>
      <c r="W94" s="10"/>
      <c r="X94" s="10"/>
      <c r="Y94" s="10"/>
      <c r="Z94" s="10"/>
      <c r="AA94" s="10"/>
      <c r="AB94" s="10"/>
      <c r="AC94" s="10"/>
      <c r="AD94" s="10"/>
      <c r="AE94" s="10"/>
      <c r="AF94" s="10"/>
      <c r="AG94" t="s">
        <v>20</v>
      </c>
      <c r="AJ94">
        <v>0</v>
      </c>
    </row>
    <row r="95" spans="1:36" ht="29">
      <c r="A95" t="s">
        <v>735</v>
      </c>
      <c r="B95" s="4" t="s">
        <v>738</v>
      </c>
      <c r="C95" s="4" t="s">
        <v>739</v>
      </c>
      <c r="G95" s="10" t="s">
        <v>2199</v>
      </c>
      <c r="H95" s="10"/>
      <c r="I95" s="10"/>
      <c r="J95" s="10"/>
      <c r="K95" s="10"/>
      <c r="L95" s="10"/>
      <c r="M95" s="10"/>
      <c r="N95" s="11"/>
      <c r="O95" s="10"/>
      <c r="P95" s="10"/>
      <c r="Q95" s="10">
        <v>-2</v>
      </c>
      <c r="R95" s="10">
        <v>2</v>
      </c>
      <c r="S95" s="10">
        <v>0</v>
      </c>
      <c r="T95" s="13">
        <f t="shared" si="3"/>
        <v>0.98338086340839814</v>
      </c>
      <c r="U95" s="13">
        <f t="shared" si="4"/>
        <v>0</v>
      </c>
      <c r="V95" s="13">
        <f t="shared" si="5"/>
        <v>-0.98338086340839814</v>
      </c>
      <c r="W95" s="10"/>
      <c r="X95" s="10"/>
      <c r="Y95" s="10"/>
      <c r="Z95" s="10"/>
      <c r="AA95" s="10"/>
      <c r="AB95" s="10"/>
      <c r="AC95" s="10"/>
      <c r="AD95" s="10"/>
      <c r="AE95" s="10"/>
      <c r="AF95" s="10"/>
      <c r="AG95" t="s">
        <v>19</v>
      </c>
      <c r="AJ95">
        <v>1</v>
      </c>
    </row>
    <row r="96" spans="1:36" ht="87">
      <c r="A96" t="s">
        <v>741</v>
      </c>
      <c r="B96" s="4" t="s">
        <v>1984</v>
      </c>
      <c r="C96" s="4" t="s">
        <v>1983</v>
      </c>
      <c r="G96" s="10" t="s">
        <v>2199</v>
      </c>
      <c r="H96" s="10"/>
      <c r="I96" s="10"/>
      <c r="J96" s="10"/>
      <c r="K96" s="10"/>
      <c r="L96" s="10"/>
      <c r="M96" s="10"/>
      <c r="N96" s="11"/>
      <c r="O96" s="10"/>
      <c r="P96" s="10"/>
      <c r="Q96" s="10">
        <v>1615</v>
      </c>
      <c r="R96" s="10">
        <v>86</v>
      </c>
      <c r="S96" s="10">
        <v>1701</v>
      </c>
      <c r="T96" s="13">
        <f t="shared" si="3"/>
        <v>42.285377126561116</v>
      </c>
      <c r="U96" s="13">
        <f t="shared" si="4"/>
        <v>836.36542432884255</v>
      </c>
      <c r="V96" s="13">
        <f t="shared" si="5"/>
        <v>794.08004720228143</v>
      </c>
      <c r="W96" s="10"/>
      <c r="X96" s="10"/>
      <c r="Y96" s="10"/>
      <c r="Z96" s="10"/>
      <c r="AA96" s="10"/>
      <c r="AB96" s="10"/>
      <c r="AC96" s="10"/>
      <c r="AD96" s="10"/>
      <c r="AE96" s="10"/>
      <c r="AF96" s="10"/>
      <c r="AG96" t="s">
        <v>19</v>
      </c>
      <c r="AJ96">
        <v>1</v>
      </c>
    </row>
    <row r="97" spans="1:36" ht="43.5">
      <c r="A97" t="s">
        <v>745</v>
      </c>
      <c r="B97" s="4" t="s">
        <v>1987</v>
      </c>
      <c r="C97" s="4" t="s">
        <v>1988</v>
      </c>
      <c r="G97" s="10" t="s">
        <v>2199</v>
      </c>
      <c r="H97" s="10"/>
      <c r="I97" s="10"/>
      <c r="J97" s="10"/>
      <c r="K97" s="10"/>
      <c r="L97" s="10"/>
      <c r="M97" s="10"/>
      <c r="N97" s="11"/>
      <c r="O97" s="10"/>
      <c r="P97" s="10"/>
      <c r="Q97" s="10">
        <v>-58</v>
      </c>
      <c r="R97" s="10">
        <v>79</v>
      </c>
      <c r="S97" s="10">
        <v>21</v>
      </c>
      <c r="T97" s="13">
        <f t="shared" si="3"/>
        <v>38.843544104631725</v>
      </c>
      <c r="U97" s="13">
        <f t="shared" si="4"/>
        <v>10.325499065788179</v>
      </c>
      <c r="V97" s="13">
        <f t="shared" si="5"/>
        <v>-28.518045038843546</v>
      </c>
      <c r="W97" s="10"/>
      <c r="X97" s="10"/>
      <c r="Y97" s="10"/>
      <c r="Z97" s="10"/>
      <c r="AA97" s="10"/>
      <c r="AB97" s="10"/>
      <c r="AC97" s="10"/>
      <c r="AD97" s="10"/>
      <c r="AE97" s="10"/>
      <c r="AF97" s="10"/>
      <c r="AG97" t="s">
        <v>19</v>
      </c>
      <c r="AJ97">
        <v>1</v>
      </c>
    </row>
    <row r="98" spans="1:36" ht="43.5">
      <c r="A98" t="s">
        <v>746</v>
      </c>
      <c r="B98" s="4" t="s">
        <v>1989</v>
      </c>
      <c r="C98" s="4" t="s">
        <v>1990</v>
      </c>
      <c r="G98" s="10" t="s">
        <v>2199</v>
      </c>
      <c r="H98" s="10"/>
      <c r="I98" s="10"/>
      <c r="J98" s="10"/>
      <c r="K98" s="10"/>
      <c r="L98" s="10"/>
      <c r="M98" s="10"/>
      <c r="N98" s="11"/>
      <c r="O98" s="10"/>
      <c r="P98" s="10"/>
      <c r="Q98" s="10">
        <v>-1</v>
      </c>
      <c r="R98" s="10">
        <v>1</v>
      </c>
      <c r="S98" s="10">
        <v>0</v>
      </c>
      <c r="T98" s="13">
        <f t="shared" si="3"/>
        <v>0.49169043170419907</v>
      </c>
      <c r="U98" s="13">
        <f t="shared" si="4"/>
        <v>0</v>
      </c>
      <c r="V98" s="13">
        <f t="shared" si="5"/>
        <v>-0.49169043170419907</v>
      </c>
      <c r="W98" s="10"/>
      <c r="X98" s="10"/>
      <c r="Y98" s="10"/>
      <c r="Z98" s="10"/>
      <c r="AA98" s="10"/>
      <c r="AB98" s="10"/>
      <c r="AC98" s="10"/>
      <c r="AD98" s="10"/>
      <c r="AE98" s="10"/>
      <c r="AF98" s="10"/>
      <c r="AG98" t="s">
        <v>19</v>
      </c>
      <c r="AJ98">
        <v>1</v>
      </c>
    </row>
    <row r="99" spans="1:36" ht="58">
      <c r="A99" t="s">
        <v>746</v>
      </c>
      <c r="B99" s="4" t="s">
        <v>2448</v>
      </c>
      <c r="C99" s="4" t="s">
        <v>2319</v>
      </c>
      <c r="G99" s="10" t="s">
        <v>2199</v>
      </c>
      <c r="H99" s="10"/>
      <c r="I99" s="10"/>
      <c r="J99" s="10"/>
      <c r="K99" s="10"/>
      <c r="L99" s="10"/>
      <c r="M99" s="10"/>
      <c r="N99" s="11"/>
      <c r="O99" s="10"/>
      <c r="P99" s="10"/>
      <c r="Q99" s="10">
        <v>-249</v>
      </c>
      <c r="R99" s="10">
        <v>280</v>
      </c>
      <c r="S99" s="10">
        <v>31</v>
      </c>
      <c r="T99" s="13">
        <f t="shared" si="3"/>
        <v>137.67332087717574</v>
      </c>
      <c r="U99" s="13">
        <f t="shared" si="4"/>
        <v>15.242403382830171</v>
      </c>
      <c r="V99" s="13">
        <f t="shared" si="5"/>
        <v>-122.43091749434556</v>
      </c>
      <c r="W99" s="10"/>
      <c r="X99" s="10"/>
      <c r="Y99" s="10"/>
      <c r="Z99" s="10"/>
      <c r="AA99" s="10"/>
      <c r="AB99" s="10"/>
      <c r="AC99" s="10"/>
      <c r="AD99" s="10"/>
      <c r="AE99" s="10"/>
      <c r="AF99" s="10"/>
      <c r="AG99" t="s">
        <v>19</v>
      </c>
      <c r="AJ99">
        <v>1</v>
      </c>
    </row>
    <row r="100" spans="1:36" ht="58">
      <c r="A100" t="s">
        <v>753</v>
      </c>
      <c r="B100" s="4" t="s">
        <v>2449</v>
      </c>
      <c r="C100" s="4" t="s">
        <v>2000</v>
      </c>
      <c r="G100" s="10" t="s">
        <v>2199</v>
      </c>
      <c r="H100" s="10"/>
      <c r="I100" s="10"/>
      <c r="J100" s="10"/>
      <c r="K100" s="10"/>
      <c r="L100" s="10"/>
      <c r="M100" s="10"/>
      <c r="N100" s="11"/>
      <c r="O100" s="10"/>
      <c r="P100" s="10"/>
      <c r="Q100" s="10">
        <v>62</v>
      </c>
      <c r="R100" s="10">
        <v>250</v>
      </c>
      <c r="S100" s="10">
        <v>312</v>
      </c>
      <c r="T100" s="13">
        <f t="shared" si="3"/>
        <v>122.92260792604976</v>
      </c>
      <c r="U100" s="13">
        <f t="shared" si="4"/>
        <v>153.4074146917101</v>
      </c>
      <c r="V100" s="13">
        <f t="shared" si="5"/>
        <v>30.484806765660338</v>
      </c>
      <c r="W100" s="10"/>
      <c r="X100" s="10"/>
      <c r="Y100" s="10"/>
      <c r="Z100" s="10"/>
      <c r="AA100" s="10"/>
      <c r="AB100" s="10"/>
      <c r="AC100" s="10"/>
      <c r="AD100" s="10"/>
      <c r="AE100" s="10"/>
      <c r="AF100" s="10"/>
      <c r="AG100" t="s">
        <v>19</v>
      </c>
      <c r="AJ100">
        <v>1</v>
      </c>
    </row>
    <row r="101" spans="1:36" ht="43.5">
      <c r="A101" t="s">
        <v>754</v>
      </c>
      <c r="B101" s="4" t="s">
        <v>2004</v>
      </c>
      <c r="C101" s="4" t="s">
        <v>2003</v>
      </c>
      <c r="G101" s="10" t="s">
        <v>2199</v>
      </c>
      <c r="H101" s="10"/>
      <c r="I101" s="10"/>
      <c r="J101" s="10"/>
      <c r="K101" s="10"/>
      <c r="L101" s="10"/>
      <c r="M101" s="10"/>
      <c r="N101" s="11"/>
      <c r="O101" s="10"/>
      <c r="P101" s="10"/>
      <c r="Q101" s="10">
        <v>80</v>
      </c>
      <c r="R101" s="10">
        <v>25</v>
      </c>
      <c r="S101" s="10">
        <v>105</v>
      </c>
      <c r="T101" s="13">
        <f t="shared" si="3"/>
        <v>12.292260792604976</v>
      </c>
      <c r="U101" s="13">
        <f t="shared" si="4"/>
        <v>51.627495328940903</v>
      </c>
      <c r="V101" s="13">
        <f t="shared" si="5"/>
        <v>39.335234536335925</v>
      </c>
      <c r="W101" s="10"/>
      <c r="X101" s="10"/>
      <c r="Y101" s="10"/>
      <c r="Z101" s="10"/>
      <c r="AA101" s="10"/>
      <c r="AB101" s="10"/>
      <c r="AC101" s="10"/>
      <c r="AD101" s="10"/>
      <c r="AE101" s="10"/>
      <c r="AF101" s="10"/>
      <c r="AG101" t="s">
        <v>19</v>
      </c>
      <c r="AJ101">
        <v>1</v>
      </c>
    </row>
    <row r="102" spans="1:36" ht="43.5">
      <c r="A102" t="s">
        <v>757</v>
      </c>
      <c r="B102" s="4" t="s">
        <v>2014</v>
      </c>
      <c r="C102" s="4" t="s">
        <v>2013</v>
      </c>
      <c r="G102" s="10" t="s">
        <v>2199</v>
      </c>
      <c r="H102" s="10"/>
      <c r="I102" s="10"/>
      <c r="J102" s="10"/>
      <c r="K102" s="10"/>
      <c r="L102" s="10"/>
      <c r="M102" s="10"/>
      <c r="N102" s="10"/>
      <c r="O102" s="10"/>
      <c r="P102" s="10"/>
      <c r="Q102" s="10">
        <v>-447</v>
      </c>
      <c r="R102" s="10">
        <v>613</v>
      </c>
      <c r="S102" s="10">
        <v>166</v>
      </c>
      <c r="T102" s="13">
        <f t="shared" si="3"/>
        <v>301.40623463467404</v>
      </c>
      <c r="U102" s="13">
        <f t="shared" si="4"/>
        <v>81.620611662897048</v>
      </c>
      <c r="V102" s="13">
        <f t="shared" si="5"/>
        <v>-219.785622971777</v>
      </c>
      <c r="W102" s="10"/>
      <c r="X102" s="10"/>
      <c r="Y102" s="10"/>
      <c r="Z102" s="10"/>
      <c r="AA102" s="10"/>
      <c r="AB102" s="10"/>
      <c r="AC102" s="10"/>
      <c r="AD102" s="10"/>
      <c r="AE102" s="10"/>
      <c r="AF102" s="10"/>
      <c r="AG102" t="s">
        <v>19</v>
      </c>
      <c r="AJ102">
        <v>1</v>
      </c>
    </row>
    <row r="103" spans="1:36" ht="43.5">
      <c r="A103" t="s">
        <v>774</v>
      </c>
      <c r="B103" s="4" t="s">
        <v>2055</v>
      </c>
      <c r="C103" s="4" t="s">
        <v>2054</v>
      </c>
      <c r="G103" s="10" t="s">
        <v>2199</v>
      </c>
      <c r="H103" s="10"/>
      <c r="I103" s="10"/>
      <c r="J103" s="10"/>
      <c r="K103" s="10"/>
      <c r="L103" s="10"/>
      <c r="M103" s="10"/>
      <c r="N103" s="11"/>
      <c r="O103" s="10"/>
      <c r="P103" s="10"/>
      <c r="Q103" s="10">
        <v>-447</v>
      </c>
      <c r="R103" s="10">
        <v>613</v>
      </c>
      <c r="S103" s="10">
        <v>166</v>
      </c>
      <c r="T103" s="13">
        <f t="shared" si="3"/>
        <v>301.40623463467404</v>
      </c>
      <c r="U103" s="13">
        <f t="shared" si="4"/>
        <v>81.620611662897048</v>
      </c>
      <c r="V103" s="13">
        <f t="shared" si="5"/>
        <v>-219.785622971777</v>
      </c>
      <c r="W103" s="10"/>
      <c r="X103" s="10"/>
      <c r="Y103" s="10"/>
      <c r="Z103" s="10"/>
      <c r="AA103" s="10"/>
      <c r="AB103" s="10"/>
      <c r="AC103" s="10"/>
      <c r="AD103" s="10"/>
      <c r="AE103" s="10"/>
      <c r="AF103" s="10"/>
      <c r="AG103" t="s">
        <v>19</v>
      </c>
      <c r="AJ103">
        <v>1</v>
      </c>
    </row>
    <row r="104" spans="1:36" ht="58">
      <c r="A104" t="s">
        <v>775</v>
      </c>
      <c r="B104" s="4" t="s">
        <v>2059</v>
      </c>
      <c r="C104" s="4" t="s">
        <v>2058</v>
      </c>
      <c r="G104" s="10" t="s">
        <v>2199</v>
      </c>
      <c r="H104" s="10"/>
      <c r="I104" s="10"/>
      <c r="J104" s="10"/>
      <c r="K104" s="10"/>
      <c r="L104" s="10"/>
      <c r="M104" s="10"/>
      <c r="N104" s="11"/>
      <c r="O104" s="10"/>
      <c r="P104" s="10"/>
      <c r="Q104" s="10">
        <v>1530</v>
      </c>
      <c r="R104" s="10">
        <v>171</v>
      </c>
      <c r="S104" s="10">
        <v>1701</v>
      </c>
      <c r="T104" s="13">
        <f t="shared" si="3"/>
        <v>84.079063821418046</v>
      </c>
      <c r="U104" s="13">
        <f t="shared" si="4"/>
        <v>836.36542432884255</v>
      </c>
      <c r="V104" s="13">
        <f t="shared" si="5"/>
        <v>752.28636050742455</v>
      </c>
      <c r="W104" s="10"/>
      <c r="X104" s="10"/>
      <c r="Y104" s="10"/>
      <c r="Z104" s="10"/>
      <c r="AA104" s="10"/>
      <c r="AB104" s="10"/>
      <c r="AC104" s="10"/>
      <c r="AD104" s="10"/>
      <c r="AE104" s="10"/>
      <c r="AF104" s="10"/>
      <c r="AG104" t="s">
        <v>19</v>
      </c>
      <c r="AJ104">
        <v>1</v>
      </c>
    </row>
    <row r="105" spans="1:36" ht="43.5">
      <c r="A105" t="s">
        <v>781</v>
      </c>
      <c r="B105" s="4" t="s">
        <v>2070</v>
      </c>
      <c r="C105" s="4" t="s">
        <v>2071</v>
      </c>
      <c r="G105" s="10" t="s">
        <v>2199</v>
      </c>
      <c r="H105" s="10"/>
      <c r="I105" s="10"/>
      <c r="J105" s="10"/>
      <c r="K105" s="10"/>
      <c r="L105" s="10"/>
      <c r="M105" s="10"/>
      <c r="N105" s="11"/>
      <c r="O105" s="10"/>
      <c r="P105" s="10"/>
      <c r="Q105" s="10">
        <v>0</v>
      </c>
      <c r="R105" s="10">
        <v>1</v>
      </c>
      <c r="S105" s="10">
        <v>1</v>
      </c>
      <c r="T105" s="13">
        <f t="shared" si="3"/>
        <v>0.49169043170419907</v>
      </c>
      <c r="U105" s="13">
        <f t="shared" si="4"/>
        <v>0.49169043170419907</v>
      </c>
      <c r="V105" s="13">
        <f t="shared" si="5"/>
        <v>0</v>
      </c>
      <c r="W105" s="10"/>
      <c r="X105" s="10"/>
      <c r="Y105" s="10"/>
      <c r="Z105" s="10"/>
      <c r="AA105" s="10"/>
      <c r="AB105" s="10"/>
      <c r="AC105" s="10"/>
      <c r="AD105" s="10"/>
      <c r="AE105" s="10"/>
      <c r="AF105" s="10"/>
      <c r="AG105" t="s">
        <v>19</v>
      </c>
      <c r="AJ105">
        <v>1</v>
      </c>
    </row>
    <row r="106" spans="1:36">
      <c r="A106" t="s">
        <v>787</v>
      </c>
      <c r="B106" s="4" t="s">
        <v>2079</v>
      </c>
      <c r="C106" s="4" t="s">
        <v>2078</v>
      </c>
      <c r="G106" s="10" t="s">
        <v>2199</v>
      </c>
      <c r="H106" s="10"/>
      <c r="I106" s="10"/>
      <c r="J106" s="10"/>
      <c r="K106" s="10"/>
      <c r="L106" s="10"/>
      <c r="M106" s="10"/>
      <c r="N106" s="11"/>
      <c r="O106" s="10"/>
      <c r="P106" s="10"/>
      <c r="Q106" s="10">
        <v>-249</v>
      </c>
      <c r="R106" s="10">
        <v>280</v>
      </c>
      <c r="S106" s="10">
        <v>31</v>
      </c>
      <c r="T106" s="13">
        <f t="shared" si="3"/>
        <v>137.67332087717574</v>
      </c>
      <c r="U106" s="13">
        <f t="shared" si="4"/>
        <v>15.242403382830171</v>
      </c>
      <c r="V106" s="13">
        <f t="shared" si="5"/>
        <v>-122.43091749434556</v>
      </c>
      <c r="W106" s="10"/>
      <c r="X106" s="10"/>
      <c r="Y106" s="10"/>
      <c r="Z106" s="10"/>
      <c r="AA106" s="10"/>
      <c r="AB106" s="10"/>
      <c r="AC106" s="10"/>
      <c r="AD106" s="10"/>
      <c r="AE106" s="10"/>
      <c r="AF106" s="10"/>
      <c r="AG106" t="s">
        <v>19</v>
      </c>
      <c r="AJ106">
        <v>1</v>
      </c>
    </row>
    <row r="107" spans="1:36" ht="29">
      <c r="A107" t="s">
        <v>788</v>
      </c>
      <c r="B107" s="4" t="s">
        <v>2096</v>
      </c>
      <c r="C107" s="4" t="s">
        <v>2097</v>
      </c>
      <c r="G107" s="10" t="s">
        <v>2199</v>
      </c>
      <c r="H107" s="10"/>
      <c r="I107" s="10"/>
      <c r="J107" s="10"/>
      <c r="K107" s="10"/>
      <c r="L107" s="10"/>
      <c r="M107" s="10"/>
      <c r="N107" s="11"/>
      <c r="O107" s="10"/>
      <c r="P107" s="10"/>
      <c r="Q107" s="10">
        <v>-680</v>
      </c>
      <c r="R107" s="10">
        <v>830</v>
      </c>
      <c r="S107" s="10">
        <v>150</v>
      </c>
      <c r="T107" s="13">
        <f t="shared" si="3"/>
        <v>408.10305831448517</v>
      </c>
      <c r="U107" s="13">
        <f t="shared" si="4"/>
        <v>73.753564755629853</v>
      </c>
      <c r="V107" s="13">
        <f t="shared" si="5"/>
        <v>-334.34949355885533</v>
      </c>
      <c r="W107" s="10"/>
      <c r="X107" s="10"/>
      <c r="Y107" s="10"/>
      <c r="Z107" s="10"/>
      <c r="AA107" s="10"/>
      <c r="AB107" s="10"/>
      <c r="AC107" s="10"/>
      <c r="AD107" s="10"/>
      <c r="AE107" s="10"/>
      <c r="AF107" s="10"/>
      <c r="AG107" t="s">
        <v>19</v>
      </c>
      <c r="AJ107">
        <v>1</v>
      </c>
    </row>
    <row r="108" spans="1:36" ht="29">
      <c r="A108" t="s">
        <v>789</v>
      </c>
      <c r="B108" s="4" t="s">
        <v>2450</v>
      </c>
      <c r="C108" s="4" t="s">
        <v>2104</v>
      </c>
      <c r="G108" s="10" t="s">
        <v>2199</v>
      </c>
      <c r="H108" s="10"/>
      <c r="I108" s="10"/>
      <c r="J108" s="10"/>
      <c r="K108" s="10"/>
      <c r="L108" s="10"/>
      <c r="M108" s="10"/>
      <c r="N108" s="11"/>
      <c r="O108" s="10"/>
      <c r="P108" s="10"/>
      <c r="Q108" s="10">
        <v>-24</v>
      </c>
      <c r="R108" s="10">
        <v>31</v>
      </c>
      <c r="S108" s="10">
        <v>7</v>
      </c>
      <c r="T108" s="13">
        <f t="shared" si="3"/>
        <v>15.242403382830171</v>
      </c>
      <c r="U108" s="13">
        <f t="shared" si="4"/>
        <v>3.4418330219293933</v>
      </c>
      <c r="V108" s="13">
        <f t="shared" si="5"/>
        <v>-11.800570360900778</v>
      </c>
      <c r="W108" s="10"/>
      <c r="X108" s="10"/>
      <c r="Y108" s="10"/>
      <c r="Z108" s="10"/>
      <c r="AA108" s="10"/>
      <c r="AB108" s="10"/>
      <c r="AC108" s="10"/>
      <c r="AD108" s="10"/>
      <c r="AE108" s="10"/>
      <c r="AF108" s="10"/>
      <c r="AG108" t="s">
        <v>19</v>
      </c>
      <c r="AJ108">
        <v>1</v>
      </c>
    </row>
    <row r="109" spans="1:36" ht="43.5">
      <c r="A109" t="s">
        <v>796</v>
      </c>
      <c r="B109" s="4" t="s">
        <v>2111</v>
      </c>
      <c r="C109" s="4" t="s">
        <v>2112</v>
      </c>
      <c r="G109" s="10" t="s">
        <v>2199</v>
      </c>
      <c r="H109" s="10"/>
      <c r="I109" s="10"/>
      <c r="J109" s="10"/>
      <c r="K109" s="10"/>
      <c r="L109" s="10"/>
      <c r="M109" s="10"/>
      <c r="N109" s="11"/>
      <c r="O109" s="10"/>
      <c r="P109" s="10"/>
      <c r="Q109" s="10">
        <v>4</v>
      </c>
      <c r="R109" s="10">
        <v>27</v>
      </c>
      <c r="S109" s="10">
        <v>31</v>
      </c>
      <c r="T109" s="13">
        <f t="shared" si="3"/>
        <v>13.275641656013374</v>
      </c>
      <c r="U109" s="13">
        <f t="shared" si="4"/>
        <v>15.242403382830171</v>
      </c>
      <c r="V109" s="13">
        <f t="shared" si="5"/>
        <v>1.966761726816797</v>
      </c>
      <c r="W109" s="10" t="s">
        <v>2198</v>
      </c>
      <c r="X109" s="10"/>
      <c r="Y109" s="10"/>
      <c r="Z109" s="10"/>
      <c r="AA109" s="10"/>
      <c r="AB109" s="10"/>
      <c r="AC109" s="10"/>
      <c r="AD109" s="10"/>
      <c r="AE109" s="10"/>
      <c r="AF109" s="10"/>
      <c r="AG109" t="s">
        <v>19</v>
      </c>
      <c r="AJ109">
        <v>1</v>
      </c>
    </row>
    <row r="110" spans="1:36" ht="43.5">
      <c r="A110" t="s">
        <v>799</v>
      </c>
      <c r="B110" s="4" t="s">
        <v>2118</v>
      </c>
      <c r="C110" s="4" t="s">
        <v>2117</v>
      </c>
      <c r="G110" s="10" t="s">
        <v>2199</v>
      </c>
      <c r="H110" s="10"/>
      <c r="I110" s="10"/>
      <c r="J110" s="10"/>
      <c r="K110" s="10"/>
      <c r="L110" s="10"/>
      <c r="M110" s="10"/>
      <c r="N110" s="11"/>
      <c r="O110" s="10"/>
      <c r="P110" s="10"/>
      <c r="Q110" s="10">
        <v>-118</v>
      </c>
      <c r="R110" s="10">
        <v>204</v>
      </c>
      <c r="S110" s="10">
        <v>86</v>
      </c>
      <c r="T110" s="13">
        <f t="shared" si="3"/>
        <v>100.30484806765661</v>
      </c>
      <c r="U110" s="13">
        <f t="shared" si="4"/>
        <v>42.285377126561116</v>
      </c>
      <c r="V110" s="13">
        <f t="shared" si="5"/>
        <v>-58.019470941095491</v>
      </c>
      <c r="W110" s="10"/>
      <c r="X110" s="10"/>
      <c r="Y110" s="10"/>
      <c r="Z110" s="10"/>
      <c r="AA110" s="10"/>
      <c r="AB110" s="10"/>
      <c r="AC110" s="10"/>
      <c r="AD110" s="10"/>
      <c r="AE110" s="10"/>
      <c r="AF110" s="10"/>
      <c r="AG110" t="s">
        <v>19</v>
      </c>
      <c r="AJ110">
        <v>1</v>
      </c>
    </row>
    <row r="111" spans="1:36" ht="43.5">
      <c r="A111" t="s">
        <v>804</v>
      </c>
      <c r="B111" s="4" t="s">
        <v>2124</v>
      </c>
      <c r="C111" s="4" t="s">
        <v>2123</v>
      </c>
      <c r="G111" s="10" t="s">
        <v>2199</v>
      </c>
      <c r="H111" s="10"/>
      <c r="I111" s="10"/>
      <c r="J111" s="10"/>
      <c r="K111" s="10"/>
      <c r="L111" s="10"/>
      <c r="M111" s="10"/>
      <c r="N111" s="11"/>
      <c r="O111" s="10"/>
      <c r="P111" s="10"/>
      <c r="Q111" s="10">
        <v>447</v>
      </c>
      <c r="R111" s="10">
        <v>166</v>
      </c>
      <c r="S111" s="10">
        <v>613</v>
      </c>
      <c r="T111" s="13">
        <f t="shared" si="3"/>
        <v>81.620611662897048</v>
      </c>
      <c r="U111" s="13">
        <f t="shared" si="4"/>
        <v>301.40623463467404</v>
      </c>
      <c r="V111" s="13">
        <f t="shared" si="5"/>
        <v>219.785622971777</v>
      </c>
      <c r="W111" s="10"/>
      <c r="X111" s="10"/>
      <c r="Y111" s="10"/>
      <c r="Z111" s="10"/>
      <c r="AA111" s="10"/>
      <c r="AB111" s="10"/>
      <c r="AC111" s="10"/>
      <c r="AD111" s="10"/>
      <c r="AE111" s="10"/>
      <c r="AF111" s="10"/>
      <c r="AG111" t="s">
        <v>19</v>
      </c>
      <c r="AJ111">
        <v>1</v>
      </c>
    </row>
    <row r="112" spans="1:36" ht="58">
      <c r="A112" t="s">
        <v>807</v>
      </c>
      <c r="B112" s="4" t="s">
        <v>2128</v>
      </c>
      <c r="C112" s="4" t="s">
        <v>2127</v>
      </c>
      <c r="G112" s="10" t="s">
        <v>2199</v>
      </c>
      <c r="H112" s="10"/>
      <c r="I112" s="10"/>
      <c r="J112" s="10"/>
      <c r="K112" s="10"/>
      <c r="L112" s="10"/>
      <c r="M112" s="10"/>
      <c r="N112" s="11"/>
      <c r="O112" s="10"/>
      <c r="P112" s="10"/>
      <c r="Q112" s="10">
        <v>2400</v>
      </c>
      <c r="R112" s="10">
        <v>75</v>
      </c>
      <c r="S112" s="10">
        <v>2475</v>
      </c>
      <c r="T112" s="13">
        <f t="shared" si="3"/>
        <v>36.876782377814926</v>
      </c>
      <c r="U112" s="13">
        <f t="shared" si="4"/>
        <v>1216.9338184678927</v>
      </c>
      <c r="V112" s="13">
        <f t="shared" si="5"/>
        <v>1180.0570360900779</v>
      </c>
      <c r="W112" s="10"/>
      <c r="X112" s="10"/>
      <c r="Y112" s="10"/>
      <c r="Z112" s="10"/>
      <c r="AA112" s="10"/>
      <c r="AB112" s="10"/>
      <c r="AC112" s="10"/>
      <c r="AD112" s="10"/>
      <c r="AE112" s="10"/>
      <c r="AF112" s="10"/>
      <c r="AG112" t="s">
        <v>19</v>
      </c>
      <c r="AJ112">
        <v>1</v>
      </c>
    </row>
    <row r="113" spans="1:36" ht="29">
      <c r="A113" t="s">
        <v>810</v>
      </c>
      <c r="B113" s="4" t="s">
        <v>2136</v>
      </c>
      <c r="C113" s="4" t="s">
        <v>2137</v>
      </c>
      <c r="G113" s="10" t="s">
        <v>2199</v>
      </c>
      <c r="H113" s="10"/>
      <c r="I113" s="10"/>
      <c r="J113" s="10"/>
      <c r="K113" s="10"/>
      <c r="L113" s="10"/>
      <c r="M113" s="10"/>
      <c r="N113" s="11"/>
      <c r="O113" s="10"/>
      <c r="P113" s="10"/>
      <c r="Q113" s="10">
        <v>1645</v>
      </c>
      <c r="R113" s="10">
        <v>830</v>
      </c>
      <c r="S113" s="10">
        <v>2475</v>
      </c>
      <c r="T113" s="13">
        <f t="shared" si="3"/>
        <v>408.10305831448517</v>
      </c>
      <c r="U113" s="13">
        <f t="shared" si="4"/>
        <v>1216.9338184678927</v>
      </c>
      <c r="V113" s="13">
        <f t="shared" si="5"/>
        <v>808.83076015340748</v>
      </c>
      <c r="W113" s="10"/>
      <c r="X113" s="10"/>
      <c r="Y113" s="10"/>
      <c r="Z113" s="10"/>
      <c r="AA113" s="10"/>
      <c r="AB113" s="10"/>
      <c r="AC113" s="10"/>
      <c r="AD113" s="10"/>
      <c r="AE113" s="10"/>
      <c r="AF113" s="10"/>
      <c r="AG113" t="s">
        <v>20</v>
      </c>
      <c r="AJ113">
        <v>0</v>
      </c>
    </row>
    <row r="116" spans="1:36">
      <c r="D116" t="s">
        <v>2384</v>
      </c>
      <c r="E116">
        <v>20338</v>
      </c>
    </row>
    <row r="119" spans="1:36">
      <c r="D119" t="s">
        <v>2402</v>
      </c>
      <c r="E119">
        <f>COUNTIF(Q:Q, "&gt;0")</f>
        <v>48</v>
      </c>
    </row>
    <row r="120" spans="1:36">
      <c r="D120" t="s">
        <v>2403</v>
      </c>
      <c r="E120">
        <f>COUNTIF(Q:Q, "&lt;0")</f>
        <v>63</v>
      </c>
    </row>
    <row r="121" spans="1:36">
      <c r="D121" t="s">
        <v>2404</v>
      </c>
      <c r="E121">
        <f>_xlfn.BINOM.DIST(MIN(E119,E120),(E119+E120),0.5,TRUE)*2</f>
        <v>0.1836571719017748</v>
      </c>
    </row>
    <row r="123" spans="1:36">
      <c r="D123" t="s">
        <v>2405</v>
      </c>
      <c r="E123">
        <f>AVERAGE(Q:Q)</f>
        <v>-47.508928571428569</v>
      </c>
    </row>
    <row r="124" spans="1:36">
      <c r="D124" t="s">
        <v>2406</v>
      </c>
      <c r="E124">
        <f>_xlfn.STDEV.S(Q:Q)</f>
        <v>722.57066109822279</v>
      </c>
    </row>
    <row r="127" spans="1:36">
      <c r="D127" t="s">
        <v>2407</v>
      </c>
      <c r="E127">
        <f>AVERAGE(V:V)</f>
        <v>-23.35968559908968</v>
      </c>
    </row>
    <row r="128" spans="1:36">
      <c r="D128" t="s">
        <v>2408</v>
      </c>
      <c r="E128">
        <f>_xlfn.STDEV.S(V:V)</f>
        <v>355.28108029217367</v>
      </c>
    </row>
    <row r="131" spans="4:5">
      <c r="D131" t="s">
        <v>2410</v>
      </c>
      <c r="E131">
        <f>COUNT(V:V)</f>
        <v>112</v>
      </c>
    </row>
    <row r="132" spans="4:5">
      <c r="D132" t="s">
        <v>2411</v>
      </c>
      <c r="E132">
        <f>_xlfn.STDEV.P(V:V)</f>
        <v>353.69144779821238</v>
      </c>
    </row>
  </sheetData>
  <conditionalFormatting sqref="G2:G113">
    <cfRule type="expression" dxfId="190" priority="10">
      <formula>$I2&lt;&gt;""</formula>
    </cfRule>
    <cfRule type="expression" dxfId="189" priority="11">
      <formula>$I2=""</formula>
    </cfRule>
  </conditionalFormatting>
  <conditionalFormatting sqref="H2:L113 O2:P113">
    <cfRule type="expression" dxfId="188" priority="27">
      <formula>AND(OR($I2="Addition",$I2="Omission"), H2="")</formula>
    </cfRule>
    <cfRule type="expression" dxfId="187" priority="28">
      <formula>AND($I2&lt;&gt;"Addition",$I2&lt;&gt;"Omission",$I2&lt;&gt;"Substitution - Word")</formula>
    </cfRule>
  </conditionalFormatting>
  <conditionalFormatting sqref="H2:P113">
    <cfRule type="expression" dxfId="186" priority="26">
      <formula>AND(OR($I2="Addition",$I2="Omission"), H2&lt;&gt;"")</formula>
    </cfRule>
  </conditionalFormatting>
  <conditionalFormatting sqref="K2:K113">
    <cfRule type="expression" dxfId="185" priority="21">
      <formula>AND($K2&lt;&gt;"",$K2&gt;1)</formula>
    </cfRule>
  </conditionalFormatting>
  <conditionalFormatting sqref="M2:N113">
    <cfRule type="expression" dxfId="184" priority="17">
      <formula>$N2="Absent"</formula>
    </cfRule>
    <cfRule type="expression" dxfId="183" priority="18">
      <formula>$N2="NA"</formula>
    </cfRule>
    <cfRule type="expression" dxfId="182" priority="19">
      <formula>AND(OR($I2="Addition",$I2="Omission"), M2="")</formula>
    </cfRule>
    <cfRule type="expression" dxfId="181" priority="20">
      <formula>AND($I2&lt;&gt;"Addition",$I2&lt;&gt;"Omission")</formula>
    </cfRule>
  </conditionalFormatting>
  <conditionalFormatting sqref="O2:O113">
    <cfRule type="expression" dxfId="180" priority="22">
      <formula>OR($I2="Addition",$I2="Omission",$I2 = "Substitution - Word")</formula>
    </cfRule>
  </conditionalFormatting>
  <conditionalFormatting sqref="Q2:S113">
    <cfRule type="expression" dxfId="179" priority="23">
      <formula>AND(AND(LEFT($I2,3)="Sub", RIGHT($I2,4)&lt;&gt;"Form"),$S2&lt;&gt;"")</formula>
    </cfRule>
    <cfRule type="expression" dxfId="178" priority="24">
      <formula>AND(AND(LEFT($I2,3)="Sub", RIGHT($I2,4)&lt;&gt;"Form"),$S2="")</formula>
    </cfRule>
    <cfRule type="expression" dxfId="177" priority="25">
      <formula>"&lt;&gt;AND(LEFT($J2,3)=""Sub"", RIGHT($J2,4)&lt;&gt;""Form"")"</formula>
    </cfRule>
  </conditionalFormatting>
  <conditionalFormatting sqref="R2:V113">
    <cfRule type="expression" dxfId="176" priority="1">
      <formula>AND(AND(LEFT($I2,3)="Sub", RIGHT($I2,4)&lt;&gt;"Form"),$S2&lt;&gt;"")</formula>
    </cfRule>
    <cfRule type="expression" dxfId="175" priority="2">
      <formula>AND(AND(LEFT($I2,3)="Sub", RIGHT($I2,4)&lt;&gt;"Form"),$S2="")</formula>
    </cfRule>
    <cfRule type="expression" dxfId="174" priority="3">
      <formula>"&lt;&gt;AND(LEFT($J2,3)=""Sub"", RIGHT($J2,4)&lt;&gt;""Form"")"</formula>
    </cfRule>
  </conditionalFormatting>
  <conditionalFormatting sqref="W2:W113">
    <cfRule type="expression" dxfId="173" priority="13">
      <formula>AND($Y2&lt;&gt;"",OR($AF2="Yes",$AG2&lt;&gt;""))</formula>
    </cfRule>
    <cfRule type="expression" dxfId="172" priority="14">
      <formula>OR($AF2="Yes",$AG2&lt;&gt;"")</formula>
    </cfRule>
    <cfRule type="expression" dxfId="171" priority="31">
      <formula>AND($AF2&lt;&gt;"Yes",$AG2="")</formula>
    </cfRule>
  </conditionalFormatting>
  <conditionalFormatting sqref="W2:AF113">
    <cfRule type="expression" dxfId="170" priority="29">
      <formula>AND($I2&lt;&gt;"",$I2&lt;&gt;"Unclear due to correction")</formula>
    </cfRule>
    <cfRule type="expression" dxfId="169" priority="30">
      <formula>OR($I2="",$I2="Unclear due to correction")</formula>
    </cfRule>
  </conditionalFormatting>
  <conditionalFormatting sqref="X2:X113">
    <cfRule type="expression" dxfId="168" priority="12">
      <formula>AND($I2&lt;&gt;"",$I2&lt;&gt;"Unclear due to correction",$Z2="")</formula>
    </cfRule>
  </conditionalFormatting>
  <conditionalFormatting sqref="Y2:Y113">
    <cfRule type="expression" dxfId="167" priority="15">
      <formula>AND($Z2="Yes",$AA2="")</formula>
    </cfRule>
    <cfRule type="expression" dxfId="166" priority="16">
      <formula>$Z2=""</formula>
    </cfRule>
  </conditionalFormatting>
  <conditionalFormatting sqref="AD2:AD113">
    <cfRule type="expression" dxfId="165" priority="32">
      <formula>AND(OR($AD2&lt;&gt;"",$AE2&lt;&gt;""),$AF2="")</formula>
    </cfRule>
  </conditionalFormatting>
  <dataValidations count="1">
    <dataValidation allowBlank="1" showInputMessage="1" sqref="X2:X113" xr:uid="{70957C36-EDAE-4857-B2E2-C0B61B920976}"/>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CD3F9F0C-5E6B-43BF-B31C-C6A9261F352F}">
          <x14:formula1>
            <xm:f>'Data Regularization'!$Q$2:$Q$4</xm:f>
          </x14:formula1>
          <xm:sqref>AG2:AI113</xm:sqref>
        </x14:dataValidation>
        <x14:dataValidation type="list" allowBlank="1" showInputMessage="1" showErrorMessage="1" xr:uid="{48D0A7FC-382E-4374-83BC-98B08F89E270}">
          <x14:formula1>
            <xm:f>'Data Regularization'!$D$2:$D$1048576</xm:f>
          </x14:formula1>
          <xm:sqref>G2:G113</xm:sqref>
        </x14:dataValidation>
        <x14:dataValidation type="list" allowBlank="1" showInputMessage="1" showErrorMessage="1" xr:uid="{6579D024-106F-44A7-B892-15C8FA9275A6}">
          <x14:formula1>
            <xm:f>'Data Regularization'!$E$2:$E$1048576</xm:f>
          </x14:formula1>
          <xm:sqref>K2:K113</xm:sqref>
        </x14:dataValidation>
        <x14:dataValidation type="list" allowBlank="1" showInputMessage="1" showErrorMessage="1" xr:uid="{028966E3-ABDD-4EA2-8277-F9C797B741FE}">
          <x14:formula1>
            <xm:f>'Data Regularization'!$F$2:$F$1048576</xm:f>
          </x14:formula1>
          <xm:sqref>L2:L113</xm:sqref>
        </x14:dataValidation>
        <x14:dataValidation type="list" allowBlank="1" showInputMessage="1" showErrorMessage="1" xr:uid="{4B9E998C-A3FC-4DEC-8E1D-DF4067F6993C}">
          <x14:formula1>
            <xm:f>'Data Regularization'!$G$2:$G$1048576</xm:f>
          </x14:formula1>
          <xm:sqref>O2:O113</xm:sqref>
        </x14:dataValidation>
        <x14:dataValidation type="list" allowBlank="1" showInputMessage="1" showErrorMessage="1" xr:uid="{47B382C1-3491-4236-B24F-EE9D7BE0DDDE}">
          <x14:formula1>
            <xm:f>'Data Regularization'!$K$2:$K$1048576</xm:f>
          </x14:formula1>
          <xm:sqref>Y2:Y113 W2:W113</xm:sqref>
        </x14:dataValidation>
        <x14:dataValidation type="list" allowBlank="1" showInputMessage="1" showErrorMessage="1" xr:uid="{722B1D46-667D-487D-9EB9-12531BA86573}">
          <x14:formula1>
            <xm:f>'Data Regularization'!$L$2:$L$1048576</xm:f>
          </x14:formula1>
          <xm:sqref>Z2:Z113</xm:sqref>
        </x14:dataValidation>
        <x14:dataValidation type="list" allowBlank="1" showInputMessage="1" showErrorMessage="1" xr:uid="{05572139-7088-4976-B309-EB9D09BC282F}">
          <x14:formula1>
            <xm:f>'Data Regularization'!$M$2:$M$1048576</xm:f>
          </x14:formula1>
          <xm:sqref>AA2:AA113</xm:sqref>
        </x14:dataValidation>
        <x14:dataValidation type="list" allowBlank="1" showInputMessage="1" showErrorMessage="1" xr:uid="{BB8A31E5-F3E5-449F-B0F8-CDCA46A078CC}">
          <x14:formula1>
            <xm:f>'Data Regularization'!$N$2:$N$1048576</xm:f>
          </x14:formula1>
          <xm:sqref>AB2:AB113</xm:sqref>
        </x14:dataValidation>
        <x14:dataValidation type="list" allowBlank="1" showInputMessage="1" showErrorMessage="1" xr:uid="{57BBB0A7-214F-4B8B-A075-7B76C461D6B0}">
          <x14:formula1>
            <xm:f>'Data Regularization'!$O$2:$O$1048576</xm:f>
          </x14:formula1>
          <xm:sqref>AD2:AD113</xm:sqref>
        </x14:dataValidation>
        <x14:dataValidation type="list" allowBlank="1" showInputMessage="1" showErrorMessage="1" xr:uid="{12A28CD6-67A4-4CFE-9812-9004AE0EDFF2}">
          <x14:formula1>
            <xm:f>'Data Regularization'!$P$2:$P$1048576</xm:f>
          </x14:formula1>
          <xm:sqref>AE2:AE113</xm:sqref>
        </x14:dataValidation>
        <x14:dataValidation type="list" allowBlank="1" showInputMessage="1" showErrorMessage="1" xr:uid="{EEE2B77E-4910-47C6-82D7-44B301EAF9BD}">
          <x14:formula1>
            <xm:f>'Data Regularization'!$Q$2:$Q$1048576</xm:f>
          </x14:formula1>
          <xm:sqref>AF2:AF113</xm:sqref>
        </x14:dataValidation>
        <x14:dataValidation type="list" allowBlank="1" showInputMessage="1" showErrorMessage="1" xr:uid="{0414CEB7-D8E1-473B-A5BA-B124DA3A4582}">
          <x14:formula1>
            <xm:f>'Data Regularization'!$C$2:$C$29</xm:f>
          </x14:formula1>
          <xm:sqref>F2:F113</xm:sqref>
        </x14:dataValidation>
        <x14:dataValidation type="list" allowBlank="1" showInputMessage="1" showErrorMessage="1" xr:uid="{1D4260D6-63FB-481F-8917-7130C10D8616}">
          <x14:formula1>
            <xm:f>'Data Regularization'!$A$2:$A$1048576</xm:f>
          </x14:formula1>
          <xm:sqref>D2:D113</xm:sqref>
        </x14:dataValidation>
        <x14:dataValidation type="list" allowBlank="1" showInputMessage="1" showErrorMessage="1" xr:uid="{1A38C9A6-6070-44DB-87E8-E6BEACB8F9C3}">
          <x14:formula1>
            <xm:f>'Data Regularization'!$B$2:$B$1048576</xm:f>
          </x14:formula1>
          <xm:sqref>E2:E113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73182-7198-4D79-B5B4-A5E36D13777D}">
  <dimension ref="A1:AI16"/>
  <sheetViews>
    <sheetView workbookViewId="0">
      <selection activeCell="E14" sqref="E14:H15"/>
    </sheetView>
  </sheetViews>
  <sheetFormatPr defaultRowHeight="14.5"/>
  <sheetData>
    <row r="1" spans="1:35" s="1" customFormat="1" ht="29">
      <c r="A1" s="1" t="s">
        <v>0</v>
      </c>
      <c r="B1" s="1" t="s">
        <v>5</v>
      </c>
      <c r="C1" s="3" t="s">
        <v>6</v>
      </c>
      <c r="D1" s="1" t="s">
        <v>2181</v>
      </c>
      <c r="E1" s="1" t="s">
        <v>2182</v>
      </c>
      <c r="F1" s="1" t="s">
        <v>2183</v>
      </c>
      <c r="G1" s="1" t="s">
        <v>7</v>
      </c>
      <c r="H1" s="1" t="s">
        <v>3</v>
      </c>
      <c r="I1" s="1" t="s">
        <v>2184</v>
      </c>
      <c r="J1" s="1" t="s">
        <v>2185</v>
      </c>
      <c r="K1" s="1" t="s">
        <v>2186</v>
      </c>
      <c r="L1" s="1" t="s">
        <v>2187</v>
      </c>
      <c r="M1" s="1" t="s">
        <v>2146</v>
      </c>
      <c r="N1" s="1" t="s">
        <v>2188</v>
      </c>
      <c r="O1" s="9" t="s">
        <v>2189</v>
      </c>
      <c r="P1" s="1" t="s">
        <v>2147</v>
      </c>
      <c r="Q1" s="1" t="s">
        <v>2190</v>
      </c>
      <c r="R1" s="1" t="s">
        <v>2191</v>
      </c>
      <c r="S1" s="1" t="s">
        <v>2385</v>
      </c>
      <c r="T1" s="1" t="s">
        <v>2386</v>
      </c>
      <c r="U1" s="1" t="s">
        <v>2194</v>
      </c>
      <c r="V1" s="1" t="s">
        <v>2457</v>
      </c>
      <c r="W1" s="1" t="s">
        <v>2195</v>
      </c>
      <c r="X1" s="1" t="s">
        <v>2196</v>
      </c>
      <c r="Y1" s="1" t="s">
        <v>2148</v>
      </c>
      <c r="Z1" s="1" t="s">
        <v>2149</v>
      </c>
      <c r="AA1" s="1" t="s">
        <v>2150</v>
      </c>
      <c r="AB1" s="1" t="s">
        <v>2192</v>
      </c>
      <c r="AC1" s="1" t="s">
        <v>2197</v>
      </c>
      <c r="AD1" s="1" t="s">
        <v>2151</v>
      </c>
      <c r="AE1" s="1" t="s">
        <v>2193</v>
      </c>
      <c r="AF1" s="1" t="s">
        <v>2215</v>
      </c>
      <c r="AG1" s="1" t="s">
        <v>2207</v>
      </c>
      <c r="AH1" s="1" t="s">
        <v>2214</v>
      </c>
    </row>
    <row r="2" spans="1:35" ht="29">
      <c r="A2" t="s">
        <v>649</v>
      </c>
      <c r="B2" s="4" t="s">
        <v>1800</v>
      </c>
      <c r="C2" s="4" t="s">
        <v>1801</v>
      </c>
      <c r="G2" t="s">
        <v>2302</v>
      </c>
      <c r="H2" s="10" t="s">
        <v>25</v>
      </c>
      <c r="I2" s="10"/>
      <c r="J2" s="10">
        <v>1</v>
      </c>
      <c r="K2" s="10">
        <v>3</v>
      </c>
      <c r="L2" s="10" t="s">
        <v>2152</v>
      </c>
      <c r="M2" s="10" t="s">
        <v>2159</v>
      </c>
      <c r="N2" s="10"/>
      <c r="O2" s="11"/>
      <c r="P2" s="10"/>
      <c r="Q2" s="10">
        <v>44</v>
      </c>
      <c r="R2" s="10"/>
      <c r="S2" s="10" t="s">
        <v>2387</v>
      </c>
      <c r="T2" s="10" t="s">
        <v>2387</v>
      </c>
      <c r="U2" s="10" t="s">
        <v>2198</v>
      </c>
      <c r="V2" s="10" t="s">
        <v>2459</v>
      </c>
      <c r="W2" s="10"/>
      <c r="X2" s="10"/>
      <c r="Y2" s="10"/>
      <c r="Z2" s="10"/>
      <c r="AA2" s="10"/>
      <c r="AB2" s="10"/>
      <c r="AC2" s="10"/>
      <c r="AD2" s="10"/>
      <c r="AE2" s="10"/>
      <c r="AF2" t="s">
        <v>19</v>
      </c>
      <c r="AI2">
        <v>1</v>
      </c>
    </row>
    <row r="3" spans="1:35" ht="58">
      <c r="A3" t="s">
        <v>669</v>
      </c>
      <c r="B3" s="4" t="s">
        <v>1824</v>
      </c>
      <c r="C3" s="4" t="s">
        <v>1827</v>
      </c>
      <c r="G3" t="s">
        <v>2303</v>
      </c>
      <c r="H3" s="10" t="s">
        <v>24</v>
      </c>
      <c r="I3" s="10"/>
      <c r="J3" s="10">
        <v>1</v>
      </c>
      <c r="K3" s="10">
        <v>4</v>
      </c>
      <c r="L3" s="10" t="s">
        <v>2158</v>
      </c>
      <c r="M3" s="10" t="s">
        <v>2153</v>
      </c>
      <c r="N3" s="10" t="s">
        <v>2231</v>
      </c>
      <c r="O3" s="11" t="s">
        <v>2230</v>
      </c>
      <c r="P3" s="10"/>
      <c r="Q3" s="10">
        <v>2475</v>
      </c>
      <c r="R3" s="10"/>
      <c r="S3" s="10" t="s">
        <v>2387</v>
      </c>
      <c r="T3" s="10" t="s">
        <v>2387</v>
      </c>
      <c r="U3" s="10" t="s">
        <v>2198</v>
      </c>
      <c r="V3" s="10" t="s">
        <v>2459</v>
      </c>
      <c r="W3" s="10"/>
      <c r="X3" s="10"/>
      <c r="Y3" s="10"/>
      <c r="Z3" s="10"/>
      <c r="AA3" s="10"/>
      <c r="AB3" s="10"/>
      <c r="AC3" s="10"/>
      <c r="AD3" s="10"/>
      <c r="AE3" s="10"/>
      <c r="AF3" t="s">
        <v>19</v>
      </c>
      <c r="AI3">
        <v>1</v>
      </c>
    </row>
    <row r="4" spans="1:35" ht="43.5">
      <c r="A4" t="s">
        <v>796</v>
      </c>
      <c r="B4" s="4" t="s">
        <v>2111</v>
      </c>
      <c r="C4" s="4" t="s">
        <v>2112</v>
      </c>
      <c r="G4" t="s">
        <v>2329</v>
      </c>
      <c r="H4" s="10" t="s">
        <v>2199</v>
      </c>
      <c r="I4" s="10"/>
      <c r="J4" s="10"/>
      <c r="K4" s="10"/>
      <c r="L4" s="10"/>
      <c r="M4" s="10"/>
      <c r="N4" s="10"/>
      <c r="O4" s="11"/>
      <c r="P4" s="10"/>
      <c r="Q4" s="10"/>
      <c r="R4" s="10">
        <v>4</v>
      </c>
      <c r="S4" s="10">
        <v>27</v>
      </c>
      <c r="T4" s="10">
        <v>31</v>
      </c>
      <c r="U4" s="10" t="s">
        <v>2198</v>
      </c>
      <c r="V4" s="10" t="s">
        <v>2458</v>
      </c>
      <c r="W4" s="10"/>
      <c r="X4" s="10"/>
      <c r="Y4" s="10"/>
      <c r="Z4" s="10"/>
      <c r="AA4" s="10"/>
      <c r="AB4" s="10"/>
      <c r="AC4" s="10"/>
      <c r="AD4" s="10"/>
      <c r="AE4" s="10"/>
      <c r="AF4" t="s">
        <v>19</v>
      </c>
      <c r="AI4">
        <v>1</v>
      </c>
    </row>
    <row r="7" spans="1:35">
      <c r="D7" t="s">
        <v>2412</v>
      </c>
      <c r="E7">
        <f>COUNTIF(U:U, "Harmonizing")</f>
        <v>0</v>
      </c>
    </row>
    <row r="8" spans="1:35">
      <c r="D8" t="s">
        <v>2413</v>
      </c>
      <c r="E8">
        <f>COUNTIF(U:U, "Disharmonizing")</f>
        <v>3</v>
      </c>
    </row>
    <row r="9" spans="1:35">
      <c r="D9" t="s">
        <v>2414</v>
      </c>
      <c r="E9">
        <f>E7/(E7+E8)</f>
        <v>0</v>
      </c>
    </row>
    <row r="12" spans="1:35">
      <c r="E12" s="15" t="s">
        <v>2461</v>
      </c>
      <c r="F12" s="15"/>
      <c r="G12" s="15"/>
      <c r="H12" s="15"/>
    </row>
    <row r="13" spans="1:35">
      <c r="E13" t="s">
        <v>2458</v>
      </c>
      <c r="F13" t="s">
        <v>2459</v>
      </c>
      <c r="G13" t="s">
        <v>2460</v>
      </c>
      <c r="H13" t="s">
        <v>2371</v>
      </c>
    </row>
    <row r="14" spans="1:35">
      <c r="D14" t="s">
        <v>2412</v>
      </c>
      <c r="E14">
        <f>COUNTIFS($U$2:$U$4,"Harmonizing",$V$2:$V$4,"forward") + COUNTIFS($U$2:$U$4,"Harmonizing",$V$2:$V$4,"both")</f>
        <v>0</v>
      </c>
      <c r="F14">
        <f>COUNTIFS($U$2:$U$4,"Harmonizing",$V$2:$V$4,"backward") + COUNTIFS($U$2:$U$4,"Harmonizing",$V$2:$V$4,"both")</f>
        <v>0</v>
      </c>
      <c r="G14">
        <f>COUNTIFS($U$2:$U$4,"Harmonizing",$V$2:$V$4,"both")</f>
        <v>0</v>
      </c>
      <c r="H14">
        <f>COUNTIFS($U$2:$U$4,"Harmonizing",$V$2:$V$4,"both") + COUNTIFS($U$2:$U$4,"Harmonizing",$V$2:$V$4,"forward") + COUNTIFS($U$2:$U$4,"Harmonizing",$V$2:$V$4,"backward")</f>
        <v>0</v>
      </c>
    </row>
    <row r="15" spans="1:35">
      <c r="D15" t="s">
        <v>2413</v>
      </c>
      <c r="E15">
        <f>COUNTIFS($U$2:$U$4,"Disharmonizing",$V$2:$V$4,"forward") + COUNTIFS($U$2:$U$4,"Disharmonizing",$V$2:$V$4,"both")</f>
        <v>1</v>
      </c>
      <c r="F15">
        <f>COUNTIFS($U$2:$U$4,"Disharmonizing",$V$2:$V$4,"backward") + COUNTIFS($U$2:$U$4,"Disharmonizing",$V$2:$V$4,"both")</f>
        <v>2</v>
      </c>
      <c r="G15">
        <f>COUNTIFS($U$2:$U$4,"Disharmonizing",$V$2:$V$4,"both")</f>
        <v>0</v>
      </c>
      <c r="H15">
        <f>COUNTIFS($U$2:$U$4,"Disharmonizing",$V$2:$V$4,"both") + COUNTIFS($U$2:$U$4,"Disharmonizing",$V$2:$V$4,"forward") + COUNTIFS($U$2:$U$4,"Disharmonizing",$V$2:$V$4,"backward")</f>
        <v>3</v>
      </c>
    </row>
    <row r="16" spans="1:35">
      <c r="D16" t="s">
        <v>2414</v>
      </c>
      <c r="E16">
        <f>E14/(E14+E15)</f>
        <v>0</v>
      </c>
      <c r="F16">
        <f t="shared" ref="F16:H16" si="0">F14/(F14+F15)</f>
        <v>0</v>
      </c>
      <c r="G16" t="e">
        <f t="shared" si="0"/>
        <v>#DIV/0!</v>
      </c>
      <c r="H16">
        <f t="shared" si="0"/>
        <v>0</v>
      </c>
    </row>
  </sheetData>
  <mergeCells count="1">
    <mergeCell ref="E12:H12"/>
  </mergeCells>
  <conditionalFormatting sqref="H2:H4">
    <cfRule type="expression" dxfId="164" priority="4">
      <formula>$J2&lt;&gt;""</formula>
    </cfRule>
    <cfRule type="expression" dxfId="163" priority="5">
      <formula>$J2=""</formula>
    </cfRule>
  </conditionalFormatting>
  <conditionalFormatting sqref="I2:M4 P2:Q4">
    <cfRule type="expression" dxfId="162" priority="21">
      <formula>AND(OR($J2="Addition",$J2="Omission"), I2="")</formula>
    </cfRule>
    <cfRule type="expression" dxfId="161" priority="22">
      <formula>AND($J2&lt;&gt;"Addition",$J2&lt;&gt;"Omission",$J2&lt;&gt;"Substitution - Word")</formula>
    </cfRule>
  </conditionalFormatting>
  <conditionalFormatting sqref="I2:Q4">
    <cfRule type="expression" dxfId="160" priority="20">
      <formula>AND(OR($J2="Addition",$J2="Omission"), I2&lt;&gt;"")</formula>
    </cfRule>
  </conditionalFormatting>
  <conditionalFormatting sqref="L2:L4">
    <cfRule type="expression" dxfId="159" priority="15">
      <formula>AND($L2&lt;&gt;"",$L2&gt;1)</formula>
    </cfRule>
  </conditionalFormatting>
  <conditionalFormatting sqref="N2:O4">
    <cfRule type="expression" dxfId="158" priority="11">
      <formula>$O2="Absent"</formula>
    </cfRule>
    <cfRule type="expression" dxfId="157" priority="12">
      <formula>$O2="NA"</formula>
    </cfRule>
    <cfRule type="expression" dxfId="156" priority="13">
      <formula>AND(OR($J2="Addition",$J2="Omission"), N2="")</formula>
    </cfRule>
    <cfRule type="expression" dxfId="155" priority="14">
      <formula>AND($J2&lt;&gt;"Addition",$J2&lt;&gt;"Omission")</formula>
    </cfRule>
  </conditionalFormatting>
  <conditionalFormatting sqref="P2:P4">
    <cfRule type="expression" dxfId="154" priority="16">
      <formula>OR($J2="Addition",$J2="Omission",$J2 = "Substitution - Word")</formula>
    </cfRule>
  </conditionalFormatting>
  <conditionalFormatting sqref="R2:T4">
    <cfRule type="expression" dxfId="153" priority="17">
      <formula>AND(AND(LEFT($J2,3)="Sub", RIGHT($J2,4)&lt;&gt;"Form"),$T2&lt;&gt;"")</formula>
    </cfRule>
    <cfRule type="expression" dxfId="152" priority="18">
      <formula>AND(AND(LEFT($J2,3)="Sub", RIGHT($J2,4)&lt;&gt;"Form"),$T2="")</formula>
    </cfRule>
    <cfRule type="expression" dxfId="151" priority="19">
      <formula>"&lt;&gt;AND(LEFT($J2,3)=""Sub"", RIGHT($J2,4)&lt;&gt;""Form"")"</formula>
    </cfRule>
  </conditionalFormatting>
  <conditionalFormatting sqref="S2:T4">
    <cfRule type="expression" dxfId="150" priority="1">
      <formula>AND(AND(LEFT($J2,3)="Sub", RIGHT($J2,4)&lt;&gt;"Form"),$T2&lt;&gt;"")</formula>
    </cfRule>
    <cfRule type="expression" dxfId="149" priority="2">
      <formula>AND(AND(LEFT($J2,3)="Sub", RIGHT($J2,4)&lt;&gt;"Form"),$T2="")</formula>
    </cfRule>
    <cfRule type="expression" dxfId="148" priority="3">
      <formula>"&lt;&gt;AND(LEFT($J2,3)=""Sub"", RIGHT($J2,4)&lt;&gt;""Form"")"</formula>
    </cfRule>
  </conditionalFormatting>
  <conditionalFormatting sqref="U2:V4">
    <cfRule type="expression" dxfId="147" priority="7">
      <formula>AND($X2&lt;&gt;"",OR($AE2="Yes",$AF2&lt;&gt;""))</formula>
    </cfRule>
    <cfRule type="expression" dxfId="146" priority="8">
      <formula>OR($AE2="Yes",$AF2&lt;&gt;"")</formula>
    </cfRule>
    <cfRule type="expression" dxfId="145" priority="25">
      <formula>AND($AE2&lt;&gt;"Yes",$AF2="")</formula>
    </cfRule>
  </conditionalFormatting>
  <conditionalFormatting sqref="U2:AE4">
    <cfRule type="expression" dxfId="144" priority="23">
      <formula>AND($J2&lt;&gt;"",$J2&lt;&gt;"Unclear due to correction")</formula>
    </cfRule>
    <cfRule type="expression" dxfId="143" priority="24">
      <formula>OR($J2="",$J2="Unclear due to correction")</formula>
    </cfRule>
  </conditionalFormatting>
  <conditionalFormatting sqref="W2:W4">
    <cfRule type="expression" dxfId="142" priority="6">
      <formula>AND($J2&lt;&gt;"",$J2&lt;&gt;"Unclear due to correction",$Y2="")</formula>
    </cfRule>
  </conditionalFormatting>
  <conditionalFormatting sqref="X2:X4">
    <cfRule type="expression" dxfId="141" priority="9">
      <formula>AND($Y2="Yes",$Z2="")</formula>
    </cfRule>
    <cfRule type="expression" dxfId="140" priority="10">
      <formula>$Y2=""</formula>
    </cfRule>
  </conditionalFormatting>
  <conditionalFormatting sqref="AC2:AC4">
    <cfRule type="expression" dxfId="139" priority="26">
      <formula>AND(OR($AC2&lt;&gt;"",$AD2&lt;&gt;""),$AE2="")</formula>
    </cfRule>
  </conditionalFormatting>
  <dataValidations count="1">
    <dataValidation allowBlank="1" showInputMessage="1" sqref="W2:W4" xr:uid="{3BC544BD-387F-41B3-9695-B469D6068C01}"/>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6">
        <x14:dataValidation type="list" allowBlank="1" showInputMessage="1" showErrorMessage="1" xr:uid="{C75B4048-7188-4072-87AE-14B955EE0C47}">
          <x14:formula1>
            <xm:f>'Data Regularization'!$Q$2:$Q$4</xm:f>
          </x14:formula1>
          <xm:sqref>AF2:AH4</xm:sqref>
        </x14:dataValidation>
        <x14:dataValidation type="list" allowBlank="1" showInputMessage="1" showErrorMessage="1" xr:uid="{1AB310E0-6FF3-4EAA-A0C3-46EE9185F3B1}">
          <x14:formula1>
            <xm:f>'Data Regularization'!$D$2:$D$1048576</xm:f>
          </x14:formula1>
          <xm:sqref>H2:H4</xm:sqref>
        </x14:dataValidation>
        <x14:dataValidation type="list" allowBlank="1" showInputMessage="1" showErrorMessage="1" xr:uid="{C3EF5C17-00C6-4A2C-8314-7D0E11305005}">
          <x14:formula1>
            <xm:f>'Data Regularization'!$E$2:$E$1048576</xm:f>
          </x14:formula1>
          <xm:sqref>L2:L4</xm:sqref>
        </x14:dataValidation>
        <x14:dataValidation type="list" allowBlank="1" showInputMessage="1" showErrorMessage="1" xr:uid="{DDC63AFF-5EC0-4E46-ABFB-93DB1FC85298}">
          <x14:formula1>
            <xm:f>'Data Regularization'!$F$2:$F$1048576</xm:f>
          </x14:formula1>
          <xm:sqref>M2:M4</xm:sqref>
        </x14:dataValidation>
        <x14:dataValidation type="list" allowBlank="1" showInputMessage="1" showErrorMessage="1" xr:uid="{45E64C05-74E8-412D-899C-DE70272AD738}">
          <x14:formula1>
            <xm:f>'Data Regularization'!$G$2:$G$1048576</xm:f>
          </x14:formula1>
          <xm:sqref>P2:P4</xm:sqref>
        </x14:dataValidation>
        <x14:dataValidation type="list" allowBlank="1" showInputMessage="1" showErrorMessage="1" xr:uid="{8A9CA311-10F0-4D0B-A832-53710BDC710C}">
          <x14:formula1>
            <xm:f>'Data Regularization'!$K$2:$K$1048576</xm:f>
          </x14:formula1>
          <xm:sqref>X2:X4 U2:U4</xm:sqref>
        </x14:dataValidation>
        <x14:dataValidation type="list" allowBlank="1" showInputMessage="1" showErrorMessage="1" xr:uid="{7BEE0987-995C-405B-80D3-06C7D97FF890}">
          <x14:formula1>
            <xm:f>'Data Regularization'!$L$2:$L$1048576</xm:f>
          </x14:formula1>
          <xm:sqref>Y2:Y4</xm:sqref>
        </x14:dataValidation>
        <x14:dataValidation type="list" allowBlank="1" showInputMessage="1" showErrorMessage="1" xr:uid="{FD043F84-73A8-455C-ABDD-CF2FD7053445}">
          <x14:formula1>
            <xm:f>'Data Regularization'!$M$2:$M$1048576</xm:f>
          </x14:formula1>
          <xm:sqref>Z2:Z4</xm:sqref>
        </x14:dataValidation>
        <x14:dataValidation type="list" allowBlank="1" showInputMessage="1" showErrorMessage="1" xr:uid="{1D4DC9D4-DFCE-4780-A9E1-A8223BDCCB73}">
          <x14:formula1>
            <xm:f>'Data Regularization'!$N$2:$N$1048576</xm:f>
          </x14:formula1>
          <xm:sqref>AA2:AA4</xm:sqref>
        </x14:dataValidation>
        <x14:dataValidation type="list" allowBlank="1" showInputMessage="1" showErrorMessage="1" xr:uid="{14B0249C-A192-410E-8581-71FDA78D8D71}">
          <x14:formula1>
            <xm:f>'Data Regularization'!$O$2:$O$1048576</xm:f>
          </x14:formula1>
          <xm:sqref>AC2:AC4</xm:sqref>
        </x14:dataValidation>
        <x14:dataValidation type="list" allowBlank="1" showInputMessage="1" showErrorMessage="1" xr:uid="{AC81639C-218C-48A4-8BC3-3B1E453894F6}">
          <x14:formula1>
            <xm:f>'Data Regularization'!$P$2:$P$1048576</xm:f>
          </x14:formula1>
          <xm:sqref>AD2:AD4</xm:sqref>
        </x14:dataValidation>
        <x14:dataValidation type="list" allowBlank="1" showInputMessage="1" showErrorMessage="1" xr:uid="{4433C914-72EF-447B-9B27-D66DC5D57B91}">
          <x14:formula1>
            <xm:f>'Data Regularization'!$Q$2:$Q$1048576</xm:f>
          </x14:formula1>
          <xm:sqref>AE2:AE4</xm:sqref>
        </x14:dataValidation>
        <x14:dataValidation type="list" allowBlank="1" showInputMessage="1" showErrorMessage="1" xr:uid="{5830D567-E87F-42FD-9E7C-1871D1C425D5}">
          <x14:formula1>
            <xm:f>'Data Regularization'!$C$2:$C$29</xm:f>
          </x14:formula1>
          <xm:sqref>F2:F4</xm:sqref>
        </x14:dataValidation>
        <x14:dataValidation type="list" allowBlank="1" showInputMessage="1" showErrorMessage="1" xr:uid="{D924B862-7EED-49E3-91CA-125F2F39AACC}">
          <x14:formula1>
            <xm:f>'Data Regularization'!$A$2:$A$1048576</xm:f>
          </x14:formula1>
          <xm:sqref>D2:D4</xm:sqref>
        </x14:dataValidation>
        <x14:dataValidation type="list" allowBlank="1" showInputMessage="1" showErrorMessage="1" xr:uid="{D5700E08-7D70-4B04-9445-5FE2FAE12E09}">
          <x14:formula1>
            <xm:f>'Data Regularization'!$B$2:$B$1048576</xm:f>
          </x14:formula1>
          <xm:sqref>E2:E4</xm:sqref>
        </x14:dataValidation>
        <x14:dataValidation type="list" allowBlank="1" showInputMessage="1" showErrorMessage="1" xr:uid="{B3675187-6CFD-4272-836A-80817FCC5535}">
          <x14:formula1>
            <xm:f>'Data Regularization'!$I$2:$I$5</xm:f>
          </x14:formula1>
          <xm:sqref>V2:V4</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0DAE2-5AD4-4793-8997-417099697DFB}">
  <dimension ref="A1:AI147"/>
  <sheetViews>
    <sheetView workbookViewId="0"/>
  </sheetViews>
  <sheetFormatPr defaultRowHeight="14.5"/>
  <sheetData>
    <row r="1" spans="1:35" s="1" customFormat="1" ht="29">
      <c r="A1" s="1" t="s">
        <v>0</v>
      </c>
      <c r="B1" s="1" t="s">
        <v>5</v>
      </c>
      <c r="C1" s="3" t="s">
        <v>6</v>
      </c>
      <c r="D1" s="1" t="s">
        <v>2181</v>
      </c>
      <c r="E1" s="1" t="s">
        <v>2182</v>
      </c>
      <c r="F1" s="1" t="s">
        <v>2183</v>
      </c>
      <c r="G1" s="1" t="s">
        <v>3</v>
      </c>
      <c r="H1" s="1" t="s">
        <v>2184</v>
      </c>
      <c r="I1" s="1" t="s">
        <v>2185</v>
      </c>
      <c r="J1" s="1" t="s">
        <v>2186</v>
      </c>
      <c r="K1" s="1" t="s">
        <v>2187</v>
      </c>
      <c r="L1" s="1" t="s">
        <v>2146</v>
      </c>
      <c r="M1" s="1" t="s">
        <v>2188</v>
      </c>
      <c r="N1" s="9" t="s">
        <v>2189</v>
      </c>
      <c r="O1" s="1" t="s">
        <v>2147</v>
      </c>
      <c r="P1" s="1" t="s">
        <v>2190</v>
      </c>
      <c r="Q1" s="1" t="s">
        <v>2191</v>
      </c>
      <c r="R1" s="1" t="s">
        <v>2385</v>
      </c>
      <c r="S1" s="1" t="s">
        <v>2386</v>
      </c>
      <c r="T1" s="1" t="s">
        <v>2194</v>
      </c>
      <c r="U1" s="1" t="s">
        <v>2195</v>
      </c>
      <c r="V1" s="1" t="s">
        <v>2196</v>
      </c>
      <c r="W1" s="1" t="s">
        <v>2148</v>
      </c>
      <c r="X1" s="1" t="s">
        <v>2149</v>
      </c>
      <c r="Y1" s="1" t="s">
        <v>2150</v>
      </c>
      <c r="Z1" s="1" t="s">
        <v>2192</v>
      </c>
      <c r="AA1" s="1" t="s">
        <v>2197</v>
      </c>
      <c r="AB1" s="1" t="s">
        <v>2151</v>
      </c>
      <c r="AC1" s="1" t="s">
        <v>2193</v>
      </c>
      <c r="AD1" s="1" t="s">
        <v>2215</v>
      </c>
      <c r="AE1" s="1" t="s">
        <v>2207</v>
      </c>
      <c r="AF1" s="1" t="s">
        <v>2214</v>
      </c>
    </row>
    <row r="2" spans="1:35" ht="43.5">
      <c r="A2" t="s">
        <v>37</v>
      </c>
      <c r="B2" s="4" t="s">
        <v>814</v>
      </c>
      <c r="C2" s="4" t="s">
        <v>813</v>
      </c>
      <c r="G2" s="10" t="s">
        <v>2201</v>
      </c>
      <c r="H2" s="10"/>
      <c r="I2" s="10"/>
      <c r="J2" s="10"/>
      <c r="K2" s="10"/>
      <c r="L2" s="10"/>
      <c r="M2" s="10"/>
      <c r="N2" s="11"/>
      <c r="O2" s="10"/>
      <c r="P2" s="10"/>
      <c r="Q2" s="10"/>
      <c r="R2" s="10" t="s">
        <v>2387</v>
      </c>
      <c r="S2" s="10" t="s">
        <v>2387</v>
      </c>
      <c r="T2" s="10"/>
      <c r="U2" s="10"/>
      <c r="V2" s="10"/>
      <c r="W2" s="10"/>
      <c r="X2" s="10"/>
      <c r="Y2" s="10"/>
      <c r="Z2" s="10"/>
      <c r="AA2" s="10"/>
      <c r="AB2" s="10"/>
      <c r="AC2" s="10"/>
      <c r="AD2" t="s">
        <v>19</v>
      </c>
      <c r="AE2" t="s">
        <v>20</v>
      </c>
      <c r="AF2" t="s">
        <v>20</v>
      </c>
      <c r="AG2">
        <v>1</v>
      </c>
    </row>
    <row r="3" spans="1:35" ht="43.5">
      <c r="A3" t="s">
        <v>42</v>
      </c>
      <c r="B3" s="4" t="s">
        <v>815</v>
      </c>
      <c r="C3" s="4" t="s">
        <v>816</v>
      </c>
      <c r="G3" s="10" t="s">
        <v>25</v>
      </c>
      <c r="H3" s="10"/>
      <c r="I3" s="10">
        <v>1</v>
      </c>
      <c r="J3" s="10">
        <v>4</v>
      </c>
      <c r="K3" s="10" t="s">
        <v>2219</v>
      </c>
      <c r="L3" s="10" t="s">
        <v>2159</v>
      </c>
      <c r="M3" s="10"/>
      <c r="N3" s="11"/>
      <c r="O3" s="10"/>
      <c r="P3" s="10">
        <v>295</v>
      </c>
      <c r="Q3" s="10"/>
      <c r="R3" s="10" t="s">
        <v>2387</v>
      </c>
      <c r="S3" s="10" t="s">
        <v>2387</v>
      </c>
      <c r="T3" s="10"/>
      <c r="U3" s="10"/>
      <c r="V3" s="10"/>
      <c r="W3" s="10"/>
      <c r="X3" s="10"/>
      <c r="Y3" s="10"/>
      <c r="Z3" s="10"/>
      <c r="AA3" s="10"/>
      <c r="AB3" s="10"/>
      <c r="AC3" s="10"/>
      <c r="AD3" t="s">
        <v>19</v>
      </c>
      <c r="AE3" t="s">
        <v>20</v>
      </c>
      <c r="AF3" t="s">
        <v>20</v>
      </c>
      <c r="AG3">
        <v>1</v>
      </c>
      <c r="AH3" t="s">
        <v>2213</v>
      </c>
      <c r="AI3">
        <v>0.3888888888888889</v>
      </c>
    </row>
    <row r="4" spans="1:35" ht="58">
      <c r="A4" t="s">
        <v>56</v>
      </c>
      <c r="B4" s="4" t="s">
        <v>821</v>
      </c>
      <c r="C4" s="4" t="s">
        <v>822</v>
      </c>
      <c r="F4" t="s">
        <v>19</v>
      </c>
      <c r="G4" s="10" t="s">
        <v>24</v>
      </c>
      <c r="H4" s="10"/>
      <c r="I4" s="10">
        <v>1</v>
      </c>
      <c r="J4" s="10">
        <v>8</v>
      </c>
      <c r="K4" s="10" t="s">
        <v>2173</v>
      </c>
      <c r="L4" s="10" t="s">
        <v>2153</v>
      </c>
      <c r="M4" s="10" t="s">
        <v>2231</v>
      </c>
      <c r="N4" s="11" t="s">
        <v>2232</v>
      </c>
      <c r="O4" s="10"/>
      <c r="P4" s="10">
        <v>0</v>
      </c>
      <c r="Q4" s="10"/>
      <c r="R4" s="10" t="s">
        <v>2387</v>
      </c>
      <c r="S4" s="10" t="s">
        <v>2387</v>
      </c>
      <c r="T4" s="10"/>
      <c r="U4" s="10"/>
      <c r="V4" s="10"/>
      <c r="W4" s="10"/>
      <c r="X4" s="10"/>
      <c r="Y4" s="10"/>
      <c r="Z4" s="10"/>
      <c r="AA4" s="10"/>
      <c r="AB4" s="10"/>
      <c r="AC4" s="10"/>
      <c r="AD4" t="s">
        <v>20</v>
      </c>
      <c r="AE4" t="s">
        <v>20</v>
      </c>
      <c r="AF4" t="s">
        <v>20</v>
      </c>
      <c r="AG4">
        <v>0</v>
      </c>
    </row>
    <row r="5" spans="1:35" ht="29">
      <c r="A5" t="s">
        <v>57</v>
      </c>
      <c r="B5" s="4" t="s">
        <v>823</v>
      </c>
      <c r="C5" s="4" t="s">
        <v>2224</v>
      </c>
      <c r="G5" s="10" t="s">
        <v>2201</v>
      </c>
      <c r="H5" s="10"/>
      <c r="I5" s="10"/>
      <c r="J5" s="10"/>
      <c r="K5" s="10"/>
      <c r="L5" s="10"/>
      <c r="M5" s="10"/>
      <c r="N5" s="11"/>
      <c r="O5" s="10"/>
      <c r="P5" s="10"/>
      <c r="Q5" s="10"/>
      <c r="R5" s="10" t="s">
        <v>2387</v>
      </c>
      <c r="S5" s="10" t="s">
        <v>2387</v>
      </c>
      <c r="T5" s="10"/>
      <c r="U5" s="10"/>
      <c r="V5" s="10"/>
      <c r="W5" s="10"/>
      <c r="X5" s="10"/>
      <c r="Y5" s="10"/>
      <c r="Z5" s="10"/>
      <c r="AA5" s="10"/>
      <c r="AB5" s="10"/>
      <c r="AC5" s="10"/>
      <c r="AD5" t="s">
        <v>19</v>
      </c>
      <c r="AE5" t="s">
        <v>20</v>
      </c>
      <c r="AF5" t="s">
        <v>20</v>
      </c>
      <c r="AG5">
        <v>1</v>
      </c>
    </row>
    <row r="6" spans="1:35" ht="29">
      <c r="A6" t="s">
        <v>73</v>
      </c>
      <c r="B6" s="4" t="s">
        <v>834</v>
      </c>
      <c r="C6" s="4" t="s">
        <v>833</v>
      </c>
      <c r="G6" s="10" t="s">
        <v>24</v>
      </c>
      <c r="H6" s="10"/>
      <c r="I6" s="10">
        <v>1</v>
      </c>
      <c r="J6" s="10">
        <v>3</v>
      </c>
      <c r="K6" s="10" t="s">
        <v>2158</v>
      </c>
      <c r="L6" s="10" t="s">
        <v>2159</v>
      </c>
      <c r="M6" s="10"/>
      <c r="N6" s="11"/>
      <c r="O6" s="10"/>
      <c r="P6" s="10">
        <v>2475</v>
      </c>
      <c r="Q6" s="10"/>
      <c r="R6" s="10" t="s">
        <v>2387</v>
      </c>
      <c r="S6" s="10" t="s">
        <v>2387</v>
      </c>
      <c r="T6" s="10"/>
      <c r="U6" s="10"/>
      <c r="V6" s="10"/>
      <c r="W6" s="10"/>
      <c r="X6" s="10"/>
      <c r="Y6" s="10"/>
      <c r="Z6" s="10"/>
      <c r="AA6" s="10"/>
      <c r="AB6" s="10"/>
      <c r="AC6" s="10"/>
      <c r="AD6" t="s">
        <v>19</v>
      </c>
      <c r="AE6" t="s">
        <v>20</v>
      </c>
      <c r="AF6" t="s">
        <v>20</v>
      </c>
      <c r="AG6">
        <v>1</v>
      </c>
    </row>
    <row r="7" spans="1:35" ht="43.5">
      <c r="A7" t="s">
        <v>73</v>
      </c>
      <c r="B7" s="4" t="s">
        <v>836</v>
      </c>
      <c r="C7" s="4" t="s">
        <v>835</v>
      </c>
      <c r="G7" s="10" t="s">
        <v>2199</v>
      </c>
      <c r="H7" s="10"/>
      <c r="I7" s="10"/>
      <c r="J7" s="10"/>
      <c r="K7" s="10"/>
      <c r="L7" s="10"/>
      <c r="M7" s="10"/>
      <c r="N7" s="11"/>
      <c r="O7" s="10"/>
      <c r="P7" s="10"/>
      <c r="Q7" s="10">
        <v>118</v>
      </c>
      <c r="R7" s="10">
        <v>11</v>
      </c>
      <c r="S7" s="10">
        <v>129</v>
      </c>
      <c r="T7" s="10"/>
      <c r="U7" s="10"/>
      <c r="V7" s="10"/>
      <c r="W7" s="10"/>
      <c r="X7" s="10"/>
      <c r="Y7" s="10"/>
      <c r="Z7" s="10"/>
      <c r="AA7" s="10"/>
      <c r="AB7" s="10"/>
      <c r="AC7" s="10"/>
      <c r="AD7" t="s">
        <v>19</v>
      </c>
      <c r="AE7" t="s">
        <v>20</v>
      </c>
      <c r="AF7" t="s">
        <v>20</v>
      </c>
      <c r="AG7">
        <v>1</v>
      </c>
    </row>
    <row r="8" spans="1:35" ht="29">
      <c r="A8" t="s">
        <v>75</v>
      </c>
      <c r="B8" s="4" t="s">
        <v>76</v>
      </c>
      <c r="C8" s="4" t="s">
        <v>77</v>
      </c>
      <c r="G8" s="10" t="s">
        <v>2201</v>
      </c>
      <c r="H8" s="10"/>
      <c r="I8" s="10"/>
      <c r="J8" s="10"/>
      <c r="K8" s="10"/>
      <c r="L8" s="10"/>
      <c r="M8" s="10"/>
      <c r="N8" s="11"/>
      <c r="O8" s="10"/>
      <c r="P8" s="10"/>
      <c r="Q8" s="10"/>
      <c r="R8" s="10" t="s">
        <v>2387</v>
      </c>
      <c r="S8" s="10" t="s">
        <v>2387</v>
      </c>
      <c r="T8" s="10"/>
      <c r="U8" s="10"/>
      <c r="V8" s="10"/>
      <c r="W8" s="10"/>
      <c r="X8" s="10"/>
      <c r="Y8" s="10"/>
      <c r="Z8" s="10"/>
      <c r="AA8" s="10"/>
      <c r="AB8" s="10"/>
      <c r="AC8" s="10"/>
      <c r="AD8" t="s">
        <v>20</v>
      </c>
      <c r="AE8" t="s">
        <v>20</v>
      </c>
      <c r="AF8" t="s">
        <v>20</v>
      </c>
      <c r="AG8">
        <v>0</v>
      </c>
    </row>
    <row r="9" spans="1:35" ht="29">
      <c r="A9" t="s">
        <v>75</v>
      </c>
      <c r="B9" s="4" t="s">
        <v>78</v>
      </c>
      <c r="C9" s="4" t="s">
        <v>79</v>
      </c>
      <c r="G9" s="10" t="s">
        <v>2201</v>
      </c>
      <c r="H9" s="10"/>
      <c r="I9" s="10"/>
      <c r="J9" s="10"/>
      <c r="K9" s="10"/>
      <c r="L9" s="10"/>
      <c r="M9" s="10"/>
      <c r="N9" s="11"/>
      <c r="O9" s="10"/>
      <c r="P9" s="10"/>
      <c r="Q9" s="10"/>
      <c r="R9" s="10" t="s">
        <v>2387</v>
      </c>
      <c r="S9" s="10" t="s">
        <v>2387</v>
      </c>
      <c r="T9" s="10"/>
      <c r="U9" s="10"/>
      <c r="V9" s="10"/>
      <c r="W9" s="10"/>
      <c r="X9" s="10"/>
      <c r="Y9" s="10"/>
      <c r="Z9" s="10"/>
      <c r="AA9" s="10"/>
      <c r="AB9" s="10"/>
      <c r="AC9" s="10"/>
      <c r="AD9" t="s">
        <v>20</v>
      </c>
      <c r="AE9" t="s">
        <v>20</v>
      </c>
      <c r="AF9" t="s">
        <v>20</v>
      </c>
      <c r="AG9">
        <v>0</v>
      </c>
    </row>
    <row r="10" spans="1:35" ht="29">
      <c r="A10" t="s">
        <v>92</v>
      </c>
      <c r="B10" s="4" t="s">
        <v>845</v>
      </c>
      <c r="C10" s="4" t="s">
        <v>846</v>
      </c>
      <c r="G10" s="10" t="s">
        <v>2201</v>
      </c>
      <c r="H10" s="10"/>
      <c r="I10" s="10"/>
      <c r="J10" s="10"/>
      <c r="K10" s="10"/>
      <c r="L10" s="10"/>
      <c r="M10" s="10"/>
      <c r="N10" s="11"/>
      <c r="O10" s="10"/>
      <c r="P10" s="10"/>
      <c r="Q10" s="10"/>
      <c r="R10" s="10" t="s">
        <v>2387</v>
      </c>
      <c r="S10" s="10" t="s">
        <v>2387</v>
      </c>
      <c r="T10" s="10"/>
      <c r="U10" s="10"/>
      <c r="V10" s="10"/>
      <c r="W10" s="10"/>
      <c r="X10" s="10"/>
      <c r="Y10" s="10"/>
      <c r="Z10" s="10"/>
      <c r="AA10" s="10"/>
      <c r="AB10" s="10"/>
      <c r="AC10" s="10"/>
      <c r="AD10" t="s">
        <v>19</v>
      </c>
      <c r="AE10" t="s">
        <v>20</v>
      </c>
      <c r="AF10" t="s">
        <v>20</v>
      </c>
      <c r="AG10">
        <v>1</v>
      </c>
    </row>
    <row r="11" spans="1:35" ht="29">
      <c r="A11" t="s">
        <v>111</v>
      </c>
      <c r="B11" s="4" t="s">
        <v>871</v>
      </c>
      <c r="C11" s="4" t="s">
        <v>872</v>
      </c>
      <c r="G11" s="10" t="s">
        <v>2199</v>
      </c>
      <c r="H11" s="10"/>
      <c r="I11" s="10"/>
      <c r="J11" s="10"/>
      <c r="K11" s="10"/>
      <c r="L11" s="10"/>
      <c r="M11" s="10"/>
      <c r="N11" s="11"/>
      <c r="O11" s="10"/>
      <c r="P11" s="10"/>
      <c r="Q11" s="10">
        <v>-456</v>
      </c>
      <c r="R11" s="10">
        <v>768</v>
      </c>
      <c r="S11" s="10">
        <v>312</v>
      </c>
      <c r="T11" s="10"/>
      <c r="U11" s="10"/>
      <c r="V11" s="10"/>
      <c r="W11" s="10"/>
      <c r="X11" s="10"/>
      <c r="Y11" s="10"/>
      <c r="Z11" s="10"/>
      <c r="AA11" s="10"/>
      <c r="AB11" s="10"/>
      <c r="AC11" s="10"/>
      <c r="AD11" t="s">
        <v>19</v>
      </c>
      <c r="AE11" t="s">
        <v>20</v>
      </c>
      <c r="AF11" t="s">
        <v>19</v>
      </c>
      <c r="AG11">
        <v>1</v>
      </c>
    </row>
    <row r="12" spans="1:35" ht="58">
      <c r="A12" t="s">
        <v>111</v>
      </c>
      <c r="B12" s="4" t="s">
        <v>874</v>
      </c>
      <c r="C12" s="4" t="s">
        <v>873</v>
      </c>
      <c r="F12" t="s">
        <v>19</v>
      </c>
      <c r="G12" s="10" t="s">
        <v>25</v>
      </c>
      <c r="H12" s="10"/>
      <c r="I12" s="10">
        <v>2</v>
      </c>
      <c r="J12" s="10">
        <v>11</v>
      </c>
      <c r="K12" s="10"/>
      <c r="L12" s="10" t="s">
        <v>2153</v>
      </c>
      <c r="M12" s="10" t="s">
        <v>2277</v>
      </c>
      <c r="N12" s="11" t="s">
        <v>2338</v>
      </c>
      <c r="O12" s="10"/>
      <c r="P12" s="10">
        <v>2</v>
      </c>
      <c r="Q12" s="10"/>
      <c r="R12" s="10" t="s">
        <v>2387</v>
      </c>
      <c r="S12" s="10" t="s">
        <v>2387</v>
      </c>
      <c r="T12" s="10"/>
      <c r="U12" s="10"/>
      <c r="V12" s="10"/>
      <c r="W12" s="10"/>
      <c r="X12" s="10"/>
      <c r="Y12" s="10"/>
      <c r="Z12" s="10"/>
      <c r="AA12" s="10"/>
      <c r="AB12" s="10"/>
      <c r="AC12" s="10"/>
      <c r="AD12" t="s">
        <v>20</v>
      </c>
      <c r="AE12" t="s">
        <v>20</v>
      </c>
      <c r="AF12" t="s">
        <v>20</v>
      </c>
      <c r="AG12">
        <v>0</v>
      </c>
    </row>
    <row r="13" spans="1:35" ht="101.5">
      <c r="A13" t="s">
        <v>114</v>
      </c>
      <c r="B13" s="4" t="s">
        <v>875</v>
      </c>
      <c r="C13" s="4" t="s">
        <v>876</v>
      </c>
      <c r="G13" s="10" t="s">
        <v>24</v>
      </c>
      <c r="H13" s="10"/>
      <c r="I13" s="10">
        <v>1</v>
      </c>
      <c r="J13" s="10">
        <v>2</v>
      </c>
      <c r="K13" s="10" t="s">
        <v>2177</v>
      </c>
      <c r="L13" s="10" t="s">
        <v>2200</v>
      </c>
      <c r="M13" s="10"/>
      <c r="N13" s="11"/>
      <c r="O13" s="10"/>
      <c r="P13" s="10">
        <v>613</v>
      </c>
      <c r="Q13" s="10"/>
      <c r="R13" s="10" t="s">
        <v>2387</v>
      </c>
      <c r="S13" s="10" t="s">
        <v>2387</v>
      </c>
      <c r="T13" s="10"/>
      <c r="U13" s="10"/>
      <c r="V13" s="10"/>
      <c r="W13" s="10"/>
      <c r="X13" s="10"/>
      <c r="Y13" s="10"/>
      <c r="Z13" s="10"/>
      <c r="AA13" s="10"/>
      <c r="AB13" s="10"/>
      <c r="AC13" s="10"/>
      <c r="AD13" t="s">
        <v>19</v>
      </c>
      <c r="AE13" t="s">
        <v>20</v>
      </c>
      <c r="AF13" t="s">
        <v>20</v>
      </c>
      <c r="AG13">
        <v>1</v>
      </c>
    </row>
    <row r="14" spans="1:35" ht="43.5">
      <c r="A14" t="s">
        <v>115</v>
      </c>
      <c r="B14" s="4" t="s">
        <v>880</v>
      </c>
      <c r="C14" s="4" t="s">
        <v>879</v>
      </c>
      <c r="F14" t="s">
        <v>19</v>
      </c>
      <c r="G14" s="10" t="s">
        <v>2199</v>
      </c>
      <c r="H14" s="10"/>
      <c r="I14" s="10"/>
      <c r="J14" s="10"/>
      <c r="K14" s="10"/>
      <c r="L14" s="10"/>
      <c r="M14" s="10"/>
      <c r="N14" s="11"/>
      <c r="O14" s="10"/>
      <c r="P14" s="10"/>
      <c r="Q14" s="10">
        <v>-830</v>
      </c>
      <c r="R14" s="10">
        <v>830</v>
      </c>
      <c r="S14" s="10">
        <v>0</v>
      </c>
      <c r="T14" s="10"/>
      <c r="U14" s="10"/>
      <c r="V14" s="10"/>
      <c r="W14" s="10"/>
      <c r="X14" s="10"/>
      <c r="Y14" s="10"/>
      <c r="Z14" s="10"/>
      <c r="AA14" s="10"/>
      <c r="AB14" s="10"/>
      <c r="AC14" s="10"/>
      <c r="AD14" t="s">
        <v>20</v>
      </c>
      <c r="AE14" t="s">
        <v>20</v>
      </c>
      <c r="AG14">
        <v>0</v>
      </c>
    </row>
    <row r="15" spans="1:35" ht="174">
      <c r="A15" t="s">
        <v>123</v>
      </c>
      <c r="B15" s="4" t="s">
        <v>886</v>
      </c>
      <c r="C15" s="4" t="s">
        <v>885</v>
      </c>
      <c r="G15" s="10" t="s">
        <v>26</v>
      </c>
      <c r="H15" s="10"/>
      <c r="I15" s="10"/>
      <c r="J15" s="10"/>
      <c r="K15" s="10"/>
      <c r="L15" s="10"/>
      <c r="M15" s="10"/>
      <c r="N15" s="11"/>
      <c r="O15" s="10"/>
      <c r="P15" s="10"/>
      <c r="Q15" s="10"/>
      <c r="R15" s="10" t="s">
        <v>2387</v>
      </c>
      <c r="S15" s="10" t="s">
        <v>2387</v>
      </c>
      <c r="T15" s="10"/>
      <c r="U15" s="10"/>
      <c r="V15" s="10"/>
      <c r="W15" s="10"/>
      <c r="X15" s="10"/>
      <c r="Y15" s="10"/>
      <c r="Z15" s="10"/>
      <c r="AA15" s="10"/>
      <c r="AB15" s="10"/>
      <c r="AC15" s="10"/>
      <c r="AD15" t="s">
        <v>19</v>
      </c>
      <c r="AE15" t="s">
        <v>20</v>
      </c>
      <c r="AG15">
        <v>1</v>
      </c>
    </row>
    <row r="16" spans="1:35" ht="58">
      <c r="A16" t="s">
        <v>124</v>
      </c>
      <c r="B16" s="4" t="s">
        <v>2431</v>
      </c>
      <c r="C16" s="4" t="s">
        <v>2432</v>
      </c>
      <c r="G16" s="10" t="s">
        <v>2201</v>
      </c>
      <c r="H16" s="10"/>
      <c r="I16" s="10"/>
      <c r="J16" s="10"/>
      <c r="K16" s="10"/>
      <c r="L16" s="10"/>
      <c r="M16" s="10"/>
      <c r="N16" s="11"/>
      <c r="O16" s="10"/>
      <c r="P16" s="10"/>
      <c r="Q16" s="10"/>
      <c r="R16" s="10" t="s">
        <v>2387</v>
      </c>
      <c r="S16" s="10" t="s">
        <v>2387</v>
      </c>
      <c r="T16" s="10"/>
      <c r="U16" s="10"/>
      <c r="V16" s="10"/>
      <c r="W16" s="10"/>
      <c r="X16" s="10"/>
      <c r="Y16" s="10"/>
      <c r="Z16" s="10"/>
      <c r="AA16" s="10"/>
      <c r="AB16" s="10"/>
      <c r="AC16" s="10"/>
      <c r="AD16" t="s">
        <v>19</v>
      </c>
      <c r="AE16" t="s">
        <v>20</v>
      </c>
      <c r="AG16">
        <v>1</v>
      </c>
    </row>
    <row r="17" spans="1:33" ht="58">
      <c r="A17" t="s">
        <v>143</v>
      </c>
      <c r="B17" s="4" t="s">
        <v>913</v>
      </c>
      <c r="C17" s="4" t="s">
        <v>912</v>
      </c>
      <c r="G17" s="10" t="s">
        <v>2201</v>
      </c>
      <c r="H17" s="10"/>
      <c r="I17" s="10"/>
      <c r="J17" s="10"/>
      <c r="K17" s="10"/>
      <c r="L17" s="10"/>
      <c r="M17" s="10"/>
      <c r="N17" s="11"/>
      <c r="O17" s="10"/>
      <c r="P17" s="10"/>
      <c r="Q17" s="10"/>
      <c r="R17" s="10" t="s">
        <v>2387</v>
      </c>
      <c r="S17" s="10" t="s">
        <v>2387</v>
      </c>
      <c r="T17" s="10"/>
      <c r="U17" s="10"/>
      <c r="V17" s="10"/>
      <c r="W17" s="10"/>
      <c r="X17" s="10"/>
      <c r="Y17" s="10"/>
      <c r="Z17" s="10"/>
      <c r="AA17" s="10"/>
      <c r="AB17" s="10"/>
      <c r="AC17" s="10"/>
      <c r="AD17" t="s">
        <v>19</v>
      </c>
      <c r="AE17" t="s">
        <v>20</v>
      </c>
      <c r="AG17">
        <v>1</v>
      </c>
    </row>
    <row r="18" spans="1:33" ht="43.5">
      <c r="A18" t="s">
        <v>145</v>
      </c>
      <c r="B18" s="4" t="s">
        <v>918</v>
      </c>
      <c r="C18" s="4" t="s">
        <v>919</v>
      </c>
      <c r="F18" t="s">
        <v>19</v>
      </c>
      <c r="G18" s="10" t="s">
        <v>25</v>
      </c>
      <c r="H18" s="10"/>
      <c r="I18" s="10">
        <v>1</v>
      </c>
      <c r="J18" s="10">
        <v>5</v>
      </c>
      <c r="K18" s="10" t="s">
        <v>2152</v>
      </c>
      <c r="L18" s="10" t="s">
        <v>2159</v>
      </c>
      <c r="M18" s="10"/>
      <c r="N18" s="11"/>
      <c r="O18" s="10"/>
      <c r="P18" s="10">
        <v>8</v>
      </c>
      <c r="Q18" s="10"/>
      <c r="R18" s="10" t="s">
        <v>2387</v>
      </c>
      <c r="S18" s="10" t="s">
        <v>2387</v>
      </c>
      <c r="T18" s="10"/>
      <c r="U18" s="10"/>
      <c r="V18" s="10"/>
      <c r="W18" s="10"/>
      <c r="X18" s="10"/>
      <c r="Y18" s="10"/>
      <c r="Z18" s="10"/>
      <c r="AA18" s="10"/>
      <c r="AB18" s="10"/>
      <c r="AC18" s="10"/>
      <c r="AD18" t="s">
        <v>20</v>
      </c>
      <c r="AE18" t="s">
        <v>20</v>
      </c>
      <c r="AG18">
        <v>0</v>
      </c>
    </row>
    <row r="19" spans="1:33" ht="101.5">
      <c r="A19" t="s">
        <v>147</v>
      </c>
      <c r="B19" s="4" t="s">
        <v>920</v>
      </c>
      <c r="C19" s="4" t="s">
        <v>921</v>
      </c>
      <c r="F19" t="s">
        <v>19</v>
      </c>
      <c r="G19" s="10" t="s">
        <v>24</v>
      </c>
      <c r="H19" s="10"/>
      <c r="I19" s="10">
        <v>2</v>
      </c>
      <c r="J19" s="10">
        <v>11</v>
      </c>
      <c r="K19" s="10"/>
      <c r="L19" s="10" t="s">
        <v>2153</v>
      </c>
      <c r="M19" s="10" t="s">
        <v>2244</v>
      </c>
      <c r="N19" s="11" t="s">
        <v>2245</v>
      </c>
      <c r="O19" s="10"/>
      <c r="P19" s="10">
        <v>98</v>
      </c>
      <c r="Q19" s="10"/>
      <c r="R19" s="10" t="s">
        <v>2387</v>
      </c>
      <c r="S19" s="10" t="s">
        <v>2387</v>
      </c>
      <c r="T19" s="10"/>
      <c r="U19" s="10"/>
      <c r="V19" s="10"/>
      <c r="W19" s="10"/>
      <c r="X19" s="10"/>
      <c r="Y19" s="10"/>
      <c r="Z19" s="10"/>
      <c r="AA19" s="10"/>
      <c r="AB19" s="10"/>
      <c r="AC19" s="10"/>
      <c r="AD19" t="s">
        <v>20</v>
      </c>
      <c r="AE19" t="s">
        <v>20</v>
      </c>
      <c r="AG19">
        <v>0</v>
      </c>
    </row>
    <row r="20" spans="1:33" ht="29">
      <c r="A20" t="s">
        <v>149</v>
      </c>
      <c r="B20" s="4" t="s">
        <v>150</v>
      </c>
      <c r="C20" s="4" t="s">
        <v>151</v>
      </c>
      <c r="G20" s="10" t="s">
        <v>2201</v>
      </c>
      <c r="H20" s="10"/>
      <c r="I20" s="10"/>
      <c r="J20" s="10"/>
      <c r="K20" s="10"/>
      <c r="L20" s="10"/>
      <c r="M20" s="10"/>
      <c r="N20" s="11"/>
      <c r="O20" s="10"/>
      <c r="P20" s="10"/>
      <c r="Q20" s="10"/>
      <c r="R20" s="10" t="s">
        <v>2387</v>
      </c>
      <c r="S20" s="10" t="s">
        <v>2387</v>
      </c>
      <c r="T20" s="10"/>
      <c r="U20" s="10"/>
      <c r="V20" s="10"/>
      <c r="W20" s="10"/>
      <c r="X20" s="10"/>
      <c r="Y20" s="10"/>
      <c r="Z20" s="10"/>
      <c r="AA20" s="10"/>
      <c r="AB20" s="10"/>
      <c r="AC20" s="10"/>
      <c r="AD20" t="s">
        <v>19</v>
      </c>
      <c r="AE20" t="s">
        <v>20</v>
      </c>
      <c r="AG20">
        <v>1</v>
      </c>
    </row>
    <row r="21" spans="1:33" ht="43.5">
      <c r="A21" t="s">
        <v>152</v>
      </c>
      <c r="B21" s="4" t="s">
        <v>926</v>
      </c>
      <c r="C21" s="4" t="s">
        <v>927</v>
      </c>
      <c r="G21" s="10" t="s">
        <v>2201</v>
      </c>
      <c r="H21" s="10"/>
      <c r="I21" s="10"/>
      <c r="J21" s="10"/>
      <c r="K21" s="10"/>
      <c r="L21" s="10"/>
      <c r="M21" s="10"/>
      <c r="N21" s="11"/>
      <c r="O21" s="10"/>
      <c r="P21" s="10"/>
      <c r="Q21" s="10"/>
      <c r="R21" s="10" t="s">
        <v>2387</v>
      </c>
      <c r="S21" s="10" t="s">
        <v>2387</v>
      </c>
      <c r="T21" s="10"/>
      <c r="U21" s="10"/>
      <c r="V21" s="10"/>
      <c r="W21" s="10"/>
      <c r="X21" s="10"/>
      <c r="Y21" s="10"/>
      <c r="Z21" s="10"/>
      <c r="AA21" s="10"/>
      <c r="AB21" s="10"/>
      <c r="AC21" s="10"/>
      <c r="AD21" t="s">
        <v>19</v>
      </c>
      <c r="AE21" t="s">
        <v>20</v>
      </c>
      <c r="AG21">
        <v>1</v>
      </c>
    </row>
    <row r="22" spans="1:33" ht="29">
      <c r="A22" t="s">
        <v>159</v>
      </c>
      <c r="B22" s="4" t="s">
        <v>160</v>
      </c>
      <c r="C22" s="4" t="s">
        <v>161</v>
      </c>
      <c r="G22" s="10" t="s">
        <v>2201</v>
      </c>
      <c r="H22" s="10"/>
      <c r="I22" s="10"/>
      <c r="J22" s="10"/>
      <c r="K22" s="10"/>
      <c r="L22" s="10"/>
      <c r="M22" s="10"/>
      <c r="N22" s="11"/>
      <c r="O22" s="10"/>
      <c r="P22" s="10"/>
      <c r="Q22" s="10"/>
      <c r="R22" s="10" t="s">
        <v>2387</v>
      </c>
      <c r="S22" s="10" t="s">
        <v>2387</v>
      </c>
      <c r="T22" s="10"/>
      <c r="U22" s="10"/>
      <c r="V22" s="10"/>
      <c r="W22" s="10"/>
      <c r="X22" s="10"/>
      <c r="Y22" s="10"/>
      <c r="Z22" s="10"/>
      <c r="AA22" s="10"/>
      <c r="AB22" s="10"/>
      <c r="AC22" s="10"/>
      <c r="AD22" t="s">
        <v>20</v>
      </c>
      <c r="AE22" t="s">
        <v>20</v>
      </c>
      <c r="AG22">
        <v>0</v>
      </c>
    </row>
    <row r="23" spans="1:33" ht="29">
      <c r="A23" t="s">
        <v>162</v>
      </c>
      <c r="B23" s="4" t="s">
        <v>936</v>
      </c>
      <c r="C23" s="4" t="s">
        <v>937</v>
      </c>
      <c r="F23" t="s">
        <v>19</v>
      </c>
      <c r="G23" s="10" t="s">
        <v>25</v>
      </c>
      <c r="H23" s="10"/>
      <c r="I23" s="10">
        <v>1</v>
      </c>
      <c r="J23" s="10">
        <v>3</v>
      </c>
      <c r="K23" s="10" t="s">
        <v>2158</v>
      </c>
      <c r="L23" s="10" t="s">
        <v>2159</v>
      </c>
      <c r="M23" s="10"/>
      <c r="N23" s="11"/>
      <c r="O23" s="10"/>
      <c r="P23" s="10">
        <v>2475</v>
      </c>
      <c r="Q23" s="10"/>
      <c r="R23" s="10" t="s">
        <v>2387</v>
      </c>
      <c r="S23" s="10" t="s">
        <v>2387</v>
      </c>
      <c r="T23" s="10"/>
      <c r="U23" s="10"/>
      <c r="V23" s="10"/>
      <c r="W23" s="10"/>
      <c r="X23" s="10"/>
      <c r="Y23" s="10"/>
      <c r="Z23" s="10"/>
      <c r="AA23" s="10"/>
      <c r="AB23" s="10"/>
      <c r="AC23" s="10"/>
      <c r="AD23" t="s">
        <v>20</v>
      </c>
      <c r="AE23" t="s">
        <v>20</v>
      </c>
      <c r="AG23">
        <v>0</v>
      </c>
    </row>
    <row r="24" spans="1:33" ht="72.5">
      <c r="A24" t="s">
        <v>163</v>
      </c>
      <c r="B24" s="4" t="s">
        <v>940</v>
      </c>
      <c r="C24" s="4" t="s">
        <v>941</v>
      </c>
      <c r="F24" t="s">
        <v>19</v>
      </c>
      <c r="G24" s="10" t="s">
        <v>25</v>
      </c>
      <c r="H24" s="10"/>
      <c r="I24" s="10">
        <v>1</v>
      </c>
      <c r="J24" s="10">
        <v>5</v>
      </c>
      <c r="K24" s="10" t="s">
        <v>2152</v>
      </c>
      <c r="L24" s="10" t="s">
        <v>2153</v>
      </c>
      <c r="M24" s="10" t="s">
        <v>2231</v>
      </c>
      <c r="N24" s="11" t="s">
        <v>2230</v>
      </c>
      <c r="O24" s="10"/>
      <c r="P24" s="10">
        <v>266</v>
      </c>
      <c r="Q24" s="10"/>
      <c r="R24" s="10" t="s">
        <v>2387</v>
      </c>
      <c r="S24" s="10" t="s">
        <v>2387</v>
      </c>
      <c r="T24" s="10"/>
      <c r="U24" s="10"/>
      <c r="V24" s="10"/>
      <c r="W24" s="10"/>
      <c r="X24" s="10"/>
      <c r="Y24" s="10"/>
      <c r="Z24" s="10"/>
      <c r="AA24" s="10"/>
      <c r="AB24" s="10"/>
      <c r="AC24" s="10"/>
      <c r="AD24" t="s">
        <v>20</v>
      </c>
      <c r="AE24" t="s">
        <v>20</v>
      </c>
      <c r="AG24">
        <v>0</v>
      </c>
    </row>
    <row r="25" spans="1:33" ht="43.5">
      <c r="A25" t="s">
        <v>178</v>
      </c>
      <c r="B25" s="4" t="s">
        <v>954</v>
      </c>
      <c r="C25" s="4" t="s">
        <v>955</v>
      </c>
      <c r="G25" s="10" t="s">
        <v>2199</v>
      </c>
      <c r="H25" s="10"/>
      <c r="I25" s="10"/>
      <c r="J25" s="10"/>
      <c r="K25" s="10"/>
      <c r="L25" s="10"/>
      <c r="M25" s="10"/>
      <c r="N25" s="11"/>
      <c r="O25" s="10"/>
      <c r="P25" s="10"/>
      <c r="Q25" s="10">
        <v>118</v>
      </c>
      <c r="R25" s="10">
        <v>132</v>
      </c>
      <c r="S25" s="10">
        <v>250</v>
      </c>
      <c r="T25" s="10"/>
      <c r="U25" s="10"/>
      <c r="V25" s="10"/>
      <c r="W25" s="10"/>
      <c r="X25" s="10"/>
      <c r="Y25" s="10"/>
      <c r="Z25" s="10"/>
      <c r="AA25" s="10"/>
      <c r="AB25" s="10"/>
      <c r="AC25" s="10"/>
      <c r="AD25" t="s">
        <v>19</v>
      </c>
      <c r="AE25" t="s">
        <v>20</v>
      </c>
      <c r="AG25">
        <v>1</v>
      </c>
    </row>
    <row r="26" spans="1:33" ht="43.5">
      <c r="A26" t="s">
        <v>186</v>
      </c>
      <c r="B26" s="4" t="s">
        <v>973</v>
      </c>
      <c r="C26" s="4" t="s">
        <v>972</v>
      </c>
      <c r="G26" s="10" t="s">
        <v>24</v>
      </c>
      <c r="H26" s="10"/>
      <c r="I26" s="10">
        <v>1</v>
      </c>
      <c r="J26" s="10">
        <v>2</v>
      </c>
      <c r="K26" s="10" t="s">
        <v>2164</v>
      </c>
      <c r="L26" s="10" t="s">
        <v>2200</v>
      </c>
      <c r="M26" s="10"/>
      <c r="N26" s="11"/>
      <c r="O26" s="10"/>
      <c r="P26" s="10">
        <v>129</v>
      </c>
      <c r="Q26" s="10"/>
      <c r="R26" s="10" t="s">
        <v>2387</v>
      </c>
      <c r="S26" s="10" t="s">
        <v>2387</v>
      </c>
      <c r="T26" s="10"/>
      <c r="U26" s="10"/>
      <c r="V26" s="10"/>
      <c r="W26" s="10"/>
      <c r="X26" s="10"/>
      <c r="Y26" s="10"/>
      <c r="Z26" s="10"/>
      <c r="AA26" s="10"/>
      <c r="AB26" s="10"/>
      <c r="AC26" s="10"/>
      <c r="AD26" t="s">
        <v>19</v>
      </c>
      <c r="AE26" t="s">
        <v>20</v>
      </c>
      <c r="AG26">
        <v>1</v>
      </c>
    </row>
    <row r="27" spans="1:33" ht="43.5">
      <c r="A27" t="s">
        <v>195</v>
      </c>
      <c r="B27" s="4" t="s">
        <v>980</v>
      </c>
      <c r="C27" s="4" t="s">
        <v>979</v>
      </c>
      <c r="G27" s="10" t="s">
        <v>24</v>
      </c>
      <c r="H27" s="10"/>
      <c r="I27" s="10">
        <v>1</v>
      </c>
      <c r="J27" s="10">
        <v>2</v>
      </c>
      <c r="K27" s="10" t="s">
        <v>2177</v>
      </c>
      <c r="L27" s="10" t="s">
        <v>2200</v>
      </c>
      <c r="M27" s="10"/>
      <c r="N27" s="11"/>
      <c r="O27" s="10"/>
      <c r="P27" s="10">
        <v>613</v>
      </c>
      <c r="Q27" s="10"/>
      <c r="R27" s="10" t="s">
        <v>2387</v>
      </c>
      <c r="S27" s="10" t="s">
        <v>2387</v>
      </c>
      <c r="T27" s="10"/>
      <c r="U27" s="10"/>
      <c r="V27" s="10"/>
      <c r="W27" s="10"/>
      <c r="X27" s="10"/>
      <c r="Y27" s="10"/>
      <c r="Z27" s="10"/>
      <c r="AA27" s="10"/>
      <c r="AB27" s="10"/>
      <c r="AC27" s="10"/>
      <c r="AD27" t="s">
        <v>19</v>
      </c>
      <c r="AE27" t="s">
        <v>20</v>
      </c>
      <c r="AG27">
        <v>1</v>
      </c>
    </row>
    <row r="28" spans="1:33" ht="29">
      <c r="A28" t="s">
        <v>200</v>
      </c>
      <c r="B28" s="4" t="s">
        <v>983</v>
      </c>
      <c r="C28" s="4" t="s">
        <v>984</v>
      </c>
      <c r="F28" t="s">
        <v>19</v>
      </c>
      <c r="G28" s="10" t="s">
        <v>25</v>
      </c>
      <c r="H28" s="10"/>
      <c r="I28" s="10">
        <v>1</v>
      </c>
      <c r="J28" s="10">
        <v>3</v>
      </c>
      <c r="K28" s="10" t="s">
        <v>2175</v>
      </c>
      <c r="L28" s="10" t="s">
        <v>2159</v>
      </c>
      <c r="M28" s="10"/>
      <c r="N28" s="11"/>
      <c r="O28" s="10"/>
      <c r="P28" s="10">
        <v>743</v>
      </c>
      <c r="Q28" s="10"/>
      <c r="R28" s="10" t="s">
        <v>2387</v>
      </c>
      <c r="S28" s="10" t="s">
        <v>2387</v>
      </c>
      <c r="T28" s="10"/>
      <c r="U28" s="10"/>
      <c r="V28" s="10"/>
      <c r="W28" s="10"/>
      <c r="X28" s="10"/>
      <c r="Y28" s="10"/>
      <c r="Z28" s="10"/>
      <c r="AA28" s="10"/>
      <c r="AB28" s="10"/>
      <c r="AC28" s="10"/>
      <c r="AD28" t="s">
        <v>20</v>
      </c>
      <c r="AE28" t="s">
        <v>20</v>
      </c>
      <c r="AG28">
        <v>0</v>
      </c>
    </row>
    <row r="29" spans="1:33" ht="29">
      <c r="A29" t="s">
        <v>209</v>
      </c>
      <c r="B29" s="4" t="s">
        <v>991</v>
      </c>
      <c r="C29" s="4" t="s">
        <v>992</v>
      </c>
      <c r="G29" s="10" t="s">
        <v>25</v>
      </c>
      <c r="H29" s="10"/>
      <c r="I29" s="10">
        <v>1</v>
      </c>
      <c r="J29" s="10">
        <v>2</v>
      </c>
      <c r="K29" s="10" t="s">
        <v>2158</v>
      </c>
      <c r="L29" s="10" t="s">
        <v>2200</v>
      </c>
      <c r="M29" s="10"/>
      <c r="N29" s="11"/>
      <c r="O29" s="10"/>
      <c r="P29" s="10">
        <v>2475</v>
      </c>
      <c r="Q29" s="10"/>
      <c r="R29" s="10" t="s">
        <v>2387</v>
      </c>
      <c r="S29" s="10" t="s">
        <v>2387</v>
      </c>
      <c r="T29" s="10"/>
      <c r="U29" s="10"/>
      <c r="V29" s="10"/>
      <c r="W29" s="10"/>
      <c r="X29" s="10"/>
      <c r="Y29" s="10"/>
      <c r="Z29" s="10"/>
      <c r="AA29" s="10"/>
      <c r="AB29" s="10"/>
      <c r="AC29" s="10"/>
      <c r="AD29" t="s">
        <v>20</v>
      </c>
      <c r="AE29" t="s">
        <v>20</v>
      </c>
      <c r="AG29">
        <v>0</v>
      </c>
    </row>
    <row r="30" spans="1:33" ht="29">
      <c r="A30" t="s">
        <v>224</v>
      </c>
      <c r="B30" s="4" t="s">
        <v>225</v>
      </c>
      <c r="C30" s="4" t="s">
        <v>226</v>
      </c>
      <c r="G30" s="10" t="s">
        <v>2199</v>
      </c>
      <c r="H30" s="10"/>
      <c r="I30" s="10"/>
      <c r="J30" s="10"/>
      <c r="K30" s="10"/>
      <c r="L30" s="10"/>
      <c r="M30" s="10"/>
      <c r="N30" s="11"/>
      <c r="O30" s="10"/>
      <c r="P30" s="10"/>
      <c r="Q30" s="10">
        <v>2</v>
      </c>
      <c r="R30" s="10">
        <v>0</v>
      </c>
      <c r="S30" s="10">
        <v>2</v>
      </c>
      <c r="T30" s="10"/>
      <c r="U30" s="10"/>
      <c r="V30" s="10"/>
      <c r="W30" s="10"/>
      <c r="X30" s="10"/>
      <c r="Y30" s="10"/>
      <c r="Z30" s="10"/>
      <c r="AA30" s="10"/>
      <c r="AB30" s="10"/>
      <c r="AC30" s="10"/>
      <c r="AD30" t="s">
        <v>20</v>
      </c>
      <c r="AE30" t="s">
        <v>20</v>
      </c>
      <c r="AG30">
        <v>0</v>
      </c>
    </row>
    <row r="31" spans="1:33" ht="159.5">
      <c r="A31" t="s">
        <v>230</v>
      </c>
      <c r="B31" s="4" t="s">
        <v>995</v>
      </c>
      <c r="C31" s="4" t="s">
        <v>996</v>
      </c>
      <c r="G31" s="10" t="s">
        <v>26</v>
      </c>
      <c r="H31" s="10"/>
      <c r="I31" s="10"/>
      <c r="J31" s="10"/>
      <c r="K31" s="10"/>
      <c r="L31" s="10"/>
      <c r="M31" s="10"/>
      <c r="N31" s="11"/>
      <c r="O31" s="10"/>
      <c r="P31" s="10"/>
      <c r="Q31" s="10"/>
      <c r="R31" s="10" t="s">
        <v>2387</v>
      </c>
      <c r="S31" s="10" t="s">
        <v>2387</v>
      </c>
      <c r="T31" s="10"/>
      <c r="U31" s="10"/>
      <c r="V31" s="10"/>
      <c r="W31" s="10"/>
      <c r="X31" s="10"/>
      <c r="Y31" s="10"/>
      <c r="Z31" s="10"/>
      <c r="AA31" s="10"/>
      <c r="AB31" s="10"/>
      <c r="AC31" s="10"/>
      <c r="AD31" t="s">
        <v>19</v>
      </c>
      <c r="AE31" t="s">
        <v>20</v>
      </c>
      <c r="AG31">
        <v>1</v>
      </c>
    </row>
    <row r="32" spans="1:33" ht="43.5">
      <c r="A32" t="s">
        <v>238</v>
      </c>
      <c r="B32" s="4" t="s">
        <v>1022</v>
      </c>
      <c r="C32" s="4" t="s">
        <v>1023</v>
      </c>
      <c r="G32" s="10" t="s">
        <v>2201</v>
      </c>
      <c r="H32" s="10"/>
      <c r="I32" s="10"/>
      <c r="J32" s="10"/>
      <c r="K32" s="10"/>
      <c r="L32" s="10"/>
      <c r="M32" s="10"/>
      <c r="N32" s="11"/>
      <c r="O32" s="10"/>
      <c r="P32" s="10"/>
      <c r="Q32" s="10"/>
      <c r="R32" s="10" t="s">
        <v>2387</v>
      </c>
      <c r="S32" s="10" t="s">
        <v>2387</v>
      </c>
      <c r="T32" s="10"/>
      <c r="U32" s="10"/>
      <c r="V32" s="10"/>
      <c r="W32" s="10"/>
      <c r="X32" s="10"/>
      <c r="Y32" s="10"/>
      <c r="Z32" s="10"/>
      <c r="AA32" s="10"/>
      <c r="AB32" s="10"/>
      <c r="AC32" s="10"/>
      <c r="AD32" t="s">
        <v>19</v>
      </c>
      <c r="AE32" t="s">
        <v>20</v>
      </c>
      <c r="AG32">
        <v>1</v>
      </c>
    </row>
    <row r="33" spans="1:33" ht="29">
      <c r="A33" t="s">
        <v>243</v>
      </c>
      <c r="B33" s="4" t="s">
        <v>1028</v>
      </c>
      <c r="C33" s="4" t="s">
        <v>1029</v>
      </c>
      <c r="G33" s="10" t="s">
        <v>25</v>
      </c>
      <c r="H33" s="10"/>
      <c r="I33" s="10">
        <v>1</v>
      </c>
      <c r="J33" s="10">
        <v>2</v>
      </c>
      <c r="K33" s="10" t="s">
        <v>2177</v>
      </c>
      <c r="L33" s="10" t="s">
        <v>2200</v>
      </c>
      <c r="M33" s="10"/>
      <c r="N33" s="11"/>
      <c r="O33" s="10"/>
      <c r="P33" s="10">
        <v>613</v>
      </c>
      <c r="Q33" s="10"/>
      <c r="R33" s="10" t="s">
        <v>2387</v>
      </c>
      <c r="S33" s="10" t="s">
        <v>2387</v>
      </c>
      <c r="T33" s="10"/>
      <c r="U33" s="10"/>
      <c r="V33" s="10"/>
      <c r="W33" s="10"/>
      <c r="X33" s="10"/>
      <c r="Y33" s="10"/>
      <c r="Z33" s="10"/>
      <c r="AA33" s="10"/>
      <c r="AB33" s="10"/>
      <c r="AC33" s="10"/>
      <c r="AD33" t="s">
        <v>20</v>
      </c>
      <c r="AE33" t="s">
        <v>20</v>
      </c>
      <c r="AG33">
        <v>0</v>
      </c>
    </row>
    <row r="34" spans="1:33" ht="87">
      <c r="A34" t="s">
        <v>252</v>
      </c>
      <c r="B34" s="4" t="s">
        <v>1054</v>
      </c>
      <c r="C34" s="4" t="s">
        <v>1055</v>
      </c>
      <c r="G34" s="10" t="s">
        <v>26</v>
      </c>
      <c r="H34" s="10"/>
      <c r="I34" s="10"/>
      <c r="J34" s="10"/>
      <c r="K34" s="10"/>
      <c r="L34" s="10"/>
      <c r="M34" s="10"/>
      <c r="N34" s="11"/>
      <c r="O34" s="10"/>
      <c r="P34" s="10"/>
      <c r="Q34" s="10"/>
      <c r="R34" s="10" t="s">
        <v>2387</v>
      </c>
      <c r="S34" s="10" t="s">
        <v>2387</v>
      </c>
      <c r="T34" s="10"/>
      <c r="U34" s="10"/>
      <c r="V34" s="10"/>
      <c r="W34" s="10"/>
      <c r="X34" s="10"/>
      <c r="Y34" s="10"/>
      <c r="Z34" s="10"/>
      <c r="AA34" s="10"/>
      <c r="AB34" s="10"/>
      <c r="AC34" s="10"/>
      <c r="AD34" t="s">
        <v>19</v>
      </c>
      <c r="AE34" t="s">
        <v>20</v>
      </c>
      <c r="AG34">
        <v>1</v>
      </c>
    </row>
    <row r="35" spans="1:33" ht="101.5">
      <c r="A35" t="s">
        <v>271</v>
      </c>
      <c r="B35" s="4" t="s">
        <v>1107</v>
      </c>
      <c r="C35" s="4" t="s">
        <v>1110</v>
      </c>
      <c r="G35" s="10" t="s">
        <v>24</v>
      </c>
      <c r="H35" s="10"/>
      <c r="I35" s="10">
        <v>2</v>
      </c>
      <c r="J35" s="10">
        <v>7</v>
      </c>
      <c r="K35" s="10"/>
      <c r="L35" s="10" t="s">
        <v>2159</v>
      </c>
      <c r="M35" s="10"/>
      <c r="N35" s="11"/>
      <c r="O35" s="10"/>
      <c r="P35" s="10">
        <v>132</v>
      </c>
      <c r="Q35" s="10"/>
      <c r="R35" s="10" t="s">
        <v>2387</v>
      </c>
      <c r="S35" s="10" t="s">
        <v>2387</v>
      </c>
      <c r="T35" s="10"/>
      <c r="U35" s="10"/>
      <c r="V35" s="10"/>
      <c r="W35" s="10"/>
      <c r="X35" s="10"/>
      <c r="Y35" s="10"/>
      <c r="Z35" s="10"/>
      <c r="AA35" s="10"/>
      <c r="AB35" s="10"/>
      <c r="AC35" s="10"/>
      <c r="AD35" t="s">
        <v>19</v>
      </c>
      <c r="AE35" t="s">
        <v>20</v>
      </c>
      <c r="AG35">
        <v>1</v>
      </c>
    </row>
    <row r="36" spans="1:33" ht="58">
      <c r="A36" t="s">
        <v>271</v>
      </c>
      <c r="B36" s="4" t="s">
        <v>1114</v>
      </c>
      <c r="C36" s="4" t="s">
        <v>1113</v>
      </c>
      <c r="G36" s="10" t="s">
        <v>24</v>
      </c>
      <c r="H36" s="10"/>
      <c r="I36" s="10">
        <v>1</v>
      </c>
      <c r="J36" s="10">
        <v>7</v>
      </c>
      <c r="K36" s="10" t="s">
        <v>2173</v>
      </c>
      <c r="L36" s="10" t="s">
        <v>2153</v>
      </c>
      <c r="M36" s="10" t="s">
        <v>2262</v>
      </c>
      <c r="N36" s="11" t="s">
        <v>2230</v>
      </c>
      <c r="O36" s="10"/>
      <c r="P36" s="10">
        <v>47</v>
      </c>
      <c r="Q36" s="10"/>
      <c r="R36" s="10" t="s">
        <v>2387</v>
      </c>
      <c r="S36" s="10" t="s">
        <v>2387</v>
      </c>
      <c r="T36" s="10"/>
      <c r="U36" s="10"/>
      <c r="V36" s="10"/>
      <c r="W36" s="10"/>
      <c r="X36" s="10"/>
      <c r="Y36" s="10"/>
      <c r="Z36" s="10"/>
      <c r="AA36" s="10"/>
      <c r="AB36" s="10"/>
      <c r="AC36" s="10" t="s">
        <v>19</v>
      </c>
      <c r="AD36" t="s">
        <v>19</v>
      </c>
      <c r="AE36" t="s">
        <v>20</v>
      </c>
      <c r="AG36">
        <v>1</v>
      </c>
    </row>
    <row r="37" spans="1:33" ht="43.5">
      <c r="A37" t="s">
        <v>279</v>
      </c>
      <c r="B37" s="4" t="s">
        <v>1119</v>
      </c>
      <c r="C37" s="4" t="s">
        <v>1120</v>
      </c>
      <c r="G37" s="10" t="s">
        <v>2201</v>
      </c>
      <c r="H37" s="10"/>
      <c r="I37" s="10"/>
      <c r="J37" s="10"/>
      <c r="K37" s="10"/>
      <c r="L37" s="10"/>
      <c r="M37" s="10"/>
      <c r="N37" s="11"/>
      <c r="O37" s="10"/>
      <c r="P37" s="10"/>
      <c r="Q37" s="10"/>
      <c r="R37" s="10" t="s">
        <v>2387</v>
      </c>
      <c r="S37" s="10" t="s">
        <v>2387</v>
      </c>
      <c r="T37" s="10"/>
      <c r="U37" s="10"/>
      <c r="V37" s="10"/>
      <c r="W37" s="10"/>
      <c r="X37" s="10"/>
      <c r="Y37" s="10"/>
      <c r="Z37" s="10"/>
      <c r="AA37" s="10"/>
      <c r="AB37" s="10"/>
      <c r="AC37" s="10"/>
      <c r="AD37" t="s">
        <v>19</v>
      </c>
      <c r="AE37" t="s">
        <v>20</v>
      </c>
      <c r="AG37">
        <v>1</v>
      </c>
    </row>
    <row r="38" spans="1:33" ht="43.5">
      <c r="A38" t="s">
        <v>285</v>
      </c>
      <c r="B38" s="4" t="s">
        <v>1127</v>
      </c>
      <c r="C38" s="4" t="s">
        <v>1128</v>
      </c>
      <c r="F38" t="s">
        <v>19</v>
      </c>
      <c r="G38" s="10" t="s">
        <v>25</v>
      </c>
      <c r="H38" s="10"/>
      <c r="I38" s="10">
        <v>1</v>
      </c>
      <c r="J38" s="10">
        <v>2</v>
      </c>
      <c r="K38" s="10" t="s">
        <v>2168</v>
      </c>
      <c r="L38" s="10" t="s">
        <v>2200</v>
      </c>
      <c r="M38" s="10"/>
      <c r="N38" s="11"/>
      <c r="O38" s="10" t="s">
        <v>2154</v>
      </c>
      <c r="P38" s="10">
        <v>129</v>
      </c>
      <c r="Q38" s="10"/>
      <c r="R38" s="10" t="s">
        <v>2387</v>
      </c>
      <c r="S38" s="10" t="s">
        <v>2387</v>
      </c>
      <c r="T38" s="10"/>
      <c r="U38" s="10"/>
      <c r="V38" s="10"/>
      <c r="W38" s="10"/>
      <c r="X38" s="10"/>
      <c r="Y38" s="10"/>
      <c r="Z38" s="10"/>
      <c r="AA38" s="10"/>
      <c r="AB38" s="10"/>
      <c r="AC38" s="10"/>
      <c r="AD38" t="s">
        <v>19</v>
      </c>
      <c r="AE38" t="s">
        <v>20</v>
      </c>
      <c r="AG38">
        <v>1</v>
      </c>
    </row>
    <row r="39" spans="1:33" ht="43.5">
      <c r="A39" t="s">
        <v>292</v>
      </c>
      <c r="B39" s="4" t="s">
        <v>1133</v>
      </c>
      <c r="C39" s="4" t="s">
        <v>1134</v>
      </c>
      <c r="G39" s="10" t="s">
        <v>2201</v>
      </c>
      <c r="H39" s="10"/>
      <c r="I39" s="10"/>
      <c r="J39" s="10"/>
      <c r="K39" s="10"/>
      <c r="L39" s="10"/>
      <c r="M39" s="10"/>
      <c r="N39" s="11"/>
      <c r="O39" s="10"/>
      <c r="P39" s="10"/>
      <c r="Q39" s="10"/>
      <c r="R39" s="10" t="s">
        <v>2387</v>
      </c>
      <c r="S39" s="10" t="s">
        <v>2387</v>
      </c>
      <c r="T39" s="10"/>
      <c r="U39" s="10"/>
      <c r="V39" s="10"/>
      <c r="W39" s="10"/>
      <c r="X39" s="10"/>
      <c r="Y39" s="10"/>
      <c r="Z39" s="10"/>
      <c r="AA39" s="10"/>
      <c r="AB39" s="10"/>
      <c r="AC39" s="10"/>
      <c r="AD39" t="s">
        <v>19</v>
      </c>
      <c r="AE39" t="s">
        <v>20</v>
      </c>
      <c r="AG39">
        <v>1</v>
      </c>
    </row>
    <row r="40" spans="1:33" ht="29">
      <c r="A40" t="s">
        <v>292</v>
      </c>
      <c r="B40" s="4" t="s">
        <v>1135</v>
      </c>
      <c r="C40" s="4" t="s">
        <v>1136</v>
      </c>
      <c r="G40" s="10" t="s">
        <v>2199</v>
      </c>
      <c r="H40" s="10"/>
      <c r="I40" s="10"/>
      <c r="J40" s="10"/>
      <c r="K40" s="10"/>
      <c r="L40" s="10"/>
      <c r="M40" s="10"/>
      <c r="N40" s="11"/>
      <c r="O40" s="10"/>
      <c r="P40" s="10"/>
      <c r="Q40" s="10">
        <v>-431</v>
      </c>
      <c r="R40" s="10">
        <v>743</v>
      </c>
      <c r="S40" s="10">
        <v>312</v>
      </c>
      <c r="T40" s="10"/>
      <c r="U40" s="10"/>
      <c r="V40" s="10"/>
      <c r="W40" s="10"/>
      <c r="X40" s="10"/>
      <c r="Y40" s="10"/>
      <c r="Z40" s="10"/>
      <c r="AA40" s="10"/>
      <c r="AB40" s="10"/>
      <c r="AC40" s="10"/>
      <c r="AD40" t="s">
        <v>19</v>
      </c>
      <c r="AE40" t="s">
        <v>20</v>
      </c>
      <c r="AG40">
        <v>1</v>
      </c>
    </row>
    <row r="41" spans="1:33" ht="29">
      <c r="A41" t="s">
        <v>292</v>
      </c>
      <c r="B41" s="4" t="s">
        <v>1137</v>
      </c>
      <c r="C41" s="4" t="s">
        <v>1138</v>
      </c>
      <c r="G41" s="10" t="s">
        <v>2201</v>
      </c>
      <c r="H41" s="10"/>
      <c r="I41" s="10"/>
      <c r="J41" s="10"/>
      <c r="K41" s="10"/>
      <c r="L41" s="10"/>
      <c r="M41" s="10"/>
      <c r="N41" s="11"/>
      <c r="O41" s="10"/>
      <c r="P41" s="10"/>
      <c r="Q41" s="10"/>
      <c r="R41" s="10" t="s">
        <v>2387</v>
      </c>
      <c r="S41" s="10" t="s">
        <v>2387</v>
      </c>
      <c r="T41" s="10"/>
      <c r="U41" s="10"/>
      <c r="V41" s="10"/>
      <c r="W41" s="10"/>
      <c r="X41" s="10"/>
      <c r="Y41" s="10"/>
      <c r="Z41" s="10"/>
      <c r="AA41" s="10"/>
      <c r="AB41" s="10"/>
      <c r="AC41" s="10"/>
      <c r="AD41" t="s">
        <v>19</v>
      </c>
      <c r="AE41" t="s">
        <v>20</v>
      </c>
      <c r="AG41">
        <v>1</v>
      </c>
    </row>
    <row r="42" spans="1:33" ht="29">
      <c r="A42" t="s">
        <v>295</v>
      </c>
      <c r="B42" s="4" t="s">
        <v>296</v>
      </c>
      <c r="C42" s="4" t="s">
        <v>297</v>
      </c>
      <c r="F42" t="s">
        <v>22</v>
      </c>
      <c r="G42" s="10" t="s">
        <v>2201</v>
      </c>
      <c r="H42" s="10"/>
      <c r="I42" s="10"/>
      <c r="J42" s="10"/>
      <c r="K42" s="10"/>
      <c r="L42" s="10"/>
      <c r="M42" s="10"/>
      <c r="N42" s="11"/>
      <c r="O42" s="10"/>
      <c r="P42" s="10"/>
      <c r="Q42" s="10"/>
      <c r="R42" s="10" t="s">
        <v>2387</v>
      </c>
      <c r="S42" s="10" t="s">
        <v>2387</v>
      </c>
      <c r="T42" s="10"/>
      <c r="U42" s="10"/>
      <c r="V42" s="10"/>
      <c r="W42" s="10"/>
      <c r="X42" s="10"/>
      <c r="Y42" s="10"/>
      <c r="Z42" s="10"/>
      <c r="AA42" s="10"/>
      <c r="AB42" s="10"/>
      <c r="AC42" s="10"/>
      <c r="AD42" t="s">
        <v>20</v>
      </c>
      <c r="AE42" t="s">
        <v>20</v>
      </c>
      <c r="AG42">
        <v>0</v>
      </c>
    </row>
    <row r="43" spans="1:33" ht="29">
      <c r="A43" t="s">
        <v>300</v>
      </c>
      <c r="B43" s="4" t="s">
        <v>309</v>
      </c>
      <c r="C43" s="4" t="s">
        <v>310</v>
      </c>
      <c r="G43" s="10" t="s">
        <v>2201</v>
      </c>
      <c r="H43" s="10"/>
      <c r="I43" s="10"/>
      <c r="J43" s="10"/>
      <c r="K43" s="10"/>
      <c r="L43" s="10"/>
      <c r="M43" s="10"/>
      <c r="N43" s="11"/>
      <c r="O43" s="10"/>
      <c r="P43" s="10"/>
      <c r="Q43" s="10"/>
      <c r="R43" s="10" t="s">
        <v>2387</v>
      </c>
      <c r="S43" s="10" t="s">
        <v>2387</v>
      </c>
      <c r="T43" s="10"/>
      <c r="U43" s="10"/>
      <c r="V43" s="10"/>
      <c r="W43" s="10"/>
      <c r="X43" s="10"/>
      <c r="Y43" s="10"/>
      <c r="Z43" s="10"/>
      <c r="AA43" s="10"/>
      <c r="AB43" s="10"/>
      <c r="AC43" s="10"/>
      <c r="AD43" t="s">
        <v>19</v>
      </c>
      <c r="AE43" t="s">
        <v>20</v>
      </c>
      <c r="AG43">
        <v>1</v>
      </c>
    </row>
    <row r="44" spans="1:33" ht="29">
      <c r="A44" t="s">
        <v>312</v>
      </c>
      <c r="B44" s="4" t="s">
        <v>313</v>
      </c>
      <c r="C44" s="4" t="s">
        <v>314</v>
      </c>
      <c r="F44" t="s">
        <v>19</v>
      </c>
      <c r="G44" s="10" t="s">
        <v>2201</v>
      </c>
      <c r="H44" s="10"/>
      <c r="I44" s="10"/>
      <c r="J44" s="10"/>
      <c r="K44" s="10"/>
      <c r="L44" s="10"/>
      <c r="M44" s="10"/>
      <c r="N44" s="11"/>
      <c r="O44" s="10"/>
      <c r="P44" s="10"/>
      <c r="Q44" s="10"/>
      <c r="R44" s="10" t="s">
        <v>2387</v>
      </c>
      <c r="S44" s="10" t="s">
        <v>2387</v>
      </c>
      <c r="T44" s="10"/>
      <c r="U44" s="10"/>
      <c r="V44" s="10"/>
      <c r="W44" s="10"/>
      <c r="X44" s="10"/>
      <c r="Y44" s="10"/>
      <c r="Z44" s="10"/>
      <c r="AA44" s="10"/>
      <c r="AB44" s="10"/>
      <c r="AC44" s="10"/>
      <c r="AD44" t="s">
        <v>19</v>
      </c>
      <c r="AE44" t="s">
        <v>20</v>
      </c>
      <c r="AG44">
        <v>1</v>
      </c>
    </row>
    <row r="45" spans="1:33" ht="72.5">
      <c r="A45" t="s">
        <v>316</v>
      </c>
      <c r="B45" s="4" t="s">
        <v>1157</v>
      </c>
      <c r="C45" s="4" t="s">
        <v>1156</v>
      </c>
      <c r="G45" s="10" t="s">
        <v>25</v>
      </c>
      <c r="H45" s="10"/>
      <c r="I45" s="10">
        <v>2</v>
      </c>
      <c r="J45" s="10">
        <v>4</v>
      </c>
      <c r="K45" s="10"/>
      <c r="L45" s="10" t="s">
        <v>2159</v>
      </c>
      <c r="M45" s="10"/>
      <c r="N45" s="11"/>
      <c r="O45" s="10"/>
      <c r="P45" s="10">
        <v>124</v>
      </c>
      <c r="Q45" s="10"/>
      <c r="R45" s="10" t="s">
        <v>2387</v>
      </c>
      <c r="S45" s="10" t="s">
        <v>2387</v>
      </c>
      <c r="T45" s="10"/>
      <c r="U45" s="10"/>
      <c r="V45" s="10"/>
      <c r="W45" s="10"/>
      <c r="X45" s="10"/>
      <c r="Y45" s="10"/>
      <c r="Z45" s="10"/>
      <c r="AA45" s="10"/>
      <c r="AB45" s="10"/>
      <c r="AC45" s="10"/>
      <c r="AD45" t="s">
        <v>19</v>
      </c>
      <c r="AE45" t="s">
        <v>20</v>
      </c>
      <c r="AG45">
        <v>1</v>
      </c>
    </row>
    <row r="46" spans="1:33" ht="29">
      <c r="A46" t="s">
        <v>318</v>
      </c>
      <c r="B46" s="4" t="s">
        <v>1160</v>
      </c>
      <c r="C46" s="4" t="s">
        <v>1161</v>
      </c>
      <c r="F46" t="s">
        <v>19</v>
      </c>
      <c r="G46" s="10" t="s">
        <v>2199</v>
      </c>
      <c r="H46" s="10"/>
      <c r="I46" s="10"/>
      <c r="J46" s="10"/>
      <c r="K46" s="10"/>
      <c r="L46" s="10"/>
      <c r="M46" s="10"/>
      <c r="N46" s="11"/>
      <c r="O46" s="10"/>
      <c r="P46" s="10"/>
      <c r="Q46" s="10">
        <v>2</v>
      </c>
      <c r="R46" s="10">
        <v>1</v>
      </c>
      <c r="S46" s="10">
        <v>3</v>
      </c>
      <c r="T46" s="10"/>
      <c r="U46" s="10"/>
      <c r="V46" s="10"/>
      <c r="W46" s="10"/>
      <c r="X46" s="10"/>
      <c r="Y46" s="10"/>
      <c r="Z46" s="10"/>
      <c r="AA46" s="10"/>
      <c r="AB46" s="10"/>
      <c r="AC46" s="10"/>
      <c r="AD46" t="s">
        <v>19</v>
      </c>
      <c r="AE46" t="s">
        <v>20</v>
      </c>
      <c r="AG46">
        <v>1</v>
      </c>
    </row>
    <row r="47" spans="1:33" ht="72.5">
      <c r="A47" t="s">
        <v>336</v>
      </c>
      <c r="B47" s="4" t="s">
        <v>1183</v>
      </c>
      <c r="C47" s="4" t="s">
        <v>1182</v>
      </c>
      <c r="G47" s="10" t="s">
        <v>2199</v>
      </c>
      <c r="H47" s="10"/>
      <c r="I47" s="10"/>
      <c r="J47" s="10"/>
      <c r="K47" s="10"/>
      <c r="L47" s="10"/>
      <c r="M47" s="10"/>
      <c r="N47" s="11"/>
      <c r="O47" s="10"/>
      <c r="P47" s="10"/>
      <c r="Q47" s="10">
        <v>-1530</v>
      </c>
      <c r="R47" s="10">
        <v>1701</v>
      </c>
      <c r="S47" s="10">
        <v>171</v>
      </c>
      <c r="T47" s="10"/>
      <c r="U47" s="10"/>
      <c r="V47" s="10"/>
      <c r="W47" s="10"/>
      <c r="X47" s="10"/>
      <c r="Y47" s="10"/>
      <c r="Z47" s="10"/>
      <c r="AA47" s="10"/>
      <c r="AB47" s="10"/>
      <c r="AC47" s="10"/>
      <c r="AD47" t="s">
        <v>19</v>
      </c>
      <c r="AE47" t="s">
        <v>20</v>
      </c>
      <c r="AG47">
        <v>1</v>
      </c>
    </row>
    <row r="48" spans="1:33" ht="58">
      <c r="A48" t="s">
        <v>339</v>
      </c>
      <c r="B48" s="4" t="s">
        <v>1189</v>
      </c>
      <c r="C48" s="4" t="s">
        <v>1188</v>
      </c>
      <c r="G48" s="10" t="s">
        <v>2201</v>
      </c>
      <c r="H48" s="10"/>
      <c r="I48" s="10"/>
      <c r="J48" s="10"/>
      <c r="K48" s="10"/>
      <c r="L48" s="10"/>
      <c r="M48" s="10"/>
      <c r="N48" s="11"/>
      <c r="O48" s="10"/>
      <c r="P48" s="10"/>
      <c r="Q48" s="10"/>
      <c r="R48" s="10" t="s">
        <v>2387</v>
      </c>
      <c r="S48" s="10" t="s">
        <v>2387</v>
      </c>
      <c r="T48" s="10"/>
      <c r="U48" s="10"/>
      <c r="V48" s="10"/>
      <c r="W48" s="10"/>
      <c r="X48" s="10"/>
      <c r="Y48" s="10"/>
      <c r="Z48" s="10"/>
      <c r="AA48" s="10"/>
      <c r="AB48" s="10"/>
      <c r="AC48" s="10"/>
      <c r="AD48" t="s">
        <v>19</v>
      </c>
      <c r="AE48" t="s">
        <v>20</v>
      </c>
      <c r="AG48">
        <v>1</v>
      </c>
    </row>
    <row r="49" spans="1:33" ht="43.5">
      <c r="A49" t="s">
        <v>343</v>
      </c>
      <c r="B49" s="4" t="s">
        <v>1199</v>
      </c>
      <c r="C49" s="4" t="s">
        <v>1198</v>
      </c>
      <c r="G49" s="10" t="s">
        <v>2201</v>
      </c>
      <c r="H49" s="10"/>
      <c r="I49" s="10"/>
      <c r="J49" s="10"/>
      <c r="K49" s="10"/>
      <c r="L49" s="10"/>
      <c r="M49" s="10"/>
      <c r="N49" s="11"/>
      <c r="O49" s="10"/>
      <c r="P49" s="10"/>
      <c r="Q49" s="10"/>
      <c r="R49" s="10" t="s">
        <v>2387</v>
      </c>
      <c r="S49" s="10" t="s">
        <v>2387</v>
      </c>
      <c r="T49" s="10"/>
      <c r="U49" s="10"/>
      <c r="V49" s="10"/>
      <c r="W49" s="10"/>
      <c r="X49" s="10"/>
      <c r="Y49" s="10"/>
      <c r="Z49" s="10"/>
      <c r="AA49" s="10"/>
      <c r="AB49" s="10"/>
      <c r="AC49" s="10"/>
      <c r="AD49" t="s">
        <v>19</v>
      </c>
      <c r="AE49" t="s">
        <v>20</v>
      </c>
      <c r="AG49">
        <v>1</v>
      </c>
    </row>
    <row r="50" spans="1:33" ht="29">
      <c r="A50" t="s">
        <v>350</v>
      </c>
      <c r="B50" s="4" t="s">
        <v>1208</v>
      </c>
      <c r="C50" s="4" t="s">
        <v>1207</v>
      </c>
      <c r="G50" s="10" t="s">
        <v>25</v>
      </c>
      <c r="H50" s="10"/>
      <c r="I50" s="10">
        <v>1</v>
      </c>
      <c r="J50" s="10">
        <v>3</v>
      </c>
      <c r="K50" s="10" t="s">
        <v>2158</v>
      </c>
      <c r="L50" s="10" t="s">
        <v>2159</v>
      </c>
      <c r="M50" s="10"/>
      <c r="N50" s="11"/>
      <c r="O50" s="10"/>
      <c r="P50" s="10">
        <v>2475</v>
      </c>
      <c r="Q50" s="10"/>
      <c r="R50" s="10" t="s">
        <v>2387</v>
      </c>
      <c r="S50" s="10" t="s">
        <v>2387</v>
      </c>
      <c r="T50" s="10"/>
      <c r="U50" s="10"/>
      <c r="V50" s="10"/>
      <c r="W50" s="10"/>
      <c r="X50" s="10"/>
      <c r="Y50" s="10"/>
      <c r="Z50" s="10"/>
      <c r="AA50" s="10"/>
      <c r="AB50" s="10"/>
      <c r="AC50" s="10"/>
      <c r="AD50" t="s">
        <v>19</v>
      </c>
      <c r="AE50" t="s">
        <v>20</v>
      </c>
      <c r="AG50">
        <v>1</v>
      </c>
    </row>
    <row r="51" spans="1:33" ht="29">
      <c r="A51" t="s">
        <v>356</v>
      </c>
      <c r="B51" s="4" t="s">
        <v>1213</v>
      </c>
      <c r="C51" s="4" t="s">
        <v>1214</v>
      </c>
      <c r="G51" s="10" t="s">
        <v>25</v>
      </c>
      <c r="H51" s="10"/>
      <c r="I51" s="10">
        <v>1</v>
      </c>
      <c r="J51" s="10">
        <v>1</v>
      </c>
      <c r="K51" s="10" t="s">
        <v>2158</v>
      </c>
      <c r="L51" s="10" t="s">
        <v>2200</v>
      </c>
      <c r="M51" s="10"/>
      <c r="N51" s="11"/>
      <c r="O51" s="10"/>
      <c r="P51" s="10">
        <v>2475</v>
      </c>
      <c r="Q51" s="10"/>
      <c r="R51" s="10" t="s">
        <v>2387</v>
      </c>
      <c r="S51" s="10" t="s">
        <v>2387</v>
      </c>
      <c r="T51" s="10"/>
      <c r="U51" s="10"/>
      <c r="V51" s="10"/>
      <c r="W51" s="10"/>
      <c r="X51" s="10"/>
      <c r="Y51" s="10"/>
      <c r="Z51" s="10"/>
      <c r="AA51" s="10"/>
      <c r="AB51" s="10"/>
      <c r="AC51" s="10"/>
      <c r="AD51" t="s">
        <v>19</v>
      </c>
      <c r="AE51" t="s">
        <v>20</v>
      </c>
      <c r="AG51">
        <v>1</v>
      </c>
    </row>
    <row r="52" spans="1:33" ht="43.5">
      <c r="A52" t="s">
        <v>359</v>
      </c>
      <c r="B52" s="4" t="s">
        <v>1227</v>
      </c>
      <c r="C52" s="4" t="s">
        <v>361</v>
      </c>
      <c r="G52" s="10" t="s">
        <v>2199</v>
      </c>
      <c r="H52" s="10"/>
      <c r="I52" s="10"/>
      <c r="J52" s="10"/>
      <c r="K52" s="10"/>
      <c r="L52" s="10"/>
      <c r="M52" s="10"/>
      <c r="N52" s="11"/>
      <c r="O52" s="10"/>
      <c r="P52" s="10"/>
      <c r="Q52" s="10">
        <v>-1</v>
      </c>
      <c r="R52" s="10">
        <v>2</v>
      </c>
      <c r="S52" s="10">
        <v>1</v>
      </c>
      <c r="T52" s="10"/>
      <c r="U52" s="10"/>
      <c r="V52" s="10"/>
      <c r="W52" s="10"/>
      <c r="X52" s="10"/>
      <c r="Y52" s="10"/>
      <c r="Z52" s="10"/>
      <c r="AA52" s="10"/>
      <c r="AB52" s="10"/>
      <c r="AC52" s="10"/>
      <c r="AD52" t="s">
        <v>19</v>
      </c>
      <c r="AE52" t="s">
        <v>20</v>
      </c>
      <c r="AG52">
        <v>1</v>
      </c>
    </row>
    <row r="53" spans="1:33" ht="29">
      <c r="A53" t="s">
        <v>364</v>
      </c>
      <c r="B53" s="4" t="s">
        <v>1232</v>
      </c>
      <c r="C53" s="4" t="s">
        <v>1231</v>
      </c>
      <c r="G53" s="10" t="s">
        <v>2199</v>
      </c>
      <c r="H53" s="10"/>
      <c r="I53" s="10"/>
      <c r="J53" s="10"/>
      <c r="K53" s="10"/>
      <c r="L53" s="10"/>
      <c r="M53" s="10"/>
      <c r="N53" s="11"/>
      <c r="O53" s="10"/>
      <c r="P53" s="10"/>
      <c r="Q53" s="10">
        <v>-2195</v>
      </c>
      <c r="R53" s="10">
        <v>2475</v>
      </c>
      <c r="S53" s="10">
        <v>280</v>
      </c>
      <c r="T53" s="10"/>
      <c r="U53" s="10"/>
      <c r="V53" s="10"/>
      <c r="W53" s="10"/>
      <c r="X53" s="10"/>
      <c r="Y53" s="10"/>
      <c r="Z53" s="10"/>
      <c r="AA53" s="10"/>
      <c r="AB53" s="10"/>
      <c r="AC53" s="10"/>
      <c r="AD53" t="s">
        <v>19</v>
      </c>
      <c r="AE53" t="s">
        <v>20</v>
      </c>
      <c r="AG53">
        <v>1</v>
      </c>
    </row>
    <row r="54" spans="1:33" ht="43.5">
      <c r="A54" t="s">
        <v>364</v>
      </c>
      <c r="B54" s="4" t="s">
        <v>1233</v>
      </c>
      <c r="C54" s="4" t="s">
        <v>1234</v>
      </c>
      <c r="F54" t="s">
        <v>19</v>
      </c>
      <c r="G54" s="10" t="s">
        <v>24</v>
      </c>
      <c r="H54" s="10"/>
      <c r="I54" s="10">
        <v>1</v>
      </c>
      <c r="J54" s="10">
        <v>5</v>
      </c>
      <c r="K54" s="10" t="s">
        <v>2175</v>
      </c>
      <c r="L54" s="10" t="s">
        <v>2159</v>
      </c>
      <c r="M54" s="10"/>
      <c r="N54" s="11"/>
      <c r="O54" s="10"/>
      <c r="P54" s="10">
        <v>830</v>
      </c>
      <c r="Q54" s="10"/>
      <c r="R54" s="10" t="s">
        <v>2387</v>
      </c>
      <c r="S54" s="10" t="s">
        <v>2387</v>
      </c>
      <c r="T54" s="10"/>
      <c r="U54" s="10"/>
      <c r="V54" s="10"/>
      <c r="W54" s="10"/>
      <c r="X54" s="10"/>
      <c r="Y54" s="10"/>
      <c r="Z54" s="10"/>
      <c r="AA54" s="10"/>
      <c r="AB54" s="10"/>
      <c r="AC54" s="10"/>
      <c r="AD54" t="s">
        <v>20</v>
      </c>
      <c r="AE54" t="s">
        <v>20</v>
      </c>
      <c r="AG54">
        <v>0</v>
      </c>
    </row>
    <row r="55" spans="1:33">
      <c r="A55" t="s">
        <v>375</v>
      </c>
      <c r="B55" s="4" t="s">
        <v>376</v>
      </c>
      <c r="C55" s="4" t="s">
        <v>377</v>
      </c>
      <c r="G55" s="10" t="s">
        <v>2199</v>
      </c>
      <c r="H55" s="10"/>
      <c r="I55" s="10"/>
      <c r="J55" s="10"/>
      <c r="K55" s="10"/>
      <c r="L55" s="10"/>
      <c r="M55" s="10"/>
      <c r="N55" s="11"/>
      <c r="O55" s="10"/>
      <c r="P55" s="10"/>
      <c r="Q55" s="10">
        <v>8</v>
      </c>
      <c r="R55" s="10">
        <v>2</v>
      </c>
      <c r="S55" s="10">
        <v>10</v>
      </c>
      <c r="T55" s="10"/>
      <c r="U55" s="10"/>
      <c r="V55" s="10"/>
      <c r="W55" s="10"/>
      <c r="X55" s="10"/>
      <c r="Y55" s="10"/>
      <c r="Z55" s="10"/>
      <c r="AA55" s="10"/>
      <c r="AB55" s="10"/>
      <c r="AC55" s="10"/>
      <c r="AD55" t="s">
        <v>19</v>
      </c>
      <c r="AE55" t="s">
        <v>20</v>
      </c>
      <c r="AG55">
        <v>1</v>
      </c>
    </row>
    <row r="56" spans="1:33" ht="29">
      <c r="A56" t="s">
        <v>378</v>
      </c>
      <c r="B56" s="4" t="s">
        <v>1250</v>
      </c>
      <c r="C56" s="4" t="s">
        <v>1251</v>
      </c>
      <c r="G56" s="10" t="s">
        <v>24</v>
      </c>
      <c r="H56" s="10"/>
      <c r="I56" s="10">
        <v>1</v>
      </c>
      <c r="J56" s="10">
        <v>2</v>
      </c>
      <c r="K56" s="10" t="s">
        <v>2177</v>
      </c>
      <c r="L56" s="10" t="s">
        <v>2200</v>
      </c>
      <c r="M56" s="10"/>
      <c r="N56" s="11"/>
      <c r="O56" s="10"/>
      <c r="P56" s="10">
        <v>613</v>
      </c>
      <c r="Q56" s="10"/>
      <c r="R56" s="10" t="s">
        <v>2387</v>
      </c>
      <c r="S56" s="10" t="s">
        <v>2387</v>
      </c>
      <c r="T56" s="10"/>
      <c r="U56" s="10"/>
      <c r="V56" s="10"/>
      <c r="W56" s="10"/>
      <c r="X56" s="10"/>
      <c r="Y56" s="10"/>
      <c r="Z56" s="10"/>
      <c r="AA56" s="10"/>
      <c r="AB56" s="10"/>
      <c r="AC56" s="10"/>
      <c r="AD56" t="s">
        <v>19</v>
      </c>
      <c r="AE56" t="s">
        <v>20</v>
      </c>
      <c r="AG56">
        <v>1</v>
      </c>
    </row>
    <row r="57" spans="1:33" ht="87">
      <c r="A57" t="s">
        <v>381</v>
      </c>
      <c r="B57" s="4" t="s">
        <v>1268</v>
      </c>
      <c r="C57" s="4" t="s">
        <v>1265</v>
      </c>
      <c r="G57" s="10" t="s">
        <v>25</v>
      </c>
      <c r="H57" s="10"/>
      <c r="I57" s="10">
        <v>2</v>
      </c>
      <c r="J57" s="10">
        <v>6</v>
      </c>
      <c r="K57" s="10"/>
      <c r="L57" s="10" t="s">
        <v>2159</v>
      </c>
      <c r="M57" s="10"/>
      <c r="N57" s="11"/>
      <c r="O57" s="10"/>
      <c r="P57" s="10">
        <v>2</v>
      </c>
      <c r="Q57" s="10"/>
      <c r="R57" s="10" t="s">
        <v>2387</v>
      </c>
      <c r="S57" s="10" t="s">
        <v>2387</v>
      </c>
      <c r="T57" s="10"/>
      <c r="U57" s="10"/>
      <c r="V57" s="10"/>
      <c r="W57" s="10"/>
      <c r="X57" s="10"/>
      <c r="Y57" s="10"/>
      <c r="Z57" s="10"/>
      <c r="AA57" s="10"/>
      <c r="AB57" s="10"/>
      <c r="AC57" s="10"/>
      <c r="AD57" t="s">
        <v>19</v>
      </c>
      <c r="AE57" t="s">
        <v>20</v>
      </c>
      <c r="AG57">
        <v>1</v>
      </c>
    </row>
    <row r="58" spans="1:33" ht="58">
      <c r="A58" t="s">
        <v>402</v>
      </c>
      <c r="B58" s="4" t="s">
        <v>2272</v>
      </c>
      <c r="C58" s="4" t="s">
        <v>2273</v>
      </c>
      <c r="G58" s="10" t="s">
        <v>24</v>
      </c>
      <c r="H58" s="10"/>
      <c r="I58" s="10">
        <v>1</v>
      </c>
      <c r="J58" s="10">
        <v>3</v>
      </c>
      <c r="K58" s="10" t="s">
        <v>2168</v>
      </c>
      <c r="L58" s="10" t="s">
        <v>2159</v>
      </c>
      <c r="M58" s="10"/>
      <c r="N58" s="11"/>
      <c r="O58" s="10"/>
      <c r="P58" s="10">
        <v>1701</v>
      </c>
      <c r="Q58" s="10"/>
      <c r="R58" s="10" t="s">
        <v>2387</v>
      </c>
      <c r="S58" s="10" t="s">
        <v>2387</v>
      </c>
      <c r="T58" s="10"/>
      <c r="U58" s="10"/>
      <c r="V58" s="10"/>
      <c r="W58" s="10"/>
      <c r="X58" s="10"/>
      <c r="Y58" s="10"/>
      <c r="Z58" s="10"/>
      <c r="AA58" s="10"/>
      <c r="AB58" s="10"/>
      <c r="AC58" s="10"/>
      <c r="AD58" t="s">
        <v>19</v>
      </c>
      <c r="AE58" t="s">
        <v>20</v>
      </c>
      <c r="AG58">
        <v>1</v>
      </c>
    </row>
    <row r="59" spans="1:33" ht="29">
      <c r="A59" t="s">
        <v>405</v>
      </c>
      <c r="B59" s="4" t="s">
        <v>406</v>
      </c>
      <c r="C59" s="4" t="s">
        <v>407</v>
      </c>
      <c r="G59" s="10" t="s">
        <v>2201</v>
      </c>
      <c r="H59" s="10"/>
      <c r="I59" s="10"/>
      <c r="J59" s="10"/>
      <c r="K59" s="10"/>
      <c r="L59" s="10"/>
      <c r="M59" s="10"/>
      <c r="N59" s="11"/>
      <c r="O59" s="10"/>
      <c r="P59" s="10"/>
      <c r="Q59" s="10"/>
      <c r="R59" s="10" t="s">
        <v>2387</v>
      </c>
      <c r="S59" s="10" t="s">
        <v>2387</v>
      </c>
      <c r="T59" s="10"/>
      <c r="U59" s="10"/>
      <c r="V59" s="10"/>
      <c r="W59" s="10"/>
      <c r="X59" s="10"/>
      <c r="Y59" s="10"/>
      <c r="Z59" s="10"/>
      <c r="AA59" s="10"/>
      <c r="AB59" s="10"/>
      <c r="AC59" s="10"/>
      <c r="AD59" t="s">
        <v>19</v>
      </c>
      <c r="AE59" t="s">
        <v>20</v>
      </c>
      <c r="AG59">
        <v>1</v>
      </c>
    </row>
    <row r="60" spans="1:33" ht="43.5">
      <c r="A60" t="s">
        <v>413</v>
      </c>
      <c r="B60" s="4" t="s">
        <v>1309</v>
      </c>
      <c r="C60" s="4" t="s">
        <v>1312</v>
      </c>
      <c r="G60" s="10" t="s">
        <v>24</v>
      </c>
      <c r="H60" s="10"/>
      <c r="I60" s="10">
        <v>1</v>
      </c>
      <c r="J60" s="10">
        <v>3</v>
      </c>
      <c r="K60" s="10" t="s">
        <v>2168</v>
      </c>
      <c r="L60" s="10" t="s">
        <v>2159</v>
      </c>
      <c r="M60" s="10"/>
      <c r="N60" s="11"/>
      <c r="O60" s="10"/>
      <c r="P60" s="10">
        <v>1701</v>
      </c>
      <c r="Q60" s="10"/>
      <c r="R60" s="10" t="s">
        <v>2387</v>
      </c>
      <c r="S60" s="10" t="s">
        <v>2387</v>
      </c>
      <c r="T60" s="10"/>
      <c r="U60" s="10"/>
      <c r="V60" s="10"/>
      <c r="W60" s="10"/>
      <c r="X60" s="10"/>
      <c r="Y60" s="10"/>
      <c r="Z60" s="10"/>
      <c r="AA60" s="10"/>
      <c r="AB60" s="10"/>
      <c r="AC60" s="10"/>
      <c r="AD60" t="s">
        <v>19</v>
      </c>
      <c r="AE60" t="s">
        <v>20</v>
      </c>
      <c r="AG60">
        <v>1</v>
      </c>
    </row>
    <row r="61" spans="1:33" ht="43.5">
      <c r="A61" t="s">
        <v>413</v>
      </c>
      <c r="B61" s="4" t="s">
        <v>1313</v>
      </c>
      <c r="C61" s="4" t="s">
        <v>1314</v>
      </c>
      <c r="G61" s="10" t="s">
        <v>2201</v>
      </c>
      <c r="H61" s="10"/>
      <c r="I61" s="10"/>
      <c r="J61" s="10"/>
      <c r="K61" s="10"/>
      <c r="L61" s="10"/>
      <c r="M61" s="10"/>
      <c r="N61" s="11"/>
      <c r="O61" s="10"/>
      <c r="P61" s="10"/>
      <c r="Q61" s="10"/>
      <c r="R61" s="10" t="s">
        <v>2387</v>
      </c>
      <c r="S61" s="10" t="s">
        <v>2387</v>
      </c>
      <c r="T61" s="10"/>
      <c r="U61" s="10"/>
      <c r="V61" s="10"/>
      <c r="W61" s="10"/>
      <c r="X61" s="10"/>
      <c r="Y61" s="10"/>
      <c r="Z61" s="10"/>
      <c r="AA61" s="10"/>
      <c r="AB61" s="10"/>
      <c r="AC61" s="10"/>
      <c r="AD61" t="s">
        <v>20</v>
      </c>
      <c r="AE61" t="s">
        <v>20</v>
      </c>
      <c r="AG61">
        <v>0</v>
      </c>
    </row>
    <row r="62" spans="1:33" ht="43.5">
      <c r="A62" t="s">
        <v>414</v>
      </c>
      <c r="B62" s="4" t="s">
        <v>1315</v>
      </c>
      <c r="C62" s="4" t="s">
        <v>1316</v>
      </c>
      <c r="G62" s="10" t="s">
        <v>2199</v>
      </c>
      <c r="H62" s="10"/>
      <c r="I62" s="10"/>
      <c r="J62" s="10"/>
      <c r="K62" s="10"/>
      <c r="L62" s="10"/>
      <c r="M62" s="10"/>
      <c r="N62" s="11"/>
      <c r="O62" s="10"/>
      <c r="P62" s="10"/>
      <c r="Q62" s="10">
        <v>-67</v>
      </c>
      <c r="R62" s="10">
        <v>166</v>
      </c>
      <c r="S62" s="10">
        <v>99</v>
      </c>
      <c r="T62" s="10"/>
      <c r="U62" s="10"/>
      <c r="V62" s="10"/>
      <c r="W62" s="10"/>
      <c r="X62" s="10"/>
      <c r="Y62" s="10"/>
      <c r="Z62" s="10"/>
      <c r="AA62" s="10"/>
      <c r="AB62" s="10"/>
      <c r="AC62" s="10"/>
      <c r="AD62" t="s">
        <v>19</v>
      </c>
      <c r="AE62" t="s">
        <v>20</v>
      </c>
      <c r="AG62">
        <v>1</v>
      </c>
    </row>
    <row r="63" spans="1:33" ht="145">
      <c r="A63" t="s">
        <v>415</v>
      </c>
      <c r="B63" s="4" t="s">
        <v>1317</v>
      </c>
      <c r="C63" s="4" t="s">
        <v>1318</v>
      </c>
      <c r="G63" s="10" t="s">
        <v>24</v>
      </c>
      <c r="H63" s="10"/>
      <c r="I63" s="10">
        <v>2</v>
      </c>
      <c r="J63" s="10">
        <v>21</v>
      </c>
      <c r="K63" s="10"/>
      <c r="L63" s="10" t="s">
        <v>2153</v>
      </c>
      <c r="M63" s="10" t="s">
        <v>2274</v>
      </c>
      <c r="N63" s="11" t="s">
        <v>2275</v>
      </c>
      <c r="O63" s="10"/>
      <c r="P63" s="10">
        <v>11</v>
      </c>
      <c r="Q63" s="10"/>
      <c r="R63" s="10" t="s">
        <v>2387</v>
      </c>
      <c r="S63" s="10" t="s">
        <v>2387</v>
      </c>
      <c r="T63" s="10"/>
      <c r="U63" s="10"/>
      <c r="V63" s="10"/>
      <c r="W63" s="10"/>
      <c r="X63" s="10"/>
      <c r="Y63" s="10"/>
      <c r="Z63" s="10"/>
      <c r="AA63" s="10"/>
      <c r="AB63" s="10"/>
      <c r="AC63" s="10"/>
      <c r="AD63" t="s">
        <v>19</v>
      </c>
      <c r="AE63" t="s">
        <v>20</v>
      </c>
      <c r="AG63">
        <v>1</v>
      </c>
    </row>
    <row r="64" spans="1:33" ht="116">
      <c r="A64" t="s">
        <v>415</v>
      </c>
      <c r="B64" s="4" t="s">
        <v>1319</v>
      </c>
      <c r="C64" s="4" t="s">
        <v>1320</v>
      </c>
      <c r="G64" s="10" t="s">
        <v>24</v>
      </c>
      <c r="H64" s="10"/>
      <c r="I64" s="10">
        <v>1</v>
      </c>
      <c r="J64" s="10">
        <v>12</v>
      </c>
      <c r="K64" s="10" t="s">
        <v>2219</v>
      </c>
      <c r="L64" s="10" t="s">
        <v>2153</v>
      </c>
      <c r="M64" s="10" t="s">
        <v>2229</v>
      </c>
      <c r="N64" s="11" t="s">
        <v>2276</v>
      </c>
      <c r="O64" s="10" t="s">
        <v>2154</v>
      </c>
      <c r="P64" s="10">
        <v>11</v>
      </c>
      <c r="Q64" s="10"/>
      <c r="R64" s="10" t="s">
        <v>2387</v>
      </c>
      <c r="S64" s="10" t="s">
        <v>2387</v>
      </c>
      <c r="T64" s="10"/>
      <c r="U64" s="10"/>
      <c r="V64" s="10"/>
      <c r="W64" s="10"/>
      <c r="X64" s="10"/>
      <c r="Y64" s="10"/>
      <c r="Z64" s="10"/>
      <c r="AA64" s="10"/>
      <c r="AB64" s="10"/>
      <c r="AC64" s="10"/>
      <c r="AD64" t="s">
        <v>20</v>
      </c>
      <c r="AE64" t="s">
        <v>20</v>
      </c>
      <c r="AG64">
        <v>0</v>
      </c>
    </row>
    <row r="65" spans="1:33" ht="29">
      <c r="A65" t="s">
        <v>416</v>
      </c>
      <c r="B65" s="4" t="s">
        <v>1325</v>
      </c>
      <c r="C65" s="4" t="s">
        <v>1326</v>
      </c>
      <c r="G65" s="10" t="s">
        <v>2199</v>
      </c>
      <c r="H65" s="10"/>
      <c r="I65" s="10"/>
      <c r="J65" s="10"/>
      <c r="K65" s="10"/>
      <c r="L65" s="10"/>
      <c r="M65" s="10"/>
      <c r="N65" s="11"/>
      <c r="O65" s="10"/>
      <c r="P65" s="10"/>
      <c r="Q65" s="10">
        <v>-1</v>
      </c>
      <c r="R65" s="10">
        <v>1</v>
      </c>
      <c r="S65" s="10">
        <v>0</v>
      </c>
      <c r="T65" s="10"/>
      <c r="U65" s="10"/>
      <c r="V65" s="10"/>
      <c r="W65" s="10"/>
      <c r="X65" s="10"/>
      <c r="Y65" s="10"/>
      <c r="Z65" s="10"/>
      <c r="AA65" s="10"/>
      <c r="AB65" s="10"/>
      <c r="AC65" s="10"/>
      <c r="AD65" t="s">
        <v>19</v>
      </c>
      <c r="AE65" t="s">
        <v>20</v>
      </c>
      <c r="AG65">
        <v>1</v>
      </c>
    </row>
    <row r="66" spans="1:33" ht="145">
      <c r="A66" t="s">
        <v>422</v>
      </c>
      <c r="B66" s="4" t="s">
        <v>1332</v>
      </c>
      <c r="C66" s="4" t="s">
        <v>1331</v>
      </c>
      <c r="G66" s="10" t="s">
        <v>25</v>
      </c>
      <c r="H66" s="10"/>
      <c r="I66" s="10">
        <v>5</v>
      </c>
      <c r="J66" s="10">
        <v>27</v>
      </c>
      <c r="K66" s="10"/>
      <c r="L66" s="10" t="s">
        <v>2153</v>
      </c>
      <c r="M66" s="10" t="s">
        <v>2277</v>
      </c>
      <c r="N66" s="11" t="s">
        <v>2278</v>
      </c>
      <c r="O66" s="10"/>
      <c r="P66" s="10">
        <v>3</v>
      </c>
      <c r="Q66" s="10"/>
      <c r="R66" s="10" t="s">
        <v>2387</v>
      </c>
      <c r="S66" s="10" t="s">
        <v>2387</v>
      </c>
      <c r="T66" s="10"/>
      <c r="U66" s="10"/>
      <c r="V66" s="10"/>
      <c r="W66" s="10"/>
      <c r="X66" s="10"/>
      <c r="Y66" s="10"/>
      <c r="Z66" s="10"/>
      <c r="AA66" s="10"/>
      <c r="AB66" s="10"/>
      <c r="AC66" s="10" t="s">
        <v>19</v>
      </c>
      <c r="AD66" t="s">
        <v>19</v>
      </c>
      <c r="AE66" t="s">
        <v>20</v>
      </c>
      <c r="AG66">
        <v>1</v>
      </c>
    </row>
    <row r="67" spans="1:33" ht="130.5">
      <c r="A67" t="s">
        <v>422</v>
      </c>
      <c r="B67" s="4" t="s">
        <v>1330</v>
      </c>
      <c r="C67" s="4" t="s">
        <v>1333</v>
      </c>
      <c r="F67" t="s">
        <v>19</v>
      </c>
      <c r="G67" s="10" t="s">
        <v>24</v>
      </c>
      <c r="H67" s="10"/>
      <c r="I67" s="10">
        <v>1</v>
      </c>
      <c r="J67" s="10">
        <v>1</v>
      </c>
      <c r="K67" s="10" t="s">
        <v>2168</v>
      </c>
      <c r="L67" s="10" t="s">
        <v>2200</v>
      </c>
      <c r="M67" s="10"/>
      <c r="N67" s="11"/>
      <c r="O67" s="10"/>
      <c r="P67" s="10">
        <v>171</v>
      </c>
      <c r="Q67" s="10"/>
      <c r="R67" s="10" t="s">
        <v>2387</v>
      </c>
      <c r="S67" s="10" t="s">
        <v>2387</v>
      </c>
      <c r="T67" s="10"/>
      <c r="U67" s="10"/>
      <c r="V67" s="10"/>
      <c r="W67" s="10"/>
      <c r="X67" s="10"/>
      <c r="Y67" s="10"/>
      <c r="Z67" s="10"/>
      <c r="AA67" s="10"/>
      <c r="AB67" s="10"/>
      <c r="AC67" s="10"/>
      <c r="AD67" t="s">
        <v>20</v>
      </c>
      <c r="AE67" t="s">
        <v>20</v>
      </c>
      <c r="AG67">
        <v>0</v>
      </c>
    </row>
    <row r="68" spans="1:33" ht="29">
      <c r="A68" t="s">
        <v>441</v>
      </c>
      <c r="B68" s="4" t="s">
        <v>1340</v>
      </c>
      <c r="C68" s="4" t="s">
        <v>1342</v>
      </c>
      <c r="F68" t="s">
        <v>19</v>
      </c>
      <c r="G68" s="10" t="s">
        <v>2201</v>
      </c>
      <c r="H68" s="10"/>
      <c r="I68" s="10"/>
      <c r="J68" s="10"/>
      <c r="K68" s="10"/>
      <c r="L68" s="10"/>
      <c r="M68" s="10"/>
      <c r="N68" s="11"/>
      <c r="O68" s="10"/>
      <c r="P68" s="10"/>
      <c r="Q68" s="10"/>
      <c r="R68" s="10" t="s">
        <v>2387</v>
      </c>
      <c r="S68" s="10" t="s">
        <v>2387</v>
      </c>
      <c r="T68" s="10"/>
      <c r="U68" s="10"/>
      <c r="V68" s="10"/>
      <c r="W68" s="10"/>
      <c r="X68" s="10"/>
      <c r="Y68" s="10"/>
      <c r="Z68" s="10"/>
      <c r="AA68" s="10"/>
      <c r="AB68" s="10"/>
      <c r="AC68" s="10"/>
      <c r="AD68" t="s">
        <v>20</v>
      </c>
      <c r="AE68" t="s">
        <v>20</v>
      </c>
      <c r="AG68">
        <v>0</v>
      </c>
    </row>
    <row r="69" spans="1:33" ht="29">
      <c r="A69" t="s">
        <v>441</v>
      </c>
      <c r="B69" s="4" t="s">
        <v>1345</v>
      </c>
      <c r="C69" s="4" t="s">
        <v>1346</v>
      </c>
      <c r="G69" s="10" t="s">
        <v>2201</v>
      </c>
      <c r="H69" s="10"/>
      <c r="I69" s="10"/>
      <c r="J69" s="10"/>
      <c r="K69" s="10"/>
      <c r="L69" s="10"/>
      <c r="M69" s="10"/>
      <c r="N69" s="11"/>
      <c r="O69" s="10"/>
      <c r="P69" s="10"/>
      <c r="Q69" s="10"/>
      <c r="R69" s="10" t="s">
        <v>2387</v>
      </c>
      <c r="S69" s="10" t="s">
        <v>2387</v>
      </c>
      <c r="T69" s="10"/>
      <c r="U69" s="10"/>
      <c r="V69" s="10"/>
      <c r="W69" s="10"/>
      <c r="X69" s="10"/>
      <c r="Y69" s="10"/>
      <c r="Z69" s="10"/>
      <c r="AA69" s="10"/>
      <c r="AB69" s="10"/>
      <c r="AC69" s="10"/>
      <c r="AD69" t="s">
        <v>19</v>
      </c>
      <c r="AE69" t="s">
        <v>20</v>
      </c>
      <c r="AG69">
        <v>1</v>
      </c>
    </row>
    <row r="70" spans="1:33" ht="72.5">
      <c r="A70" t="s">
        <v>442</v>
      </c>
      <c r="B70" s="4" t="s">
        <v>1347</v>
      </c>
      <c r="C70" s="4" t="s">
        <v>1348</v>
      </c>
      <c r="G70" s="10" t="s">
        <v>24</v>
      </c>
      <c r="H70" s="10"/>
      <c r="I70" s="10">
        <v>1</v>
      </c>
      <c r="J70" s="10">
        <v>3</v>
      </c>
      <c r="K70" s="10" t="s">
        <v>2158</v>
      </c>
      <c r="L70" s="10" t="s">
        <v>2153</v>
      </c>
      <c r="M70" s="10" t="s">
        <v>2229</v>
      </c>
      <c r="N70" s="11" t="s">
        <v>2230</v>
      </c>
      <c r="O70" s="10"/>
      <c r="P70" s="10">
        <v>2475</v>
      </c>
      <c r="Q70" s="10"/>
      <c r="R70" s="10" t="s">
        <v>2387</v>
      </c>
      <c r="S70" s="10" t="s">
        <v>2387</v>
      </c>
      <c r="T70" s="10"/>
      <c r="U70" s="10"/>
      <c r="V70" s="10"/>
      <c r="W70" s="10"/>
      <c r="X70" s="10"/>
      <c r="Y70" s="10"/>
      <c r="Z70" s="10"/>
      <c r="AA70" s="10"/>
      <c r="AB70" s="10"/>
      <c r="AC70" s="10"/>
      <c r="AD70" t="s">
        <v>20</v>
      </c>
      <c r="AE70" t="s">
        <v>20</v>
      </c>
      <c r="AG70">
        <v>0</v>
      </c>
    </row>
    <row r="71" spans="1:33" ht="29">
      <c r="A71" t="s">
        <v>445</v>
      </c>
      <c r="B71" s="4" t="s">
        <v>1360</v>
      </c>
      <c r="C71" s="4" t="s">
        <v>1361</v>
      </c>
      <c r="G71" s="10" t="s">
        <v>2201</v>
      </c>
      <c r="H71" s="10"/>
      <c r="I71" s="10"/>
      <c r="J71" s="10"/>
      <c r="K71" s="10"/>
      <c r="L71" s="10"/>
      <c r="M71" s="10"/>
      <c r="N71" s="11"/>
      <c r="O71" s="10"/>
      <c r="P71" s="10"/>
      <c r="Q71" s="10"/>
      <c r="R71" s="10" t="s">
        <v>2387</v>
      </c>
      <c r="S71" s="10" t="s">
        <v>2387</v>
      </c>
      <c r="T71" s="10"/>
      <c r="U71" s="10"/>
      <c r="V71" s="10"/>
      <c r="W71" s="10"/>
      <c r="X71" s="10"/>
      <c r="Y71" s="10"/>
      <c r="Z71" s="10"/>
      <c r="AA71" s="10"/>
      <c r="AB71" s="10"/>
      <c r="AC71" s="10"/>
      <c r="AD71" t="s">
        <v>19</v>
      </c>
      <c r="AE71" t="s">
        <v>20</v>
      </c>
      <c r="AG71">
        <v>1</v>
      </c>
    </row>
    <row r="72" spans="1:33" ht="43.5">
      <c r="A72" t="s">
        <v>446</v>
      </c>
      <c r="B72" s="4" t="s">
        <v>1365</v>
      </c>
      <c r="C72" s="4" t="s">
        <v>1364</v>
      </c>
      <c r="G72" s="10" t="s">
        <v>24</v>
      </c>
      <c r="H72" s="10"/>
      <c r="I72" s="10">
        <v>1</v>
      </c>
      <c r="J72" s="10">
        <v>3</v>
      </c>
      <c r="K72" s="10" t="s">
        <v>2158</v>
      </c>
      <c r="L72" s="10" t="s">
        <v>2159</v>
      </c>
      <c r="M72" s="10"/>
      <c r="N72" s="11"/>
      <c r="O72" s="10"/>
      <c r="P72" s="10">
        <v>2475</v>
      </c>
      <c r="Q72" s="10"/>
      <c r="R72" s="10" t="s">
        <v>2387</v>
      </c>
      <c r="S72" s="10" t="s">
        <v>2387</v>
      </c>
      <c r="T72" s="10"/>
      <c r="U72" s="10"/>
      <c r="V72" s="10"/>
      <c r="W72" s="10"/>
      <c r="X72" s="10"/>
      <c r="Y72" s="10"/>
      <c r="Z72" s="10"/>
      <c r="AA72" s="10"/>
      <c r="AB72" s="10"/>
      <c r="AC72" s="10"/>
      <c r="AD72" t="s">
        <v>20</v>
      </c>
      <c r="AE72" t="s">
        <v>20</v>
      </c>
      <c r="AG72">
        <v>0</v>
      </c>
    </row>
    <row r="73" spans="1:33" ht="130.5">
      <c r="A73" t="s">
        <v>451</v>
      </c>
      <c r="B73" s="4" t="s">
        <v>2439</v>
      </c>
      <c r="C73" s="4" t="s">
        <v>1378</v>
      </c>
      <c r="G73" s="10" t="s">
        <v>25</v>
      </c>
      <c r="H73" s="10"/>
      <c r="I73" s="10">
        <v>5</v>
      </c>
      <c r="J73" s="10">
        <v>27</v>
      </c>
      <c r="K73" s="10"/>
      <c r="L73" s="10" t="s">
        <v>2159</v>
      </c>
      <c r="M73" s="10"/>
      <c r="N73" s="11"/>
      <c r="O73" s="10"/>
      <c r="P73" s="10">
        <v>18</v>
      </c>
      <c r="Q73" s="10"/>
      <c r="R73" s="10" t="s">
        <v>2387</v>
      </c>
      <c r="S73" s="10" t="s">
        <v>2387</v>
      </c>
      <c r="T73" s="10"/>
      <c r="U73" s="10"/>
      <c r="V73" s="10"/>
      <c r="W73" s="10"/>
      <c r="X73" s="10"/>
      <c r="Y73" s="10"/>
      <c r="Z73" s="10"/>
      <c r="AA73" s="10"/>
      <c r="AB73" s="10"/>
      <c r="AC73" s="10"/>
      <c r="AD73" t="s">
        <v>19</v>
      </c>
      <c r="AE73" t="s">
        <v>20</v>
      </c>
      <c r="AG73">
        <v>1</v>
      </c>
    </row>
    <row r="74" spans="1:33" ht="43.5">
      <c r="A74" t="s">
        <v>455</v>
      </c>
      <c r="B74" s="4" t="s">
        <v>2282</v>
      </c>
      <c r="C74" s="4" t="s">
        <v>2283</v>
      </c>
      <c r="F74" t="s">
        <v>19</v>
      </c>
      <c r="G74" s="10" t="s">
        <v>24</v>
      </c>
      <c r="H74" s="10"/>
      <c r="I74" s="10">
        <v>1</v>
      </c>
      <c r="J74" s="10">
        <v>1</v>
      </c>
      <c r="K74" s="10" t="s">
        <v>2152</v>
      </c>
      <c r="L74" s="10" t="s">
        <v>2200</v>
      </c>
      <c r="M74" s="10"/>
      <c r="N74" s="11"/>
      <c r="O74" s="10"/>
      <c r="P74" s="10">
        <v>9</v>
      </c>
      <c r="Q74" s="10"/>
      <c r="R74" s="10" t="s">
        <v>2387</v>
      </c>
      <c r="S74" s="10" t="s">
        <v>2387</v>
      </c>
      <c r="T74" s="10"/>
      <c r="U74" s="10"/>
      <c r="V74" s="10"/>
      <c r="W74" s="10"/>
      <c r="X74" s="10"/>
      <c r="Y74" s="10"/>
      <c r="Z74" s="10"/>
      <c r="AA74" s="10"/>
      <c r="AB74" s="10"/>
      <c r="AC74" s="10"/>
      <c r="AD74" t="s">
        <v>20</v>
      </c>
      <c r="AE74" t="s">
        <v>20</v>
      </c>
      <c r="AG74">
        <v>0</v>
      </c>
    </row>
    <row r="75" spans="1:33">
      <c r="A75" t="s">
        <v>456</v>
      </c>
      <c r="B75" s="4" t="s">
        <v>457</v>
      </c>
      <c r="C75" s="4" t="s">
        <v>458</v>
      </c>
      <c r="G75" s="10" t="s">
        <v>2201</v>
      </c>
      <c r="H75" s="10"/>
      <c r="I75" s="10"/>
      <c r="J75" s="10"/>
      <c r="K75" s="10"/>
      <c r="L75" s="10"/>
      <c r="M75" s="10"/>
      <c r="N75" s="11"/>
      <c r="O75" s="10"/>
      <c r="P75" s="10"/>
      <c r="Q75" s="10"/>
      <c r="R75" s="10" t="s">
        <v>2387</v>
      </c>
      <c r="S75" s="10" t="s">
        <v>2387</v>
      </c>
      <c r="T75" s="10"/>
      <c r="U75" s="10"/>
      <c r="V75" s="10"/>
      <c r="W75" s="10"/>
      <c r="X75" s="10"/>
      <c r="Y75" s="10"/>
      <c r="Z75" s="10"/>
      <c r="AA75" s="10"/>
      <c r="AB75" s="10"/>
      <c r="AC75" s="10"/>
      <c r="AD75" t="s">
        <v>20</v>
      </c>
      <c r="AE75" t="s">
        <v>20</v>
      </c>
      <c r="AG75">
        <v>0</v>
      </c>
    </row>
    <row r="76" spans="1:33" ht="43.5">
      <c r="A76" t="s">
        <v>459</v>
      </c>
      <c r="B76" s="4" t="s">
        <v>1386</v>
      </c>
      <c r="C76" s="4" t="s">
        <v>1387</v>
      </c>
      <c r="G76" s="10" t="s">
        <v>24</v>
      </c>
      <c r="H76" s="10"/>
      <c r="I76" s="10">
        <v>1</v>
      </c>
      <c r="J76" s="10">
        <v>2</v>
      </c>
      <c r="K76" s="10" t="s">
        <v>2168</v>
      </c>
      <c r="L76" s="10" t="s">
        <v>2200</v>
      </c>
      <c r="M76" s="10"/>
      <c r="N76" s="11"/>
      <c r="O76" s="10"/>
      <c r="P76" s="10">
        <v>129</v>
      </c>
      <c r="Q76" s="10"/>
      <c r="R76" s="10" t="s">
        <v>2387</v>
      </c>
      <c r="S76" s="10" t="s">
        <v>2387</v>
      </c>
      <c r="T76" s="10"/>
      <c r="U76" s="10"/>
      <c r="V76" s="10"/>
      <c r="W76" s="10"/>
      <c r="X76" s="10"/>
      <c r="Y76" s="10"/>
      <c r="Z76" s="10"/>
      <c r="AA76" s="10"/>
      <c r="AB76" s="10"/>
      <c r="AC76" s="10"/>
      <c r="AD76" t="s">
        <v>20</v>
      </c>
      <c r="AE76" t="s">
        <v>20</v>
      </c>
      <c r="AG76">
        <v>0</v>
      </c>
    </row>
    <row r="77" spans="1:33" ht="43.5">
      <c r="A77" t="s">
        <v>467</v>
      </c>
      <c r="B77" s="4" t="s">
        <v>1392</v>
      </c>
      <c r="C77" s="4" t="s">
        <v>1393</v>
      </c>
      <c r="G77" s="10" t="s">
        <v>2199</v>
      </c>
      <c r="H77" s="10"/>
      <c r="I77" s="10"/>
      <c r="J77" s="10"/>
      <c r="K77" s="10"/>
      <c r="L77" s="10"/>
      <c r="M77" s="10"/>
      <c r="N77" s="11"/>
      <c r="O77" s="10"/>
      <c r="P77" s="10"/>
      <c r="Q77" s="10">
        <v>15</v>
      </c>
      <c r="R77" s="10">
        <v>171</v>
      </c>
      <c r="S77" s="10">
        <v>186</v>
      </c>
      <c r="T77" s="10"/>
      <c r="U77" s="10"/>
      <c r="V77" s="10"/>
      <c r="W77" s="10"/>
      <c r="X77" s="10"/>
      <c r="Y77" s="10"/>
      <c r="Z77" s="10"/>
      <c r="AA77" s="10"/>
      <c r="AB77" s="10"/>
      <c r="AC77" s="10"/>
      <c r="AD77" t="s">
        <v>19</v>
      </c>
      <c r="AE77" t="s">
        <v>20</v>
      </c>
      <c r="AG77">
        <v>1</v>
      </c>
    </row>
    <row r="78" spans="1:33" ht="72.5">
      <c r="A78" t="s">
        <v>485</v>
      </c>
      <c r="B78" s="4" t="s">
        <v>1430</v>
      </c>
      <c r="C78" s="4" t="s">
        <v>1433</v>
      </c>
      <c r="G78" s="10" t="s">
        <v>24</v>
      </c>
      <c r="H78" s="10"/>
      <c r="I78" s="10">
        <v>1</v>
      </c>
      <c r="J78" s="10">
        <v>1</v>
      </c>
      <c r="K78" s="10" t="s">
        <v>2158</v>
      </c>
      <c r="L78" s="10" t="s">
        <v>2200</v>
      </c>
      <c r="M78" s="10"/>
      <c r="N78" s="11"/>
      <c r="O78" s="10" t="s">
        <v>2154</v>
      </c>
      <c r="P78" s="10">
        <v>2475</v>
      </c>
      <c r="Q78" s="10"/>
      <c r="R78" s="10" t="s">
        <v>2387</v>
      </c>
      <c r="S78" s="10" t="s">
        <v>2387</v>
      </c>
      <c r="T78" s="10"/>
      <c r="U78" s="10"/>
      <c r="V78" s="10"/>
      <c r="W78" s="10"/>
      <c r="X78" s="10"/>
      <c r="Y78" s="10"/>
      <c r="Z78" s="10"/>
      <c r="AA78" s="10"/>
      <c r="AB78" s="10"/>
      <c r="AC78" s="10"/>
      <c r="AD78" t="s">
        <v>19</v>
      </c>
      <c r="AE78" t="s">
        <v>20</v>
      </c>
      <c r="AG78">
        <v>1</v>
      </c>
    </row>
    <row r="79" spans="1:33" ht="29">
      <c r="A79" t="s">
        <v>490</v>
      </c>
      <c r="B79" s="4" t="s">
        <v>1445</v>
      </c>
      <c r="C79" s="4" t="s">
        <v>1446</v>
      </c>
      <c r="G79" s="10" t="s">
        <v>2201</v>
      </c>
      <c r="H79" s="10"/>
      <c r="I79" s="10"/>
      <c r="J79" s="10"/>
      <c r="K79" s="10"/>
      <c r="L79" s="10"/>
      <c r="M79" s="10"/>
      <c r="N79" s="11"/>
      <c r="O79" s="10"/>
      <c r="P79" s="10"/>
      <c r="Q79" s="10"/>
      <c r="R79" s="10" t="s">
        <v>2387</v>
      </c>
      <c r="S79" s="10" t="s">
        <v>2387</v>
      </c>
      <c r="T79" s="10"/>
      <c r="U79" s="10"/>
      <c r="V79" s="10"/>
      <c r="W79" s="10"/>
      <c r="X79" s="10"/>
      <c r="Y79" s="10"/>
      <c r="Z79" s="10"/>
      <c r="AA79" s="10"/>
      <c r="AB79" s="10"/>
      <c r="AC79" s="10"/>
      <c r="AD79" t="s">
        <v>19</v>
      </c>
      <c r="AE79" t="s">
        <v>20</v>
      </c>
      <c r="AG79">
        <v>1</v>
      </c>
    </row>
    <row r="80" spans="1:33" ht="72.5">
      <c r="A80" t="s">
        <v>494</v>
      </c>
      <c r="B80" s="4" t="s">
        <v>1465</v>
      </c>
      <c r="C80" s="4" t="s">
        <v>1466</v>
      </c>
      <c r="F80" t="s">
        <v>19</v>
      </c>
      <c r="G80" s="10" t="s">
        <v>24</v>
      </c>
      <c r="H80" s="10"/>
      <c r="I80" s="10">
        <v>1</v>
      </c>
      <c r="J80" s="10">
        <v>6</v>
      </c>
      <c r="K80" s="10" t="s">
        <v>2173</v>
      </c>
      <c r="L80" s="10" t="s">
        <v>2159</v>
      </c>
      <c r="M80" s="10"/>
      <c r="N80" s="11"/>
      <c r="O80" s="10"/>
      <c r="P80" s="10">
        <v>250</v>
      </c>
      <c r="Q80" s="10"/>
      <c r="R80" s="10" t="s">
        <v>2387</v>
      </c>
      <c r="S80" s="10" t="s">
        <v>2387</v>
      </c>
      <c r="T80" s="10"/>
      <c r="U80" s="10"/>
      <c r="V80" s="10"/>
      <c r="W80" s="10"/>
      <c r="X80" s="10"/>
      <c r="Y80" s="10"/>
      <c r="Z80" s="10"/>
      <c r="AA80" s="10"/>
      <c r="AB80" s="10"/>
      <c r="AC80" s="10"/>
      <c r="AD80" t="s">
        <v>20</v>
      </c>
      <c r="AE80" t="s">
        <v>20</v>
      </c>
      <c r="AG80">
        <v>0</v>
      </c>
    </row>
    <row r="81" spans="1:33" ht="72.5">
      <c r="A81" t="s">
        <v>498</v>
      </c>
      <c r="B81" s="4" t="s">
        <v>1482</v>
      </c>
      <c r="C81" s="4" t="s">
        <v>1484</v>
      </c>
      <c r="G81" s="10" t="s">
        <v>24</v>
      </c>
      <c r="H81" s="10"/>
      <c r="I81" s="10">
        <v>1</v>
      </c>
      <c r="J81" s="10">
        <v>3</v>
      </c>
      <c r="K81" s="10" t="s">
        <v>2158</v>
      </c>
      <c r="L81" s="10" t="s">
        <v>2159</v>
      </c>
      <c r="M81" s="10"/>
      <c r="N81" s="11"/>
      <c r="O81" s="10"/>
      <c r="P81" s="10">
        <v>2475</v>
      </c>
      <c r="Q81" s="10"/>
      <c r="R81" s="10" t="s">
        <v>2387</v>
      </c>
      <c r="S81" s="10" t="s">
        <v>2387</v>
      </c>
      <c r="T81" s="10"/>
      <c r="U81" s="10"/>
      <c r="V81" s="10"/>
      <c r="W81" s="10"/>
      <c r="X81" s="10"/>
      <c r="Y81" s="10"/>
      <c r="Z81" s="10"/>
      <c r="AA81" s="10"/>
      <c r="AB81" s="10"/>
      <c r="AC81" s="10"/>
      <c r="AD81" t="s">
        <v>19</v>
      </c>
      <c r="AE81" t="s">
        <v>20</v>
      </c>
      <c r="AG81">
        <v>1</v>
      </c>
    </row>
    <row r="82" spans="1:33" ht="29">
      <c r="A82" t="s">
        <v>515</v>
      </c>
      <c r="B82" s="4" t="s">
        <v>76</v>
      </c>
      <c r="C82" s="4" t="s">
        <v>77</v>
      </c>
      <c r="G82" s="10" t="s">
        <v>2201</v>
      </c>
      <c r="H82" s="10"/>
      <c r="I82" s="10"/>
      <c r="J82" s="10"/>
      <c r="K82" s="10"/>
      <c r="L82" s="10"/>
      <c r="M82" s="10"/>
      <c r="N82" s="11"/>
      <c r="O82" s="10"/>
      <c r="P82" s="10"/>
      <c r="Q82" s="10"/>
      <c r="R82" s="10" t="s">
        <v>2387</v>
      </c>
      <c r="S82" s="10" t="s">
        <v>2387</v>
      </c>
      <c r="T82" s="10"/>
      <c r="U82" s="10"/>
      <c r="V82" s="10"/>
      <c r="W82" s="10"/>
      <c r="X82" s="10"/>
      <c r="Y82" s="10"/>
      <c r="Z82" s="10"/>
      <c r="AA82" s="10"/>
      <c r="AB82" s="10"/>
      <c r="AC82" s="10"/>
      <c r="AD82" t="s">
        <v>19</v>
      </c>
      <c r="AE82" t="s">
        <v>20</v>
      </c>
      <c r="AG82">
        <v>1</v>
      </c>
    </row>
    <row r="83" spans="1:33" ht="29">
      <c r="A83" t="s">
        <v>523</v>
      </c>
      <c r="B83" s="4" t="s">
        <v>1525</v>
      </c>
      <c r="C83" s="4" t="s">
        <v>1526</v>
      </c>
      <c r="G83" s="10" t="s">
        <v>25</v>
      </c>
      <c r="H83" s="10"/>
      <c r="I83" s="10">
        <v>1</v>
      </c>
      <c r="J83" s="10">
        <v>2</v>
      </c>
      <c r="K83" s="10" t="s">
        <v>2158</v>
      </c>
      <c r="L83" s="10" t="s">
        <v>2200</v>
      </c>
      <c r="M83" s="10"/>
      <c r="N83" s="11"/>
      <c r="O83" s="10"/>
      <c r="P83" s="10">
        <v>2475</v>
      </c>
      <c r="Q83" s="10"/>
      <c r="R83" s="10" t="s">
        <v>2387</v>
      </c>
      <c r="S83" s="10" t="s">
        <v>2387</v>
      </c>
      <c r="T83" s="10"/>
      <c r="U83" s="10"/>
      <c r="V83" s="10"/>
      <c r="W83" s="10"/>
      <c r="X83" s="10"/>
      <c r="Y83" s="10"/>
      <c r="Z83" s="10"/>
      <c r="AA83" s="10"/>
      <c r="AB83" s="10"/>
      <c r="AC83" s="10"/>
      <c r="AD83" t="s">
        <v>19</v>
      </c>
      <c r="AE83" t="s">
        <v>20</v>
      </c>
      <c r="AG83">
        <v>1</v>
      </c>
    </row>
    <row r="84" spans="1:33" ht="58">
      <c r="A84" t="s">
        <v>526</v>
      </c>
      <c r="B84" s="4" t="s">
        <v>1537</v>
      </c>
      <c r="C84" s="4" t="s">
        <v>1538</v>
      </c>
      <c r="G84" s="10" t="s">
        <v>2199</v>
      </c>
      <c r="H84" s="10"/>
      <c r="I84" s="10"/>
      <c r="J84" s="10"/>
      <c r="K84" s="10"/>
      <c r="L84" s="10"/>
      <c r="M84" s="10"/>
      <c r="N84" s="11"/>
      <c r="O84" s="10"/>
      <c r="P84" s="10"/>
      <c r="Q84" s="10">
        <v>-24</v>
      </c>
      <c r="R84" s="10">
        <v>29</v>
      </c>
      <c r="S84" s="10">
        <v>5</v>
      </c>
      <c r="T84" s="10"/>
      <c r="U84" s="10"/>
      <c r="V84" s="10"/>
      <c r="W84" s="10"/>
      <c r="X84" s="10"/>
      <c r="Y84" s="10"/>
      <c r="Z84" s="10"/>
      <c r="AA84" s="10"/>
      <c r="AB84" s="10"/>
      <c r="AC84" s="10"/>
      <c r="AD84" t="s">
        <v>19</v>
      </c>
      <c r="AE84" t="s">
        <v>20</v>
      </c>
      <c r="AG84">
        <v>1</v>
      </c>
    </row>
    <row r="85" spans="1:33" ht="29">
      <c r="A85" t="s">
        <v>529</v>
      </c>
      <c r="B85" s="4" t="s">
        <v>1545</v>
      </c>
      <c r="C85" s="4" t="s">
        <v>1546</v>
      </c>
      <c r="G85" s="10" t="s">
        <v>2199</v>
      </c>
      <c r="H85" s="10"/>
      <c r="I85" s="10"/>
      <c r="J85" s="10"/>
      <c r="K85" s="10"/>
      <c r="L85" s="10"/>
      <c r="M85" s="10"/>
      <c r="N85" s="11"/>
      <c r="O85" s="10"/>
      <c r="P85" s="10"/>
      <c r="Q85" s="10">
        <v>-121</v>
      </c>
      <c r="R85" s="10">
        <v>129</v>
      </c>
      <c r="S85" s="10">
        <v>8</v>
      </c>
      <c r="T85" s="10"/>
      <c r="U85" s="10"/>
      <c r="V85" s="10"/>
      <c r="W85" s="10"/>
      <c r="X85" s="10"/>
      <c r="Y85" s="10"/>
      <c r="Z85" s="10"/>
      <c r="AA85" s="10"/>
      <c r="AB85" s="10"/>
      <c r="AC85" s="10"/>
      <c r="AD85" t="s">
        <v>19</v>
      </c>
      <c r="AE85" t="s">
        <v>20</v>
      </c>
      <c r="AG85">
        <v>1</v>
      </c>
    </row>
    <row r="86" spans="1:33" ht="43.5">
      <c r="A86" t="s">
        <v>537</v>
      </c>
      <c r="B86" s="4" t="s">
        <v>1565</v>
      </c>
      <c r="C86" s="4" t="s">
        <v>1566</v>
      </c>
      <c r="F86" t="s">
        <v>22</v>
      </c>
      <c r="G86" s="10" t="s">
        <v>2201</v>
      </c>
      <c r="H86" s="10"/>
      <c r="I86" s="10"/>
      <c r="J86" s="10"/>
      <c r="K86" s="10"/>
      <c r="L86" s="10"/>
      <c r="M86" s="10"/>
      <c r="N86" s="11"/>
      <c r="O86" s="10"/>
      <c r="P86" s="10"/>
      <c r="Q86" s="10"/>
      <c r="R86" s="10" t="s">
        <v>2387</v>
      </c>
      <c r="S86" s="10" t="s">
        <v>2387</v>
      </c>
      <c r="T86" s="10"/>
      <c r="U86" s="10"/>
      <c r="V86" s="10"/>
      <c r="W86" s="10"/>
      <c r="X86" s="10"/>
      <c r="Y86" s="10"/>
      <c r="Z86" s="10"/>
      <c r="AA86" s="10"/>
      <c r="AB86" s="10"/>
      <c r="AC86" s="10"/>
      <c r="AD86" t="s">
        <v>19</v>
      </c>
      <c r="AE86" t="s">
        <v>20</v>
      </c>
      <c r="AG86">
        <v>1</v>
      </c>
    </row>
    <row r="87" spans="1:33" ht="72.5">
      <c r="A87" t="s">
        <v>538</v>
      </c>
      <c r="B87" s="4" t="s">
        <v>1574</v>
      </c>
      <c r="C87" s="4" t="s">
        <v>1572</v>
      </c>
      <c r="G87" s="10" t="s">
        <v>25</v>
      </c>
      <c r="H87" s="10"/>
      <c r="I87" s="10">
        <v>1</v>
      </c>
      <c r="J87" s="10">
        <v>3</v>
      </c>
      <c r="K87" s="10" t="s">
        <v>2158</v>
      </c>
      <c r="L87" s="10" t="s">
        <v>2159</v>
      </c>
      <c r="M87" s="10"/>
      <c r="N87" s="11"/>
      <c r="O87" s="10"/>
      <c r="P87" s="10">
        <v>2475</v>
      </c>
      <c r="Q87" s="10"/>
      <c r="R87" s="10" t="s">
        <v>2387</v>
      </c>
      <c r="S87" s="10" t="s">
        <v>2387</v>
      </c>
      <c r="T87" s="10"/>
      <c r="U87" s="10"/>
      <c r="V87" s="10"/>
      <c r="W87" s="10"/>
      <c r="X87" s="10"/>
      <c r="Y87" s="10"/>
      <c r="Z87" s="10"/>
      <c r="AA87" s="10"/>
      <c r="AB87" s="10"/>
      <c r="AC87" s="10"/>
      <c r="AD87" t="s">
        <v>19</v>
      </c>
      <c r="AE87" t="s">
        <v>20</v>
      </c>
      <c r="AG87">
        <v>1</v>
      </c>
    </row>
    <row r="88" spans="1:33" ht="101.5">
      <c r="A88" t="s">
        <v>542</v>
      </c>
      <c r="B88" s="4" t="s">
        <v>1578</v>
      </c>
      <c r="C88" s="4" t="s">
        <v>1581</v>
      </c>
      <c r="F88" t="s">
        <v>19</v>
      </c>
      <c r="G88" s="10" t="s">
        <v>24</v>
      </c>
      <c r="H88" s="10"/>
      <c r="I88" s="10">
        <v>4</v>
      </c>
      <c r="J88" s="10">
        <v>17</v>
      </c>
      <c r="K88" s="10"/>
      <c r="L88" s="10" t="s">
        <v>2159</v>
      </c>
      <c r="M88" s="10"/>
      <c r="N88" s="11"/>
      <c r="O88" s="10"/>
      <c r="P88" s="10">
        <v>19</v>
      </c>
      <c r="Q88" s="10"/>
      <c r="R88" s="10" t="s">
        <v>2387</v>
      </c>
      <c r="S88" s="10" t="s">
        <v>2387</v>
      </c>
      <c r="T88" s="10"/>
      <c r="U88" s="10"/>
      <c r="V88" s="10"/>
      <c r="W88" s="10"/>
      <c r="X88" s="10"/>
      <c r="Y88" s="10"/>
      <c r="Z88" s="10"/>
      <c r="AA88" s="10"/>
      <c r="AB88" s="10"/>
      <c r="AC88" s="10"/>
      <c r="AD88" t="s">
        <v>20</v>
      </c>
      <c r="AE88" t="s">
        <v>20</v>
      </c>
      <c r="AG88">
        <v>0</v>
      </c>
    </row>
    <row r="89" spans="1:33" ht="29">
      <c r="A89" t="s">
        <v>545</v>
      </c>
      <c r="B89" s="4" t="s">
        <v>1583</v>
      </c>
      <c r="C89" s="4" t="s">
        <v>1582</v>
      </c>
      <c r="G89" s="10" t="s">
        <v>25</v>
      </c>
      <c r="H89" s="10"/>
      <c r="I89" s="10">
        <v>1</v>
      </c>
      <c r="J89" s="10">
        <v>5</v>
      </c>
      <c r="K89" s="10" t="s">
        <v>2219</v>
      </c>
      <c r="L89" s="10" t="s">
        <v>2159</v>
      </c>
      <c r="M89" s="10"/>
      <c r="N89" s="11"/>
      <c r="O89" s="10"/>
      <c r="P89" s="10">
        <v>295</v>
      </c>
      <c r="Q89" s="10"/>
      <c r="R89" s="10" t="s">
        <v>2387</v>
      </c>
      <c r="S89" s="10" t="s">
        <v>2387</v>
      </c>
      <c r="T89" s="10"/>
      <c r="U89" s="10"/>
      <c r="V89" s="10"/>
      <c r="W89" s="10"/>
      <c r="X89" s="10"/>
      <c r="Y89" s="10"/>
      <c r="Z89" s="10"/>
      <c r="AA89" s="10"/>
      <c r="AB89" s="10"/>
      <c r="AC89" s="10"/>
      <c r="AD89" t="s">
        <v>19</v>
      </c>
      <c r="AE89" t="s">
        <v>20</v>
      </c>
      <c r="AG89">
        <v>1</v>
      </c>
    </row>
    <row r="90" spans="1:33" ht="43.5">
      <c r="A90" t="s">
        <v>546</v>
      </c>
      <c r="B90" s="4" t="s">
        <v>1584</v>
      </c>
      <c r="C90" s="4" t="s">
        <v>1585</v>
      </c>
      <c r="G90" s="10" t="s">
        <v>2199</v>
      </c>
      <c r="H90" s="10"/>
      <c r="I90" s="10"/>
      <c r="J90" s="10"/>
      <c r="K90" s="10"/>
      <c r="L90" s="10"/>
      <c r="M90" s="10"/>
      <c r="N90" s="11"/>
      <c r="O90" s="10"/>
      <c r="P90" s="10"/>
      <c r="Q90" s="10">
        <v>-1</v>
      </c>
      <c r="R90" s="10">
        <v>1</v>
      </c>
      <c r="S90" s="10">
        <v>0</v>
      </c>
      <c r="T90" s="10"/>
      <c r="U90" s="10"/>
      <c r="V90" s="10"/>
      <c r="W90" s="10"/>
      <c r="X90" s="10"/>
      <c r="Y90" s="10"/>
      <c r="Z90" s="10"/>
      <c r="AA90" s="10"/>
      <c r="AB90" s="10"/>
      <c r="AC90" s="10"/>
      <c r="AD90" t="s">
        <v>19</v>
      </c>
      <c r="AE90" t="s">
        <v>20</v>
      </c>
      <c r="AG90">
        <v>1</v>
      </c>
    </row>
    <row r="91" spans="1:33" ht="58">
      <c r="A91" t="s">
        <v>546</v>
      </c>
      <c r="B91" s="4" t="s">
        <v>1586</v>
      </c>
      <c r="C91" s="4" t="s">
        <v>1587</v>
      </c>
      <c r="G91" s="10" t="s">
        <v>2201</v>
      </c>
      <c r="H91" s="10"/>
      <c r="I91" s="10"/>
      <c r="J91" s="10"/>
      <c r="K91" s="10"/>
      <c r="L91" s="10"/>
      <c r="M91" s="10"/>
      <c r="N91" s="11"/>
      <c r="O91" s="10"/>
      <c r="P91" s="10"/>
      <c r="Q91" s="10"/>
      <c r="R91" s="10" t="s">
        <v>2387</v>
      </c>
      <c r="S91" s="10" t="s">
        <v>2387</v>
      </c>
      <c r="T91" s="10"/>
      <c r="U91" s="10"/>
      <c r="V91" s="10"/>
      <c r="W91" s="10"/>
      <c r="X91" s="10"/>
      <c r="Y91" s="10"/>
      <c r="Z91" s="10"/>
      <c r="AA91" s="10"/>
      <c r="AB91" s="10"/>
      <c r="AC91" s="10"/>
      <c r="AD91" t="s">
        <v>19</v>
      </c>
      <c r="AE91" t="s">
        <v>20</v>
      </c>
      <c r="AG91">
        <v>1</v>
      </c>
    </row>
    <row r="92" spans="1:33" ht="72.5">
      <c r="A92" t="s">
        <v>564</v>
      </c>
      <c r="B92" s="4" t="s">
        <v>1603</v>
      </c>
      <c r="C92" s="4" t="s">
        <v>1602</v>
      </c>
      <c r="G92" s="10" t="s">
        <v>25</v>
      </c>
      <c r="H92" s="10"/>
      <c r="I92" s="10">
        <v>1</v>
      </c>
      <c r="J92" s="10">
        <v>3</v>
      </c>
      <c r="K92" s="10" t="s">
        <v>2173</v>
      </c>
      <c r="L92" s="10" t="s">
        <v>2159</v>
      </c>
      <c r="M92" s="10"/>
      <c r="N92" s="11"/>
      <c r="O92" s="10"/>
      <c r="P92" s="10">
        <v>52</v>
      </c>
      <c r="Q92" s="10"/>
      <c r="R92" s="10" t="s">
        <v>2387</v>
      </c>
      <c r="S92" s="10" t="s">
        <v>2387</v>
      </c>
      <c r="T92" s="10"/>
      <c r="U92" s="10"/>
      <c r="V92" s="10"/>
      <c r="W92" s="10"/>
      <c r="X92" s="10"/>
      <c r="Y92" s="10"/>
      <c r="Z92" s="10"/>
      <c r="AA92" s="10"/>
      <c r="AB92" s="10"/>
      <c r="AC92" s="10"/>
      <c r="AD92" t="s">
        <v>20</v>
      </c>
      <c r="AE92" t="s">
        <v>20</v>
      </c>
      <c r="AG92">
        <v>0</v>
      </c>
    </row>
    <row r="93" spans="1:33" ht="43.5">
      <c r="A93" t="s">
        <v>571</v>
      </c>
      <c r="B93" s="4" t="s">
        <v>1617</v>
      </c>
      <c r="C93" s="4" t="s">
        <v>1616</v>
      </c>
      <c r="G93" s="10" t="s">
        <v>25</v>
      </c>
      <c r="H93" s="10"/>
      <c r="I93" s="10">
        <v>1</v>
      </c>
      <c r="J93" s="10">
        <v>4</v>
      </c>
      <c r="K93" s="10" t="s">
        <v>2158</v>
      </c>
      <c r="L93" s="10" t="s">
        <v>2153</v>
      </c>
      <c r="M93" s="10" t="s">
        <v>2231</v>
      </c>
      <c r="N93" s="11" t="s">
        <v>2230</v>
      </c>
      <c r="O93" s="10"/>
      <c r="P93" s="10">
        <v>2475</v>
      </c>
      <c r="Q93" s="10"/>
      <c r="R93" s="10" t="s">
        <v>2387</v>
      </c>
      <c r="S93" s="10" t="s">
        <v>2387</v>
      </c>
      <c r="T93" s="10"/>
      <c r="U93" s="10"/>
      <c r="V93" s="10"/>
      <c r="W93" s="10"/>
      <c r="X93" s="10"/>
      <c r="Y93" s="10"/>
      <c r="Z93" s="10"/>
      <c r="AA93" s="10"/>
      <c r="AB93" s="10"/>
      <c r="AC93" s="10"/>
      <c r="AD93" t="s">
        <v>20</v>
      </c>
      <c r="AE93" t="s">
        <v>20</v>
      </c>
      <c r="AG93">
        <v>0</v>
      </c>
    </row>
    <row r="94" spans="1:33" ht="43.5">
      <c r="A94" t="s">
        <v>571</v>
      </c>
      <c r="B94" s="4" t="s">
        <v>1618</v>
      </c>
      <c r="C94" s="4" t="s">
        <v>1619</v>
      </c>
      <c r="G94" s="10" t="s">
        <v>2201</v>
      </c>
      <c r="H94" s="10"/>
      <c r="I94" s="10"/>
      <c r="J94" s="10"/>
      <c r="K94" s="10"/>
      <c r="L94" s="10"/>
      <c r="M94" s="10"/>
      <c r="N94" s="11"/>
      <c r="O94" s="10"/>
      <c r="P94" s="10"/>
      <c r="Q94" s="10"/>
      <c r="R94" s="10" t="s">
        <v>2387</v>
      </c>
      <c r="S94" s="10" t="s">
        <v>2387</v>
      </c>
      <c r="T94" s="10"/>
      <c r="U94" s="10"/>
      <c r="V94" s="10"/>
      <c r="W94" s="10"/>
      <c r="X94" s="10"/>
      <c r="Y94" s="10"/>
      <c r="Z94" s="10"/>
      <c r="AA94" s="10"/>
      <c r="AB94" s="10"/>
      <c r="AC94" s="10"/>
      <c r="AD94" t="s">
        <v>19</v>
      </c>
      <c r="AE94" t="s">
        <v>20</v>
      </c>
      <c r="AG94">
        <v>1</v>
      </c>
    </row>
    <row r="95" spans="1:33" ht="72.5">
      <c r="A95" t="s">
        <v>578</v>
      </c>
      <c r="B95" s="4" t="s">
        <v>1635</v>
      </c>
      <c r="C95" s="4" t="s">
        <v>1634</v>
      </c>
      <c r="G95" s="10" t="s">
        <v>24</v>
      </c>
      <c r="H95" s="10"/>
      <c r="I95" s="10">
        <v>1</v>
      </c>
      <c r="J95" s="10">
        <v>3</v>
      </c>
      <c r="K95" s="10" t="s">
        <v>2175</v>
      </c>
      <c r="L95" s="10" t="s">
        <v>2159</v>
      </c>
      <c r="M95" s="10"/>
      <c r="N95" s="11"/>
      <c r="O95" s="10"/>
      <c r="P95" s="10">
        <v>743</v>
      </c>
      <c r="Q95" s="10"/>
      <c r="R95" s="10" t="s">
        <v>2387</v>
      </c>
      <c r="S95" s="10" t="s">
        <v>2387</v>
      </c>
      <c r="T95" s="10"/>
      <c r="U95" s="10"/>
      <c r="V95" s="10"/>
      <c r="W95" s="10"/>
      <c r="X95" s="10"/>
      <c r="Y95" s="10"/>
      <c r="Z95" s="10"/>
      <c r="AA95" s="10"/>
      <c r="AB95" s="10"/>
      <c r="AC95" s="10"/>
      <c r="AD95" t="s">
        <v>19</v>
      </c>
      <c r="AE95" t="s">
        <v>20</v>
      </c>
      <c r="AG95">
        <v>1</v>
      </c>
    </row>
    <row r="96" spans="1:33" ht="72.5">
      <c r="A96" t="s">
        <v>579</v>
      </c>
      <c r="B96" s="4" t="s">
        <v>1639</v>
      </c>
      <c r="C96" s="4" t="s">
        <v>1638</v>
      </c>
      <c r="G96" s="10" t="s">
        <v>25</v>
      </c>
      <c r="H96" s="10"/>
      <c r="I96" s="10">
        <v>1</v>
      </c>
      <c r="J96" s="10">
        <v>1</v>
      </c>
      <c r="K96" s="10" t="s">
        <v>2158</v>
      </c>
      <c r="L96" s="10" t="s">
        <v>2200</v>
      </c>
      <c r="M96" s="10"/>
      <c r="N96" s="11"/>
      <c r="O96" s="10"/>
      <c r="P96" s="10">
        <v>2475</v>
      </c>
      <c r="Q96" s="10"/>
      <c r="R96" s="10" t="s">
        <v>2387</v>
      </c>
      <c r="S96" s="10" t="s">
        <v>2387</v>
      </c>
      <c r="T96" s="10"/>
      <c r="U96" s="10"/>
      <c r="V96" s="10"/>
      <c r="W96" s="10"/>
      <c r="X96" s="10"/>
      <c r="Y96" s="10"/>
      <c r="Z96" s="10"/>
      <c r="AA96" s="10"/>
      <c r="AB96" s="10"/>
      <c r="AC96" s="10"/>
      <c r="AD96" t="s">
        <v>19</v>
      </c>
      <c r="AE96" t="s">
        <v>20</v>
      </c>
      <c r="AG96">
        <v>1</v>
      </c>
    </row>
    <row r="97" spans="1:33" ht="72.5">
      <c r="A97" t="s">
        <v>587</v>
      </c>
      <c r="B97" s="4" t="s">
        <v>1658</v>
      </c>
      <c r="C97" s="4" t="s">
        <v>1659</v>
      </c>
      <c r="G97" s="10" t="s">
        <v>2199</v>
      </c>
      <c r="H97" s="10"/>
      <c r="I97" s="10"/>
      <c r="J97" s="10"/>
      <c r="K97" s="10"/>
      <c r="L97" s="10"/>
      <c r="M97" s="10"/>
      <c r="N97" s="11"/>
      <c r="O97" s="10"/>
      <c r="P97" s="10"/>
      <c r="Q97" s="10">
        <v>196</v>
      </c>
      <c r="R97" s="10">
        <v>8</v>
      </c>
      <c r="S97" s="10">
        <v>204</v>
      </c>
      <c r="T97" s="10"/>
      <c r="U97" s="10"/>
      <c r="V97" s="10"/>
      <c r="W97" s="10"/>
      <c r="X97" s="10"/>
      <c r="Y97" s="10"/>
      <c r="Z97" s="10"/>
      <c r="AA97" s="10"/>
      <c r="AB97" s="10"/>
      <c r="AC97" s="10"/>
      <c r="AD97" t="s">
        <v>19</v>
      </c>
      <c r="AE97" t="s">
        <v>20</v>
      </c>
      <c r="AG97">
        <v>1</v>
      </c>
    </row>
    <row r="98" spans="1:33" ht="72.5">
      <c r="A98" t="s">
        <v>587</v>
      </c>
      <c r="B98" s="4" t="s">
        <v>1661</v>
      </c>
      <c r="C98" s="4" t="s">
        <v>1660</v>
      </c>
      <c r="G98" s="10" t="s">
        <v>2201</v>
      </c>
      <c r="H98" s="10"/>
      <c r="I98" s="10"/>
      <c r="J98" s="10"/>
      <c r="K98" s="10"/>
      <c r="L98" s="10"/>
      <c r="M98" s="10"/>
      <c r="N98" s="11"/>
      <c r="O98" s="10"/>
      <c r="P98" s="10"/>
      <c r="Q98" s="10"/>
      <c r="R98" s="10" t="s">
        <v>2387</v>
      </c>
      <c r="S98" s="10" t="s">
        <v>2387</v>
      </c>
      <c r="T98" s="10"/>
      <c r="U98" s="10"/>
      <c r="V98" s="10"/>
      <c r="W98" s="10"/>
      <c r="X98" s="10"/>
      <c r="Y98" s="10"/>
      <c r="Z98" s="10"/>
      <c r="AA98" s="10"/>
      <c r="AB98" s="10"/>
      <c r="AC98" s="10"/>
      <c r="AD98" t="s">
        <v>19</v>
      </c>
      <c r="AE98" t="s">
        <v>20</v>
      </c>
      <c r="AG98">
        <v>1</v>
      </c>
    </row>
    <row r="99" spans="1:33" ht="43.5">
      <c r="A99" t="s">
        <v>602</v>
      </c>
      <c r="B99" s="4" t="s">
        <v>1686</v>
      </c>
      <c r="C99" s="4" t="s">
        <v>1687</v>
      </c>
      <c r="G99" s="10" t="s">
        <v>2201</v>
      </c>
      <c r="H99" s="10"/>
      <c r="I99" s="10"/>
      <c r="J99" s="10"/>
      <c r="K99" s="10"/>
      <c r="L99" s="10"/>
      <c r="M99" s="10"/>
      <c r="N99" s="11"/>
      <c r="O99" s="10"/>
      <c r="P99" s="10"/>
      <c r="Q99" s="10"/>
      <c r="R99" s="10" t="s">
        <v>2387</v>
      </c>
      <c r="S99" s="10" t="s">
        <v>2387</v>
      </c>
      <c r="T99" s="10"/>
      <c r="U99" s="10"/>
      <c r="V99" s="10"/>
      <c r="W99" s="10"/>
      <c r="X99" s="10"/>
      <c r="Y99" s="10"/>
      <c r="Z99" s="10"/>
      <c r="AA99" s="10"/>
      <c r="AB99" s="10"/>
      <c r="AC99" s="10"/>
      <c r="AD99" t="s">
        <v>19</v>
      </c>
      <c r="AE99" t="s">
        <v>20</v>
      </c>
      <c r="AG99">
        <v>1</v>
      </c>
    </row>
    <row r="100" spans="1:33" ht="58">
      <c r="A100" t="s">
        <v>602</v>
      </c>
      <c r="B100" s="4" t="s">
        <v>1690</v>
      </c>
      <c r="C100" s="4" t="s">
        <v>1691</v>
      </c>
      <c r="G100" s="10" t="s">
        <v>25</v>
      </c>
      <c r="H100" s="10"/>
      <c r="I100" s="10">
        <v>1</v>
      </c>
      <c r="J100" s="10">
        <v>3</v>
      </c>
      <c r="K100" s="10" t="s">
        <v>2158</v>
      </c>
      <c r="L100" s="10" t="s">
        <v>2159</v>
      </c>
      <c r="M100" s="10"/>
      <c r="N100" s="11"/>
      <c r="O100" s="10"/>
      <c r="P100" s="10">
        <v>2475</v>
      </c>
      <c r="Q100" s="10"/>
      <c r="R100" s="10" t="s">
        <v>2387</v>
      </c>
      <c r="S100" s="10" t="s">
        <v>2387</v>
      </c>
      <c r="T100" s="10"/>
      <c r="U100" s="10"/>
      <c r="V100" s="10"/>
      <c r="W100" s="10"/>
      <c r="X100" s="10"/>
      <c r="Y100" s="10"/>
      <c r="Z100" s="10"/>
      <c r="AA100" s="10"/>
      <c r="AB100" s="10"/>
      <c r="AC100" s="10"/>
      <c r="AD100" t="s">
        <v>19</v>
      </c>
      <c r="AE100" t="s">
        <v>20</v>
      </c>
      <c r="AG100">
        <v>1</v>
      </c>
    </row>
    <row r="101" spans="1:33" ht="29">
      <c r="A101" t="s">
        <v>603</v>
      </c>
      <c r="B101" s="4" t="s">
        <v>1695</v>
      </c>
      <c r="C101" s="4" t="s">
        <v>1696</v>
      </c>
      <c r="G101" s="10" t="s">
        <v>2199</v>
      </c>
      <c r="H101" s="10"/>
      <c r="I101" s="10"/>
      <c r="J101" s="10"/>
      <c r="K101" s="10"/>
      <c r="L101" s="10"/>
      <c r="M101" s="10"/>
      <c r="N101" s="11"/>
      <c r="O101" s="10"/>
      <c r="P101" s="10"/>
      <c r="Q101" s="10">
        <v>-1088</v>
      </c>
      <c r="R101" s="10">
        <v>1701</v>
      </c>
      <c r="S101" s="10">
        <v>613</v>
      </c>
      <c r="T101" s="10"/>
      <c r="U101" s="10"/>
      <c r="V101" s="10"/>
      <c r="W101" s="10"/>
      <c r="X101" s="10"/>
      <c r="Y101" s="10"/>
      <c r="Z101" s="10"/>
      <c r="AA101" s="10"/>
      <c r="AB101" s="10"/>
      <c r="AC101" s="10"/>
      <c r="AD101" t="s">
        <v>19</v>
      </c>
      <c r="AE101" t="s">
        <v>20</v>
      </c>
      <c r="AG101">
        <v>1</v>
      </c>
    </row>
    <row r="102" spans="1:33" ht="43.5">
      <c r="A102" t="s">
        <v>603</v>
      </c>
      <c r="B102" s="4" t="s">
        <v>1697</v>
      </c>
      <c r="C102" s="4" t="s">
        <v>1698</v>
      </c>
      <c r="G102" s="10" t="s">
        <v>25</v>
      </c>
      <c r="H102" s="10"/>
      <c r="I102" s="10">
        <v>1</v>
      </c>
      <c r="J102" s="10">
        <v>2</v>
      </c>
      <c r="K102" s="10" t="s">
        <v>2158</v>
      </c>
      <c r="L102" s="10" t="s">
        <v>2200</v>
      </c>
      <c r="M102" s="10"/>
      <c r="N102" s="11"/>
      <c r="O102" s="10"/>
      <c r="P102" s="10">
        <v>2475</v>
      </c>
      <c r="Q102" s="10"/>
      <c r="R102" s="10" t="s">
        <v>2387</v>
      </c>
      <c r="S102" s="10" t="s">
        <v>2387</v>
      </c>
      <c r="T102" s="10"/>
      <c r="U102" s="10"/>
      <c r="V102" s="10"/>
      <c r="W102" s="10"/>
      <c r="X102" s="10"/>
      <c r="Y102" s="10"/>
      <c r="Z102" s="10"/>
      <c r="AA102" s="10"/>
      <c r="AB102" s="10"/>
      <c r="AC102" s="10"/>
      <c r="AD102" t="s">
        <v>19</v>
      </c>
      <c r="AE102" t="s">
        <v>20</v>
      </c>
      <c r="AG102">
        <v>1</v>
      </c>
    </row>
    <row r="103" spans="1:33" ht="29">
      <c r="A103" t="s">
        <v>604</v>
      </c>
      <c r="B103" s="4" t="s">
        <v>1700</v>
      </c>
      <c r="C103" s="4" t="s">
        <v>1699</v>
      </c>
      <c r="G103" s="10" t="s">
        <v>24</v>
      </c>
      <c r="H103" s="10"/>
      <c r="I103" s="10">
        <v>1</v>
      </c>
      <c r="J103" s="10">
        <v>2</v>
      </c>
      <c r="K103" s="10" t="s">
        <v>2168</v>
      </c>
      <c r="L103" s="10" t="s">
        <v>2200</v>
      </c>
      <c r="M103" s="10"/>
      <c r="N103" s="11"/>
      <c r="O103" s="10"/>
      <c r="P103" s="10">
        <v>171</v>
      </c>
      <c r="Q103" s="10"/>
      <c r="R103" s="10" t="s">
        <v>2387</v>
      </c>
      <c r="S103" s="10" t="s">
        <v>2387</v>
      </c>
      <c r="T103" s="10"/>
      <c r="U103" s="10"/>
      <c r="V103" s="10"/>
      <c r="W103" s="10"/>
      <c r="X103" s="10"/>
      <c r="Y103" s="10"/>
      <c r="Z103" s="10"/>
      <c r="AA103" s="10"/>
      <c r="AB103" s="10"/>
      <c r="AC103" s="10"/>
      <c r="AD103" t="s">
        <v>19</v>
      </c>
      <c r="AE103" t="s">
        <v>20</v>
      </c>
      <c r="AG103">
        <v>1</v>
      </c>
    </row>
    <row r="104" spans="1:33" ht="29">
      <c r="A104" t="s">
        <v>609</v>
      </c>
      <c r="B104" s="4" t="s">
        <v>1717</v>
      </c>
      <c r="C104" s="4" t="s">
        <v>1718</v>
      </c>
      <c r="F104" t="s">
        <v>23</v>
      </c>
      <c r="G104" s="10" t="s">
        <v>25</v>
      </c>
      <c r="H104" s="10"/>
      <c r="I104" s="10">
        <v>1</v>
      </c>
      <c r="J104" s="10">
        <v>3</v>
      </c>
      <c r="K104" s="10" t="s">
        <v>2158</v>
      </c>
      <c r="L104" s="10" t="s">
        <v>2159</v>
      </c>
      <c r="M104" s="10"/>
      <c r="N104" s="11"/>
      <c r="O104" s="10"/>
      <c r="P104" s="10">
        <v>2475</v>
      </c>
      <c r="Q104" s="10"/>
      <c r="R104" s="10" t="s">
        <v>2387</v>
      </c>
      <c r="S104" s="10" t="s">
        <v>2387</v>
      </c>
      <c r="T104" s="10"/>
      <c r="U104" s="10"/>
      <c r="V104" s="10"/>
      <c r="W104" s="10"/>
      <c r="X104" s="10"/>
      <c r="Y104" s="10"/>
      <c r="Z104" s="10"/>
      <c r="AA104" s="10"/>
      <c r="AB104" s="10"/>
      <c r="AC104" s="10"/>
      <c r="AD104" t="s">
        <v>20</v>
      </c>
      <c r="AE104" t="s">
        <v>20</v>
      </c>
      <c r="AG104">
        <v>0</v>
      </c>
    </row>
    <row r="105" spans="1:33" ht="29">
      <c r="A105" t="s">
        <v>614</v>
      </c>
      <c r="B105" s="4" t="s">
        <v>1727</v>
      </c>
      <c r="C105" s="4" t="s">
        <v>1728</v>
      </c>
      <c r="G105" s="10" t="s">
        <v>25</v>
      </c>
      <c r="H105" s="10"/>
      <c r="I105" s="10">
        <v>1</v>
      </c>
      <c r="J105" s="10">
        <v>3</v>
      </c>
      <c r="K105" s="10" t="s">
        <v>2158</v>
      </c>
      <c r="L105" s="10" t="s">
        <v>2159</v>
      </c>
      <c r="M105" s="10"/>
      <c r="N105" s="11"/>
      <c r="O105" s="10"/>
      <c r="P105" s="10">
        <v>2475</v>
      </c>
      <c r="Q105" s="10"/>
      <c r="R105" s="10" t="s">
        <v>2387</v>
      </c>
      <c r="S105" s="10" t="s">
        <v>2387</v>
      </c>
      <c r="T105" s="10"/>
      <c r="U105" s="10"/>
      <c r="V105" s="10"/>
      <c r="W105" s="10"/>
      <c r="X105" s="10"/>
      <c r="Y105" s="10"/>
      <c r="Z105" s="10"/>
      <c r="AA105" s="10"/>
      <c r="AB105" s="10"/>
      <c r="AC105" s="10"/>
      <c r="AD105" t="s">
        <v>19</v>
      </c>
      <c r="AE105" t="s">
        <v>20</v>
      </c>
      <c r="AG105">
        <v>1</v>
      </c>
    </row>
    <row r="106" spans="1:33" ht="43.5">
      <c r="A106" t="s">
        <v>620</v>
      </c>
      <c r="B106" s="4" t="s">
        <v>1739</v>
      </c>
      <c r="C106" s="4" t="s">
        <v>1738</v>
      </c>
      <c r="G106" s="10" t="s">
        <v>25</v>
      </c>
      <c r="H106" s="10"/>
      <c r="I106" s="10">
        <v>1</v>
      </c>
      <c r="J106" s="10">
        <v>3</v>
      </c>
      <c r="K106" s="10" t="s">
        <v>2175</v>
      </c>
      <c r="L106" s="10" t="s">
        <v>2159</v>
      </c>
      <c r="M106" s="10"/>
      <c r="N106" s="11"/>
      <c r="O106" s="10"/>
      <c r="P106" s="10">
        <v>743</v>
      </c>
      <c r="Q106" s="10"/>
      <c r="R106" s="10" t="s">
        <v>2387</v>
      </c>
      <c r="S106" s="10" t="s">
        <v>2387</v>
      </c>
      <c r="T106" s="10"/>
      <c r="U106" s="10"/>
      <c r="V106" s="10"/>
      <c r="W106" s="10"/>
      <c r="X106" s="10"/>
      <c r="Y106" s="10"/>
      <c r="Z106" s="10"/>
      <c r="AA106" s="10"/>
      <c r="AB106" s="10"/>
      <c r="AC106" s="10"/>
      <c r="AD106" t="s">
        <v>19</v>
      </c>
      <c r="AE106" t="s">
        <v>20</v>
      </c>
      <c r="AG106">
        <v>1</v>
      </c>
    </row>
    <row r="107" spans="1:33" ht="29">
      <c r="A107" t="s">
        <v>630</v>
      </c>
      <c r="B107" s="4" t="s">
        <v>631</v>
      </c>
      <c r="C107" s="4" t="s">
        <v>632</v>
      </c>
      <c r="G107" s="10" t="s">
        <v>2201</v>
      </c>
      <c r="H107" s="10"/>
      <c r="I107" s="10"/>
      <c r="J107" s="10"/>
      <c r="K107" s="10"/>
      <c r="L107" s="10"/>
      <c r="M107" s="10"/>
      <c r="N107" s="11"/>
      <c r="O107" s="10"/>
      <c r="P107" s="10"/>
      <c r="Q107" s="10"/>
      <c r="R107" s="10" t="s">
        <v>2387</v>
      </c>
      <c r="S107" s="10" t="s">
        <v>2387</v>
      </c>
      <c r="T107" s="10"/>
      <c r="U107" s="10"/>
      <c r="V107" s="10"/>
      <c r="W107" s="10"/>
      <c r="X107" s="10"/>
      <c r="Y107" s="10"/>
      <c r="Z107" s="10"/>
      <c r="AA107" s="10"/>
      <c r="AB107" s="10"/>
      <c r="AC107" s="10"/>
      <c r="AD107" t="s">
        <v>19</v>
      </c>
      <c r="AE107" t="s">
        <v>20</v>
      </c>
      <c r="AG107">
        <v>1</v>
      </c>
    </row>
    <row r="108" spans="1:33" ht="58">
      <c r="A108" t="s">
        <v>641</v>
      </c>
      <c r="B108" s="4" t="s">
        <v>1772</v>
      </c>
      <c r="C108" s="4" t="s">
        <v>1771</v>
      </c>
      <c r="G108" s="10" t="s">
        <v>26</v>
      </c>
      <c r="H108" s="10"/>
      <c r="I108" s="10"/>
      <c r="J108" s="10"/>
      <c r="K108" s="10"/>
      <c r="L108" s="10"/>
      <c r="M108" s="10"/>
      <c r="N108" s="11"/>
      <c r="O108" s="10"/>
      <c r="P108" s="10"/>
      <c r="Q108" s="10"/>
      <c r="R108" s="10" t="s">
        <v>2387</v>
      </c>
      <c r="S108" s="10" t="s">
        <v>2387</v>
      </c>
      <c r="T108" s="10"/>
      <c r="U108" s="10"/>
      <c r="V108" s="10"/>
      <c r="W108" s="10"/>
      <c r="X108" s="10"/>
      <c r="Y108" s="10"/>
      <c r="Z108" s="10"/>
      <c r="AA108" s="10"/>
      <c r="AB108" s="10"/>
      <c r="AC108" s="10"/>
      <c r="AD108" t="s">
        <v>19</v>
      </c>
      <c r="AE108" t="s">
        <v>20</v>
      </c>
      <c r="AG108">
        <v>1</v>
      </c>
    </row>
    <row r="109" spans="1:33" ht="188.5">
      <c r="A109" t="s">
        <v>647</v>
      </c>
      <c r="B109" s="4" t="s">
        <v>1792</v>
      </c>
      <c r="C109" s="4" t="s">
        <v>1793</v>
      </c>
      <c r="F109" t="s">
        <v>19</v>
      </c>
      <c r="G109" s="10" t="s">
        <v>25</v>
      </c>
      <c r="H109" s="10"/>
      <c r="I109" s="10">
        <v>8</v>
      </c>
      <c r="J109" s="10">
        <v>45</v>
      </c>
      <c r="K109" s="10"/>
      <c r="L109" s="10" t="s">
        <v>2153</v>
      </c>
      <c r="M109" s="10" t="s">
        <v>2244</v>
      </c>
      <c r="N109" s="11" t="s">
        <v>2275</v>
      </c>
      <c r="O109" s="10"/>
      <c r="P109" s="10">
        <v>1</v>
      </c>
      <c r="Q109" s="10"/>
      <c r="R109" s="10" t="s">
        <v>2387</v>
      </c>
      <c r="S109" s="10" t="s">
        <v>2387</v>
      </c>
      <c r="T109" s="10"/>
      <c r="U109" s="10"/>
      <c r="V109" s="10"/>
      <c r="W109" s="10"/>
      <c r="X109" s="10"/>
      <c r="Y109" s="10"/>
      <c r="Z109" s="10"/>
      <c r="AA109" s="10"/>
      <c r="AB109" s="10"/>
      <c r="AC109" s="10"/>
      <c r="AD109" t="s">
        <v>19</v>
      </c>
      <c r="AE109" t="s">
        <v>20</v>
      </c>
      <c r="AG109">
        <v>1</v>
      </c>
    </row>
    <row r="110" spans="1:33" ht="29">
      <c r="A110" t="s">
        <v>653</v>
      </c>
      <c r="B110" s="4" t="s">
        <v>1808</v>
      </c>
      <c r="C110" s="4" t="s">
        <v>1809</v>
      </c>
      <c r="F110" t="s">
        <v>19</v>
      </c>
      <c r="G110" s="10" t="s">
        <v>25</v>
      </c>
      <c r="H110" s="10"/>
      <c r="I110" s="10">
        <v>1</v>
      </c>
      <c r="J110" s="10">
        <v>3</v>
      </c>
      <c r="K110" s="10" t="s">
        <v>2179</v>
      </c>
      <c r="L110" s="10" t="s">
        <v>2159</v>
      </c>
      <c r="M110" s="10"/>
      <c r="N110" s="11"/>
      <c r="O110" s="10"/>
      <c r="P110" s="10">
        <v>204</v>
      </c>
      <c r="Q110" s="10"/>
      <c r="R110" s="10" t="s">
        <v>2387</v>
      </c>
      <c r="S110" s="10" t="s">
        <v>2387</v>
      </c>
      <c r="T110" s="10"/>
      <c r="U110" s="10"/>
      <c r="V110" s="10"/>
      <c r="W110" s="10"/>
      <c r="X110" s="10"/>
      <c r="Y110" s="10"/>
      <c r="Z110" s="10"/>
      <c r="AA110" s="10"/>
      <c r="AB110" s="10"/>
      <c r="AC110" s="10"/>
      <c r="AD110" t="s">
        <v>20</v>
      </c>
      <c r="AE110" t="s">
        <v>20</v>
      </c>
      <c r="AG110">
        <v>0</v>
      </c>
    </row>
    <row r="111" spans="1:33">
      <c r="A111" t="s">
        <v>662</v>
      </c>
      <c r="B111" s="4" t="s">
        <v>663</v>
      </c>
      <c r="C111" s="4" t="s">
        <v>444</v>
      </c>
      <c r="F111" t="s">
        <v>19</v>
      </c>
      <c r="G111" s="10" t="s">
        <v>2201</v>
      </c>
      <c r="H111" s="10"/>
      <c r="I111" s="10"/>
      <c r="J111" s="10"/>
      <c r="K111" s="10"/>
      <c r="L111" s="10"/>
      <c r="M111" s="10"/>
      <c r="N111" s="11"/>
      <c r="O111" s="10"/>
      <c r="P111" s="10"/>
      <c r="Q111" s="10"/>
      <c r="R111" s="10" t="s">
        <v>2387</v>
      </c>
      <c r="S111" s="10" t="s">
        <v>2387</v>
      </c>
      <c r="T111" s="10"/>
      <c r="U111" s="10"/>
      <c r="V111" s="10"/>
      <c r="W111" s="10"/>
      <c r="X111" s="10"/>
      <c r="Y111" s="10"/>
      <c r="Z111" s="10"/>
      <c r="AA111" s="10"/>
      <c r="AB111" s="10"/>
      <c r="AC111" s="10"/>
      <c r="AD111" t="s">
        <v>20</v>
      </c>
      <c r="AE111" t="s">
        <v>20</v>
      </c>
      <c r="AG111">
        <v>0</v>
      </c>
    </row>
    <row r="112" spans="1:33" ht="29">
      <c r="A112" t="s">
        <v>664</v>
      </c>
      <c r="B112" s="4" t="s">
        <v>1817</v>
      </c>
      <c r="C112" s="4" t="s">
        <v>1816</v>
      </c>
      <c r="G112" s="10" t="s">
        <v>2201</v>
      </c>
      <c r="H112" s="10"/>
      <c r="I112" s="10"/>
      <c r="J112" s="10"/>
      <c r="K112" s="10"/>
      <c r="L112" s="10"/>
      <c r="M112" s="10"/>
      <c r="N112" s="11"/>
      <c r="O112" s="10"/>
      <c r="P112" s="10"/>
      <c r="Q112" s="10"/>
      <c r="R112" s="10" t="s">
        <v>2387</v>
      </c>
      <c r="S112" s="10" t="s">
        <v>2387</v>
      </c>
      <c r="T112" s="10"/>
      <c r="U112" s="10"/>
      <c r="V112" s="10"/>
      <c r="W112" s="10"/>
      <c r="X112" s="10"/>
      <c r="Y112" s="10"/>
      <c r="Z112" s="10"/>
      <c r="AA112" s="10"/>
      <c r="AB112" s="10"/>
      <c r="AC112" s="10"/>
      <c r="AD112" t="s">
        <v>20</v>
      </c>
      <c r="AE112" t="s">
        <v>20</v>
      </c>
      <c r="AG112">
        <v>0</v>
      </c>
    </row>
    <row r="113" spans="1:33" ht="29">
      <c r="A113" t="s">
        <v>675</v>
      </c>
      <c r="B113" s="4" t="s">
        <v>1837</v>
      </c>
      <c r="C113" s="4" t="s">
        <v>1836</v>
      </c>
      <c r="G113" s="10" t="s">
        <v>25</v>
      </c>
      <c r="H113" s="10"/>
      <c r="I113" s="10">
        <v>1</v>
      </c>
      <c r="J113" s="10">
        <v>3</v>
      </c>
      <c r="K113" s="10" t="s">
        <v>2158</v>
      </c>
      <c r="L113" s="10" t="s">
        <v>2159</v>
      </c>
      <c r="M113" s="10"/>
      <c r="N113" s="11"/>
      <c r="O113" s="10"/>
      <c r="P113" s="10">
        <v>2475</v>
      </c>
      <c r="Q113" s="10"/>
      <c r="R113" s="10" t="s">
        <v>2387</v>
      </c>
      <c r="S113" s="10" t="s">
        <v>2387</v>
      </c>
      <c r="T113" s="10"/>
      <c r="U113" s="10"/>
      <c r="V113" s="10"/>
      <c r="W113" s="10"/>
      <c r="X113" s="10"/>
      <c r="Y113" s="10"/>
      <c r="Z113" s="10"/>
      <c r="AA113" s="10"/>
      <c r="AB113" s="10"/>
      <c r="AC113" s="10"/>
      <c r="AD113" t="s">
        <v>19</v>
      </c>
      <c r="AE113" t="s">
        <v>20</v>
      </c>
      <c r="AG113">
        <v>1</v>
      </c>
    </row>
    <row r="114" spans="1:33" ht="43.5">
      <c r="A114" t="s">
        <v>676</v>
      </c>
      <c r="B114" s="4" t="s">
        <v>1838</v>
      </c>
      <c r="C114" s="4" t="s">
        <v>1839</v>
      </c>
      <c r="F114" t="s">
        <v>19</v>
      </c>
      <c r="G114" s="10" t="s">
        <v>25</v>
      </c>
      <c r="H114" s="10"/>
      <c r="I114" s="10">
        <v>1</v>
      </c>
      <c r="J114" s="10">
        <v>4</v>
      </c>
      <c r="K114" s="10" t="s">
        <v>2177</v>
      </c>
      <c r="L114" s="10" t="s">
        <v>2159</v>
      </c>
      <c r="M114" s="10"/>
      <c r="N114" s="11"/>
      <c r="O114" s="10"/>
      <c r="P114" s="10">
        <v>99</v>
      </c>
      <c r="Q114" s="10"/>
      <c r="R114" s="10" t="s">
        <v>2387</v>
      </c>
      <c r="S114" s="10" t="s">
        <v>2387</v>
      </c>
      <c r="T114" s="10"/>
      <c r="U114" s="10"/>
      <c r="V114" s="10"/>
      <c r="W114" s="10"/>
      <c r="X114" s="10"/>
      <c r="Y114" s="10"/>
      <c r="Z114" s="10"/>
      <c r="AA114" s="10"/>
      <c r="AB114" s="10"/>
      <c r="AC114" s="10"/>
      <c r="AD114" t="s">
        <v>20</v>
      </c>
      <c r="AE114" t="s">
        <v>20</v>
      </c>
      <c r="AG114">
        <v>0</v>
      </c>
    </row>
    <row r="115" spans="1:33" ht="29">
      <c r="A115" t="s">
        <v>676</v>
      </c>
      <c r="B115" s="4" t="s">
        <v>677</v>
      </c>
      <c r="C115" s="4" t="s">
        <v>678</v>
      </c>
      <c r="G115" s="10" t="s">
        <v>2199</v>
      </c>
      <c r="H115" s="10"/>
      <c r="I115" s="10"/>
      <c r="J115" s="10"/>
      <c r="K115" s="10"/>
      <c r="L115" s="10"/>
      <c r="M115" s="10"/>
      <c r="N115" s="10"/>
      <c r="O115" s="10"/>
      <c r="P115" s="10"/>
      <c r="Q115" s="10">
        <v>-1</v>
      </c>
      <c r="R115" s="10">
        <v>1</v>
      </c>
      <c r="S115" s="10">
        <v>0</v>
      </c>
      <c r="T115" s="10"/>
      <c r="U115" s="10"/>
      <c r="V115" s="10"/>
      <c r="W115" s="10"/>
      <c r="X115" s="10"/>
      <c r="Y115" s="10"/>
      <c r="Z115" s="10"/>
      <c r="AA115" s="10"/>
      <c r="AB115" s="10"/>
      <c r="AC115" s="10"/>
      <c r="AD115" t="s">
        <v>20</v>
      </c>
      <c r="AE115" t="s">
        <v>20</v>
      </c>
      <c r="AG115">
        <v>0</v>
      </c>
    </row>
    <row r="116" spans="1:33" ht="43.5">
      <c r="A116" t="s">
        <v>683</v>
      </c>
      <c r="B116" s="4" t="s">
        <v>1861</v>
      </c>
      <c r="C116" s="4" t="s">
        <v>1862</v>
      </c>
      <c r="G116" s="10" t="s">
        <v>2201</v>
      </c>
      <c r="H116" s="10"/>
      <c r="I116" s="10"/>
      <c r="J116" s="10"/>
      <c r="K116" s="10"/>
      <c r="L116" s="10"/>
      <c r="M116" s="10"/>
      <c r="N116" s="11"/>
      <c r="O116" s="10"/>
      <c r="P116" s="10"/>
      <c r="Q116" s="10"/>
      <c r="R116" s="10" t="s">
        <v>2387</v>
      </c>
      <c r="S116" s="10" t="s">
        <v>2387</v>
      </c>
      <c r="T116" s="10"/>
      <c r="U116" s="10"/>
      <c r="V116" s="10"/>
      <c r="W116" s="10"/>
      <c r="X116" s="10"/>
      <c r="Y116" s="10"/>
      <c r="Z116" s="10"/>
      <c r="AA116" s="10"/>
      <c r="AB116" s="10"/>
      <c r="AC116" s="10"/>
      <c r="AD116" t="s">
        <v>19</v>
      </c>
      <c r="AE116" t="s">
        <v>20</v>
      </c>
      <c r="AG116">
        <v>1</v>
      </c>
    </row>
    <row r="117" spans="1:33" ht="72.5">
      <c r="A117" t="s">
        <v>687</v>
      </c>
      <c r="B117" s="4" t="s">
        <v>1871</v>
      </c>
      <c r="C117" s="6" t="s">
        <v>1874</v>
      </c>
      <c r="G117" s="10" t="s">
        <v>24</v>
      </c>
      <c r="H117" s="10"/>
      <c r="I117" s="10">
        <v>1</v>
      </c>
      <c r="J117" s="10">
        <v>4</v>
      </c>
      <c r="K117" s="10" t="s">
        <v>2219</v>
      </c>
      <c r="L117" s="10" t="s">
        <v>2159</v>
      </c>
      <c r="M117" s="10"/>
      <c r="N117" s="11"/>
      <c r="O117" s="10"/>
      <c r="P117" s="10">
        <v>295</v>
      </c>
      <c r="Q117" s="10"/>
      <c r="R117" s="10" t="s">
        <v>2387</v>
      </c>
      <c r="S117" s="10" t="s">
        <v>2387</v>
      </c>
      <c r="T117" s="10"/>
      <c r="U117" s="10"/>
      <c r="V117" s="10"/>
      <c r="W117" s="10"/>
      <c r="X117" s="10"/>
      <c r="Y117" s="10"/>
      <c r="Z117" s="10"/>
      <c r="AA117" s="10"/>
      <c r="AB117" s="10"/>
      <c r="AC117" s="10" t="s">
        <v>19</v>
      </c>
      <c r="AD117" t="s">
        <v>19</v>
      </c>
      <c r="AE117" t="s">
        <v>20</v>
      </c>
      <c r="AG117">
        <v>1</v>
      </c>
    </row>
    <row r="118" spans="1:33" ht="29">
      <c r="A118" t="s">
        <v>689</v>
      </c>
      <c r="B118" s="4" t="s">
        <v>1883</v>
      </c>
      <c r="C118" s="4" t="s">
        <v>1884</v>
      </c>
      <c r="G118" s="10" t="s">
        <v>2201</v>
      </c>
      <c r="H118" s="10"/>
      <c r="I118" s="10"/>
      <c r="J118" s="10"/>
      <c r="K118" s="10"/>
      <c r="L118" s="10"/>
      <c r="M118" s="10"/>
      <c r="N118" s="11"/>
      <c r="O118" s="10"/>
      <c r="P118" s="10"/>
      <c r="Q118" s="10"/>
      <c r="R118" s="10" t="s">
        <v>2387</v>
      </c>
      <c r="S118" s="10" t="s">
        <v>2387</v>
      </c>
      <c r="T118" s="10"/>
      <c r="U118" s="10"/>
      <c r="V118" s="10"/>
      <c r="W118" s="10"/>
      <c r="X118" s="10"/>
      <c r="Y118" s="10"/>
      <c r="Z118" s="10"/>
      <c r="AA118" s="10"/>
      <c r="AB118" s="10"/>
      <c r="AC118" s="10"/>
      <c r="AD118" t="s">
        <v>19</v>
      </c>
      <c r="AE118" t="s">
        <v>20</v>
      </c>
      <c r="AG118">
        <v>1</v>
      </c>
    </row>
    <row r="119" spans="1:33" ht="58">
      <c r="A119" t="s">
        <v>693</v>
      </c>
      <c r="B119" s="4" t="s">
        <v>1893</v>
      </c>
      <c r="C119" s="4" t="s">
        <v>1894</v>
      </c>
      <c r="G119" s="10" t="s">
        <v>2199</v>
      </c>
      <c r="H119" s="10"/>
      <c r="I119" s="10"/>
      <c r="J119" s="10"/>
      <c r="K119" s="10"/>
      <c r="L119" s="10"/>
      <c r="M119" s="10"/>
      <c r="N119" s="10"/>
      <c r="O119" s="10"/>
      <c r="P119" s="10"/>
      <c r="Q119" s="10">
        <v>-2</v>
      </c>
      <c r="R119" s="10">
        <v>3</v>
      </c>
      <c r="S119" s="10">
        <v>1</v>
      </c>
      <c r="T119" s="10"/>
      <c r="U119" s="10"/>
      <c r="V119" s="10"/>
      <c r="W119" s="10"/>
      <c r="X119" s="10"/>
      <c r="Y119" s="10"/>
      <c r="Z119" s="10"/>
      <c r="AA119" s="10"/>
      <c r="AB119" s="10"/>
      <c r="AC119" s="10"/>
      <c r="AD119" t="s">
        <v>19</v>
      </c>
      <c r="AE119" t="s">
        <v>20</v>
      </c>
      <c r="AG119">
        <v>1</v>
      </c>
    </row>
    <row r="120" spans="1:33" ht="116">
      <c r="A120" t="s">
        <v>699</v>
      </c>
      <c r="B120" s="4" t="s">
        <v>1911</v>
      </c>
      <c r="C120" s="4" t="s">
        <v>1910</v>
      </c>
      <c r="G120" s="10" t="s">
        <v>25</v>
      </c>
      <c r="H120" s="10"/>
      <c r="I120" s="10">
        <v>1</v>
      </c>
      <c r="J120" s="10">
        <v>3</v>
      </c>
      <c r="K120" s="10" t="s">
        <v>2158</v>
      </c>
      <c r="L120" s="10" t="s">
        <v>2159</v>
      </c>
      <c r="M120" s="10"/>
      <c r="N120" s="11"/>
      <c r="O120" s="10"/>
      <c r="P120" s="10">
        <v>2475</v>
      </c>
      <c r="Q120" s="10"/>
      <c r="R120" s="10" t="s">
        <v>2387</v>
      </c>
      <c r="S120" s="10" t="s">
        <v>2387</v>
      </c>
      <c r="T120" s="10"/>
      <c r="U120" s="10"/>
      <c r="V120" s="10"/>
      <c r="W120" s="10"/>
      <c r="X120" s="10"/>
      <c r="Y120" s="10"/>
      <c r="Z120" s="10"/>
      <c r="AA120" s="10"/>
      <c r="AB120" s="10"/>
      <c r="AC120" s="10"/>
      <c r="AD120" t="s">
        <v>20</v>
      </c>
      <c r="AE120" t="s">
        <v>20</v>
      </c>
      <c r="AG120">
        <v>0</v>
      </c>
    </row>
    <row r="121" spans="1:33" ht="116">
      <c r="A121" t="s">
        <v>699</v>
      </c>
      <c r="B121" s="4" t="s">
        <v>1912</v>
      </c>
      <c r="C121" s="4" t="s">
        <v>1910</v>
      </c>
      <c r="G121" s="10" t="s">
        <v>25</v>
      </c>
      <c r="H121" s="10"/>
      <c r="I121" s="10">
        <v>3</v>
      </c>
      <c r="J121" s="10">
        <v>11</v>
      </c>
      <c r="K121" s="10"/>
      <c r="L121" s="10" t="s">
        <v>2153</v>
      </c>
      <c r="M121" s="10" t="s">
        <v>2244</v>
      </c>
      <c r="N121" s="11" t="s">
        <v>2309</v>
      </c>
      <c r="O121" s="10"/>
      <c r="P121" s="10">
        <v>48</v>
      </c>
      <c r="Q121" s="10"/>
      <c r="R121" s="10" t="s">
        <v>2387</v>
      </c>
      <c r="S121" s="10" t="s">
        <v>2387</v>
      </c>
      <c r="T121" s="10"/>
      <c r="U121" s="10"/>
      <c r="V121" s="10"/>
      <c r="W121" s="10"/>
      <c r="X121" s="10"/>
      <c r="Y121" s="10"/>
      <c r="Z121" s="10"/>
      <c r="AA121" s="10"/>
      <c r="AB121" s="10"/>
      <c r="AC121" s="10"/>
      <c r="AD121" t="s">
        <v>19</v>
      </c>
      <c r="AE121" t="s">
        <v>20</v>
      </c>
      <c r="AG121">
        <v>1</v>
      </c>
    </row>
    <row r="122" spans="1:33" ht="29">
      <c r="A122" t="s">
        <v>703</v>
      </c>
      <c r="B122" s="4" t="s">
        <v>1929</v>
      </c>
      <c r="C122" s="4" t="s">
        <v>1928</v>
      </c>
      <c r="F122" t="s">
        <v>19</v>
      </c>
      <c r="G122" s="10" t="s">
        <v>2201</v>
      </c>
      <c r="H122" s="10"/>
      <c r="I122" s="10"/>
      <c r="J122" s="10"/>
      <c r="K122" s="10"/>
      <c r="L122" s="10"/>
      <c r="M122" s="10"/>
      <c r="N122" s="11"/>
      <c r="O122" s="10"/>
      <c r="P122" s="10"/>
      <c r="Q122" s="10"/>
      <c r="R122" s="10" t="s">
        <v>2387</v>
      </c>
      <c r="S122" s="10" t="s">
        <v>2387</v>
      </c>
      <c r="T122" s="10"/>
      <c r="U122" s="10"/>
      <c r="V122" s="10"/>
      <c r="W122" s="10"/>
      <c r="X122" s="10"/>
      <c r="Y122" s="10"/>
      <c r="Z122" s="10"/>
      <c r="AA122" s="10"/>
      <c r="AB122" s="10"/>
      <c r="AC122" s="10"/>
      <c r="AD122" t="s">
        <v>20</v>
      </c>
      <c r="AE122" t="s">
        <v>20</v>
      </c>
      <c r="AG122">
        <v>0</v>
      </c>
    </row>
    <row r="123" spans="1:33" ht="29">
      <c r="A123" t="s">
        <v>710</v>
      </c>
      <c r="B123" s="4" t="s">
        <v>711</v>
      </c>
      <c r="C123" s="4" t="s">
        <v>712</v>
      </c>
      <c r="G123" s="10" t="s">
        <v>2199</v>
      </c>
      <c r="H123" s="10"/>
      <c r="I123" s="10"/>
      <c r="J123" s="10"/>
      <c r="K123" s="10"/>
      <c r="L123" s="10"/>
      <c r="M123" s="10"/>
      <c r="N123" s="11"/>
      <c r="O123" s="10"/>
      <c r="P123" s="10"/>
      <c r="Q123" s="10">
        <v>-1</v>
      </c>
      <c r="R123" s="10">
        <v>1</v>
      </c>
      <c r="S123" s="10">
        <v>0</v>
      </c>
      <c r="T123" s="10"/>
      <c r="U123" s="10"/>
      <c r="V123" s="10"/>
      <c r="W123" s="10"/>
      <c r="X123" s="10"/>
      <c r="Y123" s="10"/>
      <c r="Z123" s="10"/>
      <c r="AA123" s="10"/>
      <c r="AB123" s="10"/>
      <c r="AC123" s="10"/>
      <c r="AD123" t="s">
        <v>19</v>
      </c>
      <c r="AE123" t="s">
        <v>20</v>
      </c>
      <c r="AG123">
        <v>1</v>
      </c>
    </row>
    <row r="124" spans="1:33" ht="43.5">
      <c r="A124" t="s">
        <v>717</v>
      </c>
      <c r="B124" s="4" t="s">
        <v>1956</v>
      </c>
      <c r="C124" s="4" t="s">
        <v>1955</v>
      </c>
      <c r="G124" s="10" t="s">
        <v>25</v>
      </c>
      <c r="H124" s="10"/>
      <c r="I124" s="10">
        <v>1</v>
      </c>
      <c r="J124" s="10">
        <v>3</v>
      </c>
      <c r="K124" s="10" t="s">
        <v>2168</v>
      </c>
      <c r="L124" s="10" t="s">
        <v>2159</v>
      </c>
      <c r="M124" s="10"/>
      <c r="N124" s="11"/>
      <c r="O124" s="10"/>
      <c r="P124" s="10">
        <v>1701</v>
      </c>
      <c r="Q124" s="10"/>
      <c r="R124" s="10" t="s">
        <v>2387</v>
      </c>
      <c r="S124" s="10" t="s">
        <v>2387</v>
      </c>
      <c r="T124" s="10"/>
      <c r="U124" s="10"/>
      <c r="V124" s="10"/>
      <c r="W124" s="10"/>
      <c r="X124" s="10"/>
      <c r="Y124" s="10"/>
      <c r="Z124" s="10"/>
      <c r="AA124" s="10"/>
      <c r="AB124" s="10"/>
      <c r="AC124" s="10"/>
      <c r="AD124" t="s">
        <v>19</v>
      </c>
      <c r="AE124" t="s">
        <v>20</v>
      </c>
      <c r="AG124">
        <v>1</v>
      </c>
    </row>
    <row r="125" spans="1:33" ht="43.5">
      <c r="A125" t="s">
        <v>720</v>
      </c>
      <c r="B125" s="4" t="s">
        <v>1957</v>
      </c>
      <c r="C125" s="4" t="s">
        <v>1958</v>
      </c>
      <c r="G125" s="10" t="s">
        <v>2201</v>
      </c>
      <c r="H125" s="10"/>
      <c r="I125" s="10"/>
      <c r="J125" s="10"/>
      <c r="K125" s="10"/>
      <c r="L125" s="10"/>
      <c r="M125" s="10"/>
      <c r="N125" s="11"/>
      <c r="O125" s="10"/>
      <c r="P125" s="10"/>
      <c r="Q125" s="10"/>
      <c r="R125" s="10" t="s">
        <v>2387</v>
      </c>
      <c r="S125" s="10" t="s">
        <v>2387</v>
      </c>
      <c r="T125" s="10"/>
      <c r="U125" s="10"/>
      <c r="V125" s="10"/>
      <c r="W125" s="10"/>
      <c r="X125" s="10"/>
      <c r="Y125" s="10"/>
      <c r="Z125" s="10"/>
      <c r="AA125" s="10"/>
      <c r="AB125" s="10"/>
      <c r="AC125" s="10"/>
      <c r="AD125" t="s">
        <v>19</v>
      </c>
      <c r="AE125" t="s">
        <v>20</v>
      </c>
      <c r="AG125">
        <v>1</v>
      </c>
    </row>
    <row r="126" spans="1:33" ht="29">
      <c r="A126" t="s">
        <v>721</v>
      </c>
      <c r="B126" s="4" t="s">
        <v>1961</v>
      </c>
      <c r="C126" s="4" t="s">
        <v>1962</v>
      </c>
      <c r="G126" s="10" t="s">
        <v>25</v>
      </c>
      <c r="H126" s="10"/>
      <c r="I126" s="10">
        <v>1</v>
      </c>
      <c r="J126" s="10">
        <v>2</v>
      </c>
      <c r="K126" s="10" t="s">
        <v>2158</v>
      </c>
      <c r="L126" s="10" t="s">
        <v>2200</v>
      </c>
      <c r="M126" s="10"/>
      <c r="N126" s="11"/>
      <c r="O126" s="10"/>
      <c r="P126" s="10">
        <v>2475</v>
      </c>
      <c r="Q126" s="10"/>
      <c r="R126" s="10" t="s">
        <v>2387</v>
      </c>
      <c r="S126" s="10" t="s">
        <v>2387</v>
      </c>
      <c r="T126" s="10"/>
      <c r="U126" s="10"/>
      <c r="V126" s="10"/>
      <c r="W126" s="10"/>
      <c r="X126" s="10"/>
      <c r="Y126" s="10"/>
      <c r="Z126" s="10"/>
      <c r="AA126" s="10"/>
      <c r="AB126" s="10"/>
      <c r="AC126" s="10"/>
      <c r="AD126" t="s">
        <v>19</v>
      </c>
      <c r="AE126" t="s">
        <v>20</v>
      </c>
      <c r="AG126">
        <v>1</v>
      </c>
    </row>
    <row r="127" spans="1:33" ht="43.5">
      <c r="A127" t="s">
        <v>723</v>
      </c>
      <c r="B127" s="4" t="s">
        <v>1968</v>
      </c>
      <c r="C127" s="4" t="s">
        <v>1967</v>
      </c>
      <c r="G127" s="10" t="s">
        <v>2199</v>
      </c>
      <c r="H127" s="10"/>
      <c r="I127" s="10"/>
      <c r="J127" s="10"/>
      <c r="K127" s="10"/>
      <c r="L127" s="10"/>
      <c r="M127" s="10"/>
      <c r="N127" s="11"/>
      <c r="O127" s="10"/>
      <c r="P127" s="10"/>
      <c r="Q127" s="10">
        <v>-1862</v>
      </c>
      <c r="R127" s="10">
        <v>2475</v>
      </c>
      <c r="S127" s="10">
        <v>613</v>
      </c>
      <c r="T127" s="10"/>
      <c r="U127" s="10"/>
      <c r="V127" s="10"/>
      <c r="W127" s="10"/>
      <c r="X127" s="10"/>
      <c r="Y127" s="10"/>
      <c r="Z127" s="10"/>
      <c r="AA127" s="10"/>
      <c r="AB127" s="10"/>
      <c r="AC127" s="10"/>
      <c r="AD127" t="s">
        <v>19</v>
      </c>
      <c r="AE127" t="s">
        <v>20</v>
      </c>
      <c r="AG127">
        <v>1</v>
      </c>
    </row>
    <row r="128" spans="1:33" ht="58">
      <c r="A128" t="s">
        <v>724</v>
      </c>
      <c r="B128" s="4" t="s">
        <v>1972</v>
      </c>
      <c r="C128" s="4" t="s">
        <v>1971</v>
      </c>
      <c r="G128" s="10" t="s">
        <v>2201</v>
      </c>
      <c r="H128" s="10"/>
      <c r="I128" s="10"/>
      <c r="J128" s="10"/>
      <c r="K128" s="10"/>
      <c r="L128" s="10"/>
      <c r="M128" s="10"/>
      <c r="N128" s="11"/>
      <c r="O128" s="10"/>
      <c r="P128" s="10"/>
      <c r="Q128" s="10"/>
      <c r="R128" s="10" t="s">
        <v>2387</v>
      </c>
      <c r="S128" s="10" t="s">
        <v>2387</v>
      </c>
      <c r="T128" s="10"/>
      <c r="U128" s="10"/>
      <c r="V128" s="10"/>
      <c r="W128" s="10"/>
      <c r="X128" s="10"/>
      <c r="Y128" s="10"/>
      <c r="Z128" s="10"/>
      <c r="AA128" s="10"/>
      <c r="AB128" s="10"/>
      <c r="AC128" s="10"/>
      <c r="AD128" t="s">
        <v>19</v>
      </c>
      <c r="AE128" t="s">
        <v>20</v>
      </c>
      <c r="AG128">
        <v>1</v>
      </c>
    </row>
    <row r="129" spans="1:33" ht="87">
      <c r="A129" t="s">
        <v>725</v>
      </c>
      <c r="B129" s="4" t="s">
        <v>1976</v>
      </c>
      <c r="C129" s="4" t="s">
        <v>1973</v>
      </c>
      <c r="G129" s="10" t="s">
        <v>25</v>
      </c>
      <c r="H129" s="10"/>
      <c r="I129" s="10">
        <v>1</v>
      </c>
      <c r="J129" s="10">
        <v>3</v>
      </c>
      <c r="K129" s="10" t="s">
        <v>2168</v>
      </c>
      <c r="L129" s="10" t="s">
        <v>2159</v>
      </c>
      <c r="M129" s="10"/>
      <c r="N129" s="11"/>
      <c r="O129" s="10"/>
      <c r="P129" s="10">
        <v>1701</v>
      </c>
      <c r="Q129" s="10"/>
      <c r="R129" s="10" t="s">
        <v>2387</v>
      </c>
      <c r="S129" s="10" t="s">
        <v>2387</v>
      </c>
      <c r="T129" s="10"/>
      <c r="U129" s="10"/>
      <c r="V129" s="10"/>
      <c r="W129" s="10"/>
      <c r="X129" s="10"/>
      <c r="Y129" s="10"/>
      <c r="Z129" s="10"/>
      <c r="AA129" s="10"/>
      <c r="AB129" s="10"/>
      <c r="AC129" s="10"/>
      <c r="AD129" t="s">
        <v>19</v>
      </c>
      <c r="AE129" t="s">
        <v>20</v>
      </c>
      <c r="AG129">
        <v>1</v>
      </c>
    </row>
    <row r="130" spans="1:33" ht="29">
      <c r="A130" t="s">
        <v>731</v>
      </c>
      <c r="B130" s="4" t="s">
        <v>732</v>
      </c>
      <c r="C130" s="4" t="s">
        <v>733</v>
      </c>
      <c r="G130" s="10" t="s">
        <v>2201</v>
      </c>
      <c r="H130" s="10"/>
      <c r="I130" s="10"/>
      <c r="J130" s="10"/>
      <c r="K130" s="10"/>
      <c r="L130" s="10"/>
      <c r="M130" s="10"/>
      <c r="N130" s="11"/>
      <c r="O130" s="10"/>
      <c r="P130" s="10"/>
      <c r="Q130" s="10"/>
      <c r="R130" s="10" t="s">
        <v>2387</v>
      </c>
      <c r="S130" s="10" t="s">
        <v>2387</v>
      </c>
      <c r="T130" s="10"/>
      <c r="U130" s="10"/>
      <c r="V130" s="10"/>
      <c r="W130" s="10"/>
      <c r="X130" s="10"/>
      <c r="Y130" s="10"/>
      <c r="Z130" s="10"/>
      <c r="AA130" s="10"/>
      <c r="AB130" s="10"/>
      <c r="AC130" s="10"/>
      <c r="AD130" t="s">
        <v>19</v>
      </c>
      <c r="AE130" t="s">
        <v>20</v>
      </c>
      <c r="AG130">
        <v>1</v>
      </c>
    </row>
    <row r="131" spans="1:33" ht="43.5">
      <c r="A131" t="s">
        <v>734</v>
      </c>
      <c r="B131" s="4" t="s">
        <v>1977</v>
      </c>
      <c r="C131" s="4" t="s">
        <v>1978</v>
      </c>
      <c r="G131" s="10" t="s">
        <v>25</v>
      </c>
      <c r="H131" s="10"/>
      <c r="I131" s="10">
        <v>1</v>
      </c>
      <c r="J131" s="10">
        <v>5</v>
      </c>
      <c r="K131" s="10" t="s">
        <v>2219</v>
      </c>
      <c r="L131" s="10" t="s">
        <v>2153</v>
      </c>
      <c r="M131" s="10" t="s">
        <v>2231</v>
      </c>
      <c r="N131" s="11" t="s">
        <v>2230</v>
      </c>
      <c r="O131" s="10"/>
      <c r="P131" s="10">
        <v>295</v>
      </c>
      <c r="Q131" s="10"/>
      <c r="R131" s="10" t="s">
        <v>2387</v>
      </c>
      <c r="S131" s="10" t="s">
        <v>2387</v>
      </c>
      <c r="T131" s="10"/>
      <c r="U131" s="10"/>
      <c r="V131" s="10"/>
      <c r="W131" s="10"/>
      <c r="X131" s="10"/>
      <c r="Y131" s="10"/>
      <c r="Z131" s="10"/>
      <c r="AA131" s="10"/>
      <c r="AB131" s="10"/>
      <c r="AC131" s="10"/>
      <c r="AD131" t="s">
        <v>19</v>
      </c>
      <c r="AE131" t="s">
        <v>20</v>
      </c>
      <c r="AG131">
        <v>1</v>
      </c>
    </row>
    <row r="132" spans="1:33" ht="29">
      <c r="A132" t="s">
        <v>735</v>
      </c>
      <c r="B132" s="4" t="s">
        <v>738</v>
      </c>
      <c r="C132" s="4" t="s">
        <v>739</v>
      </c>
      <c r="G132" s="10" t="s">
        <v>2199</v>
      </c>
      <c r="H132" s="10"/>
      <c r="I132" s="10"/>
      <c r="J132" s="10"/>
      <c r="K132" s="10"/>
      <c r="L132" s="10"/>
      <c r="M132" s="10"/>
      <c r="N132" s="11"/>
      <c r="O132" s="10"/>
      <c r="P132" s="10"/>
      <c r="Q132" s="10">
        <v>-2</v>
      </c>
      <c r="R132" s="10">
        <v>2</v>
      </c>
      <c r="S132" s="10">
        <v>0</v>
      </c>
      <c r="T132" s="10"/>
      <c r="U132" s="10"/>
      <c r="V132" s="10"/>
      <c r="W132" s="10"/>
      <c r="X132" s="10"/>
      <c r="Y132" s="10"/>
      <c r="Z132" s="10"/>
      <c r="AA132" s="10"/>
      <c r="AB132" s="10"/>
      <c r="AC132" s="10"/>
      <c r="AD132" t="s">
        <v>19</v>
      </c>
      <c r="AE132" t="s">
        <v>20</v>
      </c>
      <c r="AG132">
        <v>1</v>
      </c>
    </row>
    <row r="133" spans="1:33" ht="87">
      <c r="A133" t="s">
        <v>741</v>
      </c>
      <c r="B133" s="4" t="s">
        <v>1984</v>
      </c>
      <c r="C133" s="4" t="s">
        <v>1983</v>
      </c>
      <c r="G133" s="10" t="s">
        <v>2199</v>
      </c>
      <c r="H133" s="10"/>
      <c r="I133" s="10"/>
      <c r="J133" s="10"/>
      <c r="K133" s="10"/>
      <c r="L133" s="10"/>
      <c r="M133" s="10"/>
      <c r="N133" s="11"/>
      <c r="O133" s="10"/>
      <c r="P133" s="10"/>
      <c r="Q133" s="10">
        <v>1615</v>
      </c>
      <c r="R133" s="10">
        <v>86</v>
      </c>
      <c r="S133" s="10">
        <v>1701</v>
      </c>
      <c r="T133" s="10"/>
      <c r="U133" s="10"/>
      <c r="V133" s="10"/>
      <c r="W133" s="10"/>
      <c r="X133" s="10"/>
      <c r="Y133" s="10"/>
      <c r="Z133" s="10"/>
      <c r="AA133" s="10"/>
      <c r="AB133" s="10"/>
      <c r="AC133" s="10"/>
      <c r="AD133" t="s">
        <v>19</v>
      </c>
      <c r="AE133" t="s">
        <v>20</v>
      </c>
      <c r="AG133">
        <v>1</v>
      </c>
    </row>
    <row r="134" spans="1:33" ht="58">
      <c r="A134" t="s">
        <v>746</v>
      </c>
      <c r="B134" s="4" t="s">
        <v>2448</v>
      </c>
      <c r="C134" s="4" t="s">
        <v>2319</v>
      </c>
      <c r="G134" s="10" t="s">
        <v>2199</v>
      </c>
      <c r="H134" s="10"/>
      <c r="I134" s="10"/>
      <c r="J134" s="10"/>
      <c r="K134" s="10"/>
      <c r="L134" s="10"/>
      <c r="M134" s="10"/>
      <c r="N134" s="11"/>
      <c r="O134" s="10"/>
      <c r="P134" s="10"/>
      <c r="Q134" s="10">
        <v>-249</v>
      </c>
      <c r="R134" s="10">
        <v>280</v>
      </c>
      <c r="S134" s="10">
        <v>31</v>
      </c>
      <c r="T134" s="10"/>
      <c r="U134" s="10"/>
      <c r="V134" s="10"/>
      <c r="W134" s="10"/>
      <c r="X134" s="10"/>
      <c r="Y134" s="10"/>
      <c r="Z134" s="10"/>
      <c r="AA134" s="10"/>
      <c r="AB134" s="10"/>
      <c r="AC134" s="10"/>
      <c r="AD134" t="s">
        <v>19</v>
      </c>
      <c r="AE134" t="s">
        <v>20</v>
      </c>
      <c r="AG134">
        <v>1</v>
      </c>
    </row>
    <row r="135" spans="1:33">
      <c r="A135" t="s">
        <v>747</v>
      </c>
      <c r="B135" s="4" t="s">
        <v>748</v>
      </c>
      <c r="C135" s="4" t="s">
        <v>749</v>
      </c>
      <c r="G135" s="10" t="s">
        <v>2201</v>
      </c>
      <c r="H135" s="10"/>
      <c r="I135" s="10"/>
      <c r="J135" s="10"/>
      <c r="K135" s="10"/>
      <c r="L135" s="10"/>
      <c r="M135" s="10"/>
      <c r="N135" s="11"/>
      <c r="O135" s="10"/>
      <c r="P135" s="10"/>
      <c r="Q135" s="10"/>
      <c r="R135" s="10" t="s">
        <v>2387</v>
      </c>
      <c r="S135" s="10" t="s">
        <v>2387</v>
      </c>
      <c r="T135" s="10"/>
      <c r="U135" s="10"/>
      <c r="V135" s="10"/>
      <c r="W135" s="10"/>
      <c r="X135" s="10"/>
      <c r="Y135" s="10"/>
      <c r="Z135" s="10"/>
      <c r="AA135" s="10"/>
      <c r="AB135" s="10"/>
      <c r="AC135" s="10"/>
      <c r="AD135" t="s">
        <v>20</v>
      </c>
      <c r="AE135" t="s">
        <v>20</v>
      </c>
      <c r="AG135">
        <v>0</v>
      </c>
    </row>
    <row r="136" spans="1:33" ht="43.5">
      <c r="A136" t="s">
        <v>747</v>
      </c>
      <c r="B136" s="4" t="s">
        <v>1992</v>
      </c>
      <c r="C136" s="4" t="s">
        <v>1991</v>
      </c>
      <c r="G136" s="10" t="s">
        <v>25</v>
      </c>
      <c r="H136" s="10"/>
      <c r="I136" s="10">
        <v>1</v>
      </c>
      <c r="J136" s="10">
        <v>3</v>
      </c>
      <c r="K136" s="10" t="s">
        <v>2175</v>
      </c>
      <c r="L136" s="10" t="s">
        <v>2159</v>
      </c>
      <c r="M136" s="10"/>
      <c r="N136" s="11"/>
      <c r="O136" s="10"/>
      <c r="P136" s="10">
        <v>312</v>
      </c>
      <c r="Q136" s="10"/>
      <c r="R136" s="10" t="s">
        <v>2387</v>
      </c>
      <c r="S136" s="10" t="s">
        <v>2387</v>
      </c>
      <c r="T136" s="10"/>
      <c r="U136" s="10"/>
      <c r="V136" s="10"/>
      <c r="W136" s="10"/>
      <c r="X136" s="10"/>
      <c r="Y136" s="10"/>
      <c r="Z136" s="10"/>
      <c r="AA136" s="10"/>
      <c r="AB136" s="10"/>
      <c r="AC136" s="10"/>
      <c r="AD136" t="s">
        <v>19</v>
      </c>
      <c r="AE136" t="s">
        <v>20</v>
      </c>
      <c r="AG136">
        <v>1</v>
      </c>
    </row>
    <row r="137" spans="1:33">
      <c r="A137" t="s">
        <v>747</v>
      </c>
      <c r="B137" s="4" t="s">
        <v>1994</v>
      </c>
      <c r="C137" s="4" t="s">
        <v>1993</v>
      </c>
      <c r="G137" s="10" t="s">
        <v>25</v>
      </c>
      <c r="H137" s="10"/>
      <c r="I137" s="10">
        <v>1</v>
      </c>
      <c r="J137" s="10">
        <v>1</v>
      </c>
      <c r="K137" s="10" t="s">
        <v>2158</v>
      </c>
      <c r="L137" s="10" t="s">
        <v>2200</v>
      </c>
      <c r="M137" s="10"/>
      <c r="N137" s="11"/>
      <c r="O137" s="10"/>
      <c r="P137" s="10">
        <v>2475</v>
      </c>
      <c r="Q137" s="10"/>
      <c r="R137" s="10" t="s">
        <v>2387</v>
      </c>
      <c r="S137" s="10" t="s">
        <v>2387</v>
      </c>
      <c r="T137" s="10"/>
      <c r="U137" s="10"/>
      <c r="V137" s="10"/>
      <c r="W137" s="10"/>
      <c r="X137" s="10"/>
      <c r="Y137" s="10"/>
      <c r="Z137" s="10"/>
      <c r="AA137" s="10"/>
      <c r="AB137" s="10"/>
      <c r="AC137" s="10"/>
      <c r="AD137" t="s">
        <v>19</v>
      </c>
      <c r="AE137" t="s">
        <v>20</v>
      </c>
      <c r="AG137">
        <v>1</v>
      </c>
    </row>
    <row r="138" spans="1:33" ht="29">
      <c r="A138" t="s">
        <v>760</v>
      </c>
      <c r="B138" s="4" t="s">
        <v>2028</v>
      </c>
      <c r="C138" s="4" t="s">
        <v>2027</v>
      </c>
      <c r="G138" s="10" t="s">
        <v>2201</v>
      </c>
      <c r="H138" s="10"/>
      <c r="I138" s="10"/>
      <c r="J138" s="10"/>
      <c r="K138" s="10"/>
      <c r="L138" s="10"/>
      <c r="M138" s="10"/>
      <c r="N138" s="11"/>
      <c r="O138" s="10"/>
      <c r="P138" s="10"/>
      <c r="Q138" s="10"/>
      <c r="R138" s="10" t="s">
        <v>2387</v>
      </c>
      <c r="S138" s="10" t="s">
        <v>2387</v>
      </c>
      <c r="T138" s="10"/>
      <c r="U138" s="10"/>
      <c r="V138" s="10"/>
      <c r="W138" s="10"/>
      <c r="X138" s="10"/>
      <c r="Y138" s="10"/>
      <c r="Z138" s="10"/>
      <c r="AA138" s="10"/>
      <c r="AB138" s="10"/>
      <c r="AC138" s="10"/>
      <c r="AD138" t="s">
        <v>20</v>
      </c>
      <c r="AE138" t="s">
        <v>20</v>
      </c>
      <c r="AG138">
        <v>0</v>
      </c>
    </row>
    <row r="139" spans="1:33" ht="29">
      <c r="A139" t="s">
        <v>764</v>
      </c>
      <c r="B139" s="4" t="s">
        <v>2039</v>
      </c>
      <c r="C139" s="4" t="s">
        <v>2038</v>
      </c>
      <c r="G139" s="10" t="s">
        <v>25</v>
      </c>
      <c r="H139" s="10"/>
      <c r="I139" s="10">
        <v>1</v>
      </c>
      <c r="J139" s="10">
        <v>1</v>
      </c>
      <c r="K139" s="10" t="s">
        <v>2158</v>
      </c>
      <c r="L139" s="10" t="s">
        <v>2200</v>
      </c>
      <c r="M139" s="10"/>
      <c r="N139" s="11"/>
      <c r="O139" s="10"/>
      <c r="P139" s="10">
        <v>2475</v>
      </c>
      <c r="Q139" s="10"/>
      <c r="R139" s="10" t="s">
        <v>2387</v>
      </c>
      <c r="S139" s="10" t="s">
        <v>2387</v>
      </c>
      <c r="T139" s="10"/>
      <c r="U139" s="10"/>
      <c r="V139" s="10"/>
      <c r="W139" s="10"/>
      <c r="X139" s="10"/>
      <c r="Y139" s="10"/>
      <c r="Z139" s="10"/>
      <c r="AA139" s="10"/>
      <c r="AB139" s="10"/>
      <c r="AC139" s="10"/>
      <c r="AD139" t="s">
        <v>19</v>
      </c>
      <c r="AE139" t="s">
        <v>20</v>
      </c>
      <c r="AG139">
        <v>1</v>
      </c>
    </row>
    <row r="140" spans="1:33" ht="29">
      <c r="A140" t="s">
        <v>774</v>
      </c>
      <c r="B140" s="4" t="s">
        <v>2051</v>
      </c>
      <c r="C140" s="4" t="s">
        <v>2050</v>
      </c>
      <c r="G140" s="10" t="s">
        <v>24</v>
      </c>
      <c r="H140" s="10"/>
      <c r="I140" s="10">
        <v>1</v>
      </c>
      <c r="J140" s="10">
        <v>2</v>
      </c>
      <c r="K140" s="10" t="s">
        <v>2158</v>
      </c>
      <c r="L140" s="10" t="s">
        <v>2200</v>
      </c>
      <c r="M140" s="10"/>
      <c r="N140" s="11"/>
      <c r="O140" s="10"/>
      <c r="P140" s="10">
        <v>2475</v>
      </c>
      <c r="Q140" s="10"/>
      <c r="R140" s="10" t="s">
        <v>2387</v>
      </c>
      <c r="S140" s="10" t="s">
        <v>2387</v>
      </c>
      <c r="T140" s="10"/>
      <c r="U140" s="10"/>
      <c r="V140" s="10"/>
      <c r="W140" s="10"/>
      <c r="X140" s="10"/>
      <c r="Y140" s="10"/>
      <c r="Z140" s="10"/>
      <c r="AA140" s="10"/>
      <c r="AB140" s="10"/>
      <c r="AC140" s="10"/>
      <c r="AD140" t="s">
        <v>19</v>
      </c>
      <c r="AE140" t="s">
        <v>20</v>
      </c>
      <c r="AG140">
        <v>1</v>
      </c>
    </row>
    <row r="141" spans="1:33" ht="58">
      <c r="A141" t="s">
        <v>775</v>
      </c>
      <c r="B141" s="4" t="s">
        <v>2059</v>
      </c>
      <c r="C141" s="4" t="s">
        <v>2058</v>
      </c>
      <c r="G141" s="10" t="s">
        <v>2199</v>
      </c>
      <c r="H141" s="10"/>
      <c r="I141" s="10"/>
      <c r="J141" s="10"/>
      <c r="K141" s="10"/>
      <c r="L141" s="10"/>
      <c r="M141" s="10"/>
      <c r="N141" s="11"/>
      <c r="O141" s="10"/>
      <c r="P141" s="10"/>
      <c r="Q141" s="10">
        <v>1530</v>
      </c>
      <c r="R141" s="10">
        <v>171</v>
      </c>
      <c r="S141" s="10">
        <v>1701</v>
      </c>
      <c r="T141" s="10"/>
      <c r="U141" s="10"/>
      <c r="V141" s="10"/>
      <c r="W141" s="10"/>
      <c r="X141" s="10"/>
      <c r="Y141" s="10"/>
      <c r="Z141" s="10"/>
      <c r="AA141" s="10"/>
      <c r="AB141" s="10"/>
      <c r="AC141" s="10"/>
      <c r="AD141" t="s">
        <v>19</v>
      </c>
      <c r="AE141" t="s">
        <v>20</v>
      </c>
      <c r="AG141">
        <v>1</v>
      </c>
    </row>
    <row r="142" spans="1:33" ht="43.5">
      <c r="A142" t="s">
        <v>776</v>
      </c>
      <c r="B142" s="4" t="s">
        <v>2062</v>
      </c>
      <c r="C142" s="4" t="s">
        <v>2063</v>
      </c>
      <c r="F142" t="s">
        <v>19</v>
      </c>
      <c r="G142" s="10" t="s">
        <v>2201</v>
      </c>
      <c r="H142" s="10"/>
      <c r="I142" s="10"/>
      <c r="J142" s="10"/>
      <c r="K142" s="10"/>
      <c r="L142" s="10"/>
      <c r="M142" s="10"/>
      <c r="N142" s="11"/>
      <c r="O142" s="10"/>
      <c r="P142" s="10"/>
      <c r="Q142" s="10"/>
      <c r="R142" s="10" t="s">
        <v>2387</v>
      </c>
      <c r="S142" s="10" t="s">
        <v>2387</v>
      </c>
      <c r="T142" s="10"/>
      <c r="U142" s="10"/>
      <c r="V142" s="10"/>
      <c r="W142" s="10"/>
      <c r="X142" s="10"/>
      <c r="Y142" s="10"/>
      <c r="Z142" s="10"/>
      <c r="AA142" s="10"/>
      <c r="AB142" s="10"/>
      <c r="AC142" s="10"/>
      <c r="AD142" t="s">
        <v>19</v>
      </c>
      <c r="AE142" t="s">
        <v>20</v>
      </c>
      <c r="AG142">
        <v>1</v>
      </c>
    </row>
    <row r="143" spans="1:33" ht="29">
      <c r="A143" t="s">
        <v>781</v>
      </c>
      <c r="B143" s="4" t="s">
        <v>784</v>
      </c>
      <c r="C143" s="4" t="s">
        <v>785</v>
      </c>
      <c r="G143" s="10" t="s">
        <v>2201</v>
      </c>
      <c r="H143" s="10"/>
      <c r="I143" s="10"/>
      <c r="J143" s="10"/>
      <c r="K143" s="10"/>
      <c r="L143" s="10"/>
      <c r="M143" s="10"/>
      <c r="N143" s="11"/>
      <c r="O143" s="10"/>
      <c r="P143" s="10"/>
      <c r="Q143" s="10"/>
      <c r="R143" s="10" t="s">
        <v>2387</v>
      </c>
      <c r="S143" s="10" t="s">
        <v>2387</v>
      </c>
      <c r="T143" s="10"/>
      <c r="U143" s="10"/>
      <c r="V143" s="10"/>
      <c r="W143" s="10"/>
      <c r="X143" s="10"/>
      <c r="Y143" s="10"/>
      <c r="Z143" s="10"/>
      <c r="AA143" s="10"/>
      <c r="AB143" s="10"/>
      <c r="AC143" s="10"/>
      <c r="AD143" t="s">
        <v>19</v>
      </c>
      <c r="AE143" t="s">
        <v>20</v>
      </c>
      <c r="AG143">
        <v>1</v>
      </c>
    </row>
    <row r="144" spans="1:33" ht="43.5">
      <c r="A144" t="s">
        <v>788</v>
      </c>
      <c r="B144" s="4" t="s">
        <v>2099</v>
      </c>
      <c r="C144" s="4" t="s">
        <v>2100</v>
      </c>
      <c r="G144" s="10" t="s">
        <v>2201</v>
      </c>
      <c r="H144" s="10"/>
      <c r="I144" s="10"/>
      <c r="J144" s="10"/>
      <c r="K144" s="10"/>
      <c r="L144" s="10"/>
      <c r="M144" s="10"/>
      <c r="N144" s="11"/>
      <c r="O144" s="10"/>
      <c r="P144" s="10"/>
      <c r="Q144" s="10"/>
      <c r="R144" s="10" t="s">
        <v>2387</v>
      </c>
      <c r="S144" s="10" t="s">
        <v>2387</v>
      </c>
      <c r="T144" s="10"/>
      <c r="U144" s="10"/>
      <c r="V144" s="10"/>
      <c r="W144" s="10"/>
      <c r="X144" s="10"/>
      <c r="Y144" s="10"/>
      <c r="Z144" s="10"/>
      <c r="AA144" s="10"/>
      <c r="AB144" s="10"/>
      <c r="AC144" s="10"/>
      <c r="AD144" t="s">
        <v>19</v>
      </c>
      <c r="AE144" t="s">
        <v>20</v>
      </c>
      <c r="AG144">
        <v>1</v>
      </c>
    </row>
    <row r="145" spans="1:33" ht="43.5">
      <c r="A145" t="s">
        <v>789</v>
      </c>
      <c r="B145" s="4" t="s">
        <v>790</v>
      </c>
      <c r="C145" s="4" t="s">
        <v>791</v>
      </c>
      <c r="F145" t="s">
        <v>19</v>
      </c>
      <c r="G145" s="10" t="s">
        <v>2201</v>
      </c>
      <c r="H145" s="10"/>
      <c r="I145" s="10"/>
      <c r="J145" s="10"/>
      <c r="K145" s="10"/>
      <c r="L145" s="10"/>
      <c r="M145" s="10"/>
      <c r="N145" s="11"/>
      <c r="O145" s="10"/>
      <c r="P145" s="10"/>
      <c r="Q145" s="10"/>
      <c r="R145" s="10" t="s">
        <v>2387</v>
      </c>
      <c r="S145" s="10" t="s">
        <v>2387</v>
      </c>
      <c r="T145" s="10"/>
      <c r="U145" s="10"/>
      <c r="V145" s="10"/>
      <c r="W145" s="10"/>
      <c r="X145" s="10"/>
      <c r="Y145" s="10"/>
      <c r="Z145" s="10"/>
      <c r="AA145" s="10"/>
      <c r="AB145" s="10"/>
      <c r="AC145" s="10"/>
      <c r="AD145" t="s">
        <v>20</v>
      </c>
      <c r="AE145" t="s">
        <v>20</v>
      </c>
      <c r="AG145">
        <v>0</v>
      </c>
    </row>
    <row r="146" spans="1:33" ht="43.5">
      <c r="A146" t="s">
        <v>804</v>
      </c>
      <c r="B146" s="4" t="s">
        <v>2124</v>
      </c>
      <c r="C146" s="4" t="s">
        <v>2123</v>
      </c>
      <c r="G146" s="10" t="s">
        <v>2199</v>
      </c>
      <c r="H146" s="10"/>
      <c r="I146" s="10"/>
      <c r="J146" s="10"/>
      <c r="K146" s="10"/>
      <c r="L146" s="10"/>
      <c r="M146" s="10"/>
      <c r="N146" s="11"/>
      <c r="O146" s="10"/>
      <c r="P146" s="10"/>
      <c r="Q146" s="10">
        <v>447</v>
      </c>
      <c r="R146" s="10">
        <v>166</v>
      </c>
      <c r="S146" s="10">
        <v>613</v>
      </c>
      <c r="T146" s="10"/>
      <c r="U146" s="10"/>
      <c r="V146" s="10"/>
      <c r="W146" s="10"/>
      <c r="X146" s="10"/>
      <c r="Y146" s="10"/>
      <c r="Z146" s="10"/>
      <c r="AA146" s="10"/>
      <c r="AB146" s="10"/>
      <c r="AC146" s="10"/>
      <c r="AD146" t="s">
        <v>19</v>
      </c>
      <c r="AE146" t="s">
        <v>20</v>
      </c>
      <c r="AG146">
        <v>1</v>
      </c>
    </row>
    <row r="147" spans="1:33" ht="29">
      <c r="A147" t="s">
        <v>810</v>
      </c>
      <c r="B147" s="4" t="s">
        <v>2136</v>
      </c>
      <c r="C147" s="4" t="s">
        <v>2137</v>
      </c>
      <c r="G147" s="10" t="s">
        <v>2199</v>
      </c>
      <c r="H147" s="10"/>
      <c r="I147" s="10"/>
      <c r="J147" s="10"/>
      <c r="K147" s="10"/>
      <c r="L147" s="10"/>
      <c r="M147" s="10"/>
      <c r="N147" s="11"/>
      <c r="O147" s="10"/>
      <c r="P147" s="10"/>
      <c r="Q147" s="10">
        <v>1645</v>
      </c>
      <c r="R147" s="10">
        <v>830</v>
      </c>
      <c r="S147" s="10">
        <v>2475</v>
      </c>
      <c r="T147" s="10"/>
      <c r="U147" s="10"/>
      <c r="V147" s="10"/>
      <c r="W147" s="10"/>
      <c r="X147" s="10"/>
      <c r="Y147" s="10"/>
      <c r="Z147" s="10"/>
      <c r="AA147" s="10"/>
      <c r="AB147" s="10"/>
      <c r="AC147" s="10"/>
      <c r="AD147" t="s">
        <v>20</v>
      </c>
      <c r="AE147" t="s">
        <v>20</v>
      </c>
      <c r="AG147">
        <v>0</v>
      </c>
    </row>
  </sheetData>
  <conditionalFormatting sqref="G2:G147">
    <cfRule type="expression" dxfId="138" priority="4">
      <formula>$I2&lt;&gt;""</formula>
    </cfRule>
    <cfRule type="expression" dxfId="137" priority="5">
      <formula>$I2=""</formula>
    </cfRule>
  </conditionalFormatting>
  <conditionalFormatting sqref="H2:L147 O2:P147">
    <cfRule type="expression" dxfId="136" priority="21">
      <formula>AND(OR($I2="Addition",$I2="Omission"), H2="")</formula>
    </cfRule>
    <cfRule type="expression" dxfId="135" priority="22">
      <formula>AND($I2&lt;&gt;"Addition",$I2&lt;&gt;"Omission",$I2&lt;&gt;"Substitution - Word")</formula>
    </cfRule>
  </conditionalFormatting>
  <conditionalFormatting sqref="H2:P147">
    <cfRule type="expression" dxfId="134" priority="20">
      <formula>AND(OR($I2="Addition",$I2="Omission"), H2&lt;&gt;"")</formula>
    </cfRule>
  </conditionalFormatting>
  <conditionalFormatting sqref="K2:K147">
    <cfRule type="expression" dxfId="133" priority="15">
      <formula>AND($K2&lt;&gt;"",$K2&gt;1)</formula>
    </cfRule>
  </conditionalFormatting>
  <conditionalFormatting sqref="M2:N147">
    <cfRule type="expression" dxfId="132" priority="11">
      <formula>$N2="Absent"</formula>
    </cfRule>
    <cfRule type="expression" dxfId="131" priority="12">
      <formula>$N2="NA"</formula>
    </cfRule>
    <cfRule type="expression" dxfId="130" priority="13">
      <formula>AND(OR($I2="Addition",$I2="Omission"), M2="")</formula>
    </cfRule>
    <cfRule type="expression" dxfId="129" priority="14">
      <formula>AND($I2&lt;&gt;"Addition",$I2&lt;&gt;"Omission")</formula>
    </cfRule>
  </conditionalFormatting>
  <conditionalFormatting sqref="O2:O147">
    <cfRule type="expression" dxfId="128" priority="16">
      <formula>OR($I2="Addition",$I2="Omission",$I2 = "Substitution - Word")</formula>
    </cfRule>
  </conditionalFormatting>
  <conditionalFormatting sqref="Q2 Q3:S147">
    <cfRule type="expression" dxfId="127" priority="18">
      <formula>AND(AND(LEFT($I2,3)="Sub", RIGHT($I2,4)&lt;&gt;"Form"),$S2="")</formula>
    </cfRule>
    <cfRule type="expression" dxfId="126" priority="19">
      <formula>"&lt;&gt;AND(LEFT($J2,3)=""Sub"", RIGHT($J2,4)&lt;&gt;""Form"")"</formula>
    </cfRule>
  </conditionalFormatting>
  <conditionalFormatting sqref="Q3:S147 Q2">
    <cfRule type="expression" dxfId="125" priority="17">
      <formula>AND(AND(LEFT($I2,3)="Sub", RIGHT($I2,4)&lt;&gt;"Form"),$S2&lt;&gt;"")</formula>
    </cfRule>
  </conditionalFormatting>
  <conditionalFormatting sqref="R2:S147">
    <cfRule type="expression" dxfId="124" priority="1">
      <formula>AND(AND(LEFT($I2,3)="Sub", RIGHT($I2,4)&lt;&gt;"Form"),$S2&lt;&gt;"")</formula>
    </cfRule>
    <cfRule type="expression" dxfId="123" priority="2">
      <formula>AND(AND(LEFT($I2,3)="Sub", RIGHT($I2,4)&lt;&gt;"Form"),$S2="")</formula>
    </cfRule>
    <cfRule type="expression" dxfId="122" priority="3">
      <formula>"&lt;&gt;AND(LEFT($J2,3)=""Sub"", RIGHT($J2,4)&lt;&gt;""Form"")"</formula>
    </cfRule>
  </conditionalFormatting>
  <conditionalFormatting sqref="T2:T147">
    <cfRule type="expression" dxfId="121" priority="7">
      <formula>AND($V2&lt;&gt;"",OR($AC2="Yes",$AD2&lt;&gt;""))</formula>
    </cfRule>
    <cfRule type="expression" dxfId="120" priority="8">
      <formula>OR($AC2="Yes",$AD2&lt;&gt;"")</formula>
    </cfRule>
    <cfRule type="expression" dxfId="119" priority="25">
      <formula>AND($AC2&lt;&gt;"Yes",$AD2="")</formula>
    </cfRule>
  </conditionalFormatting>
  <conditionalFormatting sqref="T2:AC147">
    <cfRule type="expression" dxfId="118" priority="23">
      <formula>AND($I2&lt;&gt;"",$I2&lt;&gt;"Unclear due to correction")</formula>
    </cfRule>
    <cfRule type="expression" dxfId="117" priority="24">
      <formula>OR($I2="",$I2="Unclear due to correction")</formula>
    </cfRule>
  </conditionalFormatting>
  <conditionalFormatting sqref="U2:U147">
    <cfRule type="expression" dxfId="116" priority="6">
      <formula>AND($I2&lt;&gt;"",$I2&lt;&gt;"Unclear due to correction",$W2="")</formula>
    </cfRule>
  </conditionalFormatting>
  <conditionalFormatting sqref="V2:V147">
    <cfRule type="expression" dxfId="115" priority="9">
      <formula>AND($W2="Yes",$X2="")</formula>
    </cfRule>
    <cfRule type="expression" dxfId="114" priority="10">
      <formula>$W2=""</formula>
    </cfRule>
  </conditionalFormatting>
  <conditionalFormatting sqref="AA2:AA147">
    <cfRule type="expression" dxfId="113" priority="26">
      <formula>AND(OR($AA2&lt;&gt;"",$AB2&lt;&gt;""),$AC2="")</formula>
    </cfRule>
  </conditionalFormatting>
  <dataValidations count="1">
    <dataValidation allowBlank="1" showInputMessage="1" sqref="U2 U4:U147" xr:uid="{AB224B34-9DD2-42E3-9182-1B8296210FA3}"/>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5">
        <x14:dataValidation type="list" allowBlank="1" showInputMessage="1" showErrorMessage="1" xr:uid="{404BD079-18A5-48BF-8122-B1AEEC94004D}">
          <x14:formula1>
            <xm:f>'Data Regularization'!$Q$2:$Q$4</xm:f>
          </x14:formula1>
          <xm:sqref>AD2:AF10 AE11:AE12 AF11:AF147 AD11:AD147</xm:sqref>
        </x14:dataValidation>
        <x14:dataValidation type="list" allowBlank="1" showInputMessage="1" showErrorMessage="1" xr:uid="{B8D4F395-E9CC-4042-9D59-E0AA4DA87025}">
          <x14:formula1>
            <xm:f>'Data Regularization'!$B$2:$B$1048576</xm:f>
          </x14:formula1>
          <xm:sqref>E2:E147</xm:sqref>
        </x14:dataValidation>
        <x14:dataValidation type="list" allowBlank="1" showInputMessage="1" showErrorMessage="1" xr:uid="{DED2F63A-DFD7-48A6-8B9A-48706D8C3F9D}">
          <x14:formula1>
            <xm:f>'Data Regularization'!$A$2:$A$1048576</xm:f>
          </x14:formula1>
          <xm:sqref>D2:D147</xm:sqref>
        </x14:dataValidation>
        <x14:dataValidation type="list" allowBlank="1" showInputMessage="1" showErrorMessage="1" xr:uid="{C1B64ADF-A33F-4AEB-B06F-62E1CC7476B6}">
          <x14:formula1>
            <xm:f>'Data Regularization'!$C$2:$C$29</xm:f>
          </x14:formula1>
          <xm:sqref>F2:F147</xm:sqref>
        </x14:dataValidation>
        <x14:dataValidation type="list" allowBlank="1" showInputMessage="1" showErrorMessage="1" xr:uid="{3022DF1B-DF86-4EEF-B7B1-813C687FC523}">
          <x14:formula1>
            <xm:f>'Data Regularization'!$Q$2:$Q$1048576</xm:f>
          </x14:formula1>
          <xm:sqref>AC2 AC4:AC147</xm:sqref>
        </x14:dataValidation>
        <x14:dataValidation type="list" allowBlank="1" showInputMessage="1" showErrorMessage="1" xr:uid="{6B0A96BE-839B-4DD1-B876-F3AFC0FDAC90}">
          <x14:formula1>
            <xm:f>'Data Regularization'!$P$2:$P$1048576</xm:f>
          </x14:formula1>
          <xm:sqref>AB2 AB4:AB147</xm:sqref>
        </x14:dataValidation>
        <x14:dataValidation type="list" allowBlank="1" showInputMessage="1" showErrorMessage="1" xr:uid="{C6A59546-AC4E-4842-ADB2-96D34861FCB2}">
          <x14:formula1>
            <xm:f>'Data Regularization'!$O$2:$O$1048576</xm:f>
          </x14:formula1>
          <xm:sqref>AA2 AA4:AA147</xm:sqref>
        </x14:dataValidation>
        <x14:dataValidation type="list" allowBlank="1" showInputMessage="1" showErrorMessage="1" xr:uid="{6457AE23-93D8-435F-A04F-E79616025E9B}">
          <x14:formula1>
            <xm:f>'Data Regularization'!$N$2:$N$1048576</xm:f>
          </x14:formula1>
          <xm:sqref>Y2 Y4:Y147</xm:sqref>
        </x14:dataValidation>
        <x14:dataValidation type="list" allowBlank="1" showInputMessage="1" showErrorMessage="1" xr:uid="{B6751E3E-8DBE-4EF3-B137-7DA6CAB5C999}">
          <x14:formula1>
            <xm:f>'Data Regularization'!$M$2:$M$1048576</xm:f>
          </x14:formula1>
          <xm:sqref>X2 X4:X147</xm:sqref>
        </x14:dataValidation>
        <x14:dataValidation type="list" allowBlank="1" showInputMessage="1" showErrorMessage="1" xr:uid="{FC7E6FEE-9090-4F18-86D7-3AB62F563B66}">
          <x14:formula1>
            <xm:f>'Data Regularization'!$L$2:$L$1048576</xm:f>
          </x14:formula1>
          <xm:sqref>W2 W4:W147</xm:sqref>
        </x14:dataValidation>
        <x14:dataValidation type="list" allowBlank="1" showInputMessage="1" showErrorMessage="1" xr:uid="{D2E80871-1EB0-479D-B77C-7E0BEC222528}">
          <x14:formula1>
            <xm:f>'Data Regularization'!$K$2:$K$1048576</xm:f>
          </x14:formula1>
          <xm:sqref>T2 V2 V4:V147 T4:T147</xm:sqref>
        </x14:dataValidation>
        <x14:dataValidation type="list" allowBlank="1" showInputMessage="1" showErrorMessage="1" xr:uid="{A75A36D2-B4EB-4E34-8ABB-879527580B0A}">
          <x14:formula1>
            <xm:f>'Data Regularization'!$G$2:$G$1048576</xm:f>
          </x14:formula1>
          <xm:sqref>O2 O4:O147</xm:sqref>
        </x14:dataValidation>
        <x14:dataValidation type="list" allowBlank="1" showInputMessage="1" showErrorMessage="1" xr:uid="{D1B41110-7287-427B-866B-0A3D7A3A076C}">
          <x14:formula1>
            <xm:f>'Data Regularization'!$F$2:$F$1048576</xm:f>
          </x14:formula1>
          <xm:sqref>L2 L4:L147</xm:sqref>
        </x14:dataValidation>
        <x14:dataValidation type="list" allowBlank="1" showInputMessage="1" showErrorMessage="1" xr:uid="{B6AF26C6-3123-4D4D-BBE7-4EA4783016B3}">
          <x14:formula1>
            <xm:f>'Data Regularization'!$E$2:$E$1048576</xm:f>
          </x14:formula1>
          <xm:sqref>K2 K4:K147</xm:sqref>
        </x14:dataValidation>
        <x14:dataValidation type="list" allowBlank="1" showInputMessage="1" showErrorMessage="1" xr:uid="{00E59313-A2CC-4A13-96F0-76C576473DB3}">
          <x14:formula1>
            <xm:f>'Data Regularization'!$D$2:$D$1048576</xm:f>
          </x14:formula1>
          <xm:sqref>G2 G17:G147 G4:G15</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AD8C7-E7AF-4446-9B05-F9805143D9E6}">
  <dimension ref="A1:AK119"/>
  <sheetViews>
    <sheetView workbookViewId="0">
      <pane xSplit="3" ySplit="1" topLeftCell="D69" activePane="bottomRight" state="frozen"/>
      <selection pane="topRight" activeCell="D1" sqref="D1"/>
      <selection pane="bottomLeft" activeCell="A2" sqref="A2"/>
      <selection pane="bottomRight" activeCell="A67" sqref="A67"/>
    </sheetView>
  </sheetViews>
  <sheetFormatPr defaultRowHeight="14.5"/>
  <sheetData>
    <row r="1" spans="1:37" s="1" customFormat="1" ht="29">
      <c r="A1" s="1" t="s">
        <v>0</v>
      </c>
      <c r="B1" s="1" t="s">
        <v>5</v>
      </c>
      <c r="C1" s="3" t="s">
        <v>6</v>
      </c>
      <c r="D1" s="1" t="s">
        <v>2181</v>
      </c>
      <c r="E1" s="1" t="s">
        <v>2182</v>
      </c>
      <c r="F1" s="1" t="s">
        <v>2183</v>
      </c>
      <c r="G1" s="1" t="s">
        <v>3</v>
      </c>
      <c r="H1" s="1" t="s">
        <v>2184</v>
      </c>
      <c r="I1" s="1" t="s">
        <v>2185</v>
      </c>
      <c r="J1" s="1" t="s">
        <v>2186</v>
      </c>
      <c r="K1" s="1" t="s">
        <v>2187</v>
      </c>
      <c r="L1" s="1" t="s">
        <v>2146</v>
      </c>
      <c r="M1" s="1" t="s">
        <v>2188</v>
      </c>
      <c r="N1" s="9" t="s">
        <v>2189</v>
      </c>
      <c r="O1" s="1" t="s">
        <v>2147</v>
      </c>
      <c r="P1" s="1" t="s">
        <v>2190</v>
      </c>
      <c r="Q1" s="1" t="s">
        <v>2388</v>
      </c>
      <c r="R1" s="1" t="s">
        <v>2191</v>
      </c>
      <c r="S1" s="1" t="s">
        <v>2385</v>
      </c>
      <c r="T1" s="1" t="s">
        <v>2386</v>
      </c>
      <c r="U1" s="1" t="s">
        <v>2194</v>
      </c>
      <c r="V1" s="1" t="s">
        <v>2195</v>
      </c>
      <c r="W1" s="1" t="s">
        <v>2196</v>
      </c>
      <c r="X1" s="1" t="s">
        <v>2148</v>
      </c>
      <c r="Y1" s="1" t="s">
        <v>2149</v>
      </c>
      <c r="Z1" s="1" t="s">
        <v>2150</v>
      </c>
      <c r="AA1" s="1" t="s">
        <v>2192</v>
      </c>
      <c r="AB1" s="1" t="s">
        <v>2197</v>
      </c>
      <c r="AC1" s="1" t="s">
        <v>2151</v>
      </c>
      <c r="AD1" s="1" t="s">
        <v>2193</v>
      </c>
      <c r="AE1" s="1" t="s">
        <v>2215</v>
      </c>
      <c r="AF1" s="1" t="s">
        <v>2207</v>
      </c>
      <c r="AG1" s="1" t="s">
        <v>2214</v>
      </c>
    </row>
    <row r="2" spans="1:37" ht="43.5">
      <c r="A2" t="s">
        <v>42</v>
      </c>
      <c r="B2" s="4" t="s">
        <v>815</v>
      </c>
      <c r="C2" s="4" t="s">
        <v>816</v>
      </c>
      <c r="G2" s="10" t="s">
        <v>25</v>
      </c>
      <c r="H2" s="10"/>
      <c r="I2" s="10">
        <v>1</v>
      </c>
      <c r="J2" s="10">
        <v>4</v>
      </c>
      <c r="K2" s="10" t="s">
        <v>2219</v>
      </c>
      <c r="L2" s="10" t="s">
        <v>2159</v>
      </c>
      <c r="M2" s="10"/>
      <c r="N2" s="11"/>
      <c r="O2" s="10"/>
      <c r="P2" s="10">
        <v>295</v>
      </c>
      <c r="Q2" s="10">
        <f t="shared" ref="Q2:Q33" si="0">IF(ISNUMBER(P2), (P2/$F$119)*10000, "")</f>
        <v>145.04867735273871</v>
      </c>
      <c r="R2" s="10"/>
      <c r="S2" s="10"/>
      <c r="T2" s="10" t="s">
        <v>2387</v>
      </c>
      <c r="U2" s="10" t="s">
        <v>2387</v>
      </c>
      <c r="V2" s="10"/>
      <c r="W2" s="10"/>
      <c r="X2" s="10"/>
      <c r="Y2" s="10"/>
      <c r="Z2" s="10"/>
      <c r="AA2" s="10"/>
      <c r="AB2" s="10"/>
      <c r="AC2" s="10"/>
      <c r="AD2" s="10"/>
      <c r="AE2" s="10"/>
      <c r="AF2" t="s">
        <v>19</v>
      </c>
      <c r="AG2" t="s">
        <v>20</v>
      </c>
      <c r="AH2" t="s">
        <v>20</v>
      </c>
      <c r="AI2">
        <v>1</v>
      </c>
      <c r="AJ2" t="s">
        <v>2213</v>
      </c>
      <c r="AK2">
        <v>0.3888888888888889</v>
      </c>
    </row>
    <row r="3" spans="1:37" ht="58">
      <c r="A3" t="s">
        <v>56</v>
      </c>
      <c r="B3" s="4" t="s">
        <v>821</v>
      </c>
      <c r="C3" s="4" t="s">
        <v>822</v>
      </c>
      <c r="F3" t="s">
        <v>19</v>
      </c>
      <c r="G3" s="10" t="s">
        <v>24</v>
      </c>
      <c r="H3" s="10"/>
      <c r="I3" s="10">
        <v>1</v>
      </c>
      <c r="J3" s="10">
        <v>8</v>
      </c>
      <c r="K3" s="10" t="s">
        <v>2173</v>
      </c>
      <c r="L3" s="10" t="s">
        <v>2153</v>
      </c>
      <c r="M3" s="10" t="s">
        <v>2231</v>
      </c>
      <c r="N3" s="11" t="s">
        <v>2232</v>
      </c>
      <c r="O3" s="10"/>
      <c r="P3" s="10">
        <v>0</v>
      </c>
      <c r="Q3" s="10">
        <f t="shared" si="0"/>
        <v>0</v>
      </c>
      <c r="R3" s="10"/>
      <c r="S3" s="10"/>
      <c r="T3" s="10" t="s">
        <v>2387</v>
      </c>
      <c r="U3" s="10" t="s">
        <v>2387</v>
      </c>
      <c r="V3" s="10"/>
      <c r="W3" s="10"/>
      <c r="X3" s="10"/>
      <c r="Y3" s="10"/>
      <c r="Z3" s="10"/>
      <c r="AA3" s="10"/>
      <c r="AB3" s="10"/>
      <c r="AC3" s="10"/>
      <c r="AD3" s="10"/>
      <c r="AE3" s="10"/>
      <c r="AF3" t="s">
        <v>20</v>
      </c>
      <c r="AG3" t="s">
        <v>20</v>
      </c>
      <c r="AH3" t="s">
        <v>20</v>
      </c>
      <c r="AI3">
        <v>0</v>
      </c>
    </row>
    <row r="4" spans="1:37" ht="29">
      <c r="A4" t="s">
        <v>73</v>
      </c>
      <c r="B4" s="4" t="s">
        <v>834</v>
      </c>
      <c r="C4" s="4" t="s">
        <v>833</v>
      </c>
      <c r="G4" s="10" t="s">
        <v>24</v>
      </c>
      <c r="H4" s="10"/>
      <c r="I4" s="10">
        <v>1</v>
      </c>
      <c r="J4" s="10">
        <v>3</v>
      </c>
      <c r="K4" s="10" t="s">
        <v>2158</v>
      </c>
      <c r="L4" s="10" t="s">
        <v>2159</v>
      </c>
      <c r="M4" s="10"/>
      <c r="N4" s="11"/>
      <c r="O4" s="10"/>
      <c r="P4" s="10">
        <v>2475</v>
      </c>
      <c r="Q4" s="10">
        <f t="shared" si="0"/>
        <v>1216.9338184678927</v>
      </c>
      <c r="R4" s="10"/>
      <c r="S4" s="10"/>
      <c r="T4" s="10" t="s">
        <v>2387</v>
      </c>
      <c r="U4" s="10" t="s">
        <v>2387</v>
      </c>
      <c r="V4" s="10"/>
      <c r="W4" s="10"/>
      <c r="X4" s="10"/>
      <c r="Y4" s="10"/>
      <c r="Z4" s="10"/>
      <c r="AA4" s="10"/>
      <c r="AB4" s="10"/>
      <c r="AC4" s="10"/>
      <c r="AD4" s="10"/>
      <c r="AE4" s="10"/>
      <c r="AF4" t="s">
        <v>19</v>
      </c>
      <c r="AG4" t="s">
        <v>20</v>
      </c>
      <c r="AH4" t="s">
        <v>20</v>
      </c>
      <c r="AI4">
        <v>1</v>
      </c>
    </row>
    <row r="5" spans="1:37" ht="58">
      <c r="A5" t="s">
        <v>111</v>
      </c>
      <c r="B5" s="4" t="s">
        <v>874</v>
      </c>
      <c r="C5" s="4" t="s">
        <v>873</v>
      </c>
      <c r="F5" t="s">
        <v>19</v>
      </c>
      <c r="G5" s="10" t="s">
        <v>25</v>
      </c>
      <c r="H5" s="10"/>
      <c r="I5" s="10">
        <v>2</v>
      </c>
      <c r="J5" s="10">
        <v>11</v>
      </c>
      <c r="K5" s="10"/>
      <c r="L5" s="10" t="s">
        <v>2153</v>
      </c>
      <c r="M5" s="10" t="s">
        <v>2277</v>
      </c>
      <c r="N5" s="11" t="s">
        <v>2338</v>
      </c>
      <c r="O5" s="10"/>
      <c r="P5" s="10">
        <v>2</v>
      </c>
      <c r="Q5" s="10">
        <f t="shared" si="0"/>
        <v>0.98338086340839814</v>
      </c>
      <c r="R5" s="10"/>
      <c r="S5" s="10"/>
      <c r="T5" s="10" t="s">
        <v>2387</v>
      </c>
      <c r="U5" s="10" t="s">
        <v>2387</v>
      </c>
      <c r="V5" s="10"/>
      <c r="W5" s="10"/>
      <c r="X5" s="10"/>
      <c r="Y5" s="10"/>
      <c r="Z5" s="10"/>
      <c r="AA5" s="10"/>
      <c r="AB5" s="10"/>
      <c r="AC5" s="10"/>
      <c r="AD5" s="10"/>
      <c r="AE5" s="10"/>
      <c r="AF5" t="s">
        <v>20</v>
      </c>
      <c r="AG5" t="s">
        <v>20</v>
      </c>
      <c r="AH5" t="s">
        <v>20</v>
      </c>
      <c r="AI5">
        <v>0</v>
      </c>
    </row>
    <row r="6" spans="1:37" ht="101.5">
      <c r="A6" t="s">
        <v>114</v>
      </c>
      <c r="B6" s="4" t="s">
        <v>875</v>
      </c>
      <c r="C6" s="4" t="s">
        <v>876</v>
      </c>
      <c r="G6" s="10" t="s">
        <v>24</v>
      </c>
      <c r="H6" s="10"/>
      <c r="I6" s="10">
        <v>1</v>
      </c>
      <c r="J6" s="10">
        <v>2</v>
      </c>
      <c r="K6" s="10" t="s">
        <v>2177</v>
      </c>
      <c r="L6" s="10" t="s">
        <v>2200</v>
      </c>
      <c r="M6" s="10"/>
      <c r="N6" s="11"/>
      <c r="O6" s="10"/>
      <c r="P6" s="10">
        <v>613</v>
      </c>
      <c r="Q6" s="10">
        <f t="shared" si="0"/>
        <v>301.40623463467404</v>
      </c>
      <c r="R6" s="10"/>
      <c r="S6" s="10"/>
      <c r="T6" s="10" t="s">
        <v>2387</v>
      </c>
      <c r="U6" s="10" t="s">
        <v>2387</v>
      </c>
      <c r="V6" s="10"/>
      <c r="W6" s="10"/>
      <c r="X6" s="10"/>
      <c r="Y6" s="10"/>
      <c r="Z6" s="10"/>
      <c r="AA6" s="10"/>
      <c r="AB6" s="10"/>
      <c r="AC6" s="10"/>
      <c r="AD6" s="10"/>
      <c r="AE6" s="10"/>
      <c r="AF6" t="s">
        <v>19</v>
      </c>
      <c r="AG6" t="s">
        <v>20</v>
      </c>
      <c r="AH6" t="s">
        <v>20</v>
      </c>
      <c r="AI6">
        <v>1</v>
      </c>
    </row>
    <row r="7" spans="1:37" ht="43.5">
      <c r="A7" t="s">
        <v>145</v>
      </c>
      <c r="B7" s="4" t="s">
        <v>918</v>
      </c>
      <c r="C7" s="4" t="s">
        <v>919</v>
      </c>
      <c r="F7" t="s">
        <v>19</v>
      </c>
      <c r="G7" s="10" t="s">
        <v>25</v>
      </c>
      <c r="H7" s="10"/>
      <c r="I7" s="10">
        <v>1</v>
      </c>
      <c r="J7" s="10">
        <v>5</v>
      </c>
      <c r="K7" s="10" t="s">
        <v>2152</v>
      </c>
      <c r="L7" s="10" t="s">
        <v>2159</v>
      </c>
      <c r="M7" s="10"/>
      <c r="N7" s="11"/>
      <c r="O7" s="10"/>
      <c r="P7" s="10">
        <v>8</v>
      </c>
      <c r="Q7" s="10">
        <f t="shared" si="0"/>
        <v>3.9335234536335926</v>
      </c>
      <c r="R7" s="10"/>
      <c r="S7" s="10"/>
      <c r="T7" s="10" t="s">
        <v>2387</v>
      </c>
      <c r="U7" s="10" t="s">
        <v>2387</v>
      </c>
      <c r="V7" s="10"/>
      <c r="W7" s="10"/>
      <c r="X7" s="10"/>
      <c r="Y7" s="10"/>
      <c r="Z7" s="10"/>
      <c r="AA7" s="10"/>
      <c r="AB7" s="10"/>
      <c r="AC7" s="10"/>
      <c r="AD7" s="10"/>
      <c r="AE7" s="10"/>
      <c r="AF7" t="s">
        <v>20</v>
      </c>
      <c r="AG7" t="s">
        <v>20</v>
      </c>
      <c r="AI7">
        <v>0</v>
      </c>
    </row>
    <row r="8" spans="1:37" ht="101.5">
      <c r="A8" t="s">
        <v>147</v>
      </c>
      <c r="B8" s="4" t="s">
        <v>920</v>
      </c>
      <c r="C8" s="4" t="s">
        <v>921</v>
      </c>
      <c r="F8" t="s">
        <v>19</v>
      </c>
      <c r="G8" s="10" t="s">
        <v>24</v>
      </c>
      <c r="H8" s="10"/>
      <c r="I8" s="10">
        <v>2</v>
      </c>
      <c r="J8" s="10">
        <v>11</v>
      </c>
      <c r="K8" s="10"/>
      <c r="L8" s="10" t="s">
        <v>2153</v>
      </c>
      <c r="M8" s="10" t="s">
        <v>2244</v>
      </c>
      <c r="N8" s="11" t="s">
        <v>2245</v>
      </c>
      <c r="O8" s="10"/>
      <c r="P8" s="10">
        <v>98</v>
      </c>
      <c r="Q8" s="10">
        <f t="shared" si="0"/>
        <v>48.185662307011505</v>
      </c>
      <c r="R8" s="10"/>
      <c r="S8" s="10"/>
      <c r="T8" s="10" t="s">
        <v>2387</v>
      </c>
      <c r="U8" s="10" t="s">
        <v>2387</v>
      </c>
      <c r="V8" s="10"/>
      <c r="W8" s="10"/>
      <c r="X8" s="10"/>
      <c r="Y8" s="10"/>
      <c r="Z8" s="10"/>
      <c r="AA8" s="10"/>
      <c r="AB8" s="10"/>
      <c r="AC8" s="10"/>
      <c r="AD8" s="10"/>
      <c r="AE8" s="10"/>
      <c r="AF8" t="s">
        <v>20</v>
      </c>
      <c r="AG8" t="s">
        <v>20</v>
      </c>
      <c r="AI8">
        <v>0</v>
      </c>
    </row>
    <row r="9" spans="1:37" ht="29">
      <c r="A9" t="s">
        <v>162</v>
      </c>
      <c r="B9" s="4" t="s">
        <v>936</v>
      </c>
      <c r="C9" s="4" t="s">
        <v>937</v>
      </c>
      <c r="F9" t="s">
        <v>19</v>
      </c>
      <c r="G9" s="10" t="s">
        <v>25</v>
      </c>
      <c r="H9" s="10"/>
      <c r="I9" s="10">
        <v>1</v>
      </c>
      <c r="J9" s="10">
        <v>3</v>
      </c>
      <c r="K9" s="10" t="s">
        <v>2158</v>
      </c>
      <c r="L9" s="10" t="s">
        <v>2159</v>
      </c>
      <c r="M9" s="10"/>
      <c r="N9" s="11"/>
      <c r="O9" s="10"/>
      <c r="P9" s="10">
        <v>2475</v>
      </c>
      <c r="Q9" s="10">
        <f t="shared" si="0"/>
        <v>1216.9338184678927</v>
      </c>
      <c r="R9" s="10"/>
      <c r="S9" s="10"/>
      <c r="T9" s="10" t="s">
        <v>2387</v>
      </c>
      <c r="U9" s="10" t="s">
        <v>2387</v>
      </c>
      <c r="V9" s="10"/>
      <c r="W9" s="10"/>
      <c r="X9" s="10"/>
      <c r="Y9" s="10"/>
      <c r="Z9" s="10"/>
      <c r="AA9" s="10"/>
      <c r="AB9" s="10"/>
      <c r="AC9" s="10"/>
      <c r="AD9" s="10"/>
      <c r="AE9" s="10"/>
      <c r="AF9" t="s">
        <v>20</v>
      </c>
      <c r="AG9" t="s">
        <v>20</v>
      </c>
      <c r="AI9">
        <v>0</v>
      </c>
    </row>
    <row r="10" spans="1:37" ht="72.5">
      <c r="A10" t="s">
        <v>163</v>
      </c>
      <c r="B10" s="4" t="s">
        <v>940</v>
      </c>
      <c r="C10" s="4" t="s">
        <v>941</v>
      </c>
      <c r="F10" t="s">
        <v>19</v>
      </c>
      <c r="G10" s="10" t="s">
        <v>25</v>
      </c>
      <c r="H10" s="10"/>
      <c r="I10" s="10">
        <v>1</v>
      </c>
      <c r="J10" s="10">
        <v>5</v>
      </c>
      <c r="K10" s="10" t="s">
        <v>2152</v>
      </c>
      <c r="L10" s="10" t="s">
        <v>2153</v>
      </c>
      <c r="M10" s="10" t="s">
        <v>2231</v>
      </c>
      <c r="N10" s="11" t="s">
        <v>2230</v>
      </c>
      <c r="O10" s="10"/>
      <c r="P10" s="10">
        <v>266</v>
      </c>
      <c r="Q10" s="10">
        <f t="shared" si="0"/>
        <v>130.78965483331694</v>
      </c>
      <c r="R10" s="10"/>
      <c r="S10" s="10"/>
      <c r="T10" s="10" t="s">
        <v>2387</v>
      </c>
      <c r="U10" s="10" t="s">
        <v>2387</v>
      </c>
      <c r="V10" s="10"/>
      <c r="W10" s="10"/>
      <c r="X10" s="10"/>
      <c r="Y10" s="10"/>
      <c r="Z10" s="10"/>
      <c r="AA10" s="10"/>
      <c r="AB10" s="10"/>
      <c r="AC10" s="10"/>
      <c r="AD10" s="10"/>
      <c r="AE10" s="10"/>
      <c r="AF10" t="s">
        <v>20</v>
      </c>
      <c r="AG10" t="s">
        <v>20</v>
      </c>
      <c r="AI10">
        <v>0</v>
      </c>
    </row>
    <row r="11" spans="1:37" ht="43.5">
      <c r="A11" t="s">
        <v>186</v>
      </c>
      <c r="B11" s="4" t="s">
        <v>973</v>
      </c>
      <c r="C11" s="4" t="s">
        <v>972</v>
      </c>
      <c r="G11" s="10" t="s">
        <v>24</v>
      </c>
      <c r="H11" s="10"/>
      <c r="I11" s="10">
        <v>1</v>
      </c>
      <c r="J11" s="10">
        <v>2</v>
      </c>
      <c r="K11" s="10" t="s">
        <v>2164</v>
      </c>
      <c r="L11" s="10" t="s">
        <v>2200</v>
      </c>
      <c r="M11" s="10"/>
      <c r="N11" s="11"/>
      <c r="O11" s="10"/>
      <c r="P11" s="10">
        <v>129</v>
      </c>
      <c r="Q11" s="10">
        <f t="shared" si="0"/>
        <v>63.428065689841674</v>
      </c>
      <c r="R11" s="10"/>
      <c r="S11" s="10"/>
      <c r="T11" s="10" t="s">
        <v>2387</v>
      </c>
      <c r="U11" s="10" t="s">
        <v>2387</v>
      </c>
      <c r="V11" s="10"/>
      <c r="W11" s="10"/>
      <c r="X11" s="10"/>
      <c r="Y11" s="10"/>
      <c r="Z11" s="10"/>
      <c r="AA11" s="10"/>
      <c r="AB11" s="10"/>
      <c r="AC11" s="10"/>
      <c r="AD11" s="10"/>
      <c r="AE11" s="10"/>
      <c r="AF11" t="s">
        <v>19</v>
      </c>
      <c r="AG11" t="s">
        <v>20</v>
      </c>
      <c r="AI11">
        <v>1</v>
      </c>
    </row>
    <row r="12" spans="1:37" ht="43.5">
      <c r="A12" t="s">
        <v>195</v>
      </c>
      <c r="B12" s="4" t="s">
        <v>980</v>
      </c>
      <c r="C12" s="4" t="s">
        <v>979</v>
      </c>
      <c r="G12" s="10" t="s">
        <v>24</v>
      </c>
      <c r="H12" s="10"/>
      <c r="I12" s="10">
        <v>1</v>
      </c>
      <c r="J12" s="10">
        <v>2</v>
      </c>
      <c r="K12" s="10" t="s">
        <v>2177</v>
      </c>
      <c r="L12" s="10" t="s">
        <v>2200</v>
      </c>
      <c r="M12" s="10"/>
      <c r="N12" s="11"/>
      <c r="O12" s="10"/>
      <c r="P12" s="10">
        <v>613</v>
      </c>
      <c r="Q12" s="10">
        <f t="shared" si="0"/>
        <v>301.40623463467404</v>
      </c>
      <c r="R12" s="10"/>
      <c r="S12" s="10"/>
      <c r="T12" s="10" t="s">
        <v>2387</v>
      </c>
      <c r="U12" s="10" t="s">
        <v>2387</v>
      </c>
      <c r="V12" s="10"/>
      <c r="W12" s="10"/>
      <c r="X12" s="10"/>
      <c r="Y12" s="10"/>
      <c r="Z12" s="10"/>
      <c r="AA12" s="10"/>
      <c r="AB12" s="10"/>
      <c r="AC12" s="10"/>
      <c r="AD12" s="10"/>
      <c r="AE12" s="10"/>
      <c r="AF12" t="s">
        <v>19</v>
      </c>
      <c r="AG12" t="s">
        <v>20</v>
      </c>
      <c r="AI12">
        <v>1</v>
      </c>
    </row>
    <row r="13" spans="1:37" ht="29">
      <c r="A13" t="s">
        <v>200</v>
      </c>
      <c r="B13" s="4" t="s">
        <v>983</v>
      </c>
      <c r="C13" s="4" t="s">
        <v>984</v>
      </c>
      <c r="F13" t="s">
        <v>19</v>
      </c>
      <c r="G13" s="10" t="s">
        <v>25</v>
      </c>
      <c r="H13" s="10"/>
      <c r="I13" s="10">
        <v>1</v>
      </c>
      <c r="J13" s="10">
        <v>3</v>
      </c>
      <c r="K13" s="10" t="s">
        <v>2175</v>
      </c>
      <c r="L13" s="10" t="s">
        <v>2159</v>
      </c>
      <c r="M13" s="10"/>
      <c r="N13" s="11"/>
      <c r="O13" s="10"/>
      <c r="P13" s="10">
        <v>743</v>
      </c>
      <c r="Q13" s="10">
        <f t="shared" si="0"/>
        <v>365.32599075621988</v>
      </c>
      <c r="R13" s="10"/>
      <c r="S13" s="10"/>
      <c r="T13" s="10" t="s">
        <v>2387</v>
      </c>
      <c r="U13" s="10" t="s">
        <v>2387</v>
      </c>
      <c r="V13" s="10"/>
      <c r="W13" s="10"/>
      <c r="X13" s="10"/>
      <c r="Y13" s="10"/>
      <c r="Z13" s="10"/>
      <c r="AA13" s="10"/>
      <c r="AB13" s="10"/>
      <c r="AC13" s="10"/>
      <c r="AD13" s="10"/>
      <c r="AE13" s="10"/>
      <c r="AF13" t="s">
        <v>20</v>
      </c>
      <c r="AG13" t="s">
        <v>20</v>
      </c>
      <c r="AI13">
        <v>0</v>
      </c>
    </row>
    <row r="14" spans="1:37" ht="29">
      <c r="A14" t="s">
        <v>209</v>
      </c>
      <c r="B14" s="4" t="s">
        <v>991</v>
      </c>
      <c r="C14" s="4" t="s">
        <v>992</v>
      </c>
      <c r="G14" s="10" t="s">
        <v>25</v>
      </c>
      <c r="H14" s="10"/>
      <c r="I14" s="10">
        <v>1</v>
      </c>
      <c r="J14" s="10">
        <v>2</v>
      </c>
      <c r="K14" s="10" t="s">
        <v>2158</v>
      </c>
      <c r="L14" s="10" t="s">
        <v>2200</v>
      </c>
      <c r="M14" s="10"/>
      <c r="N14" s="11"/>
      <c r="O14" s="10"/>
      <c r="P14" s="10">
        <v>2475</v>
      </c>
      <c r="Q14" s="10">
        <f t="shared" si="0"/>
        <v>1216.9338184678927</v>
      </c>
      <c r="R14" s="10"/>
      <c r="S14" s="10"/>
      <c r="T14" s="10" t="s">
        <v>2387</v>
      </c>
      <c r="U14" s="10" t="s">
        <v>2387</v>
      </c>
      <c r="V14" s="10"/>
      <c r="W14" s="10"/>
      <c r="X14" s="10"/>
      <c r="Y14" s="10"/>
      <c r="Z14" s="10"/>
      <c r="AA14" s="10"/>
      <c r="AB14" s="10"/>
      <c r="AC14" s="10"/>
      <c r="AD14" s="10"/>
      <c r="AE14" s="10"/>
      <c r="AF14" t="s">
        <v>20</v>
      </c>
      <c r="AG14" t="s">
        <v>20</v>
      </c>
      <c r="AI14">
        <v>0</v>
      </c>
    </row>
    <row r="15" spans="1:37" ht="29">
      <c r="A15" t="s">
        <v>243</v>
      </c>
      <c r="B15" s="4" t="s">
        <v>1028</v>
      </c>
      <c r="C15" s="4" t="s">
        <v>1029</v>
      </c>
      <c r="G15" s="10" t="s">
        <v>25</v>
      </c>
      <c r="H15" s="10"/>
      <c r="I15" s="10">
        <v>1</v>
      </c>
      <c r="J15" s="10">
        <v>2</v>
      </c>
      <c r="K15" s="10" t="s">
        <v>2177</v>
      </c>
      <c r="L15" s="10" t="s">
        <v>2200</v>
      </c>
      <c r="M15" s="10"/>
      <c r="N15" s="11"/>
      <c r="O15" s="10"/>
      <c r="P15" s="10">
        <v>613</v>
      </c>
      <c r="Q15" s="10">
        <f t="shared" si="0"/>
        <v>301.40623463467404</v>
      </c>
      <c r="R15" s="10"/>
      <c r="S15" s="10"/>
      <c r="T15" s="10" t="s">
        <v>2387</v>
      </c>
      <c r="U15" s="10" t="s">
        <v>2387</v>
      </c>
      <c r="V15" s="10"/>
      <c r="W15" s="10"/>
      <c r="X15" s="10"/>
      <c r="Y15" s="10"/>
      <c r="Z15" s="10"/>
      <c r="AA15" s="10"/>
      <c r="AB15" s="10"/>
      <c r="AC15" s="10"/>
      <c r="AD15" s="10"/>
      <c r="AE15" s="10"/>
      <c r="AF15" t="s">
        <v>20</v>
      </c>
      <c r="AG15" t="s">
        <v>20</v>
      </c>
      <c r="AI15">
        <v>0</v>
      </c>
    </row>
    <row r="16" spans="1:37" ht="101.5">
      <c r="A16" t="s">
        <v>271</v>
      </c>
      <c r="B16" s="4" t="s">
        <v>1107</v>
      </c>
      <c r="C16" s="4" t="s">
        <v>1110</v>
      </c>
      <c r="G16" s="10" t="s">
        <v>24</v>
      </c>
      <c r="H16" s="10"/>
      <c r="I16" s="10">
        <v>2</v>
      </c>
      <c r="J16" s="10">
        <v>7</v>
      </c>
      <c r="K16" s="10"/>
      <c r="L16" s="10" t="s">
        <v>2159</v>
      </c>
      <c r="M16" s="10"/>
      <c r="N16" s="11"/>
      <c r="O16" s="10"/>
      <c r="P16" s="10">
        <v>132</v>
      </c>
      <c r="Q16" s="10">
        <f t="shared" si="0"/>
        <v>64.903136984954273</v>
      </c>
      <c r="R16" s="10"/>
      <c r="S16" s="10"/>
      <c r="T16" s="10" t="s">
        <v>2387</v>
      </c>
      <c r="U16" s="10" t="s">
        <v>2387</v>
      </c>
      <c r="V16" s="10"/>
      <c r="W16" s="10"/>
      <c r="X16" s="10"/>
      <c r="Y16" s="10"/>
      <c r="Z16" s="10"/>
      <c r="AA16" s="10"/>
      <c r="AB16" s="10"/>
      <c r="AC16" s="10"/>
      <c r="AD16" s="10"/>
      <c r="AE16" s="10"/>
      <c r="AF16" t="s">
        <v>19</v>
      </c>
      <c r="AG16" t="s">
        <v>20</v>
      </c>
      <c r="AI16">
        <v>1</v>
      </c>
    </row>
    <row r="17" spans="1:35" ht="58">
      <c r="A17" t="s">
        <v>271</v>
      </c>
      <c r="B17" s="4" t="s">
        <v>1114</v>
      </c>
      <c r="C17" s="4" t="s">
        <v>1113</v>
      </c>
      <c r="G17" s="10" t="s">
        <v>24</v>
      </c>
      <c r="H17" s="10"/>
      <c r="I17" s="10">
        <v>1</v>
      </c>
      <c r="J17" s="10">
        <v>7</v>
      </c>
      <c r="K17" s="10" t="s">
        <v>2173</v>
      </c>
      <c r="L17" s="10" t="s">
        <v>2153</v>
      </c>
      <c r="M17" s="10" t="s">
        <v>2262</v>
      </c>
      <c r="N17" s="11" t="s">
        <v>2230</v>
      </c>
      <c r="O17" s="10"/>
      <c r="P17" s="10">
        <v>47</v>
      </c>
      <c r="Q17" s="10">
        <f t="shared" si="0"/>
        <v>23.109450290097357</v>
      </c>
      <c r="R17" s="10"/>
      <c r="S17" s="10"/>
      <c r="T17" s="10" t="s">
        <v>2387</v>
      </c>
      <c r="U17" s="10" t="s">
        <v>2387</v>
      </c>
      <c r="V17" s="10"/>
      <c r="W17" s="10"/>
      <c r="X17" s="10"/>
      <c r="Y17" s="10"/>
      <c r="Z17" s="10"/>
      <c r="AA17" s="10"/>
      <c r="AB17" s="10"/>
      <c r="AC17" s="10"/>
      <c r="AD17" s="10"/>
      <c r="AE17" s="10" t="s">
        <v>19</v>
      </c>
      <c r="AF17" t="s">
        <v>19</v>
      </c>
      <c r="AG17" t="s">
        <v>20</v>
      </c>
      <c r="AI17">
        <v>1</v>
      </c>
    </row>
    <row r="18" spans="1:35" ht="43.5">
      <c r="A18" t="s">
        <v>285</v>
      </c>
      <c r="B18" s="4" t="s">
        <v>1127</v>
      </c>
      <c r="C18" s="4" t="s">
        <v>1128</v>
      </c>
      <c r="F18" t="s">
        <v>19</v>
      </c>
      <c r="G18" s="10" t="s">
        <v>25</v>
      </c>
      <c r="H18" s="10"/>
      <c r="I18" s="10">
        <v>1</v>
      </c>
      <c r="J18" s="10">
        <v>2</v>
      </c>
      <c r="K18" s="10" t="s">
        <v>2168</v>
      </c>
      <c r="L18" s="10" t="s">
        <v>2200</v>
      </c>
      <c r="M18" s="10"/>
      <c r="N18" s="11"/>
      <c r="O18" s="10" t="s">
        <v>2154</v>
      </c>
      <c r="P18" s="10">
        <v>129</v>
      </c>
      <c r="Q18" s="10">
        <f t="shared" si="0"/>
        <v>63.428065689841674</v>
      </c>
      <c r="R18" s="10"/>
      <c r="S18" s="10"/>
      <c r="T18" s="10" t="s">
        <v>2387</v>
      </c>
      <c r="U18" s="10" t="s">
        <v>2387</v>
      </c>
      <c r="V18" s="10"/>
      <c r="W18" s="10"/>
      <c r="X18" s="10"/>
      <c r="Y18" s="10"/>
      <c r="Z18" s="10"/>
      <c r="AA18" s="10"/>
      <c r="AB18" s="10"/>
      <c r="AC18" s="10"/>
      <c r="AD18" s="10"/>
      <c r="AE18" s="10"/>
      <c r="AF18" t="s">
        <v>19</v>
      </c>
      <c r="AG18" t="s">
        <v>20</v>
      </c>
      <c r="AI18">
        <v>1</v>
      </c>
    </row>
    <row r="19" spans="1:35" ht="72.5">
      <c r="A19" t="s">
        <v>316</v>
      </c>
      <c r="B19" s="4" t="s">
        <v>1157</v>
      </c>
      <c r="C19" s="4" t="s">
        <v>1156</v>
      </c>
      <c r="G19" s="10" t="s">
        <v>25</v>
      </c>
      <c r="H19" s="10"/>
      <c r="I19" s="10">
        <v>2</v>
      </c>
      <c r="J19" s="10">
        <v>4</v>
      </c>
      <c r="K19" s="10"/>
      <c r="L19" s="10" t="s">
        <v>2159</v>
      </c>
      <c r="M19" s="10"/>
      <c r="N19" s="11"/>
      <c r="O19" s="10"/>
      <c r="P19" s="10">
        <v>124</v>
      </c>
      <c r="Q19" s="10">
        <f t="shared" si="0"/>
        <v>60.969613531320682</v>
      </c>
      <c r="R19" s="10"/>
      <c r="S19" s="10"/>
      <c r="T19" s="10" t="s">
        <v>2387</v>
      </c>
      <c r="U19" s="10" t="s">
        <v>2387</v>
      </c>
      <c r="V19" s="10"/>
      <c r="W19" s="10"/>
      <c r="X19" s="10"/>
      <c r="Y19" s="10"/>
      <c r="Z19" s="10"/>
      <c r="AA19" s="10"/>
      <c r="AB19" s="10"/>
      <c r="AC19" s="10"/>
      <c r="AD19" s="10"/>
      <c r="AE19" s="10"/>
      <c r="AF19" t="s">
        <v>19</v>
      </c>
      <c r="AG19" t="s">
        <v>20</v>
      </c>
      <c r="AI19">
        <v>1</v>
      </c>
    </row>
    <row r="20" spans="1:35" ht="29">
      <c r="A20" t="s">
        <v>350</v>
      </c>
      <c r="B20" s="4" t="s">
        <v>1208</v>
      </c>
      <c r="C20" s="4" t="s">
        <v>1207</v>
      </c>
      <c r="G20" s="10" t="s">
        <v>25</v>
      </c>
      <c r="H20" s="10"/>
      <c r="I20" s="10">
        <v>1</v>
      </c>
      <c r="J20" s="10">
        <v>3</v>
      </c>
      <c r="K20" s="10" t="s">
        <v>2158</v>
      </c>
      <c r="L20" s="10" t="s">
        <v>2159</v>
      </c>
      <c r="M20" s="10"/>
      <c r="N20" s="11"/>
      <c r="O20" s="10"/>
      <c r="P20" s="10">
        <v>2475</v>
      </c>
      <c r="Q20" s="10">
        <f t="shared" si="0"/>
        <v>1216.9338184678927</v>
      </c>
      <c r="R20" s="10"/>
      <c r="S20" s="10"/>
      <c r="T20" s="10" t="s">
        <v>2387</v>
      </c>
      <c r="U20" s="10" t="s">
        <v>2387</v>
      </c>
      <c r="V20" s="10"/>
      <c r="W20" s="10"/>
      <c r="X20" s="10"/>
      <c r="Y20" s="10"/>
      <c r="Z20" s="10"/>
      <c r="AA20" s="10"/>
      <c r="AB20" s="10"/>
      <c r="AC20" s="10"/>
      <c r="AD20" s="10"/>
      <c r="AE20" s="10"/>
      <c r="AF20" t="s">
        <v>19</v>
      </c>
      <c r="AG20" t="s">
        <v>20</v>
      </c>
      <c r="AI20">
        <v>1</v>
      </c>
    </row>
    <row r="21" spans="1:35" ht="29">
      <c r="A21" t="s">
        <v>356</v>
      </c>
      <c r="B21" s="4" t="s">
        <v>1213</v>
      </c>
      <c r="C21" s="4" t="s">
        <v>1214</v>
      </c>
      <c r="G21" s="10" t="s">
        <v>25</v>
      </c>
      <c r="H21" s="10"/>
      <c r="I21" s="10">
        <v>1</v>
      </c>
      <c r="J21" s="10">
        <v>1</v>
      </c>
      <c r="K21" s="10" t="s">
        <v>2158</v>
      </c>
      <c r="L21" s="10" t="s">
        <v>2200</v>
      </c>
      <c r="M21" s="10"/>
      <c r="N21" s="11"/>
      <c r="O21" s="10"/>
      <c r="P21" s="10">
        <v>2475</v>
      </c>
      <c r="Q21" s="10">
        <f t="shared" si="0"/>
        <v>1216.9338184678927</v>
      </c>
      <c r="R21" s="10"/>
      <c r="S21" s="10"/>
      <c r="T21" s="10" t="s">
        <v>2387</v>
      </c>
      <c r="U21" s="10" t="s">
        <v>2387</v>
      </c>
      <c r="V21" s="10"/>
      <c r="W21" s="10"/>
      <c r="X21" s="10"/>
      <c r="Y21" s="10"/>
      <c r="Z21" s="10"/>
      <c r="AA21" s="10"/>
      <c r="AB21" s="10"/>
      <c r="AC21" s="10"/>
      <c r="AD21" s="10"/>
      <c r="AE21" s="10"/>
      <c r="AF21" t="s">
        <v>19</v>
      </c>
      <c r="AG21" t="s">
        <v>20</v>
      </c>
      <c r="AI21">
        <v>1</v>
      </c>
    </row>
    <row r="22" spans="1:35" ht="43.5">
      <c r="A22" t="s">
        <v>364</v>
      </c>
      <c r="B22" s="4" t="s">
        <v>1233</v>
      </c>
      <c r="C22" s="4" t="s">
        <v>1234</v>
      </c>
      <c r="F22" t="s">
        <v>19</v>
      </c>
      <c r="G22" s="10" t="s">
        <v>24</v>
      </c>
      <c r="H22" s="10"/>
      <c r="I22" s="10">
        <v>1</v>
      </c>
      <c r="J22" s="10">
        <v>5</v>
      </c>
      <c r="K22" s="10" t="s">
        <v>2175</v>
      </c>
      <c r="L22" s="10" t="s">
        <v>2159</v>
      </c>
      <c r="M22" s="10"/>
      <c r="N22" s="11"/>
      <c r="O22" s="10"/>
      <c r="P22" s="10">
        <v>830</v>
      </c>
      <c r="Q22" s="10">
        <f t="shared" si="0"/>
        <v>408.10305831448517</v>
      </c>
      <c r="R22" s="10"/>
      <c r="S22" s="10"/>
      <c r="T22" s="10" t="s">
        <v>2387</v>
      </c>
      <c r="U22" s="10" t="s">
        <v>2387</v>
      </c>
      <c r="V22" s="10"/>
      <c r="W22" s="10"/>
      <c r="X22" s="10"/>
      <c r="Y22" s="10"/>
      <c r="Z22" s="10"/>
      <c r="AA22" s="10"/>
      <c r="AB22" s="10"/>
      <c r="AC22" s="10"/>
      <c r="AD22" s="10"/>
      <c r="AE22" s="10"/>
      <c r="AF22" t="s">
        <v>20</v>
      </c>
      <c r="AG22" t="s">
        <v>20</v>
      </c>
      <c r="AI22">
        <v>0</v>
      </c>
    </row>
    <row r="23" spans="1:35" ht="29">
      <c r="A23" t="s">
        <v>378</v>
      </c>
      <c r="B23" s="4" t="s">
        <v>1250</v>
      </c>
      <c r="C23" s="4" t="s">
        <v>1251</v>
      </c>
      <c r="G23" s="10" t="s">
        <v>24</v>
      </c>
      <c r="H23" s="10"/>
      <c r="I23" s="10">
        <v>1</v>
      </c>
      <c r="J23" s="10">
        <v>2</v>
      </c>
      <c r="K23" s="10" t="s">
        <v>2177</v>
      </c>
      <c r="L23" s="10" t="s">
        <v>2200</v>
      </c>
      <c r="M23" s="10"/>
      <c r="N23" s="11"/>
      <c r="O23" s="10"/>
      <c r="P23" s="10">
        <v>613</v>
      </c>
      <c r="Q23" s="10">
        <f t="shared" si="0"/>
        <v>301.40623463467404</v>
      </c>
      <c r="R23" s="10"/>
      <c r="S23" s="10"/>
      <c r="T23" s="10" t="s">
        <v>2387</v>
      </c>
      <c r="U23" s="10" t="s">
        <v>2387</v>
      </c>
      <c r="V23" s="10"/>
      <c r="W23" s="10"/>
      <c r="X23" s="10"/>
      <c r="Y23" s="10"/>
      <c r="Z23" s="10"/>
      <c r="AA23" s="10"/>
      <c r="AB23" s="10"/>
      <c r="AC23" s="10"/>
      <c r="AD23" s="10"/>
      <c r="AE23" s="10"/>
      <c r="AF23" t="s">
        <v>19</v>
      </c>
      <c r="AG23" t="s">
        <v>20</v>
      </c>
      <c r="AI23">
        <v>1</v>
      </c>
    </row>
    <row r="24" spans="1:35" ht="87">
      <c r="A24" t="s">
        <v>381</v>
      </c>
      <c r="B24" s="4" t="s">
        <v>1268</v>
      </c>
      <c r="C24" s="4" t="s">
        <v>1265</v>
      </c>
      <c r="G24" s="10" t="s">
        <v>25</v>
      </c>
      <c r="H24" s="10"/>
      <c r="I24" s="10">
        <v>2</v>
      </c>
      <c r="J24" s="10">
        <v>6</v>
      </c>
      <c r="K24" s="10"/>
      <c r="L24" s="10" t="s">
        <v>2159</v>
      </c>
      <c r="M24" s="10"/>
      <c r="N24" s="11"/>
      <c r="O24" s="10"/>
      <c r="P24" s="10">
        <v>2</v>
      </c>
      <c r="Q24" s="10">
        <f t="shared" si="0"/>
        <v>0.98338086340839814</v>
      </c>
      <c r="R24" s="10"/>
      <c r="S24" s="10"/>
      <c r="T24" s="10" t="s">
        <v>2387</v>
      </c>
      <c r="U24" s="10" t="s">
        <v>2387</v>
      </c>
      <c r="V24" s="10"/>
      <c r="W24" s="10"/>
      <c r="X24" s="10"/>
      <c r="Y24" s="10"/>
      <c r="Z24" s="10"/>
      <c r="AA24" s="10"/>
      <c r="AB24" s="10"/>
      <c r="AC24" s="10"/>
      <c r="AD24" s="10"/>
      <c r="AE24" s="10"/>
      <c r="AF24" t="s">
        <v>19</v>
      </c>
      <c r="AG24" t="s">
        <v>20</v>
      </c>
      <c r="AI24">
        <v>1</v>
      </c>
    </row>
    <row r="25" spans="1:35" ht="58">
      <c r="A25" t="s">
        <v>402</v>
      </c>
      <c r="B25" s="4" t="s">
        <v>2272</v>
      </c>
      <c r="C25" s="4" t="s">
        <v>2273</v>
      </c>
      <c r="G25" s="10" t="s">
        <v>24</v>
      </c>
      <c r="H25" s="10"/>
      <c r="I25" s="10">
        <v>1</v>
      </c>
      <c r="J25" s="10">
        <v>3</v>
      </c>
      <c r="K25" s="10" t="s">
        <v>2168</v>
      </c>
      <c r="L25" s="10" t="s">
        <v>2159</v>
      </c>
      <c r="M25" s="10"/>
      <c r="N25" s="11"/>
      <c r="O25" s="10"/>
      <c r="P25" s="10">
        <v>1701</v>
      </c>
      <c r="Q25" s="10">
        <f t="shared" si="0"/>
        <v>836.36542432884255</v>
      </c>
      <c r="R25" s="10"/>
      <c r="S25" s="10"/>
      <c r="T25" s="10" t="s">
        <v>2387</v>
      </c>
      <c r="U25" s="10" t="s">
        <v>2387</v>
      </c>
      <c r="V25" s="10"/>
      <c r="W25" s="10"/>
      <c r="X25" s="10"/>
      <c r="Y25" s="10"/>
      <c r="Z25" s="10"/>
      <c r="AA25" s="10"/>
      <c r="AB25" s="10"/>
      <c r="AC25" s="10"/>
      <c r="AD25" s="10"/>
      <c r="AE25" s="10"/>
      <c r="AF25" t="s">
        <v>19</v>
      </c>
      <c r="AG25" t="s">
        <v>20</v>
      </c>
      <c r="AI25">
        <v>1</v>
      </c>
    </row>
    <row r="26" spans="1:35" ht="43.5">
      <c r="A26" t="s">
        <v>413</v>
      </c>
      <c r="B26" s="4" t="s">
        <v>1309</v>
      </c>
      <c r="C26" s="4" t="s">
        <v>1312</v>
      </c>
      <c r="G26" s="10" t="s">
        <v>24</v>
      </c>
      <c r="H26" s="10"/>
      <c r="I26" s="10">
        <v>1</v>
      </c>
      <c r="J26" s="10">
        <v>3</v>
      </c>
      <c r="K26" s="10" t="s">
        <v>2168</v>
      </c>
      <c r="L26" s="10" t="s">
        <v>2159</v>
      </c>
      <c r="M26" s="10"/>
      <c r="N26" s="11"/>
      <c r="O26" s="10"/>
      <c r="P26" s="10">
        <v>1701</v>
      </c>
      <c r="Q26" s="10">
        <f t="shared" si="0"/>
        <v>836.36542432884255</v>
      </c>
      <c r="R26" s="10"/>
      <c r="S26" s="10"/>
      <c r="T26" s="10" t="s">
        <v>2387</v>
      </c>
      <c r="U26" s="10" t="s">
        <v>2387</v>
      </c>
      <c r="V26" s="10"/>
      <c r="W26" s="10"/>
      <c r="X26" s="10"/>
      <c r="Y26" s="10"/>
      <c r="Z26" s="10"/>
      <c r="AA26" s="10"/>
      <c r="AB26" s="10"/>
      <c r="AC26" s="10"/>
      <c r="AD26" s="10"/>
      <c r="AE26" s="10"/>
      <c r="AF26" t="s">
        <v>19</v>
      </c>
      <c r="AG26" t="s">
        <v>20</v>
      </c>
      <c r="AI26">
        <v>1</v>
      </c>
    </row>
    <row r="27" spans="1:35" ht="145">
      <c r="A27" t="s">
        <v>415</v>
      </c>
      <c r="B27" s="4" t="s">
        <v>1317</v>
      </c>
      <c r="C27" s="4" t="s">
        <v>1318</v>
      </c>
      <c r="G27" s="10" t="s">
        <v>24</v>
      </c>
      <c r="H27" s="10"/>
      <c r="I27" s="10">
        <v>2</v>
      </c>
      <c r="J27" s="10">
        <v>21</v>
      </c>
      <c r="K27" s="10"/>
      <c r="L27" s="10" t="s">
        <v>2153</v>
      </c>
      <c r="M27" s="10" t="s">
        <v>2274</v>
      </c>
      <c r="N27" s="11" t="s">
        <v>2275</v>
      </c>
      <c r="O27" s="10"/>
      <c r="P27" s="10">
        <v>11</v>
      </c>
      <c r="Q27" s="10">
        <f t="shared" si="0"/>
        <v>5.4085947487461903</v>
      </c>
      <c r="R27" s="10"/>
      <c r="S27" s="10"/>
      <c r="T27" s="10" t="s">
        <v>2387</v>
      </c>
      <c r="U27" s="10" t="s">
        <v>2387</v>
      </c>
      <c r="V27" s="10"/>
      <c r="W27" s="10"/>
      <c r="X27" s="10"/>
      <c r="Y27" s="10"/>
      <c r="Z27" s="10"/>
      <c r="AA27" s="10"/>
      <c r="AB27" s="10"/>
      <c r="AC27" s="10"/>
      <c r="AD27" s="10"/>
      <c r="AE27" s="10"/>
      <c r="AF27" t="s">
        <v>19</v>
      </c>
      <c r="AG27" t="s">
        <v>20</v>
      </c>
      <c r="AI27">
        <v>1</v>
      </c>
    </row>
    <row r="28" spans="1:35" ht="116">
      <c r="A28" t="s">
        <v>415</v>
      </c>
      <c r="B28" s="4" t="s">
        <v>1319</v>
      </c>
      <c r="C28" s="4" t="s">
        <v>1320</v>
      </c>
      <c r="G28" s="10" t="s">
        <v>24</v>
      </c>
      <c r="H28" s="10"/>
      <c r="I28" s="10">
        <v>1</v>
      </c>
      <c r="J28" s="10">
        <v>12</v>
      </c>
      <c r="K28" s="10" t="s">
        <v>2219</v>
      </c>
      <c r="L28" s="10" t="s">
        <v>2153</v>
      </c>
      <c r="M28" s="10" t="s">
        <v>2229</v>
      </c>
      <c r="N28" s="11" t="s">
        <v>2276</v>
      </c>
      <c r="O28" s="10" t="s">
        <v>2154</v>
      </c>
      <c r="P28" s="10">
        <v>11</v>
      </c>
      <c r="Q28" s="10">
        <f t="shared" si="0"/>
        <v>5.4085947487461903</v>
      </c>
      <c r="R28" s="10"/>
      <c r="S28" s="10"/>
      <c r="T28" s="10" t="s">
        <v>2387</v>
      </c>
      <c r="U28" s="10" t="s">
        <v>2387</v>
      </c>
      <c r="V28" s="10"/>
      <c r="W28" s="10"/>
      <c r="X28" s="10"/>
      <c r="Y28" s="10"/>
      <c r="Z28" s="10"/>
      <c r="AA28" s="10"/>
      <c r="AB28" s="10"/>
      <c r="AC28" s="10"/>
      <c r="AD28" s="10"/>
      <c r="AE28" s="10"/>
      <c r="AF28" t="s">
        <v>20</v>
      </c>
      <c r="AG28" t="s">
        <v>20</v>
      </c>
      <c r="AI28">
        <v>0</v>
      </c>
    </row>
    <row r="29" spans="1:35" ht="145">
      <c r="A29" t="s">
        <v>422</v>
      </c>
      <c r="B29" s="4" t="s">
        <v>1332</v>
      </c>
      <c r="C29" s="4" t="s">
        <v>1331</v>
      </c>
      <c r="G29" s="10" t="s">
        <v>25</v>
      </c>
      <c r="H29" s="10"/>
      <c r="I29" s="10">
        <v>5</v>
      </c>
      <c r="J29" s="10">
        <v>27</v>
      </c>
      <c r="K29" s="10"/>
      <c r="L29" s="10" t="s">
        <v>2153</v>
      </c>
      <c r="M29" s="10" t="s">
        <v>2277</v>
      </c>
      <c r="N29" s="11" t="s">
        <v>2278</v>
      </c>
      <c r="O29" s="10"/>
      <c r="P29" s="10">
        <v>3</v>
      </c>
      <c r="Q29" s="10">
        <f t="shared" si="0"/>
        <v>1.4750712951125973</v>
      </c>
      <c r="R29" s="10"/>
      <c r="S29" s="10"/>
      <c r="T29" s="10" t="s">
        <v>2387</v>
      </c>
      <c r="U29" s="10" t="s">
        <v>2387</v>
      </c>
      <c r="V29" s="10"/>
      <c r="W29" s="10"/>
      <c r="X29" s="10"/>
      <c r="Y29" s="10"/>
      <c r="Z29" s="10"/>
      <c r="AA29" s="10"/>
      <c r="AB29" s="10"/>
      <c r="AC29" s="10"/>
      <c r="AD29" s="10"/>
      <c r="AE29" s="10" t="s">
        <v>19</v>
      </c>
      <c r="AF29" t="s">
        <v>19</v>
      </c>
      <c r="AG29" t="s">
        <v>20</v>
      </c>
      <c r="AI29">
        <v>1</v>
      </c>
    </row>
    <row r="30" spans="1:35" ht="130.5">
      <c r="A30" t="s">
        <v>422</v>
      </c>
      <c r="B30" s="4" t="s">
        <v>1330</v>
      </c>
      <c r="C30" s="4" t="s">
        <v>1333</v>
      </c>
      <c r="F30" t="s">
        <v>19</v>
      </c>
      <c r="G30" s="10" t="s">
        <v>24</v>
      </c>
      <c r="H30" s="10"/>
      <c r="I30" s="10">
        <v>1</v>
      </c>
      <c r="J30" s="10">
        <v>1</v>
      </c>
      <c r="K30" s="10" t="s">
        <v>2168</v>
      </c>
      <c r="L30" s="10" t="s">
        <v>2200</v>
      </c>
      <c r="M30" s="10"/>
      <c r="N30" s="11"/>
      <c r="O30" s="10"/>
      <c r="P30" s="10">
        <v>171</v>
      </c>
      <c r="Q30" s="10">
        <f t="shared" si="0"/>
        <v>84.079063821418046</v>
      </c>
      <c r="R30" s="10"/>
      <c r="S30" s="10"/>
      <c r="T30" s="10" t="s">
        <v>2387</v>
      </c>
      <c r="U30" s="10" t="s">
        <v>2387</v>
      </c>
      <c r="V30" s="10"/>
      <c r="W30" s="10"/>
      <c r="X30" s="10"/>
      <c r="Y30" s="10"/>
      <c r="Z30" s="10"/>
      <c r="AA30" s="10"/>
      <c r="AB30" s="10"/>
      <c r="AC30" s="10"/>
      <c r="AD30" s="10"/>
      <c r="AE30" s="10"/>
      <c r="AF30" t="s">
        <v>20</v>
      </c>
      <c r="AG30" t="s">
        <v>20</v>
      </c>
      <c r="AI30">
        <v>0</v>
      </c>
    </row>
    <row r="31" spans="1:35" ht="72.5">
      <c r="A31" t="s">
        <v>442</v>
      </c>
      <c r="B31" s="4" t="s">
        <v>1347</v>
      </c>
      <c r="C31" s="4" t="s">
        <v>1348</v>
      </c>
      <c r="G31" s="10" t="s">
        <v>24</v>
      </c>
      <c r="H31" s="10"/>
      <c r="I31" s="10">
        <v>1</v>
      </c>
      <c r="J31" s="10">
        <v>3</v>
      </c>
      <c r="K31" s="10" t="s">
        <v>2158</v>
      </c>
      <c r="L31" s="10" t="s">
        <v>2153</v>
      </c>
      <c r="M31" s="10" t="s">
        <v>2229</v>
      </c>
      <c r="N31" s="11" t="s">
        <v>2230</v>
      </c>
      <c r="O31" s="10"/>
      <c r="P31" s="10">
        <v>2475</v>
      </c>
      <c r="Q31" s="10">
        <f t="shared" si="0"/>
        <v>1216.9338184678927</v>
      </c>
      <c r="R31" s="10"/>
      <c r="S31" s="10"/>
      <c r="T31" s="10" t="s">
        <v>2387</v>
      </c>
      <c r="U31" s="10" t="s">
        <v>2387</v>
      </c>
      <c r="V31" s="10"/>
      <c r="W31" s="10"/>
      <c r="X31" s="10"/>
      <c r="Y31" s="10"/>
      <c r="Z31" s="10"/>
      <c r="AA31" s="10"/>
      <c r="AB31" s="10"/>
      <c r="AC31" s="10"/>
      <c r="AD31" s="10"/>
      <c r="AE31" s="10"/>
      <c r="AF31" t="s">
        <v>20</v>
      </c>
      <c r="AG31" t="s">
        <v>20</v>
      </c>
      <c r="AI31">
        <v>0</v>
      </c>
    </row>
    <row r="32" spans="1:35" ht="43.5">
      <c r="A32" t="s">
        <v>446</v>
      </c>
      <c r="B32" s="4" t="s">
        <v>1365</v>
      </c>
      <c r="C32" s="4" t="s">
        <v>1364</v>
      </c>
      <c r="G32" s="10" t="s">
        <v>24</v>
      </c>
      <c r="H32" s="10"/>
      <c r="I32" s="10">
        <v>1</v>
      </c>
      <c r="J32" s="10">
        <v>3</v>
      </c>
      <c r="K32" s="10" t="s">
        <v>2158</v>
      </c>
      <c r="L32" s="10" t="s">
        <v>2159</v>
      </c>
      <c r="M32" s="10"/>
      <c r="N32" s="11"/>
      <c r="O32" s="10"/>
      <c r="P32" s="10">
        <v>2475</v>
      </c>
      <c r="Q32" s="10">
        <f t="shared" si="0"/>
        <v>1216.9338184678927</v>
      </c>
      <c r="R32" s="10"/>
      <c r="S32" s="10"/>
      <c r="T32" s="10" t="s">
        <v>2387</v>
      </c>
      <c r="U32" s="10" t="s">
        <v>2387</v>
      </c>
      <c r="V32" s="10"/>
      <c r="W32" s="10"/>
      <c r="X32" s="10"/>
      <c r="Y32" s="10"/>
      <c r="Z32" s="10"/>
      <c r="AA32" s="10"/>
      <c r="AB32" s="10"/>
      <c r="AC32" s="10"/>
      <c r="AD32" s="10"/>
      <c r="AE32" s="10"/>
      <c r="AF32" t="s">
        <v>20</v>
      </c>
      <c r="AG32" t="s">
        <v>20</v>
      </c>
      <c r="AI32">
        <v>0</v>
      </c>
    </row>
    <row r="33" spans="1:35" ht="130.5">
      <c r="A33" t="s">
        <v>451</v>
      </c>
      <c r="B33" s="4" t="s">
        <v>2439</v>
      </c>
      <c r="C33" s="4" t="s">
        <v>1378</v>
      </c>
      <c r="G33" s="10" t="s">
        <v>25</v>
      </c>
      <c r="H33" s="10"/>
      <c r="I33" s="10">
        <v>5</v>
      </c>
      <c r="J33" s="10">
        <v>27</v>
      </c>
      <c r="K33" s="10"/>
      <c r="L33" s="10" t="s">
        <v>2159</v>
      </c>
      <c r="M33" s="10"/>
      <c r="N33" s="11"/>
      <c r="O33" s="10"/>
      <c r="P33" s="10">
        <v>18</v>
      </c>
      <c r="Q33" s="10">
        <f t="shared" si="0"/>
        <v>8.8504277706755818</v>
      </c>
      <c r="R33" s="10"/>
      <c r="S33" s="10"/>
      <c r="T33" s="10" t="s">
        <v>2387</v>
      </c>
      <c r="U33" s="10" t="s">
        <v>2387</v>
      </c>
      <c r="V33" s="10"/>
      <c r="W33" s="10"/>
      <c r="X33" s="10"/>
      <c r="Y33" s="10"/>
      <c r="Z33" s="10"/>
      <c r="AA33" s="10"/>
      <c r="AB33" s="10"/>
      <c r="AC33" s="10"/>
      <c r="AD33" s="10"/>
      <c r="AE33" s="10"/>
      <c r="AF33" t="s">
        <v>19</v>
      </c>
      <c r="AG33" t="s">
        <v>20</v>
      </c>
      <c r="AI33">
        <v>1</v>
      </c>
    </row>
    <row r="34" spans="1:35" ht="43.5">
      <c r="A34" t="s">
        <v>455</v>
      </c>
      <c r="B34" s="4" t="s">
        <v>2282</v>
      </c>
      <c r="C34" s="4" t="s">
        <v>2283</v>
      </c>
      <c r="F34" t="s">
        <v>19</v>
      </c>
      <c r="G34" s="10" t="s">
        <v>24</v>
      </c>
      <c r="H34" s="10"/>
      <c r="I34" s="10">
        <v>1</v>
      </c>
      <c r="J34" s="10">
        <v>1</v>
      </c>
      <c r="K34" s="10" t="s">
        <v>2152</v>
      </c>
      <c r="L34" s="10" t="s">
        <v>2200</v>
      </c>
      <c r="M34" s="10"/>
      <c r="N34" s="11"/>
      <c r="O34" s="10"/>
      <c r="P34" s="10">
        <v>9</v>
      </c>
      <c r="Q34" s="10">
        <f t="shared" ref="Q34:Q65" si="1">IF(ISNUMBER(P34), (P34/$F$119)*10000, "")</f>
        <v>4.4252138853377909</v>
      </c>
      <c r="R34" s="10"/>
      <c r="S34" s="10"/>
      <c r="T34" s="10" t="s">
        <v>2387</v>
      </c>
      <c r="U34" s="10" t="s">
        <v>2387</v>
      </c>
      <c r="V34" s="10"/>
      <c r="W34" s="10"/>
      <c r="X34" s="10"/>
      <c r="Y34" s="10"/>
      <c r="Z34" s="10"/>
      <c r="AA34" s="10"/>
      <c r="AB34" s="10"/>
      <c r="AC34" s="10"/>
      <c r="AD34" s="10"/>
      <c r="AE34" s="10"/>
      <c r="AF34" t="s">
        <v>20</v>
      </c>
      <c r="AG34" t="s">
        <v>20</v>
      </c>
      <c r="AI34">
        <v>0</v>
      </c>
    </row>
    <row r="35" spans="1:35" ht="43.5">
      <c r="A35" t="s">
        <v>459</v>
      </c>
      <c r="B35" s="4" t="s">
        <v>1386</v>
      </c>
      <c r="C35" s="4" t="s">
        <v>1387</v>
      </c>
      <c r="G35" s="10" t="s">
        <v>24</v>
      </c>
      <c r="H35" s="10"/>
      <c r="I35" s="10">
        <v>1</v>
      </c>
      <c r="J35" s="10">
        <v>2</v>
      </c>
      <c r="K35" s="10" t="s">
        <v>2168</v>
      </c>
      <c r="L35" s="10" t="s">
        <v>2200</v>
      </c>
      <c r="M35" s="10"/>
      <c r="N35" s="11"/>
      <c r="O35" s="10"/>
      <c r="P35" s="10">
        <v>129</v>
      </c>
      <c r="Q35" s="10">
        <f t="shared" si="1"/>
        <v>63.428065689841674</v>
      </c>
      <c r="R35" s="10"/>
      <c r="S35" s="10"/>
      <c r="T35" s="10" t="s">
        <v>2387</v>
      </c>
      <c r="U35" s="10" t="s">
        <v>2387</v>
      </c>
      <c r="V35" s="10"/>
      <c r="W35" s="10"/>
      <c r="X35" s="10"/>
      <c r="Y35" s="10"/>
      <c r="Z35" s="10"/>
      <c r="AA35" s="10"/>
      <c r="AB35" s="10"/>
      <c r="AC35" s="10"/>
      <c r="AD35" s="10"/>
      <c r="AE35" s="10"/>
      <c r="AF35" t="s">
        <v>20</v>
      </c>
      <c r="AG35" t="s">
        <v>20</v>
      </c>
      <c r="AI35">
        <v>0</v>
      </c>
    </row>
    <row r="36" spans="1:35" ht="72.5">
      <c r="A36" t="s">
        <v>485</v>
      </c>
      <c r="B36" s="4" t="s">
        <v>1430</v>
      </c>
      <c r="C36" s="4" t="s">
        <v>1433</v>
      </c>
      <c r="G36" s="10" t="s">
        <v>24</v>
      </c>
      <c r="H36" s="10"/>
      <c r="I36" s="10">
        <v>1</v>
      </c>
      <c r="J36" s="10">
        <v>1</v>
      </c>
      <c r="K36" s="10" t="s">
        <v>2158</v>
      </c>
      <c r="L36" s="10" t="s">
        <v>2200</v>
      </c>
      <c r="M36" s="10"/>
      <c r="N36" s="11"/>
      <c r="O36" s="10" t="s">
        <v>2154</v>
      </c>
      <c r="P36" s="10">
        <v>2475</v>
      </c>
      <c r="Q36" s="10">
        <f t="shared" si="1"/>
        <v>1216.9338184678927</v>
      </c>
      <c r="R36" s="10"/>
      <c r="S36" s="10"/>
      <c r="T36" s="10" t="s">
        <v>2387</v>
      </c>
      <c r="U36" s="10" t="s">
        <v>2387</v>
      </c>
      <c r="V36" s="10"/>
      <c r="W36" s="10"/>
      <c r="X36" s="10"/>
      <c r="Y36" s="10"/>
      <c r="Z36" s="10"/>
      <c r="AA36" s="10"/>
      <c r="AB36" s="10"/>
      <c r="AC36" s="10"/>
      <c r="AD36" s="10"/>
      <c r="AE36" s="10"/>
      <c r="AF36" t="s">
        <v>19</v>
      </c>
      <c r="AG36" t="s">
        <v>20</v>
      </c>
      <c r="AI36">
        <v>1</v>
      </c>
    </row>
    <row r="37" spans="1:35" ht="72.5">
      <c r="A37" t="s">
        <v>494</v>
      </c>
      <c r="B37" s="4" t="s">
        <v>1465</v>
      </c>
      <c r="C37" s="4" t="s">
        <v>1466</v>
      </c>
      <c r="F37" t="s">
        <v>19</v>
      </c>
      <c r="G37" s="10" t="s">
        <v>24</v>
      </c>
      <c r="H37" s="10"/>
      <c r="I37" s="10">
        <v>1</v>
      </c>
      <c r="J37" s="10">
        <v>6</v>
      </c>
      <c r="K37" s="10" t="s">
        <v>2173</v>
      </c>
      <c r="L37" s="10" t="s">
        <v>2159</v>
      </c>
      <c r="M37" s="10"/>
      <c r="N37" s="11"/>
      <c r="O37" s="10"/>
      <c r="P37" s="10">
        <v>250</v>
      </c>
      <c r="Q37" s="10">
        <f t="shared" si="1"/>
        <v>122.92260792604976</v>
      </c>
      <c r="R37" s="10"/>
      <c r="S37" s="10"/>
      <c r="T37" s="10" t="s">
        <v>2387</v>
      </c>
      <c r="U37" s="10" t="s">
        <v>2387</v>
      </c>
      <c r="V37" s="10"/>
      <c r="W37" s="10"/>
      <c r="X37" s="10"/>
      <c r="Y37" s="10"/>
      <c r="Z37" s="10"/>
      <c r="AA37" s="10"/>
      <c r="AB37" s="10"/>
      <c r="AC37" s="10"/>
      <c r="AD37" s="10"/>
      <c r="AE37" s="10"/>
      <c r="AF37" t="s">
        <v>20</v>
      </c>
      <c r="AG37" t="s">
        <v>20</v>
      </c>
      <c r="AI37">
        <v>0</v>
      </c>
    </row>
    <row r="38" spans="1:35" ht="72.5">
      <c r="A38" t="s">
        <v>498</v>
      </c>
      <c r="B38" s="4" t="s">
        <v>1482</v>
      </c>
      <c r="C38" s="4" t="s">
        <v>1484</v>
      </c>
      <c r="G38" s="10" t="s">
        <v>24</v>
      </c>
      <c r="H38" s="10"/>
      <c r="I38" s="10">
        <v>1</v>
      </c>
      <c r="J38" s="10">
        <v>3</v>
      </c>
      <c r="K38" s="10" t="s">
        <v>2158</v>
      </c>
      <c r="L38" s="10" t="s">
        <v>2159</v>
      </c>
      <c r="M38" s="10"/>
      <c r="N38" s="11"/>
      <c r="O38" s="10"/>
      <c r="P38" s="10">
        <v>2475</v>
      </c>
      <c r="Q38" s="10">
        <f t="shared" si="1"/>
        <v>1216.9338184678927</v>
      </c>
      <c r="R38" s="10"/>
      <c r="S38" s="10"/>
      <c r="T38" s="10" t="s">
        <v>2387</v>
      </c>
      <c r="U38" s="10" t="s">
        <v>2387</v>
      </c>
      <c r="V38" s="10"/>
      <c r="W38" s="10"/>
      <c r="X38" s="10"/>
      <c r="Y38" s="10"/>
      <c r="Z38" s="10"/>
      <c r="AA38" s="10"/>
      <c r="AB38" s="10"/>
      <c r="AC38" s="10"/>
      <c r="AD38" s="10"/>
      <c r="AE38" s="10"/>
      <c r="AF38" t="s">
        <v>19</v>
      </c>
      <c r="AG38" t="s">
        <v>20</v>
      </c>
      <c r="AI38">
        <v>1</v>
      </c>
    </row>
    <row r="39" spans="1:35" ht="29">
      <c r="A39" t="s">
        <v>523</v>
      </c>
      <c r="B39" s="4" t="s">
        <v>1525</v>
      </c>
      <c r="C39" s="4" t="s">
        <v>1526</v>
      </c>
      <c r="G39" s="10" t="s">
        <v>25</v>
      </c>
      <c r="H39" s="10"/>
      <c r="I39" s="10">
        <v>1</v>
      </c>
      <c r="J39" s="10">
        <v>2</v>
      </c>
      <c r="K39" s="10" t="s">
        <v>2158</v>
      </c>
      <c r="L39" s="10" t="s">
        <v>2200</v>
      </c>
      <c r="M39" s="10"/>
      <c r="N39" s="11"/>
      <c r="O39" s="10"/>
      <c r="P39" s="10">
        <v>2475</v>
      </c>
      <c r="Q39" s="10">
        <f t="shared" si="1"/>
        <v>1216.9338184678927</v>
      </c>
      <c r="R39" s="10"/>
      <c r="S39" s="10"/>
      <c r="T39" s="10" t="s">
        <v>2387</v>
      </c>
      <c r="U39" s="10" t="s">
        <v>2387</v>
      </c>
      <c r="V39" s="10"/>
      <c r="W39" s="10"/>
      <c r="X39" s="10"/>
      <c r="Y39" s="10"/>
      <c r="Z39" s="10"/>
      <c r="AA39" s="10"/>
      <c r="AB39" s="10"/>
      <c r="AC39" s="10"/>
      <c r="AD39" s="10"/>
      <c r="AE39" s="10"/>
      <c r="AF39" t="s">
        <v>19</v>
      </c>
      <c r="AG39" t="s">
        <v>20</v>
      </c>
      <c r="AI39">
        <v>1</v>
      </c>
    </row>
    <row r="40" spans="1:35" ht="72.5">
      <c r="A40" t="s">
        <v>538</v>
      </c>
      <c r="B40" s="4" t="s">
        <v>1574</v>
      </c>
      <c r="C40" s="4" t="s">
        <v>1572</v>
      </c>
      <c r="G40" s="10" t="s">
        <v>25</v>
      </c>
      <c r="H40" s="10"/>
      <c r="I40" s="10">
        <v>1</v>
      </c>
      <c r="J40" s="10">
        <v>3</v>
      </c>
      <c r="K40" s="10" t="s">
        <v>2158</v>
      </c>
      <c r="L40" s="10" t="s">
        <v>2159</v>
      </c>
      <c r="M40" s="10"/>
      <c r="N40" s="11"/>
      <c r="O40" s="10"/>
      <c r="P40" s="10">
        <v>2475</v>
      </c>
      <c r="Q40" s="10">
        <f t="shared" si="1"/>
        <v>1216.9338184678927</v>
      </c>
      <c r="R40" s="10"/>
      <c r="S40" s="10"/>
      <c r="T40" s="10" t="s">
        <v>2387</v>
      </c>
      <c r="U40" s="10" t="s">
        <v>2387</v>
      </c>
      <c r="V40" s="10"/>
      <c r="W40" s="10"/>
      <c r="X40" s="10"/>
      <c r="Y40" s="10"/>
      <c r="Z40" s="10"/>
      <c r="AA40" s="10"/>
      <c r="AB40" s="10"/>
      <c r="AC40" s="10"/>
      <c r="AD40" s="10"/>
      <c r="AE40" s="10"/>
      <c r="AF40" t="s">
        <v>19</v>
      </c>
      <c r="AG40" t="s">
        <v>20</v>
      </c>
      <c r="AI40">
        <v>1</v>
      </c>
    </row>
    <row r="41" spans="1:35" ht="101.5">
      <c r="A41" t="s">
        <v>542</v>
      </c>
      <c r="B41" s="4" t="s">
        <v>1578</v>
      </c>
      <c r="C41" s="4" t="s">
        <v>1581</v>
      </c>
      <c r="F41" t="s">
        <v>19</v>
      </c>
      <c r="G41" s="10" t="s">
        <v>24</v>
      </c>
      <c r="H41" s="10"/>
      <c r="I41" s="10">
        <v>4</v>
      </c>
      <c r="J41" s="10">
        <v>17</v>
      </c>
      <c r="K41" s="10"/>
      <c r="L41" s="10" t="s">
        <v>2159</v>
      </c>
      <c r="M41" s="10"/>
      <c r="N41" s="11"/>
      <c r="O41" s="10"/>
      <c r="P41" s="10">
        <v>19</v>
      </c>
      <c r="Q41" s="10">
        <f t="shared" si="1"/>
        <v>9.3421182023797815</v>
      </c>
      <c r="R41" s="10"/>
      <c r="S41" s="10"/>
      <c r="T41" s="10" t="s">
        <v>2387</v>
      </c>
      <c r="U41" s="10" t="s">
        <v>2387</v>
      </c>
      <c r="V41" s="10"/>
      <c r="W41" s="10"/>
      <c r="X41" s="10"/>
      <c r="Y41" s="10"/>
      <c r="Z41" s="10"/>
      <c r="AA41" s="10"/>
      <c r="AB41" s="10"/>
      <c r="AC41" s="10"/>
      <c r="AD41" s="10"/>
      <c r="AE41" s="10"/>
      <c r="AF41" t="s">
        <v>20</v>
      </c>
      <c r="AG41" t="s">
        <v>20</v>
      </c>
      <c r="AI41">
        <v>0</v>
      </c>
    </row>
    <row r="42" spans="1:35" ht="29">
      <c r="A42" t="s">
        <v>545</v>
      </c>
      <c r="B42" s="4" t="s">
        <v>1583</v>
      </c>
      <c r="C42" s="4" t="s">
        <v>1582</v>
      </c>
      <c r="G42" s="10" t="s">
        <v>25</v>
      </c>
      <c r="H42" s="10"/>
      <c r="I42" s="10">
        <v>1</v>
      </c>
      <c r="J42" s="10">
        <v>5</v>
      </c>
      <c r="K42" s="10" t="s">
        <v>2219</v>
      </c>
      <c r="L42" s="10" t="s">
        <v>2159</v>
      </c>
      <c r="M42" s="10"/>
      <c r="N42" s="11"/>
      <c r="O42" s="10"/>
      <c r="P42" s="10">
        <v>295</v>
      </c>
      <c r="Q42" s="10">
        <f t="shared" si="1"/>
        <v>145.04867735273871</v>
      </c>
      <c r="R42" s="10"/>
      <c r="S42" s="10"/>
      <c r="T42" s="10" t="s">
        <v>2387</v>
      </c>
      <c r="U42" s="10" t="s">
        <v>2387</v>
      </c>
      <c r="V42" s="10"/>
      <c r="W42" s="10"/>
      <c r="X42" s="10"/>
      <c r="Y42" s="10"/>
      <c r="Z42" s="10"/>
      <c r="AA42" s="10"/>
      <c r="AB42" s="10"/>
      <c r="AC42" s="10"/>
      <c r="AD42" s="10"/>
      <c r="AE42" s="10"/>
      <c r="AF42" t="s">
        <v>19</v>
      </c>
      <c r="AG42" t="s">
        <v>20</v>
      </c>
      <c r="AI42">
        <v>1</v>
      </c>
    </row>
    <row r="43" spans="1:35" ht="72.5">
      <c r="A43" t="s">
        <v>564</v>
      </c>
      <c r="B43" s="4" t="s">
        <v>1603</v>
      </c>
      <c r="C43" s="4" t="s">
        <v>1602</v>
      </c>
      <c r="G43" s="10" t="s">
        <v>25</v>
      </c>
      <c r="H43" s="10"/>
      <c r="I43" s="10">
        <v>1</v>
      </c>
      <c r="J43" s="10">
        <v>3</v>
      </c>
      <c r="K43" s="10" t="s">
        <v>2173</v>
      </c>
      <c r="L43" s="10" t="s">
        <v>2159</v>
      </c>
      <c r="M43" s="10"/>
      <c r="N43" s="11"/>
      <c r="O43" s="10"/>
      <c r="P43" s="10">
        <v>52</v>
      </c>
      <c r="Q43" s="10">
        <f t="shared" si="1"/>
        <v>25.567902448618351</v>
      </c>
      <c r="R43" s="10"/>
      <c r="S43" s="10"/>
      <c r="T43" s="10" t="s">
        <v>2387</v>
      </c>
      <c r="U43" s="10" t="s">
        <v>2387</v>
      </c>
      <c r="V43" s="10"/>
      <c r="W43" s="10"/>
      <c r="X43" s="10"/>
      <c r="Y43" s="10"/>
      <c r="Z43" s="10"/>
      <c r="AA43" s="10"/>
      <c r="AB43" s="10"/>
      <c r="AC43" s="10"/>
      <c r="AD43" s="10"/>
      <c r="AE43" s="10"/>
      <c r="AF43" t="s">
        <v>20</v>
      </c>
      <c r="AG43" t="s">
        <v>20</v>
      </c>
      <c r="AI43">
        <v>0</v>
      </c>
    </row>
    <row r="44" spans="1:35" ht="43.5">
      <c r="A44" t="s">
        <v>571</v>
      </c>
      <c r="B44" s="4" t="s">
        <v>1617</v>
      </c>
      <c r="C44" s="4" t="s">
        <v>1616</v>
      </c>
      <c r="G44" s="10" t="s">
        <v>25</v>
      </c>
      <c r="H44" s="10"/>
      <c r="I44" s="10">
        <v>1</v>
      </c>
      <c r="J44" s="10">
        <v>4</v>
      </c>
      <c r="K44" s="10" t="s">
        <v>2158</v>
      </c>
      <c r="L44" s="10" t="s">
        <v>2153</v>
      </c>
      <c r="M44" s="10" t="s">
        <v>2231</v>
      </c>
      <c r="N44" s="11" t="s">
        <v>2230</v>
      </c>
      <c r="O44" s="10"/>
      <c r="P44" s="10">
        <v>2475</v>
      </c>
      <c r="Q44" s="10">
        <f t="shared" si="1"/>
        <v>1216.9338184678927</v>
      </c>
      <c r="R44" s="10"/>
      <c r="S44" s="10"/>
      <c r="T44" s="10" t="s">
        <v>2387</v>
      </c>
      <c r="U44" s="10" t="s">
        <v>2387</v>
      </c>
      <c r="V44" s="10"/>
      <c r="W44" s="10"/>
      <c r="X44" s="10"/>
      <c r="Y44" s="10"/>
      <c r="Z44" s="10"/>
      <c r="AA44" s="10"/>
      <c r="AB44" s="10"/>
      <c r="AC44" s="10"/>
      <c r="AD44" s="10"/>
      <c r="AE44" s="10"/>
      <c r="AF44" t="s">
        <v>20</v>
      </c>
      <c r="AG44" t="s">
        <v>20</v>
      </c>
      <c r="AI44">
        <v>0</v>
      </c>
    </row>
    <row r="45" spans="1:35" ht="72.5">
      <c r="A45" t="s">
        <v>578</v>
      </c>
      <c r="B45" s="4" t="s">
        <v>1635</v>
      </c>
      <c r="C45" s="4" t="s">
        <v>1634</v>
      </c>
      <c r="G45" s="10" t="s">
        <v>24</v>
      </c>
      <c r="H45" s="10"/>
      <c r="I45" s="10">
        <v>1</v>
      </c>
      <c r="J45" s="10">
        <v>3</v>
      </c>
      <c r="K45" s="10" t="s">
        <v>2175</v>
      </c>
      <c r="L45" s="10" t="s">
        <v>2159</v>
      </c>
      <c r="M45" s="10"/>
      <c r="N45" s="11"/>
      <c r="O45" s="10"/>
      <c r="P45" s="10">
        <v>743</v>
      </c>
      <c r="Q45" s="10">
        <f t="shared" si="1"/>
        <v>365.32599075621988</v>
      </c>
      <c r="R45" s="10"/>
      <c r="S45" s="10"/>
      <c r="T45" s="10" t="s">
        <v>2387</v>
      </c>
      <c r="U45" s="10" t="s">
        <v>2387</v>
      </c>
      <c r="V45" s="10"/>
      <c r="W45" s="10"/>
      <c r="X45" s="10"/>
      <c r="Y45" s="10"/>
      <c r="Z45" s="10"/>
      <c r="AA45" s="10"/>
      <c r="AB45" s="10"/>
      <c r="AC45" s="10"/>
      <c r="AD45" s="10"/>
      <c r="AE45" s="10"/>
      <c r="AF45" t="s">
        <v>19</v>
      </c>
      <c r="AG45" t="s">
        <v>20</v>
      </c>
      <c r="AI45">
        <v>1</v>
      </c>
    </row>
    <row r="46" spans="1:35" ht="72.5">
      <c r="A46" t="s">
        <v>579</v>
      </c>
      <c r="B46" s="4" t="s">
        <v>1639</v>
      </c>
      <c r="C46" s="4" t="s">
        <v>1638</v>
      </c>
      <c r="G46" s="10" t="s">
        <v>25</v>
      </c>
      <c r="H46" s="10"/>
      <c r="I46" s="10">
        <v>1</v>
      </c>
      <c r="J46" s="10">
        <v>1</v>
      </c>
      <c r="K46" s="10" t="s">
        <v>2158</v>
      </c>
      <c r="L46" s="10" t="s">
        <v>2200</v>
      </c>
      <c r="M46" s="10"/>
      <c r="N46" s="11"/>
      <c r="O46" s="10"/>
      <c r="P46" s="10">
        <v>2475</v>
      </c>
      <c r="Q46" s="10">
        <f t="shared" si="1"/>
        <v>1216.9338184678927</v>
      </c>
      <c r="R46" s="10"/>
      <c r="S46" s="10"/>
      <c r="T46" s="10" t="s">
        <v>2387</v>
      </c>
      <c r="U46" s="10" t="s">
        <v>2387</v>
      </c>
      <c r="V46" s="10"/>
      <c r="W46" s="10"/>
      <c r="X46" s="10"/>
      <c r="Y46" s="10"/>
      <c r="Z46" s="10"/>
      <c r="AA46" s="10"/>
      <c r="AB46" s="10"/>
      <c r="AC46" s="10"/>
      <c r="AD46" s="10"/>
      <c r="AE46" s="10"/>
      <c r="AF46" t="s">
        <v>19</v>
      </c>
      <c r="AG46" t="s">
        <v>20</v>
      </c>
      <c r="AI46">
        <v>1</v>
      </c>
    </row>
    <row r="47" spans="1:35" ht="58">
      <c r="A47" t="s">
        <v>602</v>
      </c>
      <c r="B47" s="4" t="s">
        <v>1690</v>
      </c>
      <c r="C47" s="4" t="s">
        <v>1691</v>
      </c>
      <c r="G47" s="10" t="s">
        <v>25</v>
      </c>
      <c r="H47" s="10"/>
      <c r="I47" s="10">
        <v>1</v>
      </c>
      <c r="J47" s="10">
        <v>3</v>
      </c>
      <c r="K47" s="10" t="s">
        <v>2158</v>
      </c>
      <c r="L47" s="10" t="s">
        <v>2159</v>
      </c>
      <c r="M47" s="10"/>
      <c r="N47" s="11"/>
      <c r="O47" s="10"/>
      <c r="P47" s="10">
        <v>2475</v>
      </c>
      <c r="Q47" s="10">
        <f t="shared" si="1"/>
        <v>1216.9338184678927</v>
      </c>
      <c r="R47" s="10"/>
      <c r="S47" s="10"/>
      <c r="T47" s="10" t="s">
        <v>2387</v>
      </c>
      <c r="U47" s="10" t="s">
        <v>2387</v>
      </c>
      <c r="V47" s="10"/>
      <c r="W47" s="10"/>
      <c r="X47" s="10"/>
      <c r="Y47" s="10"/>
      <c r="Z47" s="10"/>
      <c r="AA47" s="10"/>
      <c r="AB47" s="10"/>
      <c r="AC47" s="10"/>
      <c r="AD47" s="10"/>
      <c r="AE47" s="10"/>
      <c r="AF47" t="s">
        <v>19</v>
      </c>
      <c r="AG47" t="s">
        <v>20</v>
      </c>
      <c r="AI47">
        <v>1</v>
      </c>
    </row>
    <row r="48" spans="1:35" ht="43.5">
      <c r="A48" t="s">
        <v>603</v>
      </c>
      <c r="B48" s="4" t="s">
        <v>1697</v>
      </c>
      <c r="C48" s="4" t="s">
        <v>1698</v>
      </c>
      <c r="G48" s="10" t="s">
        <v>25</v>
      </c>
      <c r="H48" s="10"/>
      <c r="I48" s="10">
        <v>1</v>
      </c>
      <c r="J48" s="10">
        <v>2</v>
      </c>
      <c r="K48" s="10" t="s">
        <v>2158</v>
      </c>
      <c r="L48" s="10" t="s">
        <v>2200</v>
      </c>
      <c r="M48" s="10"/>
      <c r="N48" s="11"/>
      <c r="O48" s="10"/>
      <c r="P48" s="10">
        <v>2475</v>
      </c>
      <c r="Q48" s="10">
        <f t="shared" si="1"/>
        <v>1216.9338184678927</v>
      </c>
      <c r="R48" s="10"/>
      <c r="S48" s="10"/>
      <c r="T48" s="10" t="s">
        <v>2387</v>
      </c>
      <c r="U48" s="10" t="s">
        <v>2387</v>
      </c>
      <c r="V48" s="10"/>
      <c r="W48" s="10"/>
      <c r="X48" s="10"/>
      <c r="Y48" s="10"/>
      <c r="Z48" s="10"/>
      <c r="AA48" s="10"/>
      <c r="AB48" s="10"/>
      <c r="AC48" s="10"/>
      <c r="AD48" s="10"/>
      <c r="AE48" s="10"/>
      <c r="AF48" t="s">
        <v>19</v>
      </c>
      <c r="AG48" t="s">
        <v>20</v>
      </c>
      <c r="AI48">
        <v>1</v>
      </c>
    </row>
    <row r="49" spans="1:35" ht="29">
      <c r="A49" t="s">
        <v>604</v>
      </c>
      <c r="B49" s="4" t="s">
        <v>1700</v>
      </c>
      <c r="C49" s="4" t="s">
        <v>1699</v>
      </c>
      <c r="G49" s="10" t="s">
        <v>24</v>
      </c>
      <c r="H49" s="10"/>
      <c r="I49" s="10">
        <v>1</v>
      </c>
      <c r="J49" s="10">
        <v>2</v>
      </c>
      <c r="K49" s="10" t="s">
        <v>2168</v>
      </c>
      <c r="L49" s="10" t="s">
        <v>2200</v>
      </c>
      <c r="M49" s="10"/>
      <c r="N49" s="11"/>
      <c r="O49" s="10"/>
      <c r="P49" s="10">
        <v>171</v>
      </c>
      <c r="Q49" s="10">
        <f t="shared" si="1"/>
        <v>84.079063821418046</v>
      </c>
      <c r="R49" s="10"/>
      <c r="S49" s="10"/>
      <c r="T49" s="10" t="s">
        <v>2387</v>
      </c>
      <c r="U49" s="10" t="s">
        <v>2387</v>
      </c>
      <c r="V49" s="10"/>
      <c r="W49" s="10"/>
      <c r="X49" s="10"/>
      <c r="Y49" s="10"/>
      <c r="Z49" s="10"/>
      <c r="AA49" s="10"/>
      <c r="AB49" s="10"/>
      <c r="AC49" s="10"/>
      <c r="AD49" s="10"/>
      <c r="AE49" s="10"/>
      <c r="AF49" t="s">
        <v>19</v>
      </c>
      <c r="AG49" t="s">
        <v>20</v>
      </c>
      <c r="AI49">
        <v>1</v>
      </c>
    </row>
    <row r="50" spans="1:35" ht="29">
      <c r="A50" t="s">
        <v>609</v>
      </c>
      <c r="B50" s="4" t="s">
        <v>1717</v>
      </c>
      <c r="C50" s="4" t="s">
        <v>1718</v>
      </c>
      <c r="F50" t="s">
        <v>23</v>
      </c>
      <c r="G50" s="10" t="s">
        <v>25</v>
      </c>
      <c r="H50" s="10"/>
      <c r="I50" s="10">
        <v>1</v>
      </c>
      <c r="J50" s="10">
        <v>3</v>
      </c>
      <c r="K50" s="10" t="s">
        <v>2158</v>
      </c>
      <c r="L50" s="10" t="s">
        <v>2159</v>
      </c>
      <c r="M50" s="10"/>
      <c r="N50" s="11"/>
      <c r="O50" s="10"/>
      <c r="P50" s="10">
        <v>2475</v>
      </c>
      <c r="Q50" s="10">
        <f t="shared" si="1"/>
        <v>1216.9338184678927</v>
      </c>
      <c r="R50" s="10"/>
      <c r="S50" s="10"/>
      <c r="T50" s="10" t="s">
        <v>2387</v>
      </c>
      <c r="U50" s="10" t="s">
        <v>2387</v>
      </c>
      <c r="V50" s="10"/>
      <c r="W50" s="10"/>
      <c r="X50" s="10"/>
      <c r="Y50" s="10"/>
      <c r="Z50" s="10"/>
      <c r="AA50" s="10"/>
      <c r="AB50" s="10"/>
      <c r="AC50" s="10"/>
      <c r="AD50" s="10"/>
      <c r="AE50" s="10"/>
      <c r="AF50" t="s">
        <v>20</v>
      </c>
      <c r="AG50" t="s">
        <v>20</v>
      </c>
      <c r="AI50">
        <v>0</v>
      </c>
    </row>
    <row r="51" spans="1:35" ht="29">
      <c r="A51" t="s">
        <v>614</v>
      </c>
      <c r="B51" s="4" t="s">
        <v>1727</v>
      </c>
      <c r="C51" s="4" t="s">
        <v>1728</v>
      </c>
      <c r="G51" s="10" t="s">
        <v>25</v>
      </c>
      <c r="H51" s="10"/>
      <c r="I51" s="10">
        <v>1</v>
      </c>
      <c r="J51" s="10">
        <v>3</v>
      </c>
      <c r="K51" s="10" t="s">
        <v>2158</v>
      </c>
      <c r="L51" s="10" t="s">
        <v>2159</v>
      </c>
      <c r="M51" s="10"/>
      <c r="N51" s="11"/>
      <c r="O51" s="10"/>
      <c r="P51" s="10">
        <v>2475</v>
      </c>
      <c r="Q51" s="10">
        <f t="shared" si="1"/>
        <v>1216.9338184678927</v>
      </c>
      <c r="R51" s="10"/>
      <c r="S51" s="10"/>
      <c r="T51" s="10" t="s">
        <v>2387</v>
      </c>
      <c r="U51" s="10" t="s">
        <v>2387</v>
      </c>
      <c r="V51" s="10"/>
      <c r="W51" s="10"/>
      <c r="X51" s="10"/>
      <c r="Y51" s="10"/>
      <c r="Z51" s="10"/>
      <c r="AA51" s="10"/>
      <c r="AB51" s="10"/>
      <c r="AC51" s="10"/>
      <c r="AD51" s="10"/>
      <c r="AE51" s="10"/>
      <c r="AF51" t="s">
        <v>19</v>
      </c>
      <c r="AG51" t="s">
        <v>20</v>
      </c>
      <c r="AI51">
        <v>1</v>
      </c>
    </row>
    <row r="52" spans="1:35" ht="43.5">
      <c r="A52" t="s">
        <v>620</v>
      </c>
      <c r="B52" s="4" t="s">
        <v>1739</v>
      </c>
      <c r="C52" s="4" t="s">
        <v>1738</v>
      </c>
      <c r="G52" s="10" t="s">
        <v>25</v>
      </c>
      <c r="H52" s="10"/>
      <c r="I52" s="10">
        <v>1</v>
      </c>
      <c r="J52" s="10">
        <v>3</v>
      </c>
      <c r="K52" s="10" t="s">
        <v>2175</v>
      </c>
      <c r="L52" s="10" t="s">
        <v>2159</v>
      </c>
      <c r="M52" s="10"/>
      <c r="N52" s="11"/>
      <c r="O52" s="10"/>
      <c r="P52" s="10">
        <v>743</v>
      </c>
      <c r="Q52" s="10">
        <f t="shared" si="1"/>
        <v>365.32599075621988</v>
      </c>
      <c r="R52" s="10"/>
      <c r="S52" s="10"/>
      <c r="T52" s="10" t="s">
        <v>2387</v>
      </c>
      <c r="U52" s="10" t="s">
        <v>2387</v>
      </c>
      <c r="V52" s="10"/>
      <c r="W52" s="10"/>
      <c r="X52" s="10"/>
      <c r="Y52" s="10"/>
      <c r="Z52" s="10"/>
      <c r="AA52" s="10"/>
      <c r="AB52" s="10"/>
      <c r="AC52" s="10"/>
      <c r="AD52" s="10"/>
      <c r="AE52" s="10"/>
      <c r="AF52" t="s">
        <v>19</v>
      </c>
      <c r="AG52" t="s">
        <v>20</v>
      </c>
      <c r="AI52">
        <v>1</v>
      </c>
    </row>
    <row r="53" spans="1:35" ht="188.5">
      <c r="A53" t="s">
        <v>647</v>
      </c>
      <c r="B53" s="4" t="s">
        <v>1792</v>
      </c>
      <c r="C53" s="4" t="s">
        <v>1793</v>
      </c>
      <c r="F53" t="s">
        <v>19</v>
      </c>
      <c r="G53" s="10" t="s">
        <v>25</v>
      </c>
      <c r="H53" s="10"/>
      <c r="I53" s="10">
        <v>8</v>
      </c>
      <c r="J53" s="10">
        <v>45</v>
      </c>
      <c r="K53" s="10"/>
      <c r="L53" s="10" t="s">
        <v>2153</v>
      </c>
      <c r="M53" s="10" t="s">
        <v>2244</v>
      </c>
      <c r="N53" s="11" t="s">
        <v>2275</v>
      </c>
      <c r="O53" s="10"/>
      <c r="P53" s="10">
        <v>1</v>
      </c>
      <c r="Q53" s="10">
        <f t="shared" si="1"/>
        <v>0.49169043170419907</v>
      </c>
      <c r="R53" s="10"/>
      <c r="S53" s="10"/>
      <c r="T53" s="10" t="s">
        <v>2387</v>
      </c>
      <c r="U53" s="10" t="s">
        <v>2387</v>
      </c>
      <c r="V53" s="10"/>
      <c r="W53" s="10"/>
      <c r="X53" s="10"/>
      <c r="Y53" s="10"/>
      <c r="Z53" s="10"/>
      <c r="AA53" s="10"/>
      <c r="AB53" s="10"/>
      <c r="AC53" s="10"/>
      <c r="AD53" s="10"/>
      <c r="AE53" s="10"/>
      <c r="AF53" t="s">
        <v>19</v>
      </c>
      <c r="AG53" t="s">
        <v>20</v>
      </c>
      <c r="AI53">
        <v>1</v>
      </c>
    </row>
    <row r="54" spans="1:35" ht="29">
      <c r="A54" t="s">
        <v>653</v>
      </c>
      <c r="B54" s="4" t="s">
        <v>1808</v>
      </c>
      <c r="C54" s="4" t="s">
        <v>1809</v>
      </c>
      <c r="F54" t="s">
        <v>19</v>
      </c>
      <c r="G54" s="10" t="s">
        <v>25</v>
      </c>
      <c r="H54" s="10"/>
      <c r="I54" s="10">
        <v>1</v>
      </c>
      <c r="J54" s="10">
        <v>3</v>
      </c>
      <c r="K54" s="10" t="s">
        <v>2179</v>
      </c>
      <c r="L54" s="10" t="s">
        <v>2159</v>
      </c>
      <c r="M54" s="10"/>
      <c r="N54" s="11"/>
      <c r="O54" s="10"/>
      <c r="P54" s="10">
        <v>204</v>
      </c>
      <c r="Q54" s="10">
        <f t="shared" si="1"/>
        <v>100.30484806765661</v>
      </c>
      <c r="R54" s="10"/>
      <c r="S54" s="10"/>
      <c r="T54" s="10" t="s">
        <v>2387</v>
      </c>
      <c r="U54" s="10" t="s">
        <v>2387</v>
      </c>
      <c r="V54" s="10"/>
      <c r="W54" s="10"/>
      <c r="X54" s="10"/>
      <c r="Y54" s="10"/>
      <c r="Z54" s="10"/>
      <c r="AA54" s="10"/>
      <c r="AB54" s="10"/>
      <c r="AC54" s="10"/>
      <c r="AD54" s="10"/>
      <c r="AE54" s="10"/>
      <c r="AF54" t="s">
        <v>20</v>
      </c>
      <c r="AG54" t="s">
        <v>20</v>
      </c>
      <c r="AI54">
        <v>0</v>
      </c>
    </row>
    <row r="55" spans="1:35" ht="29">
      <c r="A55" t="s">
        <v>675</v>
      </c>
      <c r="B55" s="4" t="s">
        <v>1837</v>
      </c>
      <c r="C55" s="4" t="s">
        <v>1836</v>
      </c>
      <c r="G55" s="10" t="s">
        <v>25</v>
      </c>
      <c r="H55" s="10"/>
      <c r="I55" s="10">
        <v>1</v>
      </c>
      <c r="J55" s="10">
        <v>3</v>
      </c>
      <c r="K55" s="10" t="s">
        <v>2158</v>
      </c>
      <c r="L55" s="10" t="s">
        <v>2159</v>
      </c>
      <c r="M55" s="10"/>
      <c r="N55" s="11"/>
      <c r="O55" s="10"/>
      <c r="P55" s="10">
        <v>2475</v>
      </c>
      <c r="Q55" s="10">
        <f t="shared" si="1"/>
        <v>1216.9338184678927</v>
      </c>
      <c r="R55" s="10"/>
      <c r="S55" s="10"/>
      <c r="T55" s="10" t="s">
        <v>2387</v>
      </c>
      <c r="U55" s="10" t="s">
        <v>2387</v>
      </c>
      <c r="V55" s="10"/>
      <c r="W55" s="10"/>
      <c r="X55" s="10"/>
      <c r="Y55" s="10"/>
      <c r="Z55" s="10"/>
      <c r="AA55" s="10"/>
      <c r="AB55" s="10"/>
      <c r="AC55" s="10"/>
      <c r="AD55" s="10"/>
      <c r="AE55" s="10"/>
      <c r="AF55" t="s">
        <v>19</v>
      </c>
      <c r="AG55" t="s">
        <v>20</v>
      </c>
      <c r="AI55">
        <v>1</v>
      </c>
    </row>
    <row r="56" spans="1:35" ht="43.5">
      <c r="A56" t="s">
        <v>676</v>
      </c>
      <c r="B56" s="4" t="s">
        <v>1838</v>
      </c>
      <c r="C56" s="4" t="s">
        <v>1839</v>
      </c>
      <c r="F56" t="s">
        <v>19</v>
      </c>
      <c r="G56" s="10" t="s">
        <v>25</v>
      </c>
      <c r="H56" s="10"/>
      <c r="I56" s="10">
        <v>1</v>
      </c>
      <c r="J56" s="10">
        <v>4</v>
      </c>
      <c r="K56" s="10" t="s">
        <v>2177</v>
      </c>
      <c r="L56" s="10" t="s">
        <v>2159</v>
      </c>
      <c r="M56" s="10"/>
      <c r="N56" s="11"/>
      <c r="O56" s="10"/>
      <c r="P56" s="10">
        <v>99</v>
      </c>
      <c r="Q56" s="10">
        <f t="shared" si="1"/>
        <v>48.677352738715705</v>
      </c>
      <c r="R56" s="10"/>
      <c r="S56" s="10"/>
      <c r="T56" s="10" t="s">
        <v>2387</v>
      </c>
      <c r="U56" s="10" t="s">
        <v>2387</v>
      </c>
      <c r="V56" s="10"/>
      <c r="W56" s="10"/>
      <c r="X56" s="10"/>
      <c r="Y56" s="10"/>
      <c r="Z56" s="10"/>
      <c r="AA56" s="10"/>
      <c r="AB56" s="10"/>
      <c r="AC56" s="10"/>
      <c r="AD56" s="10"/>
      <c r="AE56" s="10"/>
      <c r="AF56" t="s">
        <v>20</v>
      </c>
      <c r="AG56" t="s">
        <v>20</v>
      </c>
      <c r="AI56">
        <v>0</v>
      </c>
    </row>
    <row r="57" spans="1:35" ht="72.5">
      <c r="A57" t="s">
        <v>687</v>
      </c>
      <c r="B57" s="4" t="s">
        <v>1871</v>
      </c>
      <c r="C57" s="6" t="s">
        <v>1874</v>
      </c>
      <c r="G57" s="10" t="s">
        <v>24</v>
      </c>
      <c r="H57" s="10"/>
      <c r="I57" s="10">
        <v>1</v>
      </c>
      <c r="J57" s="10">
        <v>4</v>
      </c>
      <c r="K57" s="10" t="s">
        <v>2219</v>
      </c>
      <c r="L57" s="10" t="s">
        <v>2159</v>
      </c>
      <c r="M57" s="10"/>
      <c r="N57" s="11"/>
      <c r="O57" s="10"/>
      <c r="P57" s="10">
        <v>295</v>
      </c>
      <c r="Q57" s="10">
        <f t="shared" si="1"/>
        <v>145.04867735273871</v>
      </c>
      <c r="R57" s="10"/>
      <c r="S57" s="10"/>
      <c r="T57" s="10" t="s">
        <v>2387</v>
      </c>
      <c r="U57" s="10" t="s">
        <v>2387</v>
      </c>
      <c r="V57" s="10"/>
      <c r="W57" s="10"/>
      <c r="X57" s="10"/>
      <c r="Y57" s="10"/>
      <c r="Z57" s="10"/>
      <c r="AA57" s="10"/>
      <c r="AB57" s="10"/>
      <c r="AC57" s="10"/>
      <c r="AD57" s="10"/>
      <c r="AE57" s="10" t="s">
        <v>19</v>
      </c>
      <c r="AF57" t="s">
        <v>19</v>
      </c>
      <c r="AG57" t="s">
        <v>20</v>
      </c>
      <c r="AI57">
        <v>1</v>
      </c>
    </row>
    <row r="58" spans="1:35" ht="116">
      <c r="A58" t="s">
        <v>699</v>
      </c>
      <c r="B58" s="4" t="s">
        <v>1911</v>
      </c>
      <c r="C58" s="4" t="s">
        <v>1910</v>
      </c>
      <c r="G58" s="10" t="s">
        <v>25</v>
      </c>
      <c r="H58" s="10"/>
      <c r="I58" s="10">
        <v>1</v>
      </c>
      <c r="J58" s="10">
        <v>3</v>
      </c>
      <c r="K58" s="10" t="s">
        <v>2158</v>
      </c>
      <c r="L58" s="10" t="s">
        <v>2159</v>
      </c>
      <c r="M58" s="10"/>
      <c r="N58" s="11"/>
      <c r="O58" s="10"/>
      <c r="P58" s="10">
        <v>2475</v>
      </c>
      <c r="Q58" s="10">
        <f t="shared" si="1"/>
        <v>1216.9338184678927</v>
      </c>
      <c r="R58" s="10"/>
      <c r="S58" s="10"/>
      <c r="T58" s="10" t="s">
        <v>2387</v>
      </c>
      <c r="U58" s="10" t="s">
        <v>2387</v>
      </c>
      <c r="V58" s="10"/>
      <c r="W58" s="10"/>
      <c r="X58" s="10"/>
      <c r="Y58" s="10"/>
      <c r="Z58" s="10"/>
      <c r="AA58" s="10"/>
      <c r="AB58" s="10"/>
      <c r="AC58" s="10"/>
      <c r="AD58" s="10"/>
      <c r="AE58" s="10"/>
      <c r="AF58" t="s">
        <v>20</v>
      </c>
      <c r="AG58" t="s">
        <v>20</v>
      </c>
      <c r="AI58">
        <v>0</v>
      </c>
    </row>
    <row r="59" spans="1:35" ht="116">
      <c r="A59" t="s">
        <v>699</v>
      </c>
      <c r="B59" s="4" t="s">
        <v>1912</v>
      </c>
      <c r="C59" s="4" t="s">
        <v>1910</v>
      </c>
      <c r="G59" s="10" t="s">
        <v>25</v>
      </c>
      <c r="H59" s="10"/>
      <c r="I59" s="10">
        <v>3</v>
      </c>
      <c r="J59" s="10">
        <v>11</v>
      </c>
      <c r="K59" s="10"/>
      <c r="L59" s="10" t="s">
        <v>2153</v>
      </c>
      <c r="M59" s="10" t="s">
        <v>2244</v>
      </c>
      <c r="N59" s="11" t="s">
        <v>2309</v>
      </c>
      <c r="O59" s="10"/>
      <c r="P59" s="10">
        <v>48</v>
      </c>
      <c r="Q59" s="10">
        <f t="shared" si="1"/>
        <v>23.601140721801556</v>
      </c>
      <c r="R59" s="10"/>
      <c r="S59" s="10"/>
      <c r="T59" s="10" t="s">
        <v>2387</v>
      </c>
      <c r="U59" s="10" t="s">
        <v>2387</v>
      </c>
      <c r="V59" s="10"/>
      <c r="W59" s="10"/>
      <c r="X59" s="10"/>
      <c r="Y59" s="10"/>
      <c r="Z59" s="10"/>
      <c r="AA59" s="10"/>
      <c r="AB59" s="10"/>
      <c r="AC59" s="10"/>
      <c r="AD59" s="10"/>
      <c r="AE59" s="10"/>
      <c r="AF59" t="s">
        <v>19</v>
      </c>
      <c r="AG59" t="s">
        <v>20</v>
      </c>
      <c r="AI59">
        <v>1</v>
      </c>
    </row>
    <row r="60" spans="1:35" ht="43.5">
      <c r="A60" t="s">
        <v>717</v>
      </c>
      <c r="B60" s="4" t="s">
        <v>1956</v>
      </c>
      <c r="C60" s="4" t="s">
        <v>1955</v>
      </c>
      <c r="G60" s="10" t="s">
        <v>25</v>
      </c>
      <c r="H60" s="10"/>
      <c r="I60" s="10">
        <v>1</v>
      </c>
      <c r="J60" s="10">
        <v>3</v>
      </c>
      <c r="K60" s="10" t="s">
        <v>2168</v>
      </c>
      <c r="L60" s="10" t="s">
        <v>2159</v>
      </c>
      <c r="M60" s="10"/>
      <c r="N60" s="11"/>
      <c r="O60" s="10"/>
      <c r="P60" s="10">
        <v>1701</v>
      </c>
      <c r="Q60" s="10">
        <f t="shared" si="1"/>
        <v>836.36542432884255</v>
      </c>
      <c r="R60" s="10"/>
      <c r="S60" s="10"/>
      <c r="T60" s="10" t="s">
        <v>2387</v>
      </c>
      <c r="U60" s="10" t="s">
        <v>2387</v>
      </c>
      <c r="V60" s="10"/>
      <c r="W60" s="10"/>
      <c r="X60" s="10"/>
      <c r="Y60" s="10"/>
      <c r="Z60" s="10"/>
      <c r="AA60" s="10"/>
      <c r="AB60" s="10"/>
      <c r="AC60" s="10"/>
      <c r="AD60" s="10"/>
      <c r="AE60" s="10"/>
      <c r="AF60" t="s">
        <v>19</v>
      </c>
      <c r="AG60" t="s">
        <v>20</v>
      </c>
      <c r="AI60">
        <v>1</v>
      </c>
    </row>
    <row r="61" spans="1:35" ht="29">
      <c r="A61" t="s">
        <v>721</v>
      </c>
      <c r="B61" s="4" t="s">
        <v>1961</v>
      </c>
      <c r="C61" s="4" t="s">
        <v>1962</v>
      </c>
      <c r="G61" s="10" t="s">
        <v>25</v>
      </c>
      <c r="H61" s="10"/>
      <c r="I61" s="10">
        <v>1</v>
      </c>
      <c r="J61" s="10">
        <v>2</v>
      </c>
      <c r="K61" s="10" t="s">
        <v>2158</v>
      </c>
      <c r="L61" s="10" t="s">
        <v>2200</v>
      </c>
      <c r="M61" s="10"/>
      <c r="N61" s="11"/>
      <c r="O61" s="10"/>
      <c r="P61" s="10">
        <v>2475</v>
      </c>
      <c r="Q61" s="10">
        <f t="shared" si="1"/>
        <v>1216.9338184678927</v>
      </c>
      <c r="R61" s="10"/>
      <c r="S61" s="10"/>
      <c r="T61" s="10" t="s">
        <v>2387</v>
      </c>
      <c r="U61" s="10" t="s">
        <v>2387</v>
      </c>
      <c r="V61" s="10"/>
      <c r="W61" s="10"/>
      <c r="X61" s="10"/>
      <c r="Y61" s="10"/>
      <c r="Z61" s="10"/>
      <c r="AA61" s="10"/>
      <c r="AB61" s="10"/>
      <c r="AC61" s="10"/>
      <c r="AD61" s="10"/>
      <c r="AE61" s="10"/>
      <c r="AF61" t="s">
        <v>19</v>
      </c>
      <c r="AG61" t="s">
        <v>20</v>
      </c>
      <c r="AI61">
        <v>1</v>
      </c>
    </row>
    <row r="62" spans="1:35" ht="87">
      <c r="A62" t="s">
        <v>725</v>
      </c>
      <c r="B62" s="4" t="s">
        <v>1976</v>
      </c>
      <c r="C62" s="4" t="s">
        <v>1973</v>
      </c>
      <c r="G62" s="10" t="s">
        <v>25</v>
      </c>
      <c r="H62" s="10"/>
      <c r="I62" s="10">
        <v>1</v>
      </c>
      <c r="J62" s="10">
        <v>3</v>
      </c>
      <c r="K62" s="10" t="s">
        <v>2168</v>
      </c>
      <c r="L62" s="10" t="s">
        <v>2159</v>
      </c>
      <c r="M62" s="10"/>
      <c r="N62" s="11"/>
      <c r="O62" s="10"/>
      <c r="P62" s="10">
        <v>1701</v>
      </c>
      <c r="Q62" s="10">
        <f t="shared" si="1"/>
        <v>836.36542432884255</v>
      </c>
      <c r="R62" s="10"/>
      <c r="S62" s="10"/>
      <c r="T62" s="10" t="s">
        <v>2387</v>
      </c>
      <c r="U62" s="10" t="s">
        <v>2387</v>
      </c>
      <c r="V62" s="10"/>
      <c r="W62" s="10"/>
      <c r="X62" s="10"/>
      <c r="Y62" s="10"/>
      <c r="Z62" s="10"/>
      <c r="AA62" s="10"/>
      <c r="AB62" s="10"/>
      <c r="AC62" s="10"/>
      <c r="AD62" s="10"/>
      <c r="AE62" s="10"/>
      <c r="AF62" t="s">
        <v>19</v>
      </c>
      <c r="AG62" t="s">
        <v>20</v>
      </c>
      <c r="AI62">
        <v>1</v>
      </c>
    </row>
    <row r="63" spans="1:35" ht="43.5">
      <c r="A63" t="s">
        <v>734</v>
      </c>
      <c r="B63" s="4" t="s">
        <v>1977</v>
      </c>
      <c r="C63" s="4" t="s">
        <v>1978</v>
      </c>
      <c r="G63" s="10" t="s">
        <v>25</v>
      </c>
      <c r="H63" s="10"/>
      <c r="I63" s="10">
        <v>1</v>
      </c>
      <c r="J63" s="10">
        <v>5</v>
      </c>
      <c r="K63" s="10" t="s">
        <v>2219</v>
      </c>
      <c r="L63" s="10" t="s">
        <v>2153</v>
      </c>
      <c r="M63" s="10" t="s">
        <v>2231</v>
      </c>
      <c r="N63" s="11" t="s">
        <v>2230</v>
      </c>
      <c r="O63" s="10"/>
      <c r="P63" s="10">
        <v>295</v>
      </c>
      <c r="Q63" s="10">
        <f t="shared" si="1"/>
        <v>145.04867735273871</v>
      </c>
      <c r="R63" s="10"/>
      <c r="S63" s="10"/>
      <c r="T63" s="10" t="s">
        <v>2387</v>
      </c>
      <c r="U63" s="10" t="s">
        <v>2387</v>
      </c>
      <c r="V63" s="10"/>
      <c r="W63" s="10"/>
      <c r="X63" s="10"/>
      <c r="Y63" s="10"/>
      <c r="Z63" s="10"/>
      <c r="AA63" s="10"/>
      <c r="AB63" s="10"/>
      <c r="AC63" s="10"/>
      <c r="AD63" s="10"/>
      <c r="AE63" s="10"/>
      <c r="AF63" t="s">
        <v>19</v>
      </c>
      <c r="AG63" t="s">
        <v>20</v>
      </c>
      <c r="AI63">
        <v>1</v>
      </c>
    </row>
    <row r="64" spans="1:35" ht="43.5">
      <c r="A64" t="s">
        <v>747</v>
      </c>
      <c r="B64" s="4" t="s">
        <v>1992</v>
      </c>
      <c r="C64" s="4" t="s">
        <v>1991</v>
      </c>
      <c r="G64" s="10" t="s">
        <v>25</v>
      </c>
      <c r="H64" s="10"/>
      <c r="I64" s="10">
        <v>1</v>
      </c>
      <c r="J64" s="10">
        <v>3</v>
      </c>
      <c r="K64" s="10" t="s">
        <v>2175</v>
      </c>
      <c r="L64" s="10" t="s">
        <v>2159</v>
      </c>
      <c r="M64" s="10"/>
      <c r="N64" s="11"/>
      <c r="O64" s="10"/>
      <c r="P64" s="10">
        <v>312</v>
      </c>
      <c r="Q64" s="10">
        <f t="shared" si="1"/>
        <v>153.4074146917101</v>
      </c>
      <c r="R64" s="10"/>
      <c r="S64" s="10"/>
      <c r="T64" s="10" t="s">
        <v>2387</v>
      </c>
      <c r="U64" s="10" t="s">
        <v>2387</v>
      </c>
      <c r="V64" s="10"/>
      <c r="W64" s="10"/>
      <c r="X64" s="10"/>
      <c r="Y64" s="10"/>
      <c r="Z64" s="10"/>
      <c r="AA64" s="10"/>
      <c r="AB64" s="10"/>
      <c r="AC64" s="10"/>
      <c r="AD64" s="10"/>
      <c r="AE64" s="10"/>
      <c r="AF64" t="s">
        <v>19</v>
      </c>
      <c r="AG64" t="s">
        <v>20</v>
      </c>
      <c r="AI64">
        <v>1</v>
      </c>
    </row>
    <row r="65" spans="1:35">
      <c r="A65" t="s">
        <v>747</v>
      </c>
      <c r="B65" s="4" t="s">
        <v>1994</v>
      </c>
      <c r="C65" s="4" t="s">
        <v>1993</v>
      </c>
      <c r="G65" s="10" t="s">
        <v>25</v>
      </c>
      <c r="H65" s="10"/>
      <c r="I65" s="10">
        <v>1</v>
      </c>
      <c r="J65" s="10">
        <v>1</v>
      </c>
      <c r="K65" s="10" t="s">
        <v>2158</v>
      </c>
      <c r="L65" s="10" t="s">
        <v>2200</v>
      </c>
      <c r="M65" s="10"/>
      <c r="N65" s="11"/>
      <c r="O65" s="10"/>
      <c r="P65" s="10">
        <v>2475</v>
      </c>
      <c r="Q65" s="10">
        <f t="shared" si="1"/>
        <v>1216.9338184678927</v>
      </c>
      <c r="R65" s="10"/>
      <c r="S65" s="10"/>
      <c r="T65" s="10" t="s">
        <v>2387</v>
      </c>
      <c r="U65" s="10" t="s">
        <v>2387</v>
      </c>
      <c r="V65" s="10"/>
      <c r="W65" s="10"/>
      <c r="X65" s="10"/>
      <c r="Y65" s="10"/>
      <c r="Z65" s="10"/>
      <c r="AA65" s="10"/>
      <c r="AB65" s="10"/>
      <c r="AC65" s="10"/>
      <c r="AD65" s="10"/>
      <c r="AE65" s="10"/>
      <c r="AF65" t="s">
        <v>19</v>
      </c>
      <c r="AG65" t="s">
        <v>20</v>
      </c>
      <c r="AI65">
        <v>1</v>
      </c>
    </row>
    <row r="66" spans="1:35" ht="29">
      <c r="A66" t="s">
        <v>764</v>
      </c>
      <c r="B66" s="4" t="s">
        <v>2039</v>
      </c>
      <c r="C66" s="4" t="s">
        <v>2038</v>
      </c>
      <c r="G66" s="10" t="s">
        <v>25</v>
      </c>
      <c r="H66" s="10"/>
      <c r="I66" s="10">
        <v>1</v>
      </c>
      <c r="J66" s="10">
        <v>1</v>
      </c>
      <c r="K66" s="10" t="s">
        <v>2158</v>
      </c>
      <c r="L66" s="10" t="s">
        <v>2200</v>
      </c>
      <c r="M66" s="10"/>
      <c r="N66" s="11"/>
      <c r="O66" s="10"/>
      <c r="P66" s="10">
        <v>2475</v>
      </c>
      <c r="Q66" s="10">
        <f t="shared" ref="Q66:Q67" si="2">IF(ISNUMBER(P66), (P66/$F$119)*10000, "")</f>
        <v>1216.9338184678927</v>
      </c>
      <c r="R66" s="10"/>
      <c r="S66" s="10"/>
      <c r="T66" s="10" t="s">
        <v>2387</v>
      </c>
      <c r="U66" s="10" t="s">
        <v>2387</v>
      </c>
      <c r="V66" s="10"/>
      <c r="W66" s="10"/>
      <c r="X66" s="10"/>
      <c r="Y66" s="10"/>
      <c r="Z66" s="10"/>
      <c r="AA66" s="10"/>
      <c r="AB66" s="10"/>
      <c r="AC66" s="10"/>
      <c r="AD66" s="10"/>
      <c r="AE66" s="10"/>
      <c r="AF66" t="s">
        <v>19</v>
      </c>
      <c r="AG66" t="s">
        <v>20</v>
      </c>
      <c r="AI66">
        <v>1</v>
      </c>
    </row>
    <row r="67" spans="1:35" ht="29">
      <c r="A67" t="s">
        <v>774</v>
      </c>
      <c r="B67" s="4" t="s">
        <v>2051</v>
      </c>
      <c r="C67" s="4" t="s">
        <v>2050</v>
      </c>
      <c r="G67" s="10" t="s">
        <v>24</v>
      </c>
      <c r="H67" s="10"/>
      <c r="I67" s="10">
        <v>1</v>
      </c>
      <c r="J67" s="10">
        <v>2</v>
      </c>
      <c r="K67" s="10" t="s">
        <v>2158</v>
      </c>
      <c r="L67" s="10" t="s">
        <v>2200</v>
      </c>
      <c r="M67" s="10"/>
      <c r="N67" s="11"/>
      <c r="O67" s="10"/>
      <c r="P67" s="10">
        <v>2475</v>
      </c>
      <c r="Q67" s="10">
        <f t="shared" si="2"/>
        <v>1216.9338184678927</v>
      </c>
      <c r="R67" s="10"/>
      <c r="S67" s="10"/>
      <c r="T67" s="10" t="s">
        <v>2387</v>
      </c>
      <c r="U67" s="10" t="s">
        <v>2387</v>
      </c>
      <c r="V67" s="10"/>
      <c r="W67" s="10"/>
      <c r="X67" s="10"/>
      <c r="Y67" s="10"/>
      <c r="Z67" s="10"/>
      <c r="AA67" s="10"/>
      <c r="AB67" s="10"/>
      <c r="AC67" s="10"/>
      <c r="AD67" s="10"/>
      <c r="AE67" s="10"/>
      <c r="AF67" t="s">
        <v>19</v>
      </c>
      <c r="AG67" t="s">
        <v>20</v>
      </c>
      <c r="AI67">
        <v>1</v>
      </c>
    </row>
    <row r="70" spans="1:35">
      <c r="E70" t="s">
        <v>2356</v>
      </c>
      <c r="F70">
        <f>COUNTIF(G:G,"Addition")</f>
        <v>27</v>
      </c>
    </row>
    <row r="71" spans="1:35">
      <c r="B71" t="s">
        <v>2359</v>
      </c>
      <c r="C71" t="s">
        <v>2360</v>
      </c>
      <c r="E71" t="s">
        <v>2357</v>
      </c>
      <c r="F71">
        <f>COUNTIF(G:G,"Omission")</f>
        <v>39</v>
      </c>
    </row>
    <row r="72" spans="1:35">
      <c r="B72" t="s">
        <v>2158</v>
      </c>
      <c r="C72" t="s">
        <v>2152</v>
      </c>
      <c r="E72" t="s">
        <v>2358</v>
      </c>
      <c r="F72">
        <f>F70/(F70+F71)</f>
        <v>0.40909090909090912</v>
      </c>
    </row>
    <row r="73" spans="1:35">
      <c r="B73" t="s">
        <v>2168</v>
      </c>
      <c r="C73" t="s">
        <v>2164</v>
      </c>
    </row>
    <row r="74" spans="1:35">
      <c r="B74" t="s">
        <v>2175</v>
      </c>
      <c r="C74" t="s">
        <v>2173</v>
      </c>
    </row>
    <row r="75" spans="1:35">
      <c r="B75" t="s">
        <v>2177</v>
      </c>
      <c r="C75" t="s">
        <v>2179</v>
      </c>
      <c r="E75" t="s">
        <v>2361</v>
      </c>
      <c r="F75">
        <f>COUNTIFS(G:G,"Addition", K:K,"Article")+COUNTIFS(G:G,"Addition", K:K,"Conjunction")+COUNTIFS(G:G,"Addition", K:K,"Pronoun")+COUNTIFS(G:G,"Addition", K:K,"Preposition")+COUNTIFS(G:G,"Addition", K:K,"Particle")+COUNTIFS(G:G,"Addition", K:K,"Vocative")</f>
        <v>16</v>
      </c>
    </row>
    <row r="76" spans="1:35">
      <c r="B76" t="s">
        <v>2204</v>
      </c>
      <c r="C76" t="s">
        <v>2219</v>
      </c>
      <c r="E76" t="s">
        <v>2362</v>
      </c>
      <c r="F76">
        <f>COUNTIFS(G:G,"Omission", K:K,"Article")+COUNTIFS(G:G,"Omission", K:K,"Conjunction")+COUNTIFS(G:G,"Omission", K:K,"Pronoun")+COUNTIFS(G:G,"Omission", K:K,"Preposition")+COUNTIFS(G:G,"Omission", K:K,"Particle")+COUNTIFS(G:G,"Omission", K:K,"Vocative")</f>
        <v>25</v>
      </c>
    </row>
    <row r="77" spans="1:35">
      <c r="B77" t="s">
        <v>2180</v>
      </c>
      <c r="E77" t="s">
        <v>2363</v>
      </c>
      <c r="F77">
        <f>F75/(F75+F76)</f>
        <v>0.3902439024390244</v>
      </c>
    </row>
    <row r="80" spans="1:35">
      <c r="E80" t="s">
        <v>2372</v>
      </c>
      <c r="F80">
        <f>COUNTIFS(G:G,"Addition", K:K,"Adjective")+COUNTIFS(G:G,"Addition", K:K,"Adverb")+COUNTIFS(G:G,"Addition", K:K,"Noun")+COUNTIFS(G:G,"Addition", K:K,"Participle")+COUNTIFS(G:G,"Addition", K:K,"Verb")</f>
        <v>7</v>
      </c>
    </row>
    <row r="81" spans="3:6">
      <c r="E81" t="s">
        <v>2373</v>
      </c>
      <c r="F81">
        <f>COUNTIFS(G:G,"Omission", K:K,"Adjective")+COUNTIFS(G:G,"Omission", K:K,"Adverb")+COUNTIFS(G:G,"Omission", K:K,"Noun")+COUNTIFS(G:G,"Omission", K:K,"Participle")+COUNTIFS(G:G,"Omission", K:K,"Verb")</f>
        <v>7</v>
      </c>
    </row>
    <row r="82" spans="3:6">
      <c r="E82" t="s">
        <v>2374</v>
      </c>
      <c r="F82">
        <f>F80/(F80+F81)</f>
        <v>0.5</v>
      </c>
    </row>
    <row r="83" spans="3:6">
      <c r="E83" t="s">
        <v>2375</v>
      </c>
      <c r="F83">
        <f>F82-F77</f>
        <v>0.1097560975609756</v>
      </c>
    </row>
    <row r="86" spans="3:6">
      <c r="D86" s="15" t="s">
        <v>2368</v>
      </c>
      <c r="E86" s="15"/>
      <c r="F86" s="15"/>
    </row>
    <row r="87" spans="3:6">
      <c r="D87" t="s">
        <v>2153</v>
      </c>
      <c r="E87" t="s">
        <v>2369</v>
      </c>
      <c r="F87" t="s">
        <v>2370</v>
      </c>
    </row>
    <row r="88" spans="3:6">
      <c r="C88" t="s">
        <v>2364</v>
      </c>
      <c r="D88">
        <f>COUNTIFS(G:G,"Addition", L:L, "Present")</f>
        <v>6</v>
      </c>
      <c r="E88">
        <f>COUNTIFS(G:G,"Addition", L:L, "Absent")</f>
        <v>11</v>
      </c>
      <c r="F88">
        <f>D88/(D88+E88)</f>
        <v>0.35294117647058826</v>
      </c>
    </row>
    <row r="89" spans="3:6">
      <c r="C89" t="s">
        <v>2365</v>
      </c>
      <c r="D89">
        <f>COUNTIFS(G:G,"Omission", L:L, "Present")</f>
        <v>7</v>
      </c>
      <c r="E89">
        <f>COUNTIFS(G:G,"Omission", L:L, "Absent")</f>
        <v>22</v>
      </c>
      <c r="F89">
        <f>D89/(D89+E89)</f>
        <v>0.2413793103448276</v>
      </c>
    </row>
    <row r="90" spans="3:6">
      <c r="C90" t="s">
        <v>2371</v>
      </c>
      <c r="D90">
        <f>SUM(D88+D89)</f>
        <v>13</v>
      </c>
      <c r="E90">
        <f>SUM(E88+E89)</f>
        <v>33</v>
      </c>
      <c r="F90">
        <f>D90/(D90+E90)</f>
        <v>0.28260869565217389</v>
      </c>
    </row>
    <row r="93" spans="3:6">
      <c r="D93" t="s">
        <v>2364</v>
      </c>
      <c r="E93" t="s">
        <v>2365</v>
      </c>
      <c r="F93" t="s">
        <v>2376</v>
      </c>
    </row>
    <row r="94" spans="3:6">
      <c r="C94" t="s">
        <v>2377</v>
      </c>
      <c r="D94">
        <f>COUNTIFS(G:G,"Addition", L:L, "Absent")</f>
        <v>11</v>
      </c>
      <c r="E94">
        <f>COUNTIFS(G:G,"Omission", L:L, "Absent")</f>
        <v>22</v>
      </c>
      <c r="F94">
        <f>D94/(D94+E94)</f>
        <v>0.33333333333333331</v>
      </c>
    </row>
    <row r="95" spans="3:6">
      <c r="C95" t="s">
        <v>2378</v>
      </c>
      <c r="D95">
        <f>COUNTIFS(G:G,"Addition", L:L, "Present")</f>
        <v>6</v>
      </c>
      <c r="E95">
        <f>COUNTIFS(G:G,"Omission", L:L, "Present")</f>
        <v>7</v>
      </c>
      <c r="F95">
        <f>D95/(D95+E95)</f>
        <v>0.46153846153846156</v>
      </c>
    </row>
    <row r="96" spans="3:6">
      <c r="E96" t="s">
        <v>2430</v>
      </c>
      <c r="F96">
        <f>F95-F94</f>
        <v>0.12820512820512825</v>
      </c>
    </row>
    <row r="99" spans="3:6">
      <c r="D99" t="s">
        <v>2364</v>
      </c>
      <c r="E99" t="s">
        <v>2365</v>
      </c>
      <c r="F99" t="s">
        <v>2376</v>
      </c>
    </row>
    <row r="100" spans="3:6">
      <c r="C100" t="s">
        <v>2379</v>
      </c>
      <c r="D100">
        <f>COUNTIFS(G:G,"Addition", O:O, "")</f>
        <v>25</v>
      </c>
      <c r="E100">
        <f>COUNTIFS(G:G,"Omission", O:O, "")</f>
        <v>38</v>
      </c>
      <c r="F100">
        <f>D100/(D100+E100)</f>
        <v>0.3968253968253968</v>
      </c>
    </row>
    <row r="101" spans="3:6">
      <c r="C101" t="s">
        <v>2380</v>
      </c>
      <c r="D101">
        <f>COUNTIFS(G:G,"Addition", O:O, "Dittography")</f>
        <v>2</v>
      </c>
      <c r="E101">
        <f>COUNTIFS(G:G,"Omission", O:O, "Dittography")</f>
        <v>1</v>
      </c>
      <c r="F101">
        <f>D101/(D101+E101)</f>
        <v>0.66666666666666663</v>
      </c>
    </row>
    <row r="102" spans="3:6">
      <c r="E102" t="s">
        <v>2430</v>
      </c>
      <c r="F102">
        <f>F101-F100</f>
        <v>0.26984126984126983</v>
      </c>
    </row>
    <row r="105" spans="3:6">
      <c r="C105" t="s">
        <v>2366</v>
      </c>
      <c r="D105" t="s">
        <v>2364</v>
      </c>
      <c r="E105" t="s">
        <v>2365</v>
      </c>
      <c r="F105" t="s">
        <v>2376</v>
      </c>
    </row>
    <row r="106" spans="3:6">
      <c r="C106" s="12">
        <v>1</v>
      </c>
      <c r="D106">
        <f>COUNTIFS(G:G,"Addition", I:I, 1)</f>
        <v>23</v>
      </c>
      <c r="E106">
        <f>COUNTIFS(G:G,"Omission", I:I, 1)</f>
        <v>32</v>
      </c>
      <c r="F106">
        <f>D106/(D106+E106)</f>
        <v>0.41818181818181815</v>
      </c>
    </row>
    <row r="107" spans="3:6">
      <c r="C107" s="12" t="s">
        <v>2381</v>
      </c>
      <c r="D107">
        <f>COUNTIFS(G:G,"Addition", I:I, "&gt;=2", I:I, "&lt;=3")</f>
        <v>3</v>
      </c>
      <c r="E107">
        <f>COUNTIFS(G:G,"Omission", I:I, "&gt;=2", I:I, "&lt;=3")</f>
        <v>4</v>
      </c>
      <c r="F107">
        <f t="shared" ref="F107:F108" si="3">D107/(D107+E107)</f>
        <v>0.42857142857142855</v>
      </c>
    </row>
    <row r="108" spans="3:6">
      <c r="C108" s="12" t="s">
        <v>2382</v>
      </c>
      <c r="D108">
        <f>COUNTIFS(G:G,"Addition", I:I, "&gt;=4")</f>
        <v>1</v>
      </c>
      <c r="E108">
        <f>COUNTIFS(G:G,"Omission", I:I, "&gt;=4")</f>
        <v>3</v>
      </c>
      <c r="F108">
        <f t="shared" si="3"/>
        <v>0.25</v>
      </c>
    </row>
    <row r="111" spans="3:6">
      <c r="C111" t="s">
        <v>2366</v>
      </c>
      <c r="D111" t="s">
        <v>2364</v>
      </c>
      <c r="E111" t="s">
        <v>2365</v>
      </c>
      <c r="F111" t="s">
        <v>2367</v>
      </c>
    </row>
    <row r="112" spans="3:6">
      <c r="C112">
        <v>1</v>
      </c>
      <c r="D112" s="12">
        <f>COUNTIFS(G:G,"Addition", I:I, C112)</f>
        <v>23</v>
      </c>
      <c r="E112">
        <f>COUNTIFS(G:G,"Omission", I:I, C112)</f>
        <v>32</v>
      </c>
      <c r="F112">
        <f>D112/(D112+E112)</f>
        <v>0.41818181818181815</v>
      </c>
    </row>
    <row r="113" spans="3:6">
      <c r="C113">
        <v>2</v>
      </c>
      <c r="D113" s="12">
        <f>COUNTIFS(G:G,"Addition", I:I, C113)</f>
        <v>3</v>
      </c>
      <c r="E113">
        <f>COUNTIFS(G:G,"Omission", I:I, C113)</f>
        <v>3</v>
      </c>
      <c r="F113">
        <f t="shared" ref="F113:F116" si="4">D113/(D113+E113)</f>
        <v>0.5</v>
      </c>
    </row>
    <row r="114" spans="3:6">
      <c r="C114">
        <v>3</v>
      </c>
      <c r="D114" s="12">
        <f>COUNTIFS(G:G,"Addition", I:I, C114)</f>
        <v>0</v>
      </c>
      <c r="E114">
        <f>COUNTIFS(G:G,"Omission", I:I, C114)</f>
        <v>1</v>
      </c>
      <c r="F114">
        <f t="shared" si="4"/>
        <v>0</v>
      </c>
    </row>
    <row r="115" spans="3:6">
      <c r="C115">
        <v>4</v>
      </c>
      <c r="D115" s="12">
        <f>COUNTIFS(G:G,"Addition", I:I, C115)</f>
        <v>1</v>
      </c>
      <c r="E115">
        <f>COUNTIFS(G:G,"Omission", I:I, C115)</f>
        <v>0</v>
      </c>
      <c r="F115">
        <f t="shared" si="4"/>
        <v>1</v>
      </c>
    </row>
    <row r="116" spans="3:6">
      <c r="C116" t="s">
        <v>2383</v>
      </c>
      <c r="D116" s="12">
        <f>COUNTIFS(G:G,"Addition", I:I, C116)</f>
        <v>0</v>
      </c>
      <c r="E116">
        <f>COUNTIFS(G:G,"Omission", I:I, C116)</f>
        <v>3</v>
      </c>
      <c r="F116">
        <f t="shared" si="4"/>
        <v>0</v>
      </c>
    </row>
    <row r="117" spans="3:6">
      <c r="D117" s="12"/>
    </row>
    <row r="119" spans="3:6">
      <c r="E119" t="s">
        <v>2384</v>
      </c>
      <c r="F119">
        <v>20338</v>
      </c>
    </row>
  </sheetData>
  <mergeCells count="1">
    <mergeCell ref="D86:F86"/>
  </mergeCells>
  <conditionalFormatting sqref="G2:G67">
    <cfRule type="expression" dxfId="112" priority="7">
      <formula>$I2&lt;&gt;""</formula>
    </cfRule>
    <cfRule type="expression" dxfId="111" priority="8">
      <formula>$I2=""</formula>
    </cfRule>
  </conditionalFormatting>
  <conditionalFormatting sqref="H2:L67 O2:P67">
    <cfRule type="expression" dxfId="110" priority="24">
      <formula>AND(OR($I2="Addition",$I2="Omission"), H2="")</formula>
    </cfRule>
    <cfRule type="expression" dxfId="109" priority="25">
      <formula>AND($I2&lt;&gt;"Addition",$I2&lt;&gt;"Omission",$I2&lt;&gt;"Substitution - Word")</formula>
    </cfRule>
  </conditionalFormatting>
  <conditionalFormatting sqref="H2:P67">
    <cfRule type="expression" dxfId="108" priority="23">
      <formula>AND(OR($I2="Addition",$I2="Omission"), H2&lt;&gt;"")</formula>
    </cfRule>
  </conditionalFormatting>
  <conditionalFormatting sqref="K2:K67">
    <cfRule type="expression" dxfId="107" priority="18">
      <formula>AND($K2&lt;&gt;"",$K2&gt;1)</formula>
    </cfRule>
  </conditionalFormatting>
  <conditionalFormatting sqref="M2:N67">
    <cfRule type="expression" dxfId="106" priority="14">
      <formula>$N2="Absent"</formula>
    </cfRule>
    <cfRule type="expression" dxfId="105" priority="15">
      <formula>$N2="NA"</formula>
    </cfRule>
    <cfRule type="expression" dxfId="104" priority="16">
      <formula>AND(OR($I2="Addition",$I2="Omission"), M2="")</formula>
    </cfRule>
    <cfRule type="expression" dxfId="103" priority="17">
      <formula>AND($I2&lt;&gt;"Addition",$I2&lt;&gt;"Omission")</formula>
    </cfRule>
  </conditionalFormatting>
  <conditionalFormatting sqref="O2:O67">
    <cfRule type="expression" dxfId="102" priority="19">
      <formula>OR($I2="Addition",$I2="Omission",$I2 = "Substitution - Word")</formula>
    </cfRule>
  </conditionalFormatting>
  <conditionalFormatting sqref="Q2:R67">
    <cfRule type="expression" dxfId="101" priority="1">
      <formula>AND(OR($I2="Addition",$I2="Omission"), Q2&lt;&gt;"")</formula>
    </cfRule>
    <cfRule type="expression" dxfId="100" priority="2">
      <formula>AND(OR($I2="Addition",$I2="Omission"), Q2="")</formula>
    </cfRule>
    <cfRule type="expression" dxfId="99" priority="3">
      <formula>AND($I2&lt;&gt;"Addition",$I2&lt;&gt;"Omission",$I2&lt;&gt;"Substitution - Word")</formula>
    </cfRule>
  </conditionalFormatting>
  <conditionalFormatting sqref="S2:U67">
    <cfRule type="expression" dxfId="98" priority="20">
      <formula>AND(AND(LEFT($I2,3)="Sub", RIGHT($I2,4)&lt;&gt;"Form"),$U2&lt;&gt;"")</formula>
    </cfRule>
    <cfRule type="expression" dxfId="97" priority="21">
      <formula>AND(AND(LEFT($I2,3)="Sub", RIGHT($I2,4)&lt;&gt;"Form"),$U2="")</formula>
    </cfRule>
    <cfRule type="expression" dxfId="96" priority="22">
      <formula>"&lt;&gt;AND(LEFT($J2,3)=""Sub"", RIGHT($J2,4)&lt;&gt;""Form"")"</formula>
    </cfRule>
  </conditionalFormatting>
  <conditionalFormatting sqref="T2:U67">
    <cfRule type="expression" dxfId="95" priority="4">
      <formula>AND(AND(LEFT($I2,3)="Sub", RIGHT($I2,4)&lt;&gt;"Form"),$U2&lt;&gt;"")</formula>
    </cfRule>
    <cfRule type="expression" dxfId="94" priority="5">
      <formula>AND(AND(LEFT($I2,3)="Sub", RIGHT($I2,4)&lt;&gt;"Form"),$U2="")</formula>
    </cfRule>
    <cfRule type="expression" dxfId="93" priority="6">
      <formula>"&lt;&gt;AND(LEFT($J2,3)=""Sub"", RIGHT($J2,4)&lt;&gt;""Form"")"</formula>
    </cfRule>
  </conditionalFormatting>
  <conditionalFormatting sqref="V2:V67">
    <cfRule type="expression" dxfId="92" priority="10">
      <formula>AND($X2&lt;&gt;"",OR($AE2="Yes",$AF2&lt;&gt;""))</formula>
    </cfRule>
    <cfRule type="expression" dxfId="91" priority="11">
      <formula>OR($AE2="Yes",$AF2&lt;&gt;"")</formula>
    </cfRule>
    <cfRule type="expression" dxfId="90" priority="28">
      <formula>AND($AE2&lt;&gt;"Yes",$AF2="")</formula>
    </cfRule>
  </conditionalFormatting>
  <conditionalFormatting sqref="V2:AE67">
    <cfRule type="expression" dxfId="89" priority="26">
      <formula>AND($I2&lt;&gt;"",$I2&lt;&gt;"Unclear due to correction")</formula>
    </cfRule>
    <cfRule type="expression" dxfId="88" priority="27">
      <formula>OR($I2="",$I2="Unclear due to correction")</formula>
    </cfRule>
  </conditionalFormatting>
  <conditionalFormatting sqref="W2:W67">
    <cfRule type="expression" dxfId="87" priority="9">
      <formula>AND($I2&lt;&gt;"",$I2&lt;&gt;"Unclear due to correction",$Y2="")</formula>
    </cfRule>
  </conditionalFormatting>
  <conditionalFormatting sqref="X2:X67">
    <cfRule type="expression" dxfId="86" priority="12">
      <formula>AND($Y2="Yes",$Z2="")</formula>
    </cfRule>
    <cfRule type="expression" dxfId="85" priority="13">
      <formula>$Y2=""</formula>
    </cfRule>
  </conditionalFormatting>
  <conditionalFormatting sqref="AC2:AC67">
    <cfRule type="expression" dxfId="84" priority="29">
      <formula>AND(OR($AC2&lt;&gt;"",$AD2&lt;&gt;""),$AE2="")</formula>
    </cfRule>
  </conditionalFormatting>
  <dataValidations count="1">
    <dataValidation allowBlank="1" showInputMessage="1" sqref="W3:W67" xr:uid="{BA8FB52C-E8E4-4567-8E74-36B8D0254DA7}"/>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BA6F8E22-1891-4DFE-87C0-4F7F09B50B26}">
          <x14:formula1>
            <xm:f>'Data Regularization'!$Q$2:$Q$4</xm:f>
          </x14:formula1>
          <xm:sqref>AF2:AH4 AG5 AH5:AH67 AF5:AF67</xm:sqref>
        </x14:dataValidation>
        <x14:dataValidation type="list" allowBlank="1" showInputMessage="1" showErrorMessage="1" xr:uid="{7A7A73FC-4BA5-44EA-B40D-27F452393654}">
          <x14:formula1>
            <xm:f>'Data Regularization'!$D$2:$D$1048576</xm:f>
          </x14:formula1>
          <xm:sqref>G3:G67</xm:sqref>
        </x14:dataValidation>
        <x14:dataValidation type="list" allowBlank="1" showInputMessage="1" showErrorMessage="1" xr:uid="{08F1AE6B-D592-483F-A404-E56B707AABA7}">
          <x14:formula1>
            <xm:f>'Data Regularization'!$E$2:$E$1048576</xm:f>
          </x14:formula1>
          <xm:sqref>K3:K67</xm:sqref>
        </x14:dataValidation>
        <x14:dataValidation type="list" allowBlank="1" showInputMessage="1" showErrorMessage="1" xr:uid="{89BBECD0-E7FB-4A7B-BD02-87AAEC48149C}">
          <x14:formula1>
            <xm:f>'Data Regularization'!$F$2:$F$1048576</xm:f>
          </x14:formula1>
          <xm:sqref>L3:L67</xm:sqref>
        </x14:dataValidation>
        <x14:dataValidation type="list" allowBlank="1" showInputMessage="1" showErrorMessage="1" xr:uid="{C2E4022D-69F4-41C3-9B2D-2BCED349902C}">
          <x14:formula1>
            <xm:f>'Data Regularization'!$G$2:$G$1048576</xm:f>
          </x14:formula1>
          <xm:sqref>O3:O67</xm:sqref>
        </x14:dataValidation>
        <x14:dataValidation type="list" allowBlank="1" showInputMessage="1" showErrorMessage="1" xr:uid="{1BAACCA7-3229-4C64-908C-510302660622}">
          <x14:formula1>
            <xm:f>'Data Regularization'!$K$2:$K$1048576</xm:f>
          </x14:formula1>
          <xm:sqref>X3:X67 V3:V67</xm:sqref>
        </x14:dataValidation>
        <x14:dataValidation type="list" allowBlank="1" showInputMessage="1" showErrorMessage="1" xr:uid="{D47D8A0F-6EBF-4FA0-81D6-5C3903805098}">
          <x14:formula1>
            <xm:f>'Data Regularization'!$L$2:$L$1048576</xm:f>
          </x14:formula1>
          <xm:sqref>Y3:Y67</xm:sqref>
        </x14:dataValidation>
        <x14:dataValidation type="list" allowBlank="1" showInputMessage="1" showErrorMessage="1" xr:uid="{FFAF1863-4FC3-42B1-865B-D87FC988E0EE}">
          <x14:formula1>
            <xm:f>'Data Regularization'!$M$2:$M$1048576</xm:f>
          </x14:formula1>
          <xm:sqref>Z3:Z67</xm:sqref>
        </x14:dataValidation>
        <x14:dataValidation type="list" allowBlank="1" showInputMessage="1" showErrorMessage="1" xr:uid="{A33FF8E6-6081-45A7-9B26-C52B43CA61E4}">
          <x14:formula1>
            <xm:f>'Data Regularization'!$N$2:$N$1048576</xm:f>
          </x14:formula1>
          <xm:sqref>AA3:AA67</xm:sqref>
        </x14:dataValidation>
        <x14:dataValidation type="list" allowBlank="1" showInputMessage="1" showErrorMessage="1" xr:uid="{D70C06F1-C132-4939-8756-FBA0F146AA4D}">
          <x14:formula1>
            <xm:f>'Data Regularization'!$O$2:$O$1048576</xm:f>
          </x14:formula1>
          <xm:sqref>AC3:AC67</xm:sqref>
        </x14:dataValidation>
        <x14:dataValidation type="list" allowBlank="1" showInputMessage="1" showErrorMessage="1" xr:uid="{B2CE6F24-3F60-4E8D-AC27-3D335E983F1F}">
          <x14:formula1>
            <xm:f>'Data Regularization'!$P$2:$P$1048576</xm:f>
          </x14:formula1>
          <xm:sqref>AD3:AD67</xm:sqref>
        </x14:dataValidation>
        <x14:dataValidation type="list" allowBlank="1" showInputMessage="1" showErrorMessage="1" xr:uid="{809E30CF-11D7-463C-AFE4-A8C96D70E7F8}">
          <x14:formula1>
            <xm:f>'Data Regularization'!$Q$2:$Q$1048576</xm:f>
          </x14:formula1>
          <xm:sqref>AE3:AE67</xm:sqref>
        </x14:dataValidation>
        <x14:dataValidation type="list" allowBlank="1" showInputMessage="1" showErrorMessage="1" xr:uid="{1AC8B168-B9CE-4425-A8FC-300364962093}">
          <x14:formula1>
            <xm:f>'Data Regularization'!$C$2:$C$29</xm:f>
          </x14:formula1>
          <xm:sqref>F2:F67</xm:sqref>
        </x14:dataValidation>
        <x14:dataValidation type="list" allowBlank="1" showInputMessage="1" showErrorMessage="1" xr:uid="{ECEE29DC-C275-406A-85B1-A76B30E50673}">
          <x14:formula1>
            <xm:f>'Data Regularization'!$A$2:$A$1048576</xm:f>
          </x14:formula1>
          <xm:sqref>D2:D67</xm:sqref>
        </x14:dataValidation>
        <x14:dataValidation type="list" allowBlank="1" showInputMessage="1" showErrorMessage="1" xr:uid="{5447F285-370D-4208-B9CE-56FE2FC2C2EC}">
          <x14:formula1>
            <xm:f>'Data Regularization'!$B$2:$B$1048576</xm:f>
          </x14:formula1>
          <xm:sqref>E2:E67</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BB24B-309E-473A-B90B-96FBD0A3C29F}">
  <dimension ref="A1:AI59"/>
  <sheetViews>
    <sheetView workbookViewId="0">
      <pane xSplit="3" ySplit="1" topLeftCell="D2" activePane="bottomRight" state="frozen"/>
      <selection sqref="A1:XFD1"/>
      <selection pane="topRight" sqref="A1:XFD1"/>
      <selection pane="bottomLeft" sqref="A1:XFD1"/>
      <selection pane="bottomRight" activeCell="D2" sqref="D2"/>
    </sheetView>
  </sheetViews>
  <sheetFormatPr defaultRowHeight="14.5"/>
  <sheetData>
    <row r="1" spans="1:35" s="1" customFormat="1" ht="29">
      <c r="A1" s="1" t="s">
        <v>0</v>
      </c>
      <c r="B1" s="1" t="s">
        <v>5</v>
      </c>
      <c r="C1" s="3" t="s">
        <v>6</v>
      </c>
      <c r="D1" s="1" t="s">
        <v>2181</v>
      </c>
      <c r="E1" s="1" t="s">
        <v>2182</v>
      </c>
      <c r="F1" s="1" t="s">
        <v>2183</v>
      </c>
      <c r="G1" s="1" t="s">
        <v>3</v>
      </c>
      <c r="H1" s="1" t="s">
        <v>2184</v>
      </c>
      <c r="I1" s="1" t="s">
        <v>2185</v>
      </c>
      <c r="J1" s="1" t="s">
        <v>2186</v>
      </c>
      <c r="K1" s="1" t="s">
        <v>2187</v>
      </c>
      <c r="L1" s="1" t="s">
        <v>2146</v>
      </c>
      <c r="M1" s="1" t="s">
        <v>2188</v>
      </c>
      <c r="N1" s="9" t="s">
        <v>2189</v>
      </c>
      <c r="O1" s="1" t="s">
        <v>2147</v>
      </c>
      <c r="P1" s="1" t="s">
        <v>2190</v>
      </c>
      <c r="Q1" s="1" t="s">
        <v>2388</v>
      </c>
      <c r="R1" s="1" t="s">
        <v>2191</v>
      </c>
      <c r="S1" s="1" t="s">
        <v>2385</v>
      </c>
      <c r="T1" s="1" t="s">
        <v>2386</v>
      </c>
      <c r="U1" s="1" t="s">
        <v>2194</v>
      </c>
      <c r="V1" s="1" t="s">
        <v>2195</v>
      </c>
      <c r="W1" s="1" t="s">
        <v>2196</v>
      </c>
      <c r="X1" s="1" t="s">
        <v>2148</v>
      </c>
      <c r="Y1" s="1" t="s">
        <v>2149</v>
      </c>
      <c r="Z1" s="1" t="s">
        <v>2150</v>
      </c>
      <c r="AA1" s="1" t="s">
        <v>2192</v>
      </c>
      <c r="AB1" s="1" t="s">
        <v>2197</v>
      </c>
      <c r="AC1" s="1" t="s">
        <v>2151</v>
      </c>
      <c r="AD1" s="1" t="s">
        <v>2193</v>
      </c>
      <c r="AE1" s="1" t="s">
        <v>2215</v>
      </c>
      <c r="AF1" s="1" t="s">
        <v>2207</v>
      </c>
      <c r="AG1" s="1" t="s">
        <v>2214</v>
      </c>
    </row>
    <row r="2" spans="1:35" ht="29">
      <c r="A2" t="s">
        <v>73</v>
      </c>
      <c r="B2" s="4" t="s">
        <v>834</v>
      </c>
      <c r="C2" s="4" t="s">
        <v>833</v>
      </c>
      <c r="G2" s="10" t="s">
        <v>24</v>
      </c>
      <c r="H2" s="10"/>
      <c r="I2" s="10">
        <v>1</v>
      </c>
      <c r="J2" s="10">
        <v>3</v>
      </c>
      <c r="K2" s="10" t="s">
        <v>2158</v>
      </c>
      <c r="L2" s="10" t="s">
        <v>2159</v>
      </c>
      <c r="M2" s="10"/>
      <c r="N2" s="11"/>
      <c r="O2" s="10"/>
      <c r="P2" s="10">
        <v>2475</v>
      </c>
      <c r="Q2" s="10">
        <v>1216.9338184678927</v>
      </c>
      <c r="R2" s="10"/>
      <c r="S2" s="10"/>
      <c r="T2" s="10" t="s">
        <v>2387</v>
      </c>
      <c r="U2" s="10" t="s">
        <v>2387</v>
      </c>
      <c r="V2" s="10"/>
      <c r="W2" s="10"/>
      <c r="X2" s="10"/>
      <c r="Y2" s="10"/>
      <c r="Z2" s="10"/>
      <c r="AA2" s="10"/>
      <c r="AB2" s="10"/>
      <c r="AC2" s="10"/>
      <c r="AD2" s="10"/>
      <c r="AE2" s="10"/>
      <c r="AF2" t="s">
        <v>19</v>
      </c>
      <c r="AG2" t="s">
        <v>20</v>
      </c>
      <c r="AH2" t="s">
        <v>20</v>
      </c>
      <c r="AI2">
        <v>1</v>
      </c>
    </row>
    <row r="3" spans="1:35" ht="101.5">
      <c r="A3" t="s">
        <v>114</v>
      </c>
      <c r="B3" s="4" t="s">
        <v>875</v>
      </c>
      <c r="C3" s="4" t="s">
        <v>876</v>
      </c>
      <c r="G3" s="10" t="s">
        <v>24</v>
      </c>
      <c r="H3" s="10"/>
      <c r="I3" s="10">
        <v>1</v>
      </c>
      <c r="J3" s="10">
        <v>2</v>
      </c>
      <c r="K3" s="10" t="s">
        <v>2177</v>
      </c>
      <c r="L3" s="10" t="s">
        <v>2200</v>
      </c>
      <c r="M3" s="10"/>
      <c r="N3" s="11"/>
      <c r="O3" s="10"/>
      <c r="P3" s="10">
        <v>613</v>
      </c>
      <c r="Q3" s="10">
        <v>301.40623463467404</v>
      </c>
      <c r="R3" s="10"/>
      <c r="S3" s="10"/>
      <c r="T3" s="10" t="s">
        <v>2387</v>
      </c>
      <c r="U3" s="10" t="s">
        <v>2387</v>
      </c>
      <c r="V3" s="10"/>
      <c r="W3" s="10"/>
      <c r="X3" s="10"/>
      <c r="Y3" s="10"/>
      <c r="Z3" s="10"/>
      <c r="AA3" s="10"/>
      <c r="AB3" s="10"/>
      <c r="AC3" s="10"/>
      <c r="AD3" s="10"/>
      <c r="AE3" s="10"/>
      <c r="AF3" t="s">
        <v>19</v>
      </c>
      <c r="AG3" t="s">
        <v>20</v>
      </c>
      <c r="AH3" t="s">
        <v>20</v>
      </c>
      <c r="AI3">
        <v>1</v>
      </c>
    </row>
    <row r="4" spans="1:35" ht="29">
      <c r="A4" t="s">
        <v>162</v>
      </c>
      <c r="B4" s="4" t="s">
        <v>936</v>
      </c>
      <c r="C4" s="4" t="s">
        <v>937</v>
      </c>
      <c r="F4" t="s">
        <v>19</v>
      </c>
      <c r="G4" s="10" t="s">
        <v>25</v>
      </c>
      <c r="H4" s="10"/>
      <c r="I4" s="10">
        <v>1</v>
      </c>
      <c r="J4" s="10">
        <v>3</v>
      </c>
      <c r="K4" s="10" t="s">
        <v>2158</v>
      </c>
      <c r="L4" s="10" t="s">
        <v>2159</v>
      </c>
      <c r="M4" s="10"/>
      <c r="N4" s="11"/>
      <c r="O4" s="10"/>
      <c r="P4" s="10">
        <v>2475</v>
      </c>
      <c r="Q4" s="10">
        <v>1216.9338184678927</v>
      </c>
      <c r="R4" s="10"/>
      <c r="S4" s="10"/>
      <c r="T4" s="10" t="s">
        <v>2387</v>
      </c>
      <c r="U4" s="10" t="s">
        <v>2387</v>
      </c>
      <c r="V4" s="10"/>
      <c r="W4" s="10"/>
      <c r="X4" s="10"/>
      <c r="Y4" s="10"/>
      <c r="Z4" s="10"/>
      <c r="AA4" s="10"/>
      <c r="AB4" s="10"/>
      <c r="AC4" s="10"/>
      <c r="AD4" s="10"/>
      <c r="AE4" s="10"/>
      <c r="AF4" t="s">
        <v>20</v>
      </c>
      <c r="AG4" t="s">
        <v>20</v>
      </c>
      <c r="AI4">
        <v>0</v>
      </c>
    </row>
    <row r="5" spans="1:35" ht="43.5">
      <c r="A5" t="s">
        <v>195</v>
      </c>
      <c r="B5" s="4" t="s">
        <v>980</v>
      </c>
      <c r="C5" s="4" t="s">
        <v>979</v>
      </c>
      <c r="G5" s="10" t="s">
        <v>24</v>
      </c>
      <c r="H5" s="10"/>
      <c r="I5" s="10">
        <v>1</v>
      </c>
      <c r="J5" s="10">
        <v>2</v>
      </c>
      <c r="K5" s="10" t="s">
        <v>2177</v>
      </c>
      <c r="L5" s="10" t="s">
        <v>2200</v>
      </c>
      <c r="M5" s="10"/>
      <c r="N5" s="11"/>
      <c r="O5" s="10"/>
      <c r="P5" s="10">
        <v>613</v>
      </c>
      <c r="Q5" s="10">
        <v>301.40623463467404</v>
      </c>
      <c r="R5" s="10"/>
      <c r="S5" s="10"/>
      <c r="T5" s="10" t="s">
        <v>2387</v>
      </c>
      <c r="U5" s="10" t="s">
        <v>2387</v>
      </c>
      <c r="V5" s="10"/>
      <c r="W5" s="10"/>
      <c r="X5" s="10"/>
      <c r="Y5" s="10"/>
      <c r="Z5" s="10"/>
      <c r="AA5" s="10"/>
      <c r="AB5" s="10"/>
      <c r="AC5" s="10"/>
      <c r="AD5" s="10"/>
      <c r="AE5" s="10"/>
      <c r="AF5" t="s">
        <v>19</v>
      </c>
      <c r="AG5" t="s">
        <v>20</v>
      </c>
      <c r="AI5">
        <v>1</v>
      </c>
    </row>
    <row r="6" spans="1:35" ht="29">
      <c r="A6" t="s">
        <v>200</v>
      </c>
      <c r="B6" s="4" t="s">
        <v>983</v>
      </c>
      <c r="C6" s="4" t="s">
        <v>984</v>
      </c>
      <c r="F6" t="s">
        <v>19</v>
      </c>
      <c r="G6" s="10" t="s">
        <v>25</v>
      </c>
      <c r="H6" s="10"/>
      <c r="I6" s="10">
        <v>1</v>
      </c>
      <c r="J6" s="10">
        <v>3</v>
      </c>
      <c r="K6" s="10" t="s">
        <v>2175</v>
      </c>
      <c r="L6" s="10" t="s">
        <v>2159</v>
      </c>
      <c r="M6" s="10"/>
      <c r="N6" s="11"/>
      <c r="O6" s="10"/>
      <c r="P6" s="10">
        <v>743</v>
      </c>
      <c r="Q6" s="10">
        <v>365.32599075621988</v>
      </c>
      <c r="R6" s="10"/>
      <c r="S6" s="10"/>
      <c r="T6" s="10" t="s">
        <v>2387</v>
      </c>
      <c r="U6" s="10" t="s">
        <v>2387</v>
      </c>
      <c r="V6" s="10"/>
      <c r="W6" s="10"/>
      <c r="X6" s="10"/>
      <c r="Y6" s="10"/>
      <c r="Z6" s="10"/>
      <c r="AA6" s="10"/>
      <c r="AB6" s="10"/>
      <c r="AC6" s="10"/>
      <c r="AD6" s="10"/>
      <c r="AE6" s="10"/>
      <c r="AF6" t="s">
        <v>20</v>
      </c>
      <c r="AG6" t="s">
        <v>20</v>
      </c>
      <c r="AI6">
        <v>0</v>
      </c>
    </row>
    <row r="7" spans="1:35" ht="29">
      <c r="A7" t="s">
        <v>209</v>
      </c>
      <c r="B7" s="4" t="s">
        <v>991</v>
      </c>
      <c r="C7" s="4" t="s">
        <v>992</v>
      </c>
      <c r="G7" s="10" t="s">
        <v>25</v>
      </c>
      <c r="H7" s="10"/>
      <c r="I7" s="10">
        <v>1</v>
      </c>
      <c r="J7" s="10">
        <v>2</v>
      </c>
      <c r="K7" s="10" t="s">
        <v>2158</v>
      </c>
      <c r="L7" s="10" t="s">
        <v>2200</v>
      </c>
      <c r="M7" s="10"/>
      <c r="N7" s="11"/>
      <c r="O7" s="10"/>
      <c r="P7" s="10">
        <v>2475</v>
      </c>
      <c r="Q7" s="10">
        <v>1216.9338184678927</v>
      </c>
      <c r="R7" s="10"/>
      <c r="S7" s="10"/>
      <c r="T7" s="10" t="s">
        <v>2387</v>
      </c>
      <c r="U7" s="10" t="s">
        <v>2387</v>
      </c>
      <c r="V7" s="10"/>
      <c r="W7" s="10"/>
      <c r="X7" s="10"/>
      <c r="Y7" s="10"/>
      <c r="Z7" s="10"/>
      <c r="AA7" s="10"/>
      <c r="AB7" s="10"/>
      <c r="AC7" s="10"/>
      <c r="AD7" s="10"/>
      <c r="AE7" s="10"/>
      <c r="AF7" t="s">
        <v>20</v>
      </c>
      <c r="AG7" t="s">
        <v>20</v>
      </c>
      <c r="AI7">
        <v>0</v>
      </c>
    </row>
    <row r="8" spans="1:35" ht="29">
      <c r="A8" t="s">
        <v>243</v>
      </c>
      <c r="B8" s="4" t="s">
        <v>1028</v>
      </c>
      <c r="C8" s="4" t="s">
        <v>1029</v>
      </c>
      <c r="G8" s="10" t="s">
        <v>25</v>
      </c>
      <c r="H8" s="10"/>
      <c r="I8" s="10">
        <v>1</v>
      </c>
      <c r="J8" s="10">
        <v>2</v>
      </c>
      <c r="K8" s="10" t="s">
        <v>2177</v>
      </c>
      <c r="L8" s="10" t="s">
        <v>2200</v>
      </c>
      <c r="M8" s="10"/>
      <c r="N8" s="11"/>
      <c r="O8" s="10"/>
      <c r="P8" s="10">
        <v>613</v>
      </c>
      <c r="Q8" s="10">
        <v>301.40623463467404</v>
      </c>
      <c r="R8" s="10"/>
      <c r="S8" s="10"/>
      <c r="T8" s="10" t="s">
        <v>2387</v>
      </c>
      <c r="U8" s="10" t="s">
        <v>2387</v>
      </c>
      <c r="V8" s="10"/>
      <c r="W8" s="10"/>
      <c r="X8" s="10"/>
      <c r="Y8" s="10"/>
      <c r="Z8" s="10"/>
      <c r="AA8" s="10"/>
      <c r="AB8" s="10"/>
      <c r="AC8" s="10"/>
      <c r="AD8" s="10"/>
      <c r="AE8" s="10"/>
      <c r="AF8" t="s">
        <v>20</v>
      </c>
      <c r="AG8" t="s">
        <v>20</v>
      </c>
      <c r="AI8">
        <v>0</v>
      </c>
    </row>
    <row r="9" spans="1:35" ht="43.5">
      <c r="A9" t="s">
        <v>285</v>
      </c>
      <c r="B9" s="4" t="s">
        <v>1127</v>
      </c>
      <c r="C9" s="4" t="s">
        <v>1128</v>
      </c>
      <c r="F9" t="s">
        <v>19</v>
      </c>
      <c r="G9" s="10" t="s">
        <v>25</v>
      </c>
      <c r="H9" s="10"/>
      <c r="I9" s="10">
        <v>1</v>
      </c>
      <c r="J9" s="10">
        <v>2</v>
      </c>
      <c r="K9" s="10" t="s">
        <v>2168</v>
      </c>
      <c r="L9" s="10" t="s">
        <v>2200</v>
      </c>
      <c r="M9" s="10"/>
      <c r="N9" s="11"/>
      <c r="O9" s="10" t="s">
        <v>2154</v>
      </c>
      <c r="P9" s="10">
        <v>129</v>
      </c>
      <c r="Q9" s="10">
        <v>63.428065689841674</v>
      </c>
      <c r="R9" s="10"/>
      <c r="S9" s="10"/>
      <c r="T9" s="10" t="s">
        <v>2387</v>
      </c>
      <c r="U9" s="10" t="s">
        <v>2387</v>
      </c>
      <c r="V9" s="10"/>
      <c r="W9" s="10"/>
      <c r="X9" s="10"/>
      <c r="Y9" s="10"/>
      <c r="Z9" s="10"/>
      <c r="AA9" s="10"/>
      <c r="AB9" s="10"/>
      <c r="AC9" s="10"/>
      <c r="AD9" s="10"/>
      <c r="AE9" s="10"/>
      <c r="AF9" t="s">
        <v>19</v>
      </c>
      <c r="AG9" t="s">
        <v>20</v>
      </c>
      <c r="AI9">
        <v>1</v>
      </c>
    </row>
    <row r="10" spans="1:35" ht="29">
      <c r="A10" t="s">
        <v>350</v>
      </c>
      <c r="B10" s="4" t="s">
        <v>1208</v>
      </c>
      <c r="C10" s="4" t="s">
        <v>1207</v>
      </c>
      <c r="G10" s="10" t="s">
        <v>25</v>
      </c>
      <c r="H10" s="10"/>
      <c r="I10" s="10">
        <v>1</v>
      </c>
      <c r="J10" s="10">
        <v>3</v>
      </c>
      <c r="K10" s="10" t="s">
        <v>2158</v>
      </c>
      <c r="L10" s="10" t="s">
        <v>2159</v>
      </c>
      <c r="M10" s="10"/>
      <c r="N10" s="11"/>
      <c r="O10" s="10"/>
      <c r="P10" s="10">
        <v>2475</v>
      </c>
      <c r="Q10" s="10">
        <v>1216.9338184678927</v>
      </c>
      <c r="R10" s="10"/>
      <c r="S10" s="10"/>
      <c r="T10" s="10" t="s">
        <v>2387</v>
      </c>
      <c r="U10" s="10" t="s">
        <v>2387</v>
      </c>
      <c r="V10" s="10"/>
      <c r="W10" s="10"/>
      <c r="X10" s="10"/>
      <c r="Y10" s="10"/>
      <c r="Z10" s="10"/>
      <c r="AA10" s="10"/>
      <c r="AB10" s="10"/>
      <c r="AC10" s="10"/>
      <c r="AD10" s="10"/>
      <c r="AE10" s="10"/>
      <c r="AF10" t="s">
        <v>19</v>
      </c>
      <c r="AG10" t="s">
        <v>20</v>
      </c>
      <c r="AI10">
        <v>1</v>
      </c>
    </row>
    <row r="11" spans="1:35" ht="29">
      <c r="A11" t="s">
        <v>356</v>
      </c>
      <c r="B11" s="4" t="s">
        <v>1213</v>
      </c>
      <c r="C11" s="4" t="s">
        <v>1214</v>
      </c>
      <c r="G11" s="10" t="s">
        <v>25</v>
      </c>
      <c r="H11" s="10"/>
      <c r="I11" s="10">
        <v>1</v>
      </c>
      <c r="J11" s="10">
        <v>1</v>
      </c>
      <c r="K11" s="10" t="s">
        <v>2158</v>
      </c>
      <c r="L11" s="10" t="s">
        <v>2200</v>
      </c>
      <c r="M11" s="10"/>
      <c r="N11" s="11"/>
      <c r="O11" s="10"/>
      <c r="P11" s="10">
        <v>2475</v>
      </c>
      <c r="Q11" s="10">
        <v>1216.9338184678927</v>
      </c>
      <c r="R11" s="10"/>
      <c r="S11" s="10"/>
      <c r="T11" s="10" t="s">
        <v>2387</v>
      </c>
      <c r="U11" s="10" t="s">
        <v>2387</v>
      </c>
      <c r="V11" s="10"/>
      <c r="W11" s="10"/>
      <c r="X11" s="10"/>
      <c r="Y11" s="10"/>
      <c r="Z11" s="10"/>
      <c r="AA11" s="10"/>
      <c r="AB11" s="10"/>
      <c r="AC11" s="10"/>
      <c r="AD11" s="10"/>
      <c r="AE11" s="10"/>
      <c r="AF11" t="s">
        <v>19</v>
      </c>
      <c r="AG11" t="s">
        <v>20</v>
      </c>
      <c r="AI11">
        <v>1</v>
      </c>
    </row>
    <row r="12" spans="1:35" ht="43.5">
      <c r="A12" t="s">
        <v>364</v>
      </c>
      <c r="B12" s="4" t="s">
        <v>1233</v>
      </c>
      <c r="C12" s="4" t="s">
        <v>1234</v>
      </c>
      <c r="F12" t="s">
        <v>19</v>
      </c>
      <c r="G12" s="10" t="s">
        <v>24</v>
      </c>
      <c r="H12" s="10"/>
      <c r="I12" s="10">
        <v>1</v>
      </c>
      <c r="J12" s="10">
        <v>5</v>
      </c>
      <c r="K12" s="10" t="s">
        <v>2175</v>
      </c>
      <c r="L12" s="10" t="s">
        <v>2159</v>
      </c>
      <c r="M12" s="10"/>
      <c r="N12" s="11"/>
      <c r="O12" s="10"/>
      <c r="P12" s="10">
        <v>830</v>
      </c>
      <c r="Q12" s="10">
        <v>408.10305831448517</v>
      </c>
      <c r="R12" s="10"/>
      <c r="S12" s="10"/>
      <c r="T12" s="10" t="s">
        <v>2387</v>
      </c>
      <c r="U12" s="10" t="s">
        <v>2387</v>
      </c>
      <c r="V12" s="10"/>
      <c r="W12" s="10"/>
      <c r="X12" s="10"/>
      <c r="Y12" s="10"/>
      <c r="Z12" s="10"/>
      <c r="AA12" s="10"/>
      <c r="AB12" s="10"/>
      <c r="AC12" s="10"/>
      <c r="AD12" s="10"/>
      <c r="AE12" s="10"/>
      <c r="AF12" t="s">
        <v>20</v>
      </c>
      <c r="AG12" t="s">
        <v>20</v>
      </c>
      <c r="AI12">
        <v>0</v>
      </c>
    </row>
    <row r="13" spans="1:35" ht="29">
      <c r="A13" t="s">
        <v>378</v>
      </c>
      <c r="B13" s="4" t="s">
        <v>1250</v>
      </c>
      <c r="C13" s="4" t="s">
        <v>1251</v>
      </c>
      <c r="G13" s="10" t="s">
        <v>24</v>
      </c>
      <c r="H13" s="10"/>
      <c r="I13" s="10">
        <v>1</v>
      </c>
      <c r="J13" s="10">
        <v>2</v>
      </c>
      <c r="K13" s="10" t="s">
        <v>2177</v>
      </c>
      <c r="L13" s="10" t="s">
        <v>2200</v>
      </c>
      <c r="M13" s="10"/>
      <c r="N13" s="11"/>
      <c r="O13" s="10"/>
      <c r="P13" s="10">
        <v>613</v>
      </c>
      <c r="Q13" s="10">
        <v>301.40623463467404</v>
      </c>
      <c r="R13" s="10"/>
      <c r="S13" s="10"/>
      <c r="T13" s="10" t="s">
        <v>2387</v>
      </c>
      <c r="U13" s="10" t="s">
        <v>2387</v>
      </c>
      <c r="V13" s="10"/>
      <c r="W13" s="10"/>
      <c r="X13" s="10"/>
      <c r="Y13" s="10"/>
      <c r="Z13" s="10"/>
      <c r="AA13" s="10"/>
      <c r="AB13" s="10"/>
      <c r="AC13" s="10"/>
      <c r="AD13" s="10"/>
      <c r="AE13" s="10"/>
      <c r="AF13" t="s">
        <v>19</v>
      </c>
      <c r="AG13" t="s">
        <v>20</v>
      </c>
      <c r="AI13">
        <v>1</v>
      </c>
    </row>
    <row r="14" spans="1:35" ht="58">
      <c r="A14" t="s">
        <v>402</v>
      </c>
      <c r="B14" s="4" t="s">
        <v>2272</v>
      </c>
      <c r="C14" s="4" t="s">
        <v>2273</v>
      </c>
      <c r="G14" s="10" t="s">
        <v>24</v>
      </c>
      <c r="H14" s="10"/>
      <c r="I14" s="10">
        <v>1</v>
      </c>
      <c r="J14" s="10">
        <v>3</v>
      </c>
      <c r="K14" s="10" t="s">
        <v>2168</v>
      </c>
      <c r="L14" s="10" t="s">
        <v>2159</v>
      </c>
      <c r="M14" s="10"/>
      <c r="N14" s="11"/>
      <c r="O14" s="10"/>
      <c r="P14" s="10">
        <v>1701</v>
      </c>
      <c r="Q14" s="10">
        <v>836.36542432884255</v>
      </c>
      <c r="R14" s="10"/>
      <c r="S14" s="10"/>
      <c r="T14" s="10" t="s">
        <v>2387</v>
      </c>
      <c r="U14" s="10" t="s">
        <v>2387</v>
      </c>
      <c r="V14" s="10"/>
      <c r="W14" s="10"/>
      <c r="X14" s="10"/>
      <c r="Y14" s="10"/>
      <c r="Z14" s="10"/>
      <c r="AA14" s="10"/>
      <c r="AB14" s="10"/>
      <c r="AC14" s="10"/>
      <c r="AD14" s="10"/>
      <c r="AE14" s="10"/>
      <c r="AF14" t="s">
        <v>19</v>
      </c>
      <c r="AG14" t="s">
        <v>20</v>
      </c>
      <c r="AI14">
        <v>1</v>
      </c>
    </row>
    <row r="15" spans="1:35" ht="43.5">
      <c r="A15" t="s">
        <v>413</v>
      </c>
      <c r="B15" s="4" t="s">
        <v>1309</v>
      </c>
      <c r="C15" s="4" t="s">
        <v>1312</v>
      </c>
      <c r="G15" s="10" t="s">
        <v>24</v>
      </c>
      <c r="H15" s="10"/>
      <c r="I15" s="10">
        <v>1</v>
      </c>
      <c r="J15" s="10">
        <v>3</v>
      </c>
      <c r="K15" s="10" t="s">
        <v>2168</v>
      </c>
      <c r="L15" s="10" t="s">
        <v>2159</v>
      </c>
      <c r="M15" s="10"/>
      <c r="N15" s="11"/>
      <c r="O15" s="10"/>
      <c r="P15" s="10">
        <v>1701</v>
      </c>
      <c r="Q15" s="10">
        <v>836.36542432884255</v>
      </c>
      <c r="R15" s="10"/>
      <c r="S15" s="10"/>
      <c r="T15" s="10" t="s">
        <v>2387</v>
      </c>
      <c r="U15" s="10" t="s">
        <v>2387</v>
      </c>
      <c r="V15" s="10"/>
      <c r="W15" s="10"/>
      <c r="X15" s="10"/>
      <c r="Y15" s="10"/>
      <c r="Z15" s="10"/>
      <c r="AA15" s="10"/>
      <c r="AB15" s="10"/>
      <c r="AC15" s="10"/>
      <c r="AD15" s="10"/>
      <c r="AE15" s="10"/>
      <c r="AF15" t="s">
        <v>19</v>
      </c>
      <c r="AG15" t="s">
        <v>20</v>
      </c>
      <c r="AI15">
        <v>1</v>
      </c>
    </row>
    <row r="16" spans="1:35" ht="130.5">
      <c r="A16" t="s">
        <v>422</v>
      </c>
      <c r="B16" s="4" t="s">
        <v>1330</v>
      </c>
      <c r="C16" s="4" t="s">
        <v>1333</v>
      </c>
      <c r="F16" t="s">
        <v>19</v>
      </c>
      <c r="G16" s="10" t="s">
        <v>24</v>
      </c>
      <c r="H16" s="10"/>
      <c r="I16" s="10">
        <v>1</v>
      </c>
      <c r="J16" s="10">
        <v>1</v>
      </c>
      <c r="K16" s="10" t="s">
        <v>2168</v>
      </c>
      <c r="L16" s="10" t="s">
        <v>2200</v>
      </c>
      <c r="M16" s="10"/>
      <c r="N16" s="11"/>
      <c r="O16" s="10"/>
      <c r="P16" s="10">
        <v>171</v>
      </c>
      <c r="Q16" s="10">
        <v>84.079063821418046</v>
      </c>
      <c r="R16" s="10"/>
      <c r="S16" s="10"/>
      <c r="T16" s="10" t="s">
        <v>2387</v>
      </c>
      <c r="U16" s="10" t="s">
        <v>2387</v>
      </c>
      <c r="V16" s="10"/>
      <c r="W16" s="10"/>
      <c r="X16" s="10"/>
      <c r="Y16" s="10"/>
      <c r="Z16" s="10"/>
      <c r="AA16" s="10"/>
      <c r="AB16" s="10"/>
      <c r="AC16" s="10"/>
      <c r="AD16" s="10"/>
      <c r="AE16" s="10"/>
      <c r="AF16" t="s">
        <v>20</v>
      </c>
      <c r="AG16" t="s">
        <v>20</v>
      </c>
      <c r="AI16">
        <v>0</v>
      </c>
    </row>
    <row r="17" spans="1:35" ht="72.5">
      <c r="A17" t="s">
        <v>442</v>
      </c>
      <c r="B17" s="4" t="s">
        <v>1347</v>
      </c>
      <c r="C17" s="4" t="s">
        <v>1348</v>
      </c>
      <c r="G17" s="10" t="s">
        <v>24</v>
      </c>
      <c r="H17" s="10"/>
      <c r="I17" s="10">
        <v>1</v>
      </c>
      <c r="J17" s="10">
        <v>3</v>
      </c>
      <c r="K17" s="10" t="s">
        <v>2158</v>
      </c>
      <c r="L17" s="10" t="s">
        <v>2153</v>
      </c>
      <c r="M17" s="10" t="s">
        <v>2229</v>
      </c>
      <c r="N17" s="11" t="s">
        <v>2230</v>
      </c>
      <c r="O17" s="10"/>
      <c r="P17" s="10">
        <v>2475</v>
      </c>
      <c r="Q17" s="10">
        <v>1216.9338184678927</v>
      </c>
      <c r="R17" s="10"/>
      <c r="S17" s="10"/>
      <c r="T17" s="10" t="s">
        <v>2387</v>
      </c>
      <c r="U17" s="10" t="s">
        <v>2387</v>
      </c>
      <c r="V17" s="10"/>
      <c r="W17" s="10"/>
      <c r="X17" s="10"/>
      <c r="Y17" s="10"/>
      <c r="Z17" s="10"/>
      <c r="AA17" s="10"/>
      <c r="AB17" s="10"/>
      <c r="AC17" s="10"/>
      <c r="AD17" s="10"/>
      <c r="AE17" s="10"/>
      <c r="AF17" t="s">
        <v>20</v>
      </c>
      <c r="AG17" t="s">
        <v>20</v>
      </c>
      <c r="AI17">
        <v>0</v>
      </c>
    </row>
    <row r="18" spans="1:35" ht="43.5">
      <c r="A18" t="s">
        <v>446</v>
      </c>
      <c r="B18" s="4" t="s">
        <v>1365</v>
      </c>
      <c r="C18" s="4" t="s">
        <v>1364</v>
      </c>
      <c r="G18" s="10" t="s">
        <v>24</v>
      </c>
      <c r="H18" s="10"/>
      <c r="I18" s="10">
        <v>1</v>
      </c>
      <c r="J18" s="10">
        <v>3</v>
      </c>
      <c r="K18" s="10" t="s">
        <v>2158</v>
      </c>
      <c r="L18" s="10" t="s">
        <v>2159</v>
      </c>
      <c r="M18" s="10"/>
      <c r="N18" s="11"/>
      <c r="O18" s="10"/>
      <c r="P18" s="10">
        <v>2475</v>
      </c>
      <c r="Q18" s="10">
        <v>1216.9338184678927</v>
      </c>
      <c r="R18" s="10"/>
      <c r="S18" s="10"/>
      <c r="T18" s="10" t="s">
        <v>2387</v>
      </c>
      <c r="U18" s="10" t="s">
        <v>2387</v>
      </c>
      <c r="V18" s="10"/>
      <c r="W18" s="10"/>
      <c r="X18" s="10"/>
      <c r="Y18" s="10"/>
      <c r="Z18" s="10"/>
      <c r="AA18" s="10"/>
      <c r="AB18" s="10"/>
      <c r="AC18" s="10"/>
      <c r="AD18" s="10"/>
      <c r="AE18" s="10"/>
      <c r="AF18" t="s">
        <v>20</v>
      </c>
      <c r="AG18" t="s">
        <v>20</v>
      </c>
      <c r="AI18">
        <v>0</v>
      </c>
    </row>
    <row r="19" spans="1:35" ht="43.5">
      <c r="A19" t="s">
        <v>459</v>
      </c>
      <c r="B19" s="4" t="s">
        <v>1386</v>
      </c>
      <c r="C19" s="4" t="s">
        <v>1387</v>
      </c>
      <c r="G19" s="10" t="s">
        <v>24</v>
      </c>
      <c r="H19" s="10"/>
      <c r="I19" s="10">
        <v>1</v>
      </c>
      <c r="J19" s="10">
        <v>2</v>
      </c>
      <c r="K19" s="10" t="s">
        <v>2168</v>
      </c>
      <c r="L19" s="10" t="s">
        <v>2200</v>
      </c>
      <c r="M19" s="10"/>
      <c r="N19" s="11"/>
      <c r="O19" s="10"/>
      <c r="P19" s="10">
        <v>129</v>
      </c>
      <c r="Q19" s="10">
        <v>63.428065689841674</v>
      </c>
      <c r="R19" s="10"/>
      <c r="S19" s="10"/>
      <c r="T19" s="10" t="s">
        <v>2387</v>
      </c>
      <c r="U19" s="10" t="s">
        <v>2387</v>
      </c>
      <c r="V19" s="10"/>
      <c r="W19" s="10"/>
      <c r="X19" s="10"/>
      <c r="Y19" s="10"/>
      <c r="Z19" s="10"/>
      <c r="AA19" s="10"/>
      <c r="AB19" s="10"/>
      <c r="AC19" s="10"/>
      <c r="AD19" s="10"/>
      <c r="AE19" s="10"/>
      <c r="AF19" t="s">
        <v>20</v>
      </c>
      <c r="AG19" t="s">
        <v>20</v>
      </c>
      <c r="AI19">
        <v>0</v>
      </c>
    </row>
    <row r="20" spans="1:35" ht="72.5">
      <c r="A20" t="s">
        <v>485</v>
      </c>
      <c r="B20" s="4" t="s">
        <v>1430</v>
      </c>
      <c r="C20" s="4" t="s">
        <v>1433</v>
      </c>
      <c r="G20" s="10" t="s">
        <v>24</v>
      </c>
      <c r="H20" s="10"/>
      <c r="I20" s="10">
        <v>1</v>
      </c>
      <c r="J20" s="10">
        <v>1</v>
      </c>
      <c r="K20" s="10" t="s">
        <v>2158</v>
      </c>
      <c r="L20" s="10" t="s">
        <v>2200</v>
      </c>
      <c r="M20" s="10"/>
      <c r="N20" s="11"/>
      <c r="O20" s="10" t="s">
        <v>2154</v>
      </c>
      <c r="P20" s="10">
        <v>2475</v>
      </c>
      <c r="Q20" s="10">
        <v>1216.9338184678927</v>
      </c>
      <c r="R20" s="10"/>
      <c r="S20" s="10"/>
      <c r="T20" s="10" t="s">
        <v>2387</v>
      </c>
      <c r="U20" s="10" t="s">
        <v>2387</v>
      </c>
      <c r="V20" s="10"/>
      <c r="W20" s="10"/>
      <c r="X20" s="10"/>
      <c r="Y20" s="10"/>
      <c r="Z20" s="10"/>
      <c r="AA20" s="10"/>
      <c r="AB20" s="10"/>
      <c r="AC20" s="10"/>
      <c r="AD20" s="10"/>
      <c r="AE20" s="10"/>
      <c r="AF20" t="s">
        <v>19</v>
      </c>
      <c r="AG20" t="s">
        <v>20</v>
      </c>
      <c r="AI20">
        <v>1</v>
      </c>
    </row>
    <row r="21" spans="1:35" ht="72.5">
      <c r="A21" t="s">
        <v>498</v>
      </c>
      <c r="B21" s="4" t="s">
        <v>1482</v>
      </c>
      <c r="C21" s="4" t="s">
        <v>1484</v>
      </c>
      <c r="G21" s="10" t="s">
        <v>24</v>
      </c>
      <c r="H21" s="10"/>
      <c r="I21" s="10">
        <v>1</v>
      </c>
      <c r="J21" s="10">
        <v>3</v>
      </c>
      <c r="K21" s="10" t="s">
        <v>2158</v>
      </c>
      <c r="L21" s="10" t="s">
        <v>2159</v>
      </c>
      <c r="M21" s="10"/>
      <c r="N21" s="11"/>
      <c r="O21" s="10"/>
      <c r="P21" s="10">
        <v>2475</v>
      </c>
      <c r="Q21" s="10">
        <v>1216.9338184678927</v>
      </c>
      <c r="R21" s="10"/>
      <c r="S21" s="10"/>
      <c r="T21" s="10" t="s">
        <v>2387</v>
      </c>
      <c r="U21" s="10" t="s">
        <v>2387</v>
      </c>
      <c r="V21" s="10"/>
      <c r="W21" s="10"/>
      <c r="X21" s="10"/>
      <c r="Y21" s="10"/>
      <c r="Z21" s="10"/>
      <c r="AA21" s="10"/>
      <c r="AB21" s="10"/>
      <c r="AC21" s="10"/>
      <c r="AD21" s="10"/>
      <c r="AE21" s="10"/>
      <c r="AF21" t="s">
        <v>19</v>
      </c>
      <c r="AG21" t="s">
        <v>20</v>
      </c>
      <c r="AI21">
        <v>1</v>
      </c>
    </row>
    <row r="22" spans="1:35" ht="29">
      <c r="A22" t="s">
        <v>523</v>
      </c>
      <c r="B22" s="4" t="s">
        <v>1525</v>
      </c>
      <c r="C22" s="4" t="s">
        <v>1526</v>
      </c>
      <c r="G22" s="10" t="s">
        <v>25</v>
      </c>
      <c r="H22" s="10"/>
      <c r="I22" s="10">
        <v>1</v>
      </c>
      <c r="J22" s="10">
        <v>2</v>
      </c>
      <c r="K22" s="10" t="s">
        <v>2158</v>
      </c>
      <c r="L22" s="10" t="s">
        <v>2200</v>
      </c>
      <c r="M22" s="10"/>
      <c r="N22" s="11"/>
      <c r="O22" s="10"/>
      <c r="P22" s="10">
        <v>2475</v>
      </c>
      <c r="Q22" s="10">
        <v>1216.9338184678927</v>
      </c>
      <c r="R22" s="10"/>
      <c r="S22" s="10"/>
      <c r="T22" s="10" t="s">
        <v>2387</v>
      </c>
      <c r="U22" s="10" t="s">
        <v>2387</v>
      </c>
      <c r="V22" s="10"/>
      <c r="W22" s="10"/>
      <c r="X22" s="10"/>
      <c r="Y22" s="10"/>
      <c r="Z22" s="10"/>
      <c r="AA22" s="10"/>
      <c r="AB22" s="10"/>
      <c r="AC22" s="10"/>
      <c r="AD22" s="10"/>
      <c r="AE22" s="10"/>
      <c r="AF22" t="s">
        <v>19</v>
      </c>
      <c r="AG22" t="s">
        <v>20</v>
      </c>
      <c r="AI22">
        <v>1</v>
      </c>
    </row>
    <row r="23" spans="1:35" ht="72.5">
      <c r="A23" t="s">
        <v>538</v>
      </c>
      <c r="B23" s="4" t="s">
        <v>1574</v>
      </c>
      <c r="C23" s="4" t="s">
        <v>1572</v>
      </c>
      <c r="G23" s="10" t="s">
        <v>25</v>
      </c>
      <c r="H23" s="10"/>
      <c r="I23" s="10">
        <v>1</v>
      </c>
      <c r="J23" s="10">
        <v>3</v>
      </c>
      <c r="K23" s="10" t="s">
        <v>2158</v>
      </c>
      <c r="L23" s="10" t="s">
        <v>2159</v>
      </c>
      <c r="M23" s="10"/>
      <c r="N23" s="11"/>
      <c r="O23" s="10"/>
      <c r="P23" s="10">
        <v>2475</v>
      </c>
      <c r="Q23" s="10">
        <v>1216.9338184678927</v>
      </c>
      <c r="R23" s="10"/>
      <c r="S23" s="10"/>
      <c r="T23" s="10" t="s">
        <v>2387</v>
      </c>
      <c r="U23" s="10" t="s">
        <v>2387</v>
      </c>
      <c r="V23" s="10"/>
      <c r="W23" s="10"/>
      <c r="X23" s="10"/>
      <c r="Y23" s="10"/>
      <c r="Z23" s="10"/>
      <c r="AA23" s="10"/>
      <c r="AB23" s="10"/>
      <c r="AC23" s="10"/>
      <c r="AD23" s="10"/>
      <c r="AE23" s="10"/>
      <c r="AF23" t="s">
        <v>19</v>
      </c>
      <c r="AG23" t="s">
        <v>20</v>
      </c>
      <c r="AI23">
        <v>1</v>
      </c>
    </row>
    <row r="24" spans="1:35" ht="43.5">
      <c r="A24" t="s">
        <v>571</v>
      </c>
      <c r="B24" s="4" t="s">
        <v>1617</v>
      </c>
      <c r="C24" s="4" t="s">
        <v>1616</v>
      </c>
      <c r="G24" s="10" t="s">
        <v>25</v>
      </c>
      <c r="H24" s="10"/>
      <c r="I24" s="10">
        <v>1</v>
      </c>
      <c r="J24" s="10">
        <v>4</v>
      </c>
      <c r="K24" s="10" t="s">
        <v>2158</v>
      </c>
      <c r="L24" s="10" t="s">
        <v>2153</v>
      </c>
      <c r="M24" s="10" t="s">
        <v>2231</v>
      </c>
      <c r="N24" s="11" t="s">
        <v>2230</v>
      </c>
      <c r="O24" s="10"/>
      <c r="P24" s="10">
        <v>2475</v>
      </c>
      <c r="Q24" s="10">
        <v>1216.9338184678927</v>
      </c>
      <c r="R24" s="10"/>
      <c r="S24" s="10"/>
      <c r="T24" s="10" t="s">
        <v>2387</v>
      </c>
      <c r="U24" s="10" t="s">
        <v>2387</v>
      </c>
      <c r="V24" s="10"/>
      <c r="W24" s="10"/>
      <c r="X24" s="10"/>
      <c r="Y24" s="10"/>
      <c r="Z24" s="10"/>
      <c r="AA24" s="10"/>
      <c r="AB24" s="10"/>
      <c r="AC24" s="10"/>
      <c r="AD24" s="10"/>
      <c r="AE24" s="10"/>
      <c r="AF24" t="s">
        <v>20</v>
      </c>
      <c r="AG24" t="s">
        <v>20</v>
      </c>
      <c r="AI24">
        <v>0</v>
      </c>
    </row>
    <row r="25" spans="1:35" ht="72.5">
      <c r="A25" t="s">
        <v>578</v>
      </c>
      <c r="B25" s="4" t="s">
        <v>1635</v>
      </c>
      <c r="C25" s="4" t="s">
        <v>1634</v>
      </c>
      <c r="G25" s="10" t="s">
        <v>24</v>
      </c>
      <c r="H25" s="10"/>
      <c r="I25" s="10">
        <v>1</v>
      </c>
      <c r="J25" s="10">
        <v>3</v>
      </c>
      <c r="K25" s="10" t="s">
        <v>2175</v>
      </c>
      <c r="L25" s="10" t="s">
        <v>2159</v>
      </c>
      <c r="M25" s="10"/>
      <c r="N25" s="11"/>
      <c r="O25" s="10"/>
      <c r="P25" s="10">
        <v>743</v>
      </c>
      <c r="Q25" s="10">
        <v>365.32599075621988</v>
      </c>
      <c r="R25" s="10"/>
      <c r="S25" s="10"/>
      <c r="T25" s="10" t="s">
        <v>2387</v>
      </c>
      <c r="U25" s="10" t="s">
        <v>2387</v>
      </c>
      <c r="V25" s="10"/>
      <c r="W25" s="10"/>
      <c r="X25" s="10"/>
      <c r="Y25" s="10"/>
      <c r="Z25" s="10"/>
      <c r="AA25" s="10"/>
      <c r="AB25" s="10"/>
      <c r="AC25" s="10"/>
      <c r="AD25" s="10"/>
      <c r="AE25" s="10"/>
      <c r="AF25" t="s">
        <v>19</v>
      </c>
      <c r="AG25" t="s">
        <v>20</v>
      </c>
      <c r="AI25">
        <v>1</v>
      </c>
    </row>
    <row r="26" spans="1:35" ht="72.5">
      <c r="A26" t="s">
        <v>579</v>
      </c>
      <c r="B26" s="4" t="s">
        <v>1639</v>
      </c>
      <c r="C26" s="4" t="s">
        <v>1638</v>
      </c>
      <c r="G26" s="10" t="s">
        <v>25</v>
      </c>
      <c r="H26" s="10"/>
      <c r="I26" s="10">
        <v>1</v>
      </c>
      <c r="J26" s="10">
        <v>1</v>
      </c>
      <c r="K26" s="10" t="s">
        <v>2158</v>
      </c>
      <c r="L26" s="10" t="s">
        <v>2200</v>
      </c>
      <c r="M26" s="10"/>
      <c r="N26" s="11"/>
      <c r="O26" s="10"/>
      <c r="P26" s="10">
        <v>2475</v>
      </c>
      <c r="Q26" s="10">
        <v>1216.9338184678927</v>
      </c>
      <c r="R26" s="10"/>
      <c r="S26" s="10"/>
      <c r="T26" s="10" t="s">
        <v>2387</v>
      </c>
      <c r="U26" s="10" t="s">
        <v>2387</v>
      </c>
      <c r="V26" s="10"/>
      <c r="W26" s="10"/>
      <c r="X26" s="10"/>
      <c r="Y26" s="10"/>
      <c r="Z26" s="10"/>
      <c r="AA26" s="10"/>
      <c r="AB26" s="10"/>
      <c r="AC26" s="10"/>
      <c r="AD26" s="10"/>
      <c r="AE26" s="10"/>
      <c r="AF26" t="s">
        <v>19</v>
      </c>
      <c r="AG26" t="s">
        <v>20</v>
      </c>
      <c r="AI26">
        <v>1</v>
      </c>
    </row>
    <row r="27" spans="1:35" ht="58">
      <c r="A27" t="s">
        <v>602</v>
      </c>
      <c r="B27" s="4" t="s">
        <v>1690</v>
      </c>
      <c r="C27" s="4" t="s">
        <v>1691</v>
      </c>
      <c r="G27" s="10" t="s">
        <v>25</v>
      </c>
      <c r="H27" s="10"/>
      <c r="I27" s="10">
        <v>1</v>
      </c>
      <c r="J27" s="10">
        <v>3</v>
      </c>
      <c r="K27" s="10" t="s">
        <v>2158</v>
      </c>
      <c r="L27" s="10" t="s">
        <v>2159</v>
      </c>
      <c r="M27" s="10"/>
      <c r="N27" s="11"/>
      <c r="O27" s="10"/>
      <c r="P27" s="10">
        <v>2475</v>
      </c>
      <c r="Q27" s="10">
        <v>1216.9338184678927</v>
      </c>
      <c r="R27" s="10"/>
      <c r="S27" s="10"/>
      <c r="T27" s="10" t="s">
        <v>2387</v>
      </c>
      <c r="U27" s="10" t="s">
        <v>2387</v>
      </c>
      <c r="V27" s="10"/>
      <c r="W27" s="10"/>
      <c r="X27" s="10"/>
      <c r="Y27" s="10"/>
      <c r="Z27" s="10"/>
      <c r="AA27" s="10"/>
      <c r="AB27" s="10"/>
      <c r="AC27" s="10"/>
      <c r="AD27" s="10"/>
      <c r="AE27" s="10"/>
      <c r="AF27" t="s">
        <v>19</v>
      </c>
      <c r="AG27" t="s">
        <v>20</v>
      </c>
      <c r="AI27">
        <v>1</v>
      </c>
    </row>
    <row r="28" spans="1:35" ht="43.5">
      <c r="A28" t="s">
        <v>603</v>
      </c>
      <c r="B28" s="4" t="s">
        <v>1697</v>
      </c>
      <c r="C28" s="4" t="s">
        <v>1698</v>
      </c>
      <c r="G28" s="10" t="s">
        <v>25</v>
      </c>
      <c r="H28" s="10"/>
      <c r="I28" s="10">
        <v>1</v>
      </c>
      <c r="J28" s="10">
        <v>2</v>
      </c>
      <c r="K28" s="10" t="s">
        <v>2158</v>
      </c>
      <c r="L28" s="10" t="s">
        <v>2200</v>
      </c>
      <c r="M28" s="10"/>
      <c r="N28" s="11"/>
      <c r="O28" s="10"/>
      <c r="P28" s="10">
        <v>2475</v>
      </c>
      <c r="Q28" s="10">
        <v>1216.9338184678927</v>
      </c>
      <c r="R28" s="10"/>
      <c r="S28" s="10"/>
      <c r="T28" s="10" t="s">
        <v>2387</v>
      </c>
      <c r="U28" s="10" t="s">
        <v>2387</v>
      </c>
      <c r="V28" s="10"/>
      <c r="W28" s="10"/>
      <c r="X28" s="10"/>
      <c r="Y28" s="10"/>
      <c r="Z28" s="10"/>
      <c r="AA28" s="10"/>
      <c r="AB28" s="10"/>
      <c r="AC28" s="10"/>
      <c r="AD28" s="10"/>
      <c r="AE28" s="10"/>
      <c r="AF28" t="s">
        <v>19</v>
      </c>
      <c r="AG28" t="s">
        <v>20</v>
      </c>
      <c r="AI28">
        <v>1</v>
      </c>
    </row>
    <row r="29" spans="1:35" ht="29">
      <c r="A29" t="s">
        <v>604</v>
      </c>
      <c r="B29" s="4" t="s">
        <v>1700</v>
      </c>
      <c r="C29" s="4" t="s">
        <v>1699</v>
      </c>
      <c r="G29" s="10" t="s">
        <v>24</v>
      </c>
      <c r="H29" s="10"/>
      <c r="I29" s="10">
        <v>1</v>
      </c>
      <c r="J29" s="10">
        <v>2</v>
      </c>
      <c r="K29" s="10" t="s">
        <v>2168</v>
      </c>
      <c r="L29" s="10" t="s">
        <v>2200</v>
      </c>
      <c r="M29" s="10"/>
      <c r="N29" s="11"/>
      <c r="O29" s="10"/>
      <c r="P29" s="10">
        <v>171</v>
      </c>
      <c r="Q29" s="10">
        <v>84.079063821418046</v>
      </c>
      <c r="R29" s="10"/>
      <c r="S29" s="10"/>
      <c r="T29" s="10" t="s">
        <v>2387</v>
      </c>
      <c r="U29" s="10" t="s">
        <v>2387</v>
      </c>
      <c r="V29" s="10"/>
      <c r="W29" s="10"/>
      <c r="X29" s="10"/>
      <c r="Y29" s="10"/>
      <c r="Z29" s="10"/>
      <c r="AA29" s="10"/>
      <c r="AB29" s="10"/>
      <c r="AC29" s="10"/>
      <c r="AD29" s="10"/>
      <c r="AE29" s="10"/>
      <c r="AF29" t="s">
        <v>19</v>
      </c>
      <c r="AG29" t="s">
        <v>20</v>
      </c>
      <c r="AI29">
        <v>1</v>
      </c>
    </row>
    <row r="30" spans="1:35" ht="29">
      <c r="A30" t="s">
        <v>609</v>
      </c>
      <c r="B30" s="4" t="s">
        <v>1717</v>
      </c>
      <c r="C30" s="4" t="s">
        <v>1718</v>
      </c>
      <c r="F30" t="s">
        <v>23</v>
      </c>
      <c r="G30" s="10" t="s">
        <v>25</v>
      </c>
      <c r="H30" s="10"/>
      <c r="I30" s="10">
        <v>1</v>
      </c>
      <c r="J30" s="10">
        <v>3</v>
      </c>
      <c r="K30" s="10" t="s">
        <v>2158</v>
      </c>
      <c r="L30" s="10" t="s">
        <v>2159</v>
      </c>
      <c r="M30" s="10"/>
      <c r="N30" s="11"/>
      <c r="O30" s="10"/>
      <c r="P30" s="10">
        <v>2475</v>
      </c>
      <c r="Q30" s="10">
        <v>1216.9338184678927</v>
      </c>
      <c r="R30" s="10"/>
      <c r="S30" s="10"/>
      <c r="T30" s="10" t="s">
        <v>2387</v>
      </c>
      <c r="U30" s="10" t="s">
        <v>2387</v>
      </c>
      <c r="V30" s="10"/>
      <c r="W30" s="10"/>
      <c r="X30" s="10"/>
      <c r="Y30" s="10"/>
      <c r="Z30" s="10"/>
      <c r="AA30" s="10"/>
      <c r="AB30" s="10"/>
      <c r="AC30" s="10"/>
      <c r="AD30" s="10"/>
      <c r="AE30" s="10"/>
      <c r="AF30" t="s">
        <v>20</v>
      </c>
      <c r="AG30" t="s">
        <v>20</v>
      </c>
      <c r="AI30">
        <v>0</v>
      </c>
    </row>
    <row r="31" spans="1:35" ht="29">
      <c r="A31" t="s">
        <v>614</v>
      </c>
      <c r="B31" s="4" t="s">
        <v>1727</v>
      </c>
      <c r="C31" s="4" t="s">
        <v>1728</v>
      </c>
      <c r="G31" s="10" t="s">
        <v>25</v>
      </c>
      <c r="H31" s="10"/>
      <c r="I31" s="10">
        <v>1</v>
      </c>
      <c r="J31" s="10">
        <v>3</v>
      </c>
      <c r="K31" s="10" t="s">
        <v>2158</v>
      </c>
      <c r="L31" s="10" t="s">
        <v>2159</v>
      </c>
      <c r="M31" s="10"/>
      <c r="N31" s="11"/>
      <c r="O31" s="10"/>
      <c r="P31" s="10">
        <v>2475</v>
      </c>
      <c r="Q31" s="10">
        <v>1216.9338184678927</v>
      </c>
      <c r="R31" s="10"/>
      <c r="S31" s="10"/>
      <c r="T31" s="10" t="s">
        <v>2387</v>
      </c>
      <c r="U31" s="10" t="s">
        <v>2387</v>
      </c>
      <c r="V31" s="10"/>
      <c r="W31" s="10"/>
      <c r="X31" s="10"/>
      <c r="Y31" s="10"/>
      <c r="Z31" s="10"/>
      <c r="AA31" s="10"/>
      <c r="AB31" s="10"/>
      <c r="AC31" s="10"/>
      <c r="AD31" s="10"/>
      <c r="AE31" s="10"/>
      <c r="AF31" t="s">
        <v>19</v>
      </c>
      <c r="AG31" t="s">
        <v>20</v>
      </c>
      <c r="AI31">
        <v>1</v>
      </c>
    </row>
    <row r="32" spans="1:35" ht="43.5">
      <c r="A32" t="s">
        <v>620</v>
      </c>
      <c r="B32" s="4" t="s">
        <v>1739</v>
      </c>
      <c r="C32" s="4" t="s">
        <v>1738</v>
      </c>
      <c r="G32" s="10" t="s">
        <v>25</v>
      </c>
      <c r="H32" s="10"/>
      <c r="I32" s="10">
        <v>1</v>
      </c>
      <c r="J32" s="10">
        <v>3</v>
      </c>
      <c r="K32" s="10" t="s">
        <v>2175</v>
      </c>
      <c r="L32" s="10" t="s">
        <v>2159</v>
      </c>
      <c r="M32" s="10"/>
      <c r="N32" s="11"/>
      <c r="O32" s="10"/>
      <c r="P32" s="10">
        <v>743</v>
      </c>
      <c r="Q32" s="10">
        <v>365.32599075621988</v>
      </c>
      <c r="R32" s="10"/>
      <c r="S32" s="10"/>
      <c r="T32" s="10" t="s">
        <v>2387</v>
      </c>
      <c r="U32" s="10" t="s">
        <v>2387</v>
      </c>
      <c r="V32" s="10"/>
      <c r="W32" s="10"/>
      <c r="X32" s="10"/>
      <c r="Y32" s="10"/>
      <c r="Z32" s="10"/>
      <c r="AA32" s="10"/>
      <c r="AB32" s="10"/>
      <c r="AC32" s="10"/>
      <c r="AD32" s="10"/>
      <c r="AE32" s="10"/>
      <c r="AF32" t="s">
        <v>19</v>
      </c>
      <c r="AG32" t="s">
        <v>20</v>
      </c>
      <c r="AI32">
        <v>1</v>
      </c>
    </row>
    <row r="33" spans="1:35" ht="29">
      <c r="A33" t="s">
        <v>675</v>
      </c>
      <c r="B33" s="4" t="s">
        <v>1837</v>
      </c>
      <c r="C33" s="4" t="s">
        <v>1836</v>
      </c>
      <c r="G33" s="10" t="s">
        <v>25</v>
      </c>
      <c r="H33" s="10"/>
      <c r="I33" s="10">
        <v>1</v>
      </c>
      <c r="J33" s="10">
        <v>3</v>
      </c>
      <c r="K33" s="10" t="s">
        <v>2158</v>
      </c>
      <c r="L33" s="10" t="s">
        <v>2159</v>
      </c>
      <c r="M33" s="10"/>
      <c r="N33" s="11"/>
      <c r="O33" s="10"/>
      <c r="P33" s="10">
        <v>2475</v>
      </c>
      <c r="Q33" s="10">
        <v>1216.9338184678927</v>
      </c>
      <c r="R33" s="10"/>
      <c r="S33" s="10"/>
      <c r="T33" s="10" t="s">
        <v>2387</v>
      </c>
      <c r="U33" s="10" t="s">
        <v>2387</v>
      </c>
      <c r="V33" s="10"/>
      <c r="W33" s="10"/>
      <c r="X33" s="10"/>
      <c r="Y33" s="10"/>
      <c r="Z33" s="10"/>
      <c r="AA33" s="10"/>
      <c r="AB33" s="10"/>
      <c r="AC33" s="10"/>
      <c r="AD33" s="10"/>
      <c r="AE33" s="10"/>
      <c r="AF33" t="s">
        <v>19</v>
      </c>
      <c r="AG33" t="s">
        <v>20</v>
      </c>
      <c r="AI33">
        <v>1</v>
      </c>
    </row>
    <row r="34" spans="1:35" ht="43.5">
      <c r="A34" t="s">
        <v>676</v>
      </c>
      <c r="B34" s="4" t="s">
        <v>1838</v>
      </c>
      <c r="C34" s="4" t="s">
        <v>1839</v>
      </c>
      <c r="F34" t="s">
        <v>19</v>
      </c>
      <c r="G34" s="10" t="s">
        <v>25</v>
      </c>
      <c r="H34" s="10"/>
      <c r="I34" s="10">
        <v>1</v>
      </c>
      <c r="J34" s="10">
        <v>4</v>
      </c>
      <c r="K34" s="10" t="s">
        <v>2177</v>
      </c>
      <c r="L34" s="10" t="s">
        <v>2159</v>
      </c>
      <c r="M34" s="10"/>
      <c r="N34" s="11"/>
      <c r="O34" s="10"/>
      <c r="P34" s="10">
        <v>99</v>
      </c>
      <c r="Q34" s="10">
        <v>48.677352738715705</v>
      </c>
      <c r="R34" s="10"/>
      <c r="S34" s="10"/>
      <c r="T34" s="10" t="s">
        <v>2387</v>
      </c>
      <c r="U34" s="10" t="s">
        <v>2387</v>
      </c>
      <c r="V34" s="10"/>
      <c r="W34" s="10"/>
      <c r="X34" s="10"/>
      <c r="Y34" s="10"/>
      <c r="Z34" s="10"/>
      <c r="AA34" s="10"/>
      <c r="AB34" s="10"/>
      <c r="AC34" s="10"/>
      <c r="AD34" s="10"/>
      <c r="AE34" s="10"/>
      <c r="AF34" t="s">
        <v>20</v>
      </c>
      <c r="AG34" t="s">
        <v>20</v>
      </c>
      <c r="AI34">
        <v>0</v>
      </c>
    </row>
    <row r="35" spans="1:35" ht="116">
      <c r="A35" t="s">
        <v>699</v>
      </c>
      <c r="B35" s="4" t="s">
        <v>1911</v>
      </c>
      <c r="C35" s="4" t="s">
        <v>1910</v>
      </c>
      <c r="G35" s="10" t="s">
        <v>25</v>
      </c>
      <c r="H35" s="10"/>
      <c r="I35" s="10">
        <v>1</v>
      </c>
      <c r="J35" s="10">
        <v>3</v>
      </c>
      <c r="K35" s="10" t="s">
        <v>2158</v>
      </c>
      <c r="L35" s="10" t="s">
        <v>2159</v>
      </c>
      <c r="M35" s="10"/>
      <c r="N35" s="11"/>
      <c r="O35" s="10"/>
      <c r="P35" s="10">
        <v>2475</v>
      </c>
      <c r="Q35" s="10">
        <v>1216.9338184678927</v>
      </c>
      <c r="R35" s="10"/>
      <c r="S35" s="10"/>
      <c r="T35" s="10" t="s">
        <v>2387</v>
      </c>
      <c r="U35" s="10" t="s">
        <v>2387</v>
      </c>
      <c r="V35" s="10"/>
      <c r="W35" s="10"/>
      <c r="X35" s="10"/>
      <c r="Y35" s="10"/>
      <c r="Z35" s="10"/>
      <c r="AA35" s="10"/>
      <c r="AB35" s="10"/>
      <c r="AC35" s="10"/>
      <c r="AD35" s="10"/>
      <c r="AE35" s="10"/>
      <c r="AF35" t="s">
        <v>20</v>
      </c>
      <c r="AG35" t="s">
        <v>20</v>
      </c>
      <c r="AI35">
        <v>0</v>
      </c>
    </row>
    <row r="36" spans="1:35" ht="43.5">
      <c r="A36" t="s">
        <v>717</v>
      </c>
      <c r="B36" s="4" t="s">
        <v>1956</v>
      </c>
      <c r="C36" s="4" t="s">
        <v>1955</v>
      </c>
      <c r="G36" s="10" t="s">
        <v>25</v>
      </c>
      <c r="H36" s="10"/>
      <c r="I36" s="10">
        <v>1</v>
      </c>
      <c r="J36" s="10">
        <v>3</v>
      </c>
      <c r="K36" s="10" t="s">
        <v>2168</v>
      </c>
      <c r="L36" s="10" t="s">
        <v>2159</v>
      </c>
      <c r="M36" s="10"/>
      <c r="N36" s="11"/>
      <c r="O36" s="10"/>
      <c r="P36" s="10">
        <v>1701</v>
      </c>
      <c r="Q36" s="10">
        <v>836.36542432884255</v>
      </c>
      <c r="R36" s="10"/>
      <c r="S36" s="10"/>
      <c r="T36" s="10" t="s">
        <v>2387</v>
      </c>
      <c r="U36" s="10" t="s">
        <v>2387</v>
      </c>
      <c r="V36" s="10"/>
      <c r="W36" s="10"/>
      <c r="X36" s="10"/>
      <c r="Y36" s="10"/>
      <c r="Z36" s="10"/>
      <c r="AA36" s="10"/>
      <c r="AB36" s="10"/>
      <c r="AC36" s="10"/>
      <c r="AD36" s="10"/>
      <c r="AE36" s="10"/>
      <c r="AF36" t="s">
        <v>19</v>
      </c>
      <c r="AG36" t="s">
        <v>20</v>
      </c>
      <c r="AI36">
        <v>1</v>
      </c>
    </row>
    <row r="37" spans="1:35" ht="29">
      <c r="A37" t="s">
        <v>721</v>
      </c>
      <c r="B37" s="4" t="s">
        <v>1961</v>
      </c>
      <c r="C37" s="4" t="s">
        <v>1962</v>
      </c>
      <c r="G37" s="10" t="s">
        <v>25</v>
      </c>
      <c r="H37" s="10"/>
      <c r="I37" s="10">
        <v>1</v>
      </c>
      <c r="J37" s="10">
        <v>2</v>
      </c>
      <c r="K37" s="10" t="s">
        <v>2158</v>
      </c>
      <c r="L37" s="10" t="s">
        <v>2200</v>
      </c>
      <c r="M37" s="10"/>
      <c r="N37" s="11"/>
      <c r="O37" s="10"/>
      <c r="P37" s="10">
        <v>2475</v>
      </c>
      <c r="Q37" s="10">
        <v>1216.9338184678927</v>
      </c>
      <c r="R37" s="10"/>
      <c r="S37" s="10"/>
      <c r="T37" s="10" t="s">
        <v>2387</v>
      </c>
      <c r="U37" s="10" t="s">
        <v>2387</v>
      </c>
      <c r="V37" s="10"/>
      <c r="W37" s="10"/>
      <c r="X37" s="10"/>
      <c r="Y37" s="10"/>
      <c r="Z37" s="10"/>
      <c r="AA37" s="10"/>
      <c r="AB37" s="10"/>
      <c r="AC37" s="10"/>
      <c r="AD37" s="10"/>
      <c r="AE37" s="10"/>
      <c r="AF37" t="s">
        <v>19</v>
      </c>
      <c r="AG37" t="s">
        <v>20</v>
      </c>
      <c r="AI37">
        <v>1</v>
      </c>
    </row>
    <row r="38" spans="1:35" ht="87">
      <c r="A38" t="s">
        <v>725</v>
      </c>
      <c r="B38" s="4" t="s">
        <v>1976</v>
      </c>
      <c r="C38" s="4" t="s">
        <v>1973</v>
      </c>
      <c r="G38" s="10" t="s">
        <v>25</v>
      </c>
      <c r="H38" s="10"/>
      <c r="I38" s="10">
        <v>1</v>
      </c>
      <c r="J38" s="10">
        <v>3</v>
      </c>
      <c r="K38" s="10" t="s">
        <v>2168</v>
      </c>
      <c r="L38" s="10" t="s">
        <v>2159</v>
      </c>
      <c r="M38" s="10"/>
      <c r="N38" s="11"/>
      <c r="O38" s="10"/>
      <c r="P38" s="10">
        <v>1701</v>
      </c>
      <c r="Q38" s="10">
        <v>836.36542432884255</v>
      </c>
      <c r="R38" s="10"/>
      <c r="S38" s="10"/>
      <c r="T38" s="10" t="s">
        <v>2387</v>
      </c>
      <c r="U38" s="10" t="s">
        <v>2387</v>
      </c>
      <c r="V38" s="10"/>
      <c r="W38" s="10"/>
      <c r="X38" s="10"/>
      <c r="Y38" s="10"/>
      <c r="Z38" s="10"/>
      <c r="AA38" s="10"/>
      <c r="AB38" s="10"/>
      <c r="AC38" s="10"/>
      <c r="AD38" s="10"/>
      <c r="AE38" s="10"/>
      <c r="AF38" t="s">
        <v>19</v>
      </c>
      <c r="AG38" t="s">
        <v>20</v>
      </c>
      <c r="AI38">
        <v>1</v>
      </c>
    </row>
    <row r="39" spans="1:35" ht="43.5">
      <c r="A39" t="s">
        <v>747</v>
      </c>
      <c r="B39" s="4" t="s">
        <v>1992</v>
      </c>
      <c r="C39" s="4" t="s">
        <v>1991</v>
      </c>
      <c r="G39" s="10" t="s">
        <v>25</v>
      </c>
      <c r="H39" s="10"/>
      <c r="I39" s="10">
        <v>1</v>
      </c>
      <c r="J39" s="10">
        <v>3</v>
      </c>
      <c r="K39" s="10" t="s">
        <v>2175</v>
      </c>
      <c r="L39" s="10" t="s">
        <v>2159</v>
      </c>
      <c r="M39" s="10"/>
      <c r="N39" s="11"/>
      <c r="O39" s="10"/>
      <c r="P39" s="10">
        <v>312</v>
      </c>
      <c r="Q39" s="10">
        <v>153.4074146917101</v>
      </c>
      <c r="R39" s="10"/>
      <c r="S39" s="10"/>
      <c r="T39" s="10" t="s">
        <v>2387</v>
      </c>
      <c r="U39" s="10" t="s">
        <v>2387</v>
      </c>
      <c r="V39" s="10"/>
      <c r="W39" s="10"/>
      <c r="X39" s="10"/>
      <c r="Y39" s="10"/>
      <c r="Z39" s="10"/>
      <c r="AA39" s="10"/>
      <c r="AB39" s="10"/>
      <c r="AC39" s="10"/>
      <c r="AD39" s="10"/>
      <c r="AE39" s="10"/>
      <c r="AF39" t="s">
        <v>19</v>
      </c>
      <c r="AG39" t="s">
        <v>20</v>
      </c>
      <c r="AI39">
        <v>1</v>
      </c>
    </row>
    <row r="40" spans="1:35">
      <c r="A40" t="s">
        <v>747</v>
      </c>
      <c r="B40" s="4" t="s">
        <v>1994</v>
      </c>
      <c r="C40" s="4" t="s">
        <v>1993</v>
      </c>
      <c r="G40" s="10" t="s">
        <v>25</v>
      </c>
      <c r="H40" s="10"/>
      <c r="I40" s="10">
        <v>1</v>
      </c>
      <c r="J40" s="10">
        <v>1</v>
      </c>
      <c r="K40" s="10" t="s">
        <v>2158</v>
      </c>
      <c r="L40" s="10" t="s">
        <v>2200</v>
      </c>
      <c r="M40" s="10"/>
      <c r="N40" s="11"/>
      <c r="O40" s="10"/>
      <c r="P40" s="10">
        <v>2475</v>
      </c>
      <c r="Q40" s="10">
        <v>1216.9338184678927</v>
      </c>
      <c r="R40" s="10"/>
      <c r="S40" s="10"/>
      <c r="T40" s="10" t="s">
        <v>2387</v>
      </c>
      <c r="U40" s="10" t="s">
        <v>2387</v>
      </c>
      <c r="V40" s="10"/>
      <c r="W40" s="10"/>
      <c r="X40" s="10"/>
      <c r="Y40" s="10"/>
      <c r="Z40" s="10"/>
      <c r="AA40" s="10"/>
      <c r="AB40" s="10"/>
      <c r="AC40" s="10"/>
      <c r="AD40" s="10"/>
      <c r="AE40" s="10"/>
      <c r="AF40" t="s">
        <v>19</v>
      </c>
      <c r="AG40" t="s">
        <v>20</v>
      </c>
      <c r="AI40">
        <v>1</v>
      </c>
    </row>
    <row r="41" spans="1:35" ht="29">
      <c r="A41" t="s">
        <v>764</v>
      </c>
      <c r="B41" s="4" t="s">
        <v>2039</v>
      </c>
      <c r="C41" s="4" t="s">
        <v>2038</v>
      </c>
      <c r="G41" s="10" t="s">
        <v>25</v>
      </c>
      <c r="H41" s="10"/>
      <c r="I41" s="10">
        <v>1</v>
      </c>
      <c r="J41" s="10">
        <v>1</v>
      </c>
      <c r="K41" s="10" t="s">
        <v>2158</v>
      </c>
      <c r="L41" s="10" t="s">
        <v>2200</v>
      </c>
      <c r="M41" s="10"/>
      <c r="N41" s="11"/>
      <c r="O41" s="10"/>
      <c r="P41" s="10">
        <v>2475</v>
      </c>
      <c r="Q41" s="10">
        <v>1216.9338184678927</v>
      </c>
      <c r="R41" s="10"/>
      <c r="S41" s="10"/>
      <c r="T41" s="10" t="s">
        <v>2387</v>
      </c>
      <c r="U41" s="10" t="s">
        <v>2387</v>
      </c>
      <c r="V41" s="10"/>
      <c r="W41" s="10"/>
      <c r="X41" s="10"/>
      <c r="Y41" s="10"/>
      <c r="Z41" s="10"/>
      <c r="AA41" s="10"/>
      <c r="AB41" s="10"/>
      <c r="AC41" s="10"/>
      <c r="AD41" s="10"/>
      <c r="AE41" s="10"/>
      <c r="AF41" t="s">
        <v>19</v>
      </c>
      <c r="AG41" t="s">
        <v>20</v>
      </c>
      <c r="AI41">
        <v>1</v>
      </c>
    </row>
    <row r="42" spans="1:35" ht="29">
      <c r="A42" t="s">
        <v>774</v>
      </c>
      <c r="B42" s="4" t="s">
        <v>2051</v>
      </c>
      <c r="C42" s="4" t="s">
        <v>2050</v>
      </c>
      <c r="G42" s="10" t="s">
        <v>24</v>
      </c>
      <c r="H42" s="10"/>
      <c r="I42" s="10">
        <v>1</v>
      </c>
      <c r="J42" s="10">
        <v>2</v>
      </c>
      <c r="K42" s="10" t="s">
        <v>2158</v>
      </c>
      <c r="L42" s="10" t="s">
        <v>2200</v>
      </c>
      <c r="M42" s="10"/>
      <c r="N42" s="11"/>
      <c r="O42" s="10"/>
      <c r="P42" s="10">
        <v>2475</v>
      </c>
      <c r="Q42" s="10">
        <v>1216.9338184678927</v>
      </c>
      <c r="R42" s="10"/>
      <c r="S42" s="10"/>
      <c r="T42" s="10" t="s">
        <v>2387</v>
      </c>
      <c r="U42" s="10" t="s">
        <v>2387</v>
      </c>
      <c r="V42" s="10"/>
      <c r="W42" s="10"/>
      <c r="X42" s="10"/>
      <c r="Y42" s="10"/>
      <c r="Z42" s="10"/>
      <c r="AA42" s="10"/>
      <c r="AB42" s="10"/>
      <c r="AC42" s="10"/>
      <c r="AD42" s="10"/>
      <c r="AE42" s="10"/>
      <c r="AF42" t="s">
        <v>19</v>
      </c>
      <c r="AG42" t="s">
        <v>20</v>
      </c>
      <c r="AI42">
        <v>1</v>
      </c>
    </row>
    <row r="45" spans="1:35">
      <c r="D45" t="s">
        <v>2384</v>
      </c>
      <c r="E45">
        <v>20338</v>
      </c>
    </row>
    <row r="46" spans="1:35">
      <c r="D46" t="s">
        <v>2389</v>
      </c>
      <c r="E46">
        <f>MEDIAN(Q:Q)</f>
        <v>1216.9338184678927</v>
      </c>
    </row>
    <row r="49" spans="4:5">
      <c r="D49" t="s">
        <v>2390</v>
      </c>
      <c r="E49">
        <f>COUNTIFS(G:G, "Addition", Q:Q, "&gt;=" &amp; $E$46)</f>
        <v>6</v>
      </c>
    </row>
    <row r="50" spans="4:5">
      <c r="D50" t="s">
        <v>2391</v>
      </c>
      <c r="E50">
        <f>COUNTIFS(G:G, "Omission", Q:Q, "&gt;=" &amp; $E$46)</f>
        <v>17</v>
      </c>
    </row>
    <row r="51" spans="4:5">
      <c r="D51" t="s">
        <v>2392</v>
      </c>
      <c r="E51">
        <f>E49/(E49+E50)</f>
        <v>0.2608695652173913</v>
      </c>
    </row>
    <row r="52" spans="4:5">
      <c r="D52" t="s">
        <v>2393</v>
      </c>
      <c r="E52">
        <f>COUNTIFS(G:G, "Addition", Q:Q, "&lt;" &amp; $E$46)</f>
        <v>10</v>
      </c>
    </row>
    <row r="53" spans="4:5">
      <c r="D53" t="s">
        <v>2394</v>
      </c>
      <c r="E53">
        <f>COUNTIFS(G:G, "Omission", Q:Q, "&lt;" &amp; $E$46)</f>
        <v>8</v>
      </c>
    </row>
    <row r="54" spans="4:5">
      <c r="D54" t="s">
        <v>2395</v>
      </c>
      <c r="E54">
        <f>E52/(E52+E53)</f>
        <v>0.55555555555555558</v>
      </c>
    </row>
    <row r="57" spans="4:5">
      <c r="D57" t="s">
        <v>2396</v>
      </c>
      <c r="E57">
        <f>COUNTIFS(G:G, "Addition", K:K, "Article")</f>
        <v>6</v>
      </c>
    </row>
    <row r="58" spans="4:5">
      <c r="D58" t="s">
        <v>2397</v>
      </c>
      <c r="E58">
        <f>COUNTIFS(G:G, "Omission", K:K, "Article")</f>
        <v>17</v>
      </c>
    </row>
    <row r="59" spans="4:5">
      <c r="D59" t="s">
        <v>2398</v>
      </c>
      <c r="E59">
        <f>COUNTIFS(G:G, "Addition", K:K, "Article")/(COUNTIFS(G:G, "Addition", K:K, "Article") + COUNTIFS(G:G, "Omission", K:K, "Article"))</f>
        <v>0.2608695652173913</v>
      </c>
    </row>
  </sheetData>
  <conditionalFormatting sqref="G2:G42">
    <cfRule type="expression" dxfId="83" priority="7">
      <formula>$I2&lt;&gt;""</formula>
    </cfRule>
    <cfRule type="expression" dxfId="82" priority="8">
      <formula>$I2=""</formula>
    </cfRule>
  </conditionalFormatting>
  <conditionalFormatting sqref="H2:L42 O2:P42">
    <cfRule type="expression" dxfId="81" priority="24">
      <formula>AND(OR($I2="Addition",$I2="Omission"), H2="")</formula>
    </cfRule>
    <cfRule type="expression" dxfId="80" priority="25">
      <formula>AND($I2&lt;&gt;"Addition",$I2&lt;&gt;"Omission",$I2&lt;&gt;"Substitution - Word")</formula>
    </cfRule>
  </conditionalFormatting>
  <conditionalFormatting sqref="H2:P42">
    <cfRule type="expression" dxfId="79" priority="23">
      <formula>AND(OR($I2="Addition",$I2="Omission"), H2&lt;&gt;"")</formula>
    </cfRule>
  </conditionalFormatting>
  <conditionalFormatting sqref="K2:K42">
    <cfRule type="expression" dxfId="78" priority="18">
      <formula>AND($K2&lt;&gt;"",$K2&gt;1)</formula>
    </cfRule>
  </conditionalFormatting>
  <conditionalFormatting sqref="M2:N42">
    <cfRule type="expression" dxfId="77" priority="14">
      <formula>$N2="Absent"</formula>
    </cfRule>
    <cfRule type="expression" dxfId="76" priority="15">
      <formula>$N2="NA"</formula>
    </cfRule>
    <cfRule type="expression" dxfId="75" priority="16">
      <formula>AND(OR($I2="Addition",$I2="Omission"), M2="")</formula>
    </cfRule>
    <cfRule type="expression" dxfId="74" priority="17">
      <formula>AND($I2&lt;&gt;"Addition",$I2&lt;&gt;"Omission")</formula>
    </cfRule>
  </conditionalFormatting>
  <conditionalFormatting sqref="O2:O42">
    <cfRule type="expression" dxfId="73" priority="19">
      <formula>OR($I2="Addition",$I2="Omission",$I2 = "Substitution - Word")</formula>
    </cfRule>
  </conditionalFormatting>
  <conditionalFormatting sqref="Q2:R42">
    <cfRule type="expression" dxfId="72" priority="1">
      <formula>AND(OR($I2="Addition",$I2="Omission"), Q2&lt;&gt;"")</formula>
    </cfRule>
    <cfRule type="expression" dxfId="71" priority="2">
      <formula>AND(OR($I2="Addition",$I2="Omission"), Q2="")</formula>
    </cfRule>
    <cfRule type="expression" dxfId="70" priority="3">
      <formula>AND($I2&lt;&gt;"Addition",$I2&lt;&gt;"Omission",$I2&lt;&gt;"Substitution - Word")</formula>
    </cfRule>
  </conditionalFormatting>
  <conditionalFormatting sqref="S2:U42">
    <cfRule type="expression" dxfId="69" priority="20">
      <formula>AND(AND(LEFT($I2,3)="Sub", RIGHT($I2,4)&lt;&gt;"Form"),$U2&lt;&gt;"")</formula>
    </cfRule>
    <cfRule type="expression" dxfId="68" priority="21">
      <formula>AND(AND(LEFT($I2,3)="Sub", RIGHT($I2,4)&lt;&gt;"Form"),$U2="")</formula>
    </cfRule>
    <cfRule type="expression" dxfId="67" priority="22">
      <formula>"&lt;&gt;AND(LEFT($J2,3)=""Sub"", RIGHT($J2,4)&lt;&gt;""Form"")"</formula>
    </cfRule>
  </conditionalFormatting>
  <conditionalFormatting sqref="T2:U42">
    <cfRule type="expression" dxfId="66" priority="4">
      <formula>AND(AND(LEFT($I2,3)="Sub", RIGHT($I2,4)&lt;&gt;"Form"),$U2&lt;&gt;"")</formula>
    </cfRule>
    <cfRule type="expression" dxfId="65" priority="5">
      <formula>AND(AND(LEFT($I2,3)="Sub", RIGHT($I2,4)&lt;&gt;"Form"),$U2="")</formula>
    </cfRule>
    <cfRule type="expression" dxfId="64" priority="6">
      <formula>"&lt;&gt;AND(LEFT($J2,3)=""Sub"", RIGHT($J2,4)&lt;&gt;""Form"")"</formula>
    </cfRule>
  </conditionalFormatting>
  <conditionalFormatting sqref="V2:V42">
    <cfRule type="expression" dxfId="63" priority="10">
      <formula>AND($X2&lt;&gt;"",OR($AE2="Yes",$AF2&lt;&gt;""))</formula>
    </cfRule>
    <cfRule type="expression" dxfId="62" priority="11">
      <formula>OR($AE2="Yes",$AF2&lt;&gt;"")</formula>
    </cfRule>
    <cfRule type="expression" dxfId="61" priority="28">
      <formula>AND($AE2&lt;&gt;"Yes",$AF2="")</formula>
    </cfRule>
  </conditionalFormatting>
  <conditionalFormatting sqref="V2:AE42">
    <cfRule type="expression" dxfId="60" priority="26">
      <formula>AND($I2&lt;&gt;"",$I2&lt;&gt;"Unclear due to correction")</formula>
    </cfRule>
    <cfRule type="expression" dxfId="59" priority="27">
      <formula>OR($I2="",$I2="Unclear due to correction")</formula>
    </cfRule>
  </conditionalFormatting>
  <conditionalFormatting sqref="W2:W42">
    <cfRule type="expression" dxfId="58" priority="9">
      <formula>AND($I2&lt;&gt;"",$I2&lt;&gt;"Unclear due to correction",$Y2="")</formula>
    </cfRule>
  </conditionalFormatting>
  <conditionalFormatting sqref="X2:X42">
    <cfRule type="expression" dxfId="57" priority="12">
      <formula>AND($Y2="Yes",$Z2="")</formula>
    </cfRule>
    <cfRule type="expression" dxfId="56" priority="13">
      <formula>$Y2=""</formula>
    </cfRule>
  </conditionalFormatting>
  <conditionalFormatting sqref="AC2:AC42">
    <cfRule type="expression" dxfId="55" priority="29">
      <formula>AND(OR($AC2&lt;&gt;"",$AD2&lt;&gt;""),$AE2="")</formula>
    </cfRule>
  </conditionalFormatting>
  <dataValidations count="1">
    <dataValidation allowBlank="1" showInputMessage="1" sqref="W2:W42" xr:uid="{42EA2ACD-0AEB-4587-B87E-0AB6C4686552}"/>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C0ADBD8A-4926-4E4E-8030-A1BB5808F2EB}">
          <x14:formula1>
            <xm:f>'Data Regularization'!$Q$2:$Q$4</xm:f>
          </x14:formula1>
          <xm:sqref>AF2:AH2 AH3:AH42 AF3:AF42</xm:sqref>
        </x14:dataValidation>
        <x14:dataValidation type="list" allowBlank="1" showInputMessage="1" showErrorMessage="1" xr:uid="{D32A9AC6-B512-49D0-8BE4-6D9DBF320A8E}">
          <x14:formula1>
            <xm:f>'Data Regularization'!$D$2:$D$1048576</xm:f>
          </x14:formula1>
          <xm:sqref>G2:G42</xm:sqref>
        </x14:dataValidation>
        <x14:dataValidation type="list" allowBlank="1" showInputMessage="1" showErrorMessage="1" xr:uid="{70425AFF-794D-408E-B87E-5C601FAD1146}">
          <x14:formula1>
            <xm:f>'Data Regularization'!$E$2:$E$1048576</xm:f>
          </x14:formula1>
          <xm:sqref>K2:K42</xm:sqref>
        </x14:dataValidation>
        <x14:dataValidation type="list" allowBlank="1" showInputMessage="1" showErrorMessage="1" xr:uid="{A098E74C-65D7-4FDA-B4BB-FA45105E7339}">
          <x14:formula1>
            <xm:f>'Data Regularization'!$F$2:$F$1048576</xm:f>
          </x14:formula1>
          <xm:sqref>L2:L42</xm:sqref>
        </x14:dataValidation>
        <x14:dataValidation type="list" allowBlank="1" showInputMessage="1" showErrorMessage="1" xr:uid="{EBFAFDE2-13CA-46E1-A730-818E4A859296}">
          <x14:formula1>
            <xm:f>'Data Regularization'!$G$2:$G$1048576</xm:f>
          </x14:formula1>
          <xm:sqref>O2:O42</xm:sqref>
        </x14:dataValidation>
        <x14:dataValidation type="list" allowBlank="1" showInputMessage="1" showErrorMessage="1" xr:uid="{C29559B7-EB7A-4B4E-8E3A-E228653F7376}">
          <x14:formula1>
            <xm:f>'Data Regularization'!$K$2:$K$1048576</xm:f>
          </x14:formula1>
          <xm:sqref>X2:X42 V2:V42</xm:sqref>
        </x14:dataValidation>
        <x14:dataValidation type="list" allowBlank="1" showInputMessage="1" showErrorMessage="1" xr:uid="{95A8FA7B-D133-4E76-AF39-1D674213936C}">
          <x14:formula1>
            <xm:f>'Data Regularization'!$L$2:$L$1048576</xm:f>
          </x14:formula1>
          <xm:sqref>Y2:Y42</xm:sqref>
        </x14:dataValidation>
        <x14:dataValidation type="list" allowBlank="1" showInputMessage="1" showErrorMessage="1" xr:uid="{D1B92272-C543-4CD4-B7C1-C97863F29C1A}">
          <x14:formula1>
            <xm:f>'Data Regularization'!$M$2:$M$1048576</xm:f>
          </x14:formula1>
          <xm:sqref>Z2:Z42</xm:sqref>
        </x14:dataValidation>
        <x14:dataValidation type="list" allowBlank="1" showInputMessage="1" showErrorMessage="1" xr:uid="{988757A6-6521-48F2-AFD5-979C0AC765AC}">
          <x14:formula1>
            <xm:f>'Data Regularization'!$N$2:$N$1048576</xm:f>
          </x14:formula1>
          <xm:sqref>AA2:AA42</xm:sqref>
        </x14:dataValidation>
        <x14:dataValidation type="list" allowBlank="1" showInputMessage="1" showErrorMessage="1" xr:uid="{5D7EF229-BE16-44C0-9859-8340C54B3908}">
          <x14:formula1>
            <xm:f>'Data Regularization'!$O$2:$O$1048576</xm:f>
          </x14:formula1>
          <xm:sqref>AC2:AC42</xm:sqref>
        </x14:dataValidation>
        <x14:dataValidation type="list" allowBlank="1" showInputMessage="1" showErrorMessage="1" xr:uid="{23BABB9B-9E0C-4A49-A1D1-B3117666FFB8}">
          <x14:formula1>
            <xm:f>'Data Regularization'!$P$2:$P$1048576</xm:f>
          </x14:formula1>
          <xm:sqref>AD2:AD42</xm:sqref>
        </x14:dataValidation>
        <x14:dataValidation type="list" allowBlank="1" showInputMessage="1" showErrorMessage="1" xr:uid="{EDAA221E-6E16-484B-8B87-3DD22EAEBB72}">
          <x14:formula1>
            <xm:f>'Data Regularization'!$Q$2:$Q$1048576</xm:f>
          </x14:formula1>
          <xm:sqref>AE2:AE42</xm:sqref>
        </x14:dataValidation>
        <x14:dataValidation type="list" allowBlank="1" showInputMessage="1" showErrorMessage="1" xr:uid="{7F4CE0D4-206F-4C81-AE03-9FF076FC2CD7}">
          <x14:formula1>
            <xm:f>'Data Regularization'!$C$2:$C$29</xm:f>
          </x14:formula1>
          <xm:sqref>F2:F42</xm:sqref>
        </x14:dataValidation>
        <x14:dataValidation type="list" allowBlank="1" showInputMessage="1" showErrorMessage="1" xr:uid="{78AFF90C-E807-4992-B66F-F152BED2650D}">
          <x14:formula1>
            <xm:f>'Data Regularization'!$A$2:$A$1048576</xm:f>
          </x14:formula1>
          <xm:sqref>D2:D42</xm:sqref>
        </x14:dataValidation>
        <x14:dataValidation type="list" allowBlank="1" showInputMessage="1" showErrorMessage="1" xr:uid="{E816D4FA-4F63-4F34-B3D9-E9B5649B122B}">
          <x14:formula1>
            <xm:f>'Data Regularization'!$B$2:$B$1048576</xm:f>
          </x14:formula1>
          <xm:sqref>E2:E42</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6A0A0-CE87-4AF6-816B-598631282333}">
  <dimension ref="A1:AK28"/>
  <sheetViews>
    <sheetView workbookViewId="0">
      <pane xSplit="3" ySplit="1" topLeftCell="D5" activePane="bottomRight" state="frozen"/>
      <selection sqref="A1:XFD1"/>
      <selection pane="topRight" sqref="A1:XFD1"/>
      <selection pane="bottomLeft" sqref="A1:XFD1"/>
      <selection pane="bottomRight" activeCell="D2" sqref="D2"/>
    </sheetView>
  </sheetViews>
  <sheetFormatPr defaultRowHeight="14.5"/>
  <sheetData>
    <row r="1" spans="1:37" s="1" customFormat="1" ht="29">
      <c r="A1" s="1" t="s">
        <v>0</v>
      </c>
      <c r="B1" s="1" t="s">
        <v>5</v>
      </c>
      <c r="C1" s="3" t="s">
        <v>6</v>
      </c>
      <c r="D1" s="1" t="s">
        <v>2181</v>
      </c>
      <c r="E1" s="1" t="s">
        <v>2182</v>
      </c>
      <c r="F1" s="1" t="s">
        <v>2183</v>
      </c>
      <c r="G1" s="1" t="s">
        <v>3</v>
      </c>
      <c r="H1" s="1" t="s">
        <v>2184</v>
      </c>
      <c r="I1" s="1" t="s">
        <v>2185</v>
      </c>
      <c r="J1" s="1" t="s">
        <v>2186</v>
      </c>
      <c r="K1" s="1" t="s">
        <v>2187</v>
      </c>
      <c r="L1" s="1" t="s">
        <v>2146</v>
      </c>
      <c r="M1" s="1" t="s">
        <v>2188</v>
      </c>
      <c r="N1" s="9" t="s">
        <v>2189</v>
      </c>
      <c r="O1" s="1" t="s">
        <v>2147</v>
      </c>
      <c r="P1" s="1" t="s">
        <v>2190</v>
      </c>
      <c r="Q1" s="1" t="s">
        <v>2388</v>
      </c>
      <c r="R1" s="1" t="s">
        <v>2191</v>
      </c>
      <c r="S1" s="1" t="s">
        <v>2385</v>
      </c>
      <c r="T1" s="1" t="s">
        <v>2386</v>
      </c>
      <c r="U1" s="1" t="s">
        <v>2194</v>
      </c>
      <c r="V1" s="1" t="s">
        <v>2195</v>
      </c>
      <c r="W1" s="1" t="s">
        <v>2196</v>
      </c>
      <c r="X1" s="1" t="s">
        <v>2148</v>
      </c>
      <c r="Y1" s="1" t="s">
        <v>2149</v>
      </c>
      <c r="Z1" s="1" t="s">
        <v>2150</v>
      </c>
      <c r="AA1" s="1" t="s">
        <v>2192</v>
      </c>
      <c r="AB1" s="1" t="s">
        <v>2197</v>
      </c>
      <c r="AC1" s="1" t="s">
        <v>2151</v>
      </c>
      <c r="AD1" s="1" t="s">
        <v>2193</v>
      </c>
      <c r="AE1" s="1" t="s">
        <v>2215</v>
      </c>
      <c r="AF1" s="1" t="s">
        <v>2207</v>
      </c>
      <c r="AG1" s="1" t="s">
        <v>2214</v>
      </c>
    </row>
    <row r="2" spans="1:37" ht="43.5">
      <c r="A2" t="s">
        <v>42</v>
      </c>
      <c r="B2" s="4" t="s">
        <v>815</v>
      </c>
      <c r="C2" s="4" t="s">
        <v>816</v>
      </c>
      <c r="G2" s="10" t="s">
        <v>25</v>
      </c>
      <c r="H2" s="10"/>
      <c r="I2" s="10">
        <v>1</v>
      </c>
      <c r="J2" s="10">
        <v>4</v>
      </c>
      <c r="K2" s="10" t="s">
        <v>2219</v>
      </c>
      <c r="L2" s="10" t="s">
        <v>2159</v>
      </c>
      <c r="M2" s="10"/>
      <c r="N2" s="11"/>
      <c r="O2" s="10"/>
      <c r="P2" s="10">
        <v>295</v>
      </c>
      <c r="Q2" s="10">
        <v>145.04867735273871</v>
      </c>
      <c r="R2" s="10"/>
      <c r="S2" s="10"/>
      <c r="T2" s="10" t="s">
        <v>2387</v>
      </c>
      <c r="U2" s="10" t="s">
        <v>2387</v>
      </c>
      <c r="V2" s="10"/>
      <c r="W2" s="10"/>
      <c r="X2" s="10"/>
      <c r="Y2" s="10"/>
      <c r="Z2" s="10"/>
      <c r="AA2" s="10"/>
      <c r="AB2" s="10"/>
      <c r="AC2" s="10"/>
      <c r="AD2" s="10"/>
      <c r="AE2" s="10"/>
      <c r="AF2" t="s">
        <v>19</v>
      </c>
      <c r="AG2" t="s">
        <v>20</v>
      </c>
      <c r="AH2" t="s">
        <v>20</v>
      </c>
      <c r="AI2">
        <v>1</v>
      </c>
      <c r="AJ2" t="s">
        <v>2213</v>
      </c>
      <c r="AK2">
        <v>0.3888888888888889</v>
      </c>
    </row>
    <row r="3" spans="1:37" ht="58">
      <c r="A3" t="s">
        <v>56</v>
      </c>
      <c r="B3" s="4" t="s">
        <v>821</v>
      </c>
      <c r="C3" s="4" t="s">
        <v>822</v>
      </c>
      <c r="F3" t="s">
        <v>19</v>
      </c>
      <c r="G3" s="10" t="s">
        <v>24</v>
      </c>
      <c r="H3" s="10"/>
      <c r="I3" s="10">
        <v>1</v>
      </c>
      <c r="J3" s="10">
        <v>8</v>
      </c>
      <c r="K3" s="10" t="s">
        <v>2173</v>
      </c>
      <c r="L3" s="10" t="s">
        <v>2153</v>
      </c>
      <c r="M3" s="10" t="s">
        <v>2231</v>
      </c>
      <c r="N3" s="11" t="s">
        <v>2232</v>
      </c>
      <c r="O3" s="10"/>
      <c r="P3" s="10">
        <v>0</v>
      </c>
      <c r="Q3" s="10">
        <v>0</v>
      </c>
      <c r="R3" s="10"/>
      <c r="S3" s="10"/>
      <c r="T3" s="10" t="s">
        <v>2387</v>
      </c>
      <c r="U3" s="10" t="s">
        <v>2387</v>
      </c>
      <c r="V3" s="10"/>
      <c r="W3" s="10"/>
      <c r="X3" s="10"/>
      <c r="Y3" s="10"/>
      <c r="Z3" s="10"/>
      <c r="AA3" s="10"/>
      <c r="AB3" s="10"/>
      <c r="AC3" s="10"/>
      <c r="AD3" s="10"/>
      <c r="AE3" s="10"/>
      <c r="AF3" t="s">
        <v>20</v>
      </c>
      <c r="AG3" t="s">
        <v>20</v>
      </c>
      <c r="AH3" t="s">
        <v>20</v>
      </c>
      <c r="AI3">
        <v>0</v>
      </c>
    </row>
    <row r="4" spans="1:37" ht="43.5">
      <c r="A4" t="s">
        <v>145</v>
      </c>
      <c r="B4" s="4" t="s">
        <v>918</v>
      </c>
      <c r="C4" s="4" t="s">
        <v>919</v>
      </c>
      <c r="F4" t="s">
        <v>19</v>
      </c>
      <c r="G4" s="10" t="s">
        <v>25</v>
      </c>
      <c r="H4" s="10"/>
      <c r="I4" s="10">
        <v>1</v>
      </c>
      <c r="J4" s="10">
        <v>5</v>
      </c>
      <c r="K4" s="10" t="s">
        <v>2152</v>
      </c>
      <c r="L4" s="10" t="s">
        <v>2159</v>
      </c>
      <c r="M4" s="10"/>
      <c r="N4" s="11"/>
      <c r="O4" s="10"/>
      <c r="P4" s="10">
        <v>8</v>
      </c>
      <c r="Q4" s="10">
        <v>3.9335234536335926</v>
      </c>
      <c r="R4" s="10"/>
      <c r="S4" s="10"/>
      <c r="T4" s="10" t="s">
        <v>2387</v>
      </c>
      <c r="U4" s="10" t="s">
        <v>2387</v>
      </c>
      <c r="V4" s="10"/>
      <c r="W4" s="10"/>
      <c r="X4" s="10"/>
      <c r="Y4" s="10"/>
      <c r="Z4" s="10"/>
      <c r="AA4" s="10"/>
      <c r="AB4" s="10"/>
      <c r="AC4" s="10"/>
      <c r="AD4" s="10"/>
      <c r="AE4" s="10"/>
      <c r="AF4" t="s">
        <v>20</v>
      </c>
      <c r="AG4" t="s">
        <v>20</v>
      </c>
      <c r="AI4">
        <v>0</v>
      </c>
    </row>
    <row r="5" spans="1:37" ht="72.5">
      <c r="A5" t="s">
        <v>163</v>
      </c>
      <c r="B5" s="4" t="s">
        <v>940</v>
      </c>
      <c r="C5" s="4" t="s">
        <v>941</v>
      </c>
      <c r="F5" t="s">
        <v>19</v>
      </c>
      <c r="G5" s="10" t="s">
        <v>25</v>
      </c>
      <c r="H5" s="10"/>
      <c r="I5" s="10">
        <v>1</v>
      </c>
      <c r="J5" s="10">
        <v>5</v>
      </c>
      <c r="K5" s="10" t="s">
        <v>2152</v>
      </c>
      <c r="L5" s="10" t="s">
        <v>2153</v>
      </c>
      <c r="M5" s="10" t="s">
        <v>2231</v>
      </c>
      <c r="N5" s="11" t="s">
        <v>2230</v>
      </c>
      <c r="O5" s="10"/>
      <c r="P5" s="10">
        <v>266</v>
      </c>
      <c r="Q5" s="10">
        <v>130.78965483331694</v>
      </c>
      <c r="R5" s="10"/>
      <c r="S5" s="10"/>
      <c r="T5" s="10" t="s">
        <v>2387</v>
      </c>
      <c r="U5" s="10" t="s">
        <v>2387</v>
      </c>
      <c r="V5" s="10"/>
      <c r="W5" s="10"/>
      <c r="X5" s="10"/>
      <c r="Y5" s="10"/>
      <c r="Z5" s="10"/>
      <c r="AA5" s="10"/>
      <c r="AB5" s="10"/>
      <c r="AC5" s="10"/>
      <c r="AD5" s="10"/>
      <c r="AE5" s="10"/>
      <c r="AF5" t="s">
        <v>20</v>
      </c>
      <c r="AG5" t="s">
        <v>20</v>
      </c>
      <c r="AI5">
        <v>0</v>
      </c>
    </row>
    <row r="6" spans="1:37" ht="43.5">
      <c r="A6" t="s">
        <v>186</v>
      </c>
      <c r="B6" s="4" t="s">
        <v>973</v>
      </c>
      <c r="C6" s="4" t="s">
        <v>972</v>
      </c>
      <c r="G6" s="10" t="s">
        <v>24</v>
      </c>
      <c r="H6" s="10"/>
      <c r="I6" s="10">
        <v>1</v>
      </c>
      <c r="J6" s="10">
        <v>2</v>
      </c>
      <c r="K6" s="10" t="s">
        <v>2164</v>
      </c>
      <c r="L6" s="10" t="s">
        <v>2200</v>
      </c>
      <c r="M6" s="10"/>
      <c r="N6" s="11"/>
      <c r="O6" s="10"/>
      <c r="P6" s="10">
        <v>129</v>
      </c>
      <c r="Q6" s="10">
        <v>63.428065689841674</v>
      </c>
      <c r="R6" s="10"/>
      <c r="S6" s="10"/>
      <c r="T6" s="10" t="s">
        <v>2387</v>
      </c>
      <c r="U6" s="10" t="s">
        <v>2387</v>
      </c>
      <c r="V6" s="10"/>
      <c r="W6" s="10"/>
      <c r="X6" s="10"/>
      <c r="Y6" s="10"/>
      <c r="Z6" s="10"/>
      <c r="AA6" s="10"/>
      <c r="AB6" s="10"/>
      <c r="AC6" s="10"/>
      <c r="AD6" s="10"/>
      <c r="AE6" s="10"/>
      <c r="AF6" t="s">
        <v>19</v>
      </c>
      <c r="AG6" t="s">
        <v>20</v>
      </c>
      <c r="AI6">
        <v>1</v>
      </c>
    </row>
    <row r="7" spans="1:37" ht="58">
      <c r="A7" t="s">
        <v>271</v>
      </c>
      <c r="B7" s="4" t="s">
        <v>1114</v>
      </c>
      <c r="C7" s="4" t="s">
        <v>1113</v>
      </c>
      <c r="G7" s="10" t="s">
        <v>24</v>
      </c>
      <c r="H7" s="10"/>
      <c r="I7" s="10">
        <v>1</v>
      </c>
      <c r="J7" s="10">
        <v>7</v>
      </c>
      <c r="K7" s="10" t="s">
        <v>2173</v>
      </c>
      <c r="L7" s="10" t="s">
        <v>2153</v>
      </c>
      <c r="M7" s="10" t="s">
        <v>2262</v>
      </c>
      <c r="N7" s="11" t="s">
        <v>2230</v>
      </c>
      <c r="O7" s="10"/>
      <c r="P7" s="10">
        <v>47</v>
      </c>
      <c r="Q7" s="10">
        <v>23.109450290097357</v>
      </c>
      <c r="R7" s="10"/>
      <c r="S7" s="10"/>
      <c r="T7" s="10" t="s">
        <v>2387</v>
      </c>
      <c r="U7" s="10" t="s">
        <v>2387</v>
      </c>
      <c r="V7" s="10"/>
      <c r="W7" s="10"/>
      <c r="X7" s="10"/>
      <c r="Y7" s="10"/>
      <c r="Z7" s="10"/>
      <c r="AA7" s="10"/>
      <c r="AB7" s="10"/>
      <c r="AC7" s="10"/>
      <c r="AD7" s="10"/>
      <c r="AE7" s="10" t="s">
        <v>19</v>
      </c>
      <c r="AF7" t="s">
        <v>19</v>
      </c>
      <c r="AG7" t="s">
        <v>20</v>
      </c>
      <c r="AI7">
        <v>1</v>
      </c>
    </row>
    <row r="8" spans="1:37" ht="116">
      <c r="A8" t="s">
        <v>415</v>
      </c>
      <c r="B8" s="4" t="s">
        <v>1319</v>
      </c>
      <c r="C8" s="4" t="s">
        <v>1320</v>
      </c>
      <c r="G8" s="10" t="s">
        <v>24</v>
      </c>
      <c r="H8" s="10"/>
      <c r="I8" s="10">
        <v>1</v>
      </c>
      <c r="J8" s="10">
        <v>12</v>
      </c>
      <c r="K8" s="10" t="s">
        <v>2219</v>
      </c>
      <c r="L8" s="10" t="s">
        <v>2153</v>
      </c>
      <c r="M8" s="10" t="s">
        <v>2229</v>
      </c>
      <c r="N8" s="11" t="s">
        <v>2276</v>
      </c>
      <c r="O8" s="10" t="s">
        <v>2154</v>
      </c>
      <c r="P8" s="10">
        <v>11</v>
      </c>
      <c r="Q8" s="10">
        <v>5.4085947487461903</v>
      </c>
      <c r="R8" s="10"/>
      <c r="S8" s="10"/>
      <c r="T8" s="10" t="s">
        <v>2387</v>
      </c>
      <c r="U8" s="10" t="s">
        <v>2387</v>
      </c>
      <c r="V8" s="10"/>
      <c r="W8" s="10"/>
      <c r="X8" s="10"/>
      <c r="Y8" s="10"/>
      <c r="Z8" s="10"/>
      <c r="AA8" s="10"/>
      <c r="AB8" s="10"/>
      <c r="AC8" s="10"/>
      <c r="AD8" s="10"/>
      <c r="AE8" s="10"/>
      <c r="AF8" t="s">
        <v>20</v>
      </c>
      <c r="AG8" t="s">
        <v>20</v>
      </c>
      <c r="AI8">
        <v>0</v>
      </c>
    </row>
    <row r="9" spans="1:37" ht="43.5">
      <c r="A9" t="s">
        <v>455</v>
      </c>
      <c r="B9" s="4" t="s">
        <v>2282</v>
      </c>
      <c r="C9" s="4" t="s">
        <v>2283</v>
      </c>
      <c r="F9" t="s">
        <v>19</v>
      </c>
      <c r="G9" s="10" t="s">
        <v>24</v>
      </c>
      <c r="H9" s="10"/>
      <c r="I9" s="10">
        <v>1</v>
      </c>
      <c r="J9" s="10">
        <v>1</v>
      </c>
      <c r="K9" s="10" t="s">
        <v>2152</v>
      </c>
      <c r="L9" s="10" t="s">
        <v>2200</v>
      </c>
      <c r="M9" s="10"/>
      <c r="N9" s="11"/>
      <c r="O9" s="10"/>
      <c r="P9" s="10">
        <v>9</v>
      </c>
      <c r="Q9" s="10">
        <v>4.4252138853377909</v>
      </c>
      <c r="R9" s="10"/>
      <c r="S9" s="10"/>
      <c r="T9" s="10" t="s">
        <v>2387</v>
      </c>
      <c r="U9" s="10" t="s">
        <v>2387</v>
      </c>
      <c r="V9" s="10"/>
      <c r="W9" s="10"/>
      <c r="X9" s="10"/>
      <c r="Y9" s="10"/>
      <c r="Z9" s="10"/>
      <c r="AA9" s="10"/>
      <c r="AB9" s="10"/>
      <c r="AC9" s="10"/>
      <c r="AD9" s="10"/>
      <c r="AE9" s="10"/>
      <c r="AF9" t="s">
        <v>20</v>
      </c>
      <c r="AG9" t="s">
        <v>20</v>
      </c>
      <c r="AI9">
        <v>0</v>
      </c>
    </row>
    <row r="10" spans="1:37" ht="72.5">
      <c r="A10" t="s">
        <v>494</v>
      </c>
      <c r="B10" s="4" t="s">
        <v>1465</v>
      </c>
      <c r="C10" s="4" t="s">
        <v>1466</v>
      </c>
      <c r="F10" t="s">
        <v>19</v>
      </c>
      <c r="G10" s="10" t="s">
        <v>24</v>
      </c>
      <c r="H10" s="10"/>
      <c r="I10" s="10">
        <v>1</v>
      </c>
      <c r="J10" s="10">
        <v>6</v>
      </c>
      <c r="K10" s="10" t="s">
        <v>2173</v>
      </c>
      <c r="L10" s="10" t="s">
        <v>2159</v>
      </c>
      <c r="M10" s="10"/>
      <c r="N10" s="11"/>
      <c r="O10" s="10"/>
      <c r="P10" s="10">
        <v>250</v>
      </c>
      <c r="Q10" s="10">
        <v>122.92260792604976</v>
      </c>
      <c r="R10" s="10"/>
      <c r="S10" s="10"/>
      <c r="T10" s="10" t="s">
        <v>2387</v>
      </c>
      <c r="U10" s="10" t="s">
        <v>2387</v>
      </c>
      <c r="V10" s="10"/>
      <c r="W10" s="10"/>
      <c r="X10" s="10"/>
      <c r="Y10" s="10"/>
      <c r="Z10" s="10"/>
      <c r="AA10" s="10"/>
      <c r="AB10" s="10"/>
      <c r="AC10" s="10"/>
      <c r="AD10" s="10"/>
      <c r="AE10" s="10"/>
      <c r="AF10" t="s">
        <v>20</v>
      </c>
      <c r="AG10" t="s">
        <v>20</v>
      </c>
      <c r="AI10">
        <v>0</v>
      </c>
    </row>
    <row r="11" spans="1:37" ht="29">
      <c r="A11" t="s">
        <v>545</v>
      </c>
      <c r="B11" s="4" t="s">
        <v>1583</v>
      </c>
      <c r="C11" s="4" t="s">
        <v>1582</v>
      </c>
      <c r="G11" s="10" t="s">
        <v>25</v>
      </c>
      <c r="H11" s="10"/>
      <c r="I11" s="10">
        <v>1</v>
      </c>
      <c r="J11" s="10">
        <v>5</v>
      </c>
      <c r="K11" s="10" t="s">
        <v>2219</v>
      </c>
      <c r="L11" s="10" t="s">
        <v>2159</v>
      </c>
      <c r="M11" s="10"/>
      <c r="N11" s="11"/>
      <c r="O11" s="10"/>
      <c r="P11" s="10">
        <v>295</v>
      </c>
      <c r="Q11" s="10">
        <v>145.04867735273871</v>
      </c>
      <c r="R11" s="10"/>
      <c r="S11" s="10"/>
      <c r="T11" s="10" t="s">
        <v>2387</v>
      </c>
      <c r="U11" s="10" t="s">
        <v>2387</v>
      </c>
      <c r="V11" s="10"/>
      <c r="W11" s="10"/>
      <c r="X11" s="10"/>
      <c r="Y11" s="10"/>
      <c r="Z11" s="10"/>
      <c r="AA11" s="10"/>
      <c r="AB11" s="10"/>
      <c r="AC11" s="10"/>
      <c r="AD11" s="10"/>
      <c r="AE11" s="10"/>
      <c r="AF11" t="s">
        <v>19</v>
      </c>
      <c r="AG11" t="s">
        <v>20</v>
      </c>
      <c r="AI11">
        <v>1</v>
      </c>
    </row>
    <row r="12" spans="1:37" ht="72.5">
      <c r="A12" t="s">
        <v>564</v>
      </c>
      <c r="B12" s="4" t="s">
        <v>1603</v>
      </c>
      <c r="C12" s="4" t="s">
        <v>1602</v>
      </c>
      <c r="G12" s="10" t="s">
        <v>25</v>
      </c>
      <c r="H12" s="10"/>
      <c r="I12" s="10">
        <v>1</v>
      </c>
      <c r="J12" s="10">
        <v>3</v>
      </c>
      <c r="K12" s="10" t="s">
        <v>2173</v>
      </c>
      <c r="L12" s="10" t="s">
        <v>2159</v>
      </c>
      <c r="M12" s="10"/>
      <c r="N12" s="11"/>
      <c r="O12" s="10"/>
      <c r="P12" s="10">
        <v>52</v>
      </c>
      <c r="Q12" s="10">
        <v>25.567902448618351</v>
      </c>
      <c r="R12" s="10"/>
      <c r="S12" s="10"/>
      <c r="T12" s="10" t="s">
        <v>2387</v>
      </c>
      <c r="U12" s="10" t="s">
        <v>2387</v>
      </c>
      <c r="V12" s="10"/>
      <c r="W12" s="10"/>
      <c r="X12" s="10"/>
      <c r="Y12" s="10"/>
      <c r="Z12" s="10"/>
      <c r="AA12" s="10"/>
      <c r="AB12" s="10"/>
      <c r="AC12" s="10"/>
      <c r="AD12" s="10"/>
      <c r="AE12" s="10"/>
      <c r="AF12" t="s">
        <v>20</v>
      </c>
      <c r="AG12" t="s">
        <v>20</v>
      </c>
      <c r="AI12">
        <v>0</v>
      </c>
    </row>
    <row r="13" spans="1:37" ht="29">
      <c r="A13" t="s">
        <v>653</v>
      </c>
      <c r="B13" s="4" t="s">
        <v>1808</v>
      </c>
      <c r="C13" s="4" t="s">
        <v>1809</v>
      </c>
      <c r="F13" t="s">
        <v>19</v>
      </c>
      <c r="G13" s="10" t="s">
        <v>25</v>
      </c>
      <c r="H13" s="10"/>
      <c r="I13" s="10">
        <v>1</v>
      </c>
      <c r="J13" s="10">
        <v>3</v>
      </c>
      <c r="K13" s="10" t="s">
        <v>2179</v>
      </c>
      <c r="L13" s="10" t="s">
        <v>2159</v>
      </c>
      <c r="M13" s="10"/>
      <c r="N13" s="11"/>
      <c r="O13" s="10"/>
      <c r="P13" s="10">
        <v>204</v>
      </c>
      <c r="Q13" s="10">
        <v>100.30484806765661</v>
      </c>
      <c r="R13" s="10"/>
      <c r="S13" s="10"/>
      <c r="T13" s="10" t="s">
        <v>2387</v>
      </c>
      <c r="U13" s="10" t="s">
        <v>2387</v>
      </c>
      <c r="V13" s="10"/>
      <c r="W13" s="10"/>
      <c r="X13" s="10"/>
      <c r="Y13" s="10"/>
      <c r="Z13" s="10"/>
      <c r="AA13" s="10"/>
      <c r="AB13" s="10"/>
      <c r="AC13" s="10"/>
      <c r="AD13" s="10"/>
      <c r="AE13" s="10"/>
      <c r="AF13" t="s">
        <v>20</v>
      </c>
      <c r="AG13" t="s">
        <v>20</v>
      </c>
      <c r="AI13">
        <v>0</v>
      </c>
    </row>
    <row r="14" spans="1:37" ht="72.5">
      <c r="A14" t="s">
        <v>687</v>
      </c>
      <c r="B14" s="4" t="s">
        <v>1871</v>
      </c>
      <c r="C14" s="6" t="s">
        <v>1874</v>
      </c>
      <c r="G14" s="10" t="s">
        <v>24</v>
      </c>
      <c r="H14" s="10"/>
      <c r="I14" s="10">
        <v>1</v>
      </c>
      <c r="J14" s="10">
        <v>4</v>
      </c>
      <c r="K14" s="10" t="s">
        <v>2219</v>
      </c>
      <c r="L14" s="10" t="s">
        <v>2159</v>
      </c>
      <c r="M14" s="10"/>
      <c r="N14" s="11"/>
      <c r="O14" s="10"/>
      <c r="P14" s="10">
        <v>295</v>
      </c>
      <c r="Q14" s="10">
        <v>145.04867735273871</v>
      </c>
      <c r="R14" s="10"/>
      <c r="S14" s="10"/>
      <c r="T14" s="10" t="s">
        <v>2387</v>
      </c>
      <c r="U14" s="10" t="s">
        <v>2387</v>
      </c>
      <c r="V14" s="10"/>
      <c r="W14" s="10"/>
      <c r="X14" s="10"/>
      <c r="Y14" s="10"/>
      <c r="Z14" s="10"/>
      <c r="AA14" s="10"/>
      <c r="AB14" s="10"/>
      <c r="AC14" s="10"/>
      <c r="AD14" s="10"/>
      <c r="AE14" s="10" t="s">
        <v>19</v>
      </c>
      <c r="AF14" t="s">
        <v>19</v>
      </c>
      <c r="AG14" t="s">
        <v>20</v>
      </c>
      <c r="AI14">
        <v>1</v>
      </c>
    </row>
    <row r="15" spans="1:37" ht="43.5">
      <c r="A15" t="s">
        <v>734</v>
      </c>
      <c r="B15" s="4" t="s">
        <v>1977</v>
      </c>
      <c r="C15" s="4" t="s">
        <v>1978</v>
      </c>
      <c r="G15" s="10" t="s">
        <v>25</v>
      </c>
      <c r="H15" s="10"/>
      <c r="I15" s="10">
        <v>1</v>
      </c>
      <c r="J15" s="10">
        <v>5</v>
      </c>
      <c r="K15" s="10" t="s">
        <v>2219</v>
      </c>
      <c r="L15" s="10" t="s">
        <v>2153</v>
      </c>
      <c r="M15" s="10" t="s">
        <v>2231</v>
      </c>
      <c r="N15" s="11" t="s">
        <v>2230</v>
      </c>
      <c r="O15" s="10"/>
      <c r="P15" s="10">
        <v>295</v>
      </c>
      <c r="Q15" s="10">
        <v>145.04867735273871</v>
      </c>
      <c r="R15" s="10"/>
      <c r="S15" s="10"/>
      <c r="T15" s="10" t="s">
        <v>2387</v>
      </c>
      <c r="U15" s="10" t="s">
        <v>2387</v>
      </c>
      <c r="V15" s="10"/>
      <c r="W15" s="10"/>
      <c r="X15" s="10"/>
      <c r="Y15" s="10"/>
      <c r="Z15" s="10"/>
      <c r="AA15" s="10"/>
      <c r="AB15" s="10"/>
      <c r="AC15" s="10"/>
      <c r="AD15" s="10"/>
      <c r="AE15" s="10"/>
      <c r="AF15" t="s">
        <v>19</v>
      </c>
      <c r="AG15" t="s">
        <v>20</v>
      </c>
      <c r="AI15">
        <v>1</v>
      </c>
    </row>
    <row r="18" spans="4:5">
      <c r="D18" t="s">
        <v>2384</v>
      </c>
      <c r="E18">
        <v>20338</v>
      </c>
    </row>
    <row r="19" spans="4:5">
      <c r="D19" t="s">
        <v>2389</v>
      </c>
      <c r="E19">
        <f>MEDIAN(Q:Q)</f>
        <v>81.866456878749148</v>
      </c>
    </row>
    <row r="22" spans="4:5">
      <c r="D22" t="s">
        <v>2390</v>
      </c>
      <c r="E22">
        <f>COUNTIFS(G:G, "Addition", Q:Q, "&gt;=" &amp; $E$19)</f>
        <v>2</v>
      </c>
    </row>
    <row r="23" spans="4:5">
      <c r="D23" t="s">
        <v>2391</v>
      </c>
      <c r="E23">
        <f>COUNTIFS(G:G, "Omission", Q:Q, "&gt;=" &amp; $E$19)</f>
        <v>5</v>
      </c>
    </row>
    <row r="24" spans="4:5">
      <c r="D24" t="s">
        <v>2392</v>
      </c>
      <c r="E24">
        <f>E22/(E22+E23)</f>
        <v>0.2857142857142857</v>
      </c>
    </row>
    <row r="25" spans="4:5">
      <c r="D25" t="s">
        <v>2393</v>
      </c>
      <c r="E25">
        <f>COUNTIFS(G:G, "Addition", Q:Q, "&lt;" &amp; $E$19)</f>
        <v>5</v>
      </c>
    </row>
    <row r="26" spans="4:5">
      <c r="D26" t="s">
        <v>2394</v>
      </c>
      <c r="E26">
        <f>COUNTIFS(G:G, "Omission", Q:Q, "&lt;" &amp; $E$19)</f>
        <v>2</v>
      </c>
    </row>
    <row r="27" spans="4:5">
      <c r="D27" t="s">
        <v>2395</v>
      </c>
      <c r="E27">
        <f>E25/(E25+E26)</f>
        <v>0.7142857142857143</v>
      </c>
    </row>
    <row r="28" spans="4:5">
      <c r="D28" t="s">
        <v>2409</v>
      </c>
      <c r="E28">
        <f>E24-E27</f>
        <v>-0.4285714285714286</v>
      </c>
    </row>
  </sheetData>
  <conditionalFormatting sqref="G2:G15">
    <cfRule type="expression" dxfId="54" priority="7">
      <formula>$I2&lt;&gt;""</formula>
    </cfRule>
    <cfRule type="expression" dxfId="53" priority="8">
      <formula>$I2=""</formula>
    </cfRule>
  </conditionalFormatting>
  <conditionalFormatting sqref="H2:L15 O2:P15">
    <cfRule type="expression" dxfId="52" priority="24">
      <formula>AND(OR($I2="Addition",$I2="Omission"), H2="")</formula>
    </cfRule>
    <cfRule type="expression" dxfId="51" priority="25">
      <formula>AND($I2&lt;&gt;"Addition",$I2&lt;&gt;"Omission",$I2&lt;&gt;"Substitution - Word")</formula>
    </cfRule>
  </conditionalFormatting>
  <conditionalFormatting sqref="H2:P15">
    <cfRule type="expression" dxfId="50" priority="23">
      <formula>AND(OR($I2="Addition",$I2="Omission"), H2&lt;&gt;"")</formula>
    </cfRule>
  </conditionalFormatting>
  <conditionalFormatting sqref="K2:K15">
    <cfRule type="expression" dxfId="49" priority="18">
      <formula>AND($K2&lt;&gt;"",$K2&gt;1)</formula>
    </cfRule>
  </conditionalFormatting>
  <conditionalFormatting sqref="M2:N15">
    <cfRule type="expression" dxfId="48" priority="14">
      <formula>$N2="Absent"</formula>
    </cfRule>
    <cfRule type="expression" dxfId="47" priority="15">
      <formula>$N2="NA"</formula>
    </cfRule>
    <cfRule type="expression" dxfId="46" priority="16">
      <formula>AND(OR($I2="Addition",$I2="Omission"), M2="")</formula>
    </cfRule>
    <cfRule type="expression" dxfId="45" priority="17">
      <formula>AND($I2&lt;&gt;"Addition",$I2&lt;&gt;"Omission")</formula>
    </cfRule>
  </conditionalFormatting>
  <conditionalFormatting sqref="O2:O15">
    <cfRule type="expression" dxfId="44" priority="19">
      <formula>OR($I2="Addition",$I2="Omission",$I2 = "Substitution - Word")</formula>
    </cfRule>
  </conditionalFormatting>
  <conditionalFormatting sqref="Q2:R15">
    <cfRule type="expression" dxfId="43" priority="1">
      <formula>AND(OR($I2="Addition",$I2="Omission"), Q2&lt;&gt;"")</formula>
    </cfRule>
    <cfRule type="expression" dxfId="42" priority="2">
      <formula>AND(OR($I2="Addition",$I2="Omission"), Q2="")</formula>
    </cfRule>
    <cfRule type="expression" dxfId="41" priority="3">
      <formula>AND($I2&lt;&gt;"Addition",$I2&lt;&gt;"Omission",$I2&lt;&gt;"Substitution - Word")</formula>
    </cfRule>
  </conditionalFormatting>
  <conditionalFormatting sqref="S2:U15">
    <cfRule type="expression" dxfId="40" priority="20">
      <formula>AND(AND(LEFT($I2,3)="Sub", RIGHT($I2,4)&lt;&gt;"Form"),$U2&lt;&gt;"")</formula>
    </cfRule>
    <cfRule type="expression" dxfId="39" priority="21">
      <formula>AND(AND(LEFT($I2,3)="Sub", RIGHT($I2,4)&lt;&gt;"Form"),$U2="")</formula>
    </cfRule>
    <cfRule type="expression" dxfId="38" priority="22">
      <formula>"&lt;&gt;AND(LEFT($J2,3)=""Sub"", RIGHT($J2,4)&lt;&gt;""Form"")"</formula>
    </cfRule>
  </conditionalFormatting>
  <conditionalFormatting sqref="T2:U15">
    <cfRule type="expression" dxfId="37" priority="4">
      <formula>AND(AND(LEFT($I2,3)="Sub", RIGHT($I2,4)&lt;&gt;"Form"),$U2&lt;&gt;"")</formula>
    </cfRule>
    <cfRule type="expression" dxfId="36" priority="5">
      <formula>AND(AND(LEFT($I2,3)="Sub", RIGHT($I2,4)&lt;&gt;"Form"),$U2="")</formula>
    </cfRule>
    <cfRule type="expression" dxfId="35" priority="6">
      <formula>"&lt;&gt;AND(LEFT($J2,3)=""Sub"", RIGHT($J2,4)&lt;&gt;""Form"")"</formula>
    </cfRule>
  </conditionalFormatting>
  <conditionalFormatting sqref="V2:V15">
    <cfRule type="expression" dxfId="34" priority="10">
      <formula>AND($X2&lt;&gt;"",OR($AE2="Yes",$AF2&lt;&gt;""))</formula>
    </cfRule>
    <cfRule type="expression" dxfId="33" priority="11">
      <formula>OR($AE2="Yes",$AF2&lt;&gt;"")</formula>
    </cfRule>
    <cfRule type="expression" dxfId="32" priority="28">
      <formula>AND($AE2&lt;&gt;"Yes",$AF2="")</formula>
    </cfRule>
  </conditionalFormatting>
  <conditionalFormatting sqref="V2:AE15">
    <cfRule type="expression" dxfId="31" priority="26">
      <formula>AND($I2&lt;&gt;"",$I2&lt;&gt;"Unclear due to correction")</formula>
    </cfRule>
    <cfRule type="expression" dxfId="30" priority="27">
      <formula>OR($I2="",$I2="Unclear due to correction")</formula>
    </cfRule>
  </conditionalFormatting>
  <conditionalFormatting sqref="W2:W15">
    <cfRule type="expression" dxfId="29" priority="9">
      <formula>AND($I2&lt;&gt;"",$I2&lt;&gt;"Unclear due to correction",$Y2="")</formula>
    </cfRule>
  </conditionalFormatting>
  <conditionalFormatting sqref="X2:X15">
    <cfRule type="expression" dxfId="28" priority="12">
      <formula>AND($Y2="Yes",$Z2="")</formula>
    </cfRule>
    <cfRule type="expression" dxfId="27" priority="13">
      <formula>$Y2=""</formula>
    </cfRule>
  </conditionalFormatting>
  <conditionalFormatting sqref="AC2:AC15">
    <cfRule type="expression" dxfId="26" priority="29">
      <formula>AND(OR($AC2&lt;&gt;"",$AD2&lt;&gt;""),$AE2="")</formula>
    </cfRule>
  </conditionalFormatting>
  <dataValidations count="1">
    <dataValidation allowBlank="1" showInputMessage="1" sqref="W3:W15" xr:uid="{6E86B0E2-953B-4E5B-B7EF-DB3EC6B67288}"/>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DAAAE725-BEA0-4C24-A6CB-6FED35279AB1}">
          <x14:formula1>
            <xm:f>'Data Regularization'!$Q$2:$Q$4</xm:f>
          </x14:formula1>
          <xm:sqref>AF2:AH3 AH4:AH15 AF4:AF15</xm:sqref>
        </x14:dataValidation>
        <x14:dataValidation type="list" allowBlank="1" showInputMessage="1" showErrorMessage="1" xr:uid="{6A2599E3-1124-4E54-88E2-74F557A12EAD}">
          <x14:formula1>
            <xm:f>'Data Regularization'!$D$2:$D$1048576</xm:f>
          </x14:formula1>
          <xm:sqref>G3:G15</xm:sqref>
        </x14:dataValidation>
        <x14:dataValidation type="list" allowBlank="1" showInputMessage="1" showErrorMessage="1" xr:uid="{A73C5D5C-102D-4970-9B23-3D4F7AB48802}">
          <x14:formula1>
            <xm:f>'Data Regularization'!$E$2:$E$1048576</xm:f>
          </x14:formula1>
          <xm:sqref>K3:K15</xm:sqref>
        </x14:dataValidation>
        <x14:dataValidation type="list" allowBlank="1" showInputMessage="1" showErrorMessage="1" xr:uid="{C146929E-2D36-4DE3-A3D6-D338CEAAB8C6}">
          <x14:formula1>
            <xm:f>'Data Regularization'!$F$2:$F$1048576</xm:f>
          </x14:formula1>
          <xm:sqref>L3:L15</xm:sqref>
        </x14:dataValidation>
        <x14:dataValidation type="list" allowBlank="1" showInputMessage="1" showErrorMessage="1" xr:uid="{7F713200-1F5F-4F78-A20E-9E8F4AB56DC0}">
          <x14:formula1>
            <xm:f>'Data Regularization'!$G$2:$G$1048576</xm:f>
          </x14:formula1>
          <xm:sqref>O3:O15</xm:sqref>
        </x14:dataValidation>
        <x14:dataValidation type="list" allowBlank="1" showInputMessage="1" showErrorMessage="1" xr:uid="{B868F2A3-A41E-496F-8217-2D0A8A5A7BE7}">
          <x14:formula1>
            <xm:f>'Data Regularization'!$K$2:$K$1048576</xm:f>
          </x14:formula1>
          <xm:sqref>X3:X15 V3:V15</xm:sqref>
        </x14:dataValidation>
        <x14:dataValidation type="list" allowBlank="1" showInputMessage="1" showErrorMessage="1" xr:uid="{0F58F394-9DB4-4C45-B209-8276FB65D78E}">
          <x14:formula1>
            <xm:f>'Data Regularization'!$L$2:$L$1048576</xm:f>
          </x14:formula1>
          <xm:sqref>Y3:Y15</xm:sqref>
        </x14:dataValidation>
        <x14:dataValidation type="list" allowBlank="1" showInputMessage="1" showErrorMessage="1" xr:uid="{9DDED841-C5E6-4E35-9D2B-919B09CC48CB}">
          <x14:formula1>
            <xm:f>'Data Regularization'!$M$2:$M$1048576</xm:f>
          </x14:formula1>
          <xm:sqref>Z3:Z15</xm:sqref>
        </x14:dataValidation>
        <x14:dataValidation type="list" allowBlank="1" showInputMessage="1" showErrorMessage="1" xr:uid="{DCB8564D-C4CF-4C0D-B303-6AFB0839A6B2}">
          <x14:formula1>
            <xm:f>'Data Regularization'!$N$2:$N$1048576</xm:f>
          </x14:formula1>
          <xm:sqref>AA3:AA15</xm:sqref>
        </x14:dataValidation>
        <x14:dataValidation type="list" allowBlank="1" showInputMessage="1" showErrorMessage="1" xr:uid="{D9BA29BD-6C9A-4AC5-B7FB-3E8C544242D7}">
          <x14:formula1>
            <xm:f>'Data Regularization'!$O$2:$O$1048576</xm:f>
          </x14:formula1>
          <xm:sqref>AC3:AC15</xm:sqref>
        </x14:dataValidation>
        <x14:dataValidation type="list" allowBlank="1" showInputMessage="1" showErrorMessage="1" xr:uid="{1B066512-7F0B-4CAA-8011-D6E1760E4346}">
          <x14:formula1>
            <xm:f>'Data Regularization'!$P$2:$P$1048576</xm:f>
          </x14:formula1>
          <xm:sqref>AD3:AD15</xm:sqref>
        </x14:dataValidation>
        <x14:dataValidation type="list" allowBlank="1" showInputMessage="1" showErrorMessage="1" xr:uid="{8A6381E5-DC1C-49E8-A58A-19A3E112A3BC}">
          <x14:formula1>
            <xm:f>'Data Regularization'!$Q$2:$Q$1048576</xm:f>
          </x14:formula1>
          <xm:sqref>AE3:AE15</xm:sqref>
        </x14:dataValidation>
        <x14:dataValidation type="list" allowBlank="1" showInputMessage="1" showErrorMessage="1" xr:uid="{265FE029-71A7-4C1C-A6A1-8C4CBC820567}">
          <x14:formula1>
            <xm:f>'Data Regularization'!$C$2:$C$29</xm:f>
          </x14:formula1>
          <xm:sqref>F2:F15</xm:sqref>
        </x14:dataValidation>
        <x14:dataValidation type="list" allowBlank="1" showInputMessage="1" showErrorMessage="1" xr:uid="{6488F1BF-9A19-4043-938D-0C9C3145D547}">
          <x14:formula1>
            <xm:f>'Data Regularization'!$A$2:$A$1048576</xm:f>
          </x14:formula1>
          <xm:sqref>D2:D15</xm:sqref>
        </x14:dataValidation>
        <x14:dataValidation type="list" allowBlank="1" showInputMessage="1" showErrorMessage="1" xr:uid="{7698B614-1DBC-4F60-AAF5-8DF3C34D2C0E}">
          <x14:formula1>
            <xm:f>'Data Regularization'!$B$2:$B$1048576</xm:f>
          </x14:formula1>
          <xm:sqref>E2:E15</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0AAD7-8327-4D8A-A98C-8C8C1376E3BE}">
  <dimension ref="A1:AJ49"/>
  <sheetViews>
    <sheetView workbookViewId="0">
      <pane xSplit="3" ySplit="1" topLeftCell="D22" activePane="bottomRight" state="frozen"/>
      <selection sqref="A1:XFD1"/>
      <selection pane="topRight" sqref="A1:XFD1"/>
      <selection pane="bottomLeft" sqref="A1:XFD1"/>
      <selection pane="bottomRight" activeCell="Q51" sqref="Q51"/>
    </sheetView>
  </sheetViews>
  <sheetFormatPr defaultRowHeight="14.5"/>
  <sheetData>
    <row r="1" spans="1:36" s="1" customFormat="1" ht="29">
      <c r="A1" s="1" t="s">
        <v>0</v>
      </c>
      <c r="B1" s="1" t="s">
        <v>5</v>
      </c>
      <c r="C1" s="3" t="s">
        <v>6</v>
      </c>
      <c r="D1" s="1" t="s">
        <v>2181</v>
      </c>
      <c r="E1" s="1" t="s">
        <v>2182</v>
      </c>
      <c r="F1" s="1" t="s">
        <v>2183</v>
      </c>
      <c r="G1" s="1" t="s">
        <v>3</v>
      </c>
      <c r="H1" s="1" t="s">
        <v>2184</v>
      </c>
      <c r="I1" s="1" t="s">
        <v>2185</v>
      </c>
      <c r="J1" s="1" t="s">
        <v>2186</v>
      </c>
      <c r="K1" s="1" t="s">
        <v>2187</v>
      </c>
      <c r="L1" s="1" t="s">
        <v>2146</v>
      </c>
      <c r="M1" s="1" t="s">
        <v>2188</v>
      </c>
      <c r="N1" s="9" t="s">
        <v>2189</v>
      </c>
      <c r="O1" s="1" t="s">
        <v>2147</v>
      </c>
      <c r="P1" s="1" t="s">
        <v>2190</v>
      </c>
      <c r="Q1" s="1" t="s">
        <v>2191</v>
      </c>
      <c r="R1" s="1" t="s">
        <v>2385</v>
      </c>
      <c r="S1" s="1" t="s">
        <v>2386</v>
      </c>
      <c r="T1" s="1" t="s">
        <v>2399</v>
      </c>
      <c r="U1" s="1" t="s">
        <v>2400</v>
      </c>
      <c r="V1" s="1" t="s">
        <v>2401</v>
      </c>
      <c r="W1" s="1" t="s">
        <v>2194</v>
      </c>
      <c r="X1" s="1" t="s">
        <v>2195</v>
      </c>
      <c r="Y1" s="1" t="s">
        <v>2196</v>
      </c>
      <c r="Z1" s="1" t="s">
        <v>2148</v>
      </c>
      <c r="AA1" s="1" t="s">
        <v>2149</v>
      </c>
      <c r="AB1" s="1" t="s">
        <v>2150</v>
      </c>
      <c r="AC1" s="1" t="s">
        <v>2192</v>
      </c>
      <c r="AD1" s="1" t="s">
        <v>2197</v>
      </c>
      <c r="AE1" s="1" t="s">
        <v>2151</v>
      </c>
      <c r="AF1" s="1" t="s">
        <v>2193</v>
      </c>
      <c r="AG1" s="1" t="s">
        <v>2215</v>
      </c>
      <c r="AH1" s="1" t="s">
        <v>2207</v>
      </c>
      <c r="AI1" s="1" t="s">
        <v>2214</v>
      </c>
    </row>
    <row r="2" spans="1:36" ht="43.5">
      <c r="A2" t="s">
        <v>73</v>
      </c>
      <c r="B2" s="4" t="s">
        <v>836</v>
      </c>
      <c r="C2" s="4" t="s">
        <v>835</v>
      </c>
      <c r="G2" s="10" t="s">
        <v>2199</v>
      </c>
      <c r="H2" s="10"/>
      <c r="I2" s="10"/>
      <c r="J2" s="10"/>
      <c r="K2" s="10"/>
      <c r="L2" s="10"/>
      <c r="M2" s="10"/>
      <c r="N2" s="11"/>
      <c r="O2" s="10"/>
      <c r="P2" s="10"/>
      <c r="Q2" s="10">
        <v>118</v>
      </c>
      <c r="R2" s="10">
        <v>11</v>
      </c>
      <c r="S2" s="10">
        <v>129</v>
      </c>
      <c r="T2" s="13">
        <f>IF(ISNUMBER(R2), (R2/$E$33)*10000, "")</f>
        <v>5.4085947487461903</v>
      </c>
      <c r="U2" s="13">
        <f>IF(ISNUMBER(S2), (S2/$E$33)*10000, "")</f>
        <v>63.428065689841674</v>
      </c>
      <c r="V2" s="13">
        <f>IF(ISNUMBER(Q2), U2-T2, "")</f>
        <v>58.019470941095484</v>
      </c>
      <c r="W2" s="10"/>
      <c r="X2" s="10"/>
      <c r="Y2" s="10"/>
      <c r="Z2" s="10"/>
      <c r="AA2" s="10"/>
      <c r="AB2" s="10"/>
      <c r="AC2" s="10"/>
      <c r="AD2" s="10"/>
      <c r="AE2" s="10"/>
      <c r="AF2" s="10"/>
      <c r="AG2" t="s">
        <v>19</v>
      </c>
      <c r="AH2" t="s">
        <v>20</v>
      </c>
      <c r="AI2" t="s">
        <v>20</v>
      </c>
      <c r="AJ2">
        <v>1</v>
      </c>
    </row>
    <row r="3" spans="1:36" ht="29">
      <c r="A3" t="s">
        <v>111</v>
      </c>
      <c r="B3" s="4" t="s">
        <v>871</v>
      </c>
      <c r="C3" s="4" t="s">
        <v>872</v>
      </c>
      <c r="G3" s="10" t="s">
        <v>2199</v>
      </c>
      <c r="H3" s="10"/>
      <c r="I3" s="10"/>
      <c r="J3" s="10"/>
      <c r="K3" s="10"/>
      <c r="L3" s="10"/>
      <c r="M3" s="10"/>
      <c r="N3" s="11"/>
      <c r="O3" s="10"/>
      <c r="P3" s="10"/>
      <c r="Q3" s="10">
        <v>-456</v>
      </c>
      <c r="R3" s="10">
        <v>768</v>
      </c>
      <c r="S3" s="10">
        <v>312</v>
      </c>
      <c r="T3" s="13">
        <f t="shared" ref="T3:T30" si="0">IF(ISNUMBER(R3), (R3/$E$33)*10000, "")</f>
        <v>377.6182515488249</v>
      </c>
      <c r="U3" s="13">
        <f t="shared" ref="U3:U30" si="1">IF(ISNUMBER(S3), (S3/$E$33)*10000, "")</f>
        <v>153.4074146917101</v>
      </c>
      <c r="V3" s="13">
        <f t="shared" ref="V3:V30" si="2">IF(ISNUMBER(Q3), U3-T3, "")</f>
        <v>-224.2108368571148</v>
      </c>
      <c r="W3" s="10"/>
      <c r="X3" s="10"/>
      <c r="Y3" s="10"/>
      <c r="Z3" s="10"/>
      <c r="AA3" s="10"/>
      <c r="AB3" s="10"/>
      <c r="AC3" s="10"/>
      <c r="AD3" s="10"/>
      <c r="AE3" s="10"/>
      <c r="AF3" s="10"/>
      <c r="AG3" t="s">
        <v>19</v>
      </c>
      <c r="AH3" t="s">
        <v>20</v>
      </c>
      <c r="AI3" t="s">
        <v>19</v>
      </c>
      <c r="AJ3">
        <v>1</v>
      </c>
    </row>
    <row r="4" spans="1:36" ht="43.5">
      <c r="A4" t="s">
        <v>115</v>
      </c>
      <c r="B4" s="4" t="s">
        <v>880</v>
      </c>
      <c r="C4" s="4" t="s">
        <v>879</v>
      </c>
      <c r="F4" t="s">
        <v>19</v>
      </c>
      <c r="G4" s="10" t="s">
        <v>2199</v>
      </c>
      <c r="H4" s="10"/>
      <c r="I4" s="10"/>
      <c r="J4" s="10"/>
      <c r="K4" s="10"/>
      <c r="L4" s="10"/>
      <c r="M4" s="10"/>
      <c r="N4" s="11"/>
      <c r="O4" s="10"/>
      <c r="P4" s="10"/>
      <c r="Q4" s="10">
        <v>-830</v>
      </c>
      <c r="R4" s="10">
        <v>830</v>
      </c>
      <c r="S4" s="10">
        <v>0</v>
      </c>
      <c r="T4" s="13">
        <f t="shared" si="0"/>
        <v>408.10305831448517</v>
      </c>
      <c r="U4" s="13">
        <f t="shared" si="1"/>
        <v>0</v>
      </c>
      <c r="V4" s="13">
        <f t="shared" si="2"/>
        <v>-408.10305831448517</v>
      </c>
      <c r="W4" s="10"/>
      <c r="X4" s="10"/>
      <c r="Y4" s="10"/>
      <c r="Z4" s="10"/>
      <c r="AA4" s="10"/>
      <c r="AB4" s="10"/>
      <c r="AC4" s="10"/>
      <c r="AD4" s="10"/>
      <c r="AE4" s="10"/>
      <c r="AF4" s="10"/>
      <c r="AG4" t="s">
        <v>20</v>
      </c>
      <c r="AH4" t="s">
        <v>20</v>
      </c>
      <c r="AJ4">
        <v>0</v>
      </c>
    </row>
    <row r="5" spans="1:36" ht="43.5">
      <c r="A5" t="s">
        <v>178</v>
      </c>
      <c r="B5" s="4" t="s">
        <v>954</v>
      </c>
      <c r="C5" s="4" t="s">
        <v>955</v>
      </c>
      <c r="G5" s="10" t="s">
        <v>2199</v>
      </c>
      <c r="H5" s="10"/>
      <c r="I5" s="10"/>
      <c r="J5" s="10"/>
      <c r="K5" s="10"/>
      <c r="L5" s="10"/>
      <c r="M5" s="10"/>
      <c r="N5" s="11"/>
      <c r="O5" s="10"/>
      <c r="P5" s="10"/>
      <c r="Q5" s="10">
        <v>118</v>
      </c>
      <c r="R5" s="10">
        <v>132</v>
      </c>
      <c r="S5" s="10">
        <v>250</v>
      </c>
      <c r="T5" s="13">
        <f t="shared" si="0"/>
        <v>64.903136984954273</v>
      </c>
      <c r="U5" s="13">
        <f t="shared" si="1"/>
        <v>122.92260792604976</v>
      </c>
      <c r="V5" s="13">
        <f t="shared" si="2"/>
        <v>58.019470941095491</v>
      </c>
      <c r="W5" s="10"/>
      <c r="X5" s="10"/>
      <c r="Y5" s="10"/>
      <c r="Z5" s="10"/>
      <c r="AA5" s="10"/>
      <c r="AB5" s="10"/>
      <c r="AC5" s="10"/>
      <c r="AD5" s="10"/>
      <c r="AE5" s="10"/>
      <c r="AF5" s="10"/>
      <c r="AG5" t="s">
        <v>19</v>
      </c>
      <c r="AH5" t="s">
        <v>20</v>
      </c>
      <c r="AJ5">
        <v>1</v>
      </c>
    </row>
    <row r="6" spans="1:36" ht="29">
      <c r="A6" t="s">
        <v>224</v>
      </c>
      <c r="B6" s="4" t="s">
        <v>225</v>
      </c>
      <c r="C6" s="4" t="s">
        <v>226</v>
      </c>
      <c r="G6" s="10" t="s">
        <v>2199</v>
      </c>
      <c r="H6" s="10"/>
      <c r="I6" s="10"/>
      <c r="J6" s="10"/>
      <c r="K6" s="10"/>
      <c r="L6" s="10"/>
      <c r="M6" s="10"/>
      <c r="N6" s="11"/>
      <c r="O6" s="10"/>
      <c r="P6" s="10"/>
      <c r="Q6" s="10">
        <v>2</v>
      </c>
      <c r="R6" s="10">
        <v>0</v>
      </c>
      <c r="S6" s="10">
        <v>2</v>
      </c>
      <c r="T6" s="13">
        <f t="shared" si="0"/>
        <v>0</v>
      </c>
      <c r="U6" s="13">
        <f t="shared" si="1"/>
        <v>0.98338086340839814</v>
      </c>
      <c r="V6" s="13">
        <f t="shared" si="2"/>
        <v>0.98338086340839814</v>
      </c>
      <c r="W6" s="10"/>
      <c r="X6" s="10"/>
      <c r="Y6" s="10"/>
      <c r="Z6" s="10"/>
      <c r="AA6" s="10"/>
      <c r="AB6" s="10"/>
      <c r="AC6" s="10"/>
      <c r="AD6" s="10"/>
      <c r="AE6" s="10"/>
      <c r="AF6" s="10"/>
      <c r="AG6" t="s">
        <v>20</v>
      </c>
      <c r="AH6" t="s">
        <v>20</v>
      </c>
      <c r="AJ6">
        <v>0</v>
      </c>
    </row>
    <row r="7" spans="1:36" ht="29">
      <c r="A7" t="s">
        <v>292</v>
      </c>
      <c r="B7" s="4" t="s">
        <v>1135</v>
      </c>
      <c r="C7" s="4" t="s">
        <v>1136</v>
      </c>
      <c r="G7" s="10" t="s">
        <v>2199</v>
      </c>
      <c r="H7" s="10"/>
      <c r="I7" s="10"/>
      <c r="J7" s="10"/>
      <c r="K7" s="10"/>
      <c r="L7" s="10"/>
      <c r="M7" s="10"/>
      <c r="N7" s="11"/>
      <c r="O7" s="10"/>
      <c r="P7" s="10"/>
      <c r="Q7" s="10">
        <v>-431</v>
      </c>
      <c r="R7" s="10">
        <v>743</v>
      </c>
      <c r="S7" s="10">
        <v>312</v>
      </c>
      <c r="T7" s="13">
        <f t="shared" si="0"/>
        <v>365.32599075621988</v>
      </c>
      <c r="U7" s="13">
        <f t="shared" si="1"/>
        <v>153.4074146917101</v>
      </c>
      <c r="V7" s="13">
        <f t="shared" si="2"/>
        <v>-211.91857606450978</v>
      </c>
      <c r="W7" s="10"/>
      <c r="X7" s="10"/>
      <c r="Y7" s="10"/>
      <c r="Z7" s="10"/>
      <c r="AA7" s="10"/>
      <c r="AB7" s="10"/>
      <c r="AC7" s="10"/>
      <c r="AD7" s="10"/>
      <c r="AE7" s="10"/>
      <c r="AF7" s="10"/>
      <c r="AG7" t="s">
        <v>19</v>
      </c>
      <c r="AH7" t="s">
        <v>20</v>
      </c>
      <c r="AJ7">
        <v>1</v>
      </c>
    </row>
    <row r="8" spans="1:36" ht="29">
      <c r="A8" t="s">
        <v>318</v>
      </c>
      <c r="B8" s="4" t="s">
        <v>1160</v>
      </c>
      <c r="C8" s="4" t="s">
        <v>1161</v>
      </c>
      <c r="F8" t="s">
        <v>19</v>
      </c>
      <c r="G8" s="10" t="s">
        <v>2199</v>
      </c>
      <c r="H8" s="10"/>
      <c r="I8" s="10"/>
      <c r="J8" s="10"/>
      <c r="K8" s="10"/>
      <c r="L8" s="10"/>
      <c r="M8" s="10"/>
      <c r="N8" s="11"/>
      <c r="O8" s="10"/>
      <c r="P8" s="10"/>
      <c r="Q8" s="10">
        <v>2</v>
      </c>
      <c r="R8" s="10">
        <v>1</v>
      </c>
      <c r="S8" s="10">
        <v>3</v>
      </c>
      <c r="T8" s="13">
        <f t="shared" si="0"/>
        <v>0.49169043170419907</v>
      </c>
      <c r="U8" s="13">
        <f t="shared" si="1"/>
        <v>1.4750712951125973</v>
      </c>
      <c r="V8" s="13">
        <f t="shared" si="2"/>
        <v>0.98338086340839825</v>
      </c>
      <c r="W8" s="10"/>
      <c r="X8" s="10"/>
      <c r="Y8" s="10"/>
      <c r="Z8" s="10"/>
      <c r="AA8" s="10"/>
      <c r="AB8" s="10"/>
      <c r="AC8" s="10"/>
      <c r="AD8" s="10"/>
      <c r="AE8" s="10"/>
      <c r="AF8" s="10"/>
      <c r="AG8" t="s">
        <v>19</v>
      </c>
      <c r="AH8" t="s">
        <v>20</v>
      </c>
      <c r="AJ8">
        <v>1</v>
      </c>
    </row>
    <row r="9" spans="1:36" ht="72.5">
      <c r="A9" t="s">
        <v>336</v>
      </c>
      <c r="B9" s="4" t="s">
        <v>1183</v>
      </c>
      <c r="C9" s="4" t="s">
        <v>1182</v>
      </c>
      <c r="G9" s="10" t="s">
        <v>2199</v>
      </c>
      <c r="H9" s="10"/>
      <c r="I9" s="10"/>
      <c r="J9" s="10"/>
      <c r="K9" s="10"/>
      <c r="L9" s="10"/>
      <c r="M9" s="10"/>
      <c r="N9" s="11"/>
      <c r="O9" s="10"/>
      <c r="P9" s="10"/>
      <c r="Q9" s="10">
        <v>-1530</v>
      </c>
      <c r="R9" s="10">
        <v>1701</v>
      </c>
      <c r="S9" s="10">
        <v>171</v>
      </c>
      <c r="T9" s="13">
        <f t="shared" si="0"/>
        <v>836.36542432884255</v>
      </c>
      <c r="U9" s="13">
        <f t="shared" si="1"/>
        <v>84.079063821418046</v>
      </c>
      <c r="V9" s="13">
        <f t="shared" si="2"/>
        <v>-752.28636050742455</v>
      </c>
      <c r="W9" s="10"/>
      <c r="X9" s="10"/>
      <c r="Y9" s="10"/>
      <c r="Z9" s="10"/>
      <c r="AA9" s="10"/>
      <c r="AB9" s="10"/>
      <c r="AC9" s="10"/>
      <c r="AD9" s="10"/>
      <c r="AE9" s="10"/>
      <c r="AF9" s="10"/>
      <c r="AG9" t="s">
        <v>19</v>
      </c>
      <c r="AH9" t="s">
        <v>20</v>
      </c>
      <c r="AJ9">
        <v>1</v>
      </c>
    </row>
    <row r="10" spans="1:36" ht="43.5">
      <c r="A10" t="s">
        <v>359</v>
      </c>
      <c r="B10" s="4" t="s">
        <v>1227</v>
      </c>
      <c r="C10" s="4" t="s">
        <v>361</v>
      </c>
      <c r="G10" s="10" t="s">
        <v>2199</v>
      </c>
      <c r="H10" s="10"/>
      <c r="I10" s="10"/>
      <c r="J10" s="10"/>
      <c r="K10" s="10"/>
      <c r="L10" s="10"/>
      <c r="M10" s="10"/>
      <c r="N10" s="11"/>
      <c r="O10" s="10"/>
      <c r="P10" s="10"/>
      <c r="Q10" s="10">
        <v>-1</v>
      </c>
      <c r="R10" s="10">
        <v>2</v>
      </c>
      <c r="S10" s="10">
        <v>1</v>
      </c>
      <c r="T10" s="13">
        <f t="shared" si="0"/>
        <v>0.98338086340839814</v>
      </c>
      <c r="U10" s="13">
        <f t="shared" si="1"/>
        <v>0.49169043170419907</v>
      </c>
      <c r="V10" s="13">
        <f t="shared" si="2"/>
        <v>-0.49169043170419907</v>
      </c>
      <c r="W10" s="10"/>
      <c r="X10" s="10"/>
      <c r="Y10" s="10"/>
      <c r="Z10" s="10"/>
      <c r="AA10" s="10"/>
      <c r="AB10" s="10"/>
      <c r="AC10" s="10"/>
      <c r="AD10" s="10"/>
      <c r="AE10" s="10"/>
      <c r="AF10" s="10"/>
      <c r="AG10" t="s">
        <v>19</v>
      </c>
      <c r="AH10" t="s">
        <v>20</v>
      </c>
      <c r="AJ10">
        <v>1</v>
      </c>
    </row>
    <row r="11" spans="1:36" ht="29">
      <c r="A11" t="s">
        <v>364</v>
      </c>
      <c r="B11" s="4" t="s">
        <v>1232</v>
      </c>
      <c r="C11" s="4" t="s">
        <v>1231</v>
      </c>
      <c r="G11" s="10" t="s">
        <v>2199</v>
      </c>
      <c r="H11" s="10"/>
      <c r="I11" s="10"/>
      <c r="J11" s="10"/>
      <c r="K11" s="10"/>
      <c r="L11" s="10"/>
      <c r="M11" s="10"/>
      <c r="N11" s="11"/>
      <c r="O11" s="10"/>
      <c r="P11" s="10"/>
      <c r="Q11" s="10">
        <v>-2195</v>
      </c>
      <c r="R11" s="10">
        <v>2475</v>
      </c>
      <c r="S11" s="10">
        <v>280</v>
      </c>
      <c r="T11" s="13">
        <f t="shared" si="0"/>
        <v>1216.9338184678927</v>
      </c>
      <c r="U11" s="13">
        <f t="shared" si="1"/>
        <v>137.67332087717574</v>
      </c>
      <c r="V11" s="13">
        <f t="shared" si="2"/>
        <v>-1079.260497590717</v>
      </c>
      <c r="W11" s="10"/>
      <c r="X11" s="10"/>
      <c r="Y11" s="10"/>
      <c r="Z11" s="10"/>
      <c r="AA11" s="10"/>
      <c r="AB11" s="10"/>
      <c r="AC11" s="10"/>
      <c r="AD11" s="10"/>
      <c r="AE11" s="10"/>
      <c r="AF11" s="10"/>
      <c r="AG11" t="s">
        <v>19</v>
      </c>
      <c r="AH11" t="s">
        <v>20</v>
      </c>
      <c r="AJ11">
        <v>1</v>
      </c>
    </row>
    <row r="12" spans="1:36">
      <c r="A12" t="s">
        <v>375</v>
      </c>
      <c r="B12" s="4" t="s">
        <v>376</v>
      </c>
      <c r="C12" s="4" t="s">
        <v>377</v>
      </c>
      <c r="G12" s="10" t="s">
        <v>2199</v>
      </c>
      <c r="H12" s="10"/>
      <c r="I12" s="10"/>
      <c r="J12" s="10"/>
      <c r="K12" s="10"/>
      <c r="L12" s="10"/>
      <c r="M12" s="10"/>
      <c r="N12" s="11"/>
      <c r="O12" s="10"/>
      <c r="P12" s="10"/>
      <c r="Q12" s="10">
        <v>8</v>
      </c>
      <c r="R12" s="10">
        <v>2</v>
      </c>
      <c r="S12" s="10">
        <v>10</v>
      </c>
      <c r="T12" s="13">
        <f t="shared" si="0"/>
        <v>0.98338086340839814</v>
      </c>
      <c r="U12" s="13">
        <f t="shared" si="1"/>
        <v>4.9169043170419897</v>
      </c>
      <c r="V12" s="13">
        <f t="shared" si="2"/>
        <v>3.9335234536335917</v>
      </c>
      <c r="W12" s="10"/>
      <c r="X12" s="10"/>
      <c r="Y12" s="10"/>
      <c r="Z12" s="10"/>
      <c r="AA12" s="10"/>
      <c r="AB12" s="10"/>
      <c r="AC12" s="10"/>
      <c r="AD12" s="10"/>
      <c r="AE12" s="10"/>
      <c r="AF12" s="10"/>
      <c r="AG12" t="s">
        <v>19</v>
      </c>
      <c r="AH12" t="s">
        <v>20</v>
      </c>
      <c r="AJ12">
        <v>1</v>
      </c>
    </row>
    <row r="13" spans="1:36" ht="43.5">
      <c r="A13" t="s">
        <v>414</v>
      </c>
      <c r="B13" s="4" t="s">
        <v>1315</v>
      </c>
      <c r="C13" s="4" t="s">
        <v>1316</v>
      </c>
      <c r="G13" s="10" t="s">
        <v>2199</v>
      </c>
      <c r="H13" s="10"/>
      <c r="I13" s="10"/>
      <c r="J13" s="10"/>
      <c r="K13" s="10"/>
      <c r="L13" s="10"/>
      <c r="M13" s="10"/>
      <c r="N13" s="11"/>
      <c r="O13" s="10"/>
      <c r="P13" s="10"/>
      <c r="Q13" s="10">
        <v>-67</v>
      </c>
      <c r="R13" s="10">
        <v>166</v>
      </c>
      <c r="S13" s="10">
        <v>99</v>
      </c>
      <c r="T13" s="13">
        <f t="shared" si="0"/>
        <v>81.620611662897048</v>
      </c>
      <c r="U13" s="13">
        <f t="shared" si="1"/>
        <v>48.677352738715705</v>
      </c>
      <c r="V13" s="13">
        <f t="shared" si="2"/>
        <v>-32.943258924181343</v>
      </c>
      <c r="W13" s="10"/>
      <c r="X13" s="10"/>
      <c r="Y13" s="10"/>
      <c r="Z13" s="10"/>
      <c r="AA13" s="10"/>
      <c r="AB13" s="10"/>
      <c r="AC13" s="10"/>
      <c r="AD13" s="10"/>
      <c r="AE13" s="10"/>
      <c r="AF13" s="10"/>
      <c r="AG13" t="s">
        <v>19</v>
      </c>
      <c r="AH13" t="s">
        <v>20</v>
      </c>
      <c r="AJ13">
        <v>1</v>
      </c>
    </row>
    <row r="14" spans="1:36" ht="29">
      <c r="A14" t="s">
        <v>416</v>
      </c>
      <c r="B14" s="4" t="s">
        <v>1325</v>
      </c>
      <c r="C14" s="4" t="s">
        <v>1326</v>
      </c>
      <c r="G14" s="10" t="s">
        <v>2199</v>
      </c>
      <c r="H14" s="10"/>
      <c r="I14" s="10"/>
      <c r="J14" s="10"/>
      <c r="K14" s="10"/>
      <c r="L14" s="10"/>
      <c r="M14" s="10"/>
      <c r="N14" s="11"/>
      <c r="O14" s="10"/>
      <c r="P14" s="10"/>
      <c r="Q14" s="10">
        <v>-1</v>
      </c>
      <c r="R14" s="10">
        <v>1</v>
      </c>
      <c r="S14" s="10">
        <v>0</v>
      </c>
      <c r="T14" s="13">
        <f t="shared" si="0"/>
        <v>0.49169043170419907</v>
      </c>
      <c r="U14" s="13">
        <f t="shared" si="1"/>
        <v>0</v>
      </c>
      <c r="V14" s="13">
        <f t="shared" si="2"/>
        <v>-0.49169043170419907</v>
      </c>
      <c r="W14" s="10"/>
      <c r="X14" s="10"/>
      <c r="Y14" s="10"/>
      <c r="Z14" s="10"/>
      <c r="AA14" s="10"/>
      <c r="AB14" s="10"/>
      <c r="AC14" s="10"/>
      <c r="AD14" s="10"/>
      <c r="AE14" s="10"/>
      <c r="AF14" s="10"/>
      <c r="AG14" t="s">
        <v>19</v>
      </c>
      <c r="AH14" t="s">
        <v>20</v>
      </c>
      <c r="AJ14">
        <v>1</v>
      </c>
    </row>
    <row r="15" spans="1:36" ht="43.5">
      <c r="A15" t="s">
        <v>467</v>
      </c>
      <c r="B15" s="4" t="s">
        <v>1392</v>
      </c>
      <c r="C15" s="4" t="s">
        <v>1393</v>
      </c>
      <c r="G15" s="10" t="s">
        <v>2199</v>
      </c>
      <c r="H15" s="10"/>
      <c r="I15" s="10"/>
      <c r="J15" s="10"/>
      <c r="K15" s="10"/>
      <c r="L15" s="10"/>
      <c r="M15" s="10"/>
      <c r="N15" s="11"/>
      <c r="O15" s="10"/>
      <c r="P15" s="10"/>
      <c r="Q15" s="10">
        <v>15</v>
      </c>
      <c r="R15" s="10">
        <v>171</v>
      </c>
      <c r="S15" s="10">
        <v>186</v>
      </c>
      <c r="T15" s="13">
        <f t="shared" si="0"/>
        <v>84.079063821418046</v>
      </c>
      <c r="U15" s="13">
        <f t="shared" si="1"/>
        <v>91.454420296981013</v>
      </c>
      <c r="V15" s="13">
        <f t="shared" si="2"/>
        <v>7.3753564755629668</v>
      </c>
      <c r="W15" s="10"/>
      <c r="X15" s="10"/>
      <c r="Y15" s="10"/>
      <c r="Z15" s="10"/>
      <c r="AA15" s="10"/>
      <c r="AB15" s="10"/>
      <c r="AC15" s="10"/>
      <c r="AD15" s="10"/>
      <c r="AE15" s="10"/>
      <c r="AF15" s="10"/>
      <c r="AG15" t="s">
        <v>19</v>
      </c>
      <c r="AH15" t="s">
        <v>20</v>
      </c>
      <c r="AJ15">
        <v>1</v>
      </c>
    </row>
    <row r="16" spans="1:36" ht="58">
      <c r="A16" t="s">
        <v>526</v>
      </c>
      <c r="B16" s="4" t="s">
        <v>1537</v>
      </c>
      <c r="C16" s="4" t="s">
        <v>1538</v>
      </c>
      <c r="G16" s="10" t="s">
        <v>2199</v>
      </c>
      <c r="H16" s="10"/>
      <c r="I16" s="10"/>
      <c r="J16" s="10"/>
      <c r="K16" s="10"/>
      <c r="L16" s="10"/>
      <c r="M16" s="10"/>
      <c r="N16" s="11"/>
      <c r="O16" s="10"/>
      <c r="P16" s="10"/>
      <c r="Q16" s="10">
        <v>-24</v>
      </c>
      <c r="R16" s="10">
        <v>29</v>
      </c>
      <c r="S16" s="10">
        <v>5</v>
      </c>
      <c r="T16" s="13">
        <f t="shared" si="0"/>
        <v>14.259022519421771</v>
      </c>
      <c r="U16" s="13">
        <f t="shared" si="1"/>
        <v>2.4584521585209949</v>
      </c>
      <c r="V16" s="13">
        <f t="shared" si="2"/>
        <v>-11.800570360900776</v>
      </c>
      <c r="W16" s="10"/>
      <c r="X16" s="10"/>
      <c r="Y16" s="10"/>
      <c r="Z16" s="10"/>
      <c r="AA16" s="10"/>
      <c r="AB16" s="10"/>
      <c r="AC16" s="10"/>
      <c r="AD16" s="10"/>
      <c r="AE16" s="10"/>
      <c r="AF16" s="10"/>
      <c r="AG16" t="s">
        <v>19</v>
      </c>
      <c r="AH16" t="s">
        <v>20</v>
      </c>
      <c r="AJ16">
        <v>1</v>
      </c>
    </row>
    <row r="17" spans="1:36" ht="29">
      <c r="A17" t="s">
        <v>529</v>
      </c>
      <c r="B17" s="4" t="s">
        <v>1545</v>
      </c>
      <c r="C17" s="4" t="s">
        <v>1546</v>
      </c>
      <c r="G17" s="10" t="s">
        <v>2199</v>
      </c>
      <c r="H17" s="10"/>
      <c r="I17" s="10"/>
      <c r="J17" s="10"/>
      <c r="K17" s="10"/>
      <c r="L17" s="10"/>
      <c r="M17" s="10"/>
      <c r="N17" s="11"/>
      <c r="O17" s="10"/>
      <c r="P17" s="10"/>
      <c r="Q17" s="10">
        <v>-121</v>
      </c>
      <c r="R17" s="10">
        <v>129</v>
      </c>
      <c r="S17" s="10">
        <v>8</v>
      </c>
      <c r="T17" s="13">
        <f t="shared" si="0"/>
        <v>63.428065689841674</v>
      </c>
      <c r="U17" s="13">
        <f t="shared" si="1"/>
        <v>3.9335234536335926</v>
      </c>
      <c r="V17" s="13">
        <f t="shared" si="2"/>
        <v>-59.494542236208083</v>
      </c>
      <c r="W17" s="10"/>
      <c r="X17" s="10"/>
      <c r="Y17" s="10"/>
      <c r="Z17" s="10"/>
      <c r="AA17" s="10"/>
      <c r="AB17" s="10"/>
      <c r="AC17" s="10"/>
      <c r="AD17" s="10"/>
      <c r="AE17" s="10"/>
      <c r="AF17" s="10"/>
      <c r="AG17" t="s">
        <v>19</v>
      </c>
      <c r="AH17" t="s">
        <v>20</v>
      </c>
      <c r="AJ17">
        <v>1</v>
      </c>
    </row>
    <row r="18" spans="1:36" ht="43.5">
      <c r="A18" t="s">
        <v>546</v>
      </c>
      <c r="B18" s="4" t="s">
        <v>1584</v>
      </c>
      <c r="C18" s="4" t="s">
        <v>1585</v>
      </c>
      <c r="G18" s="10" t="s">
        <v>2199</v>
      </c>
      <c r="H18" s="10"/>
      <c r="I18" s="10"/>
      <c r="J18" s="10"/>
      <c r="K18" s="10"/>
      <c r="L18" s="10"/>
      <c r="M18" s="10"/>
      <c r="N18" s="11"/>
      <c r="O18" s="10"/>
      <c r="P18" s="10"/>
      <c r="Q18" s="10">
        <v>-1</v>
      </c>
      <c r="R18" s="10">
        <v>1</v>
      </c>
      <c r="S18" s="10">
        <v>0</v>
      </c>
      <c r="T18" s="13">
        <f t="shared" si="0"/>
        <v>0.49169043170419907</v>
      </c>
      <c r="U18" s="13">
        <f t="shared" si="1"/>
        <v>0</v>
      </c>
      <c r="V18" s="13">
        <f t="shared" si="2"/>
        <v>-0.49169043170419907</v>
      </c>
      <c r="W18" s="10"/>
      <c r="X18" s="10"/>
      <c r="Y18" s="10"/>
      <c r="Z18" s="10"/>
      <c r="AA18" s="10"/>
      <c r="AB18" s="10"/>
      <c r="AC18" s="10"/>
      <c r="AD18" s="10"/>
      <c r="AE18" s="10"/>
      <c r="AF18" s="10"/>
      <c r="AG18" t="s">
        <v>19</v>
      </c>
      <c r="AH18" t="s">
        <v>20</v>
      </c>
      <c r="AJ18">
        <v>1</v>
      </c>
    </row>
    <row r="19" spans="1:36" ht="72.5">
      <c r="A19" t="s">
        <v>587</v>
      </c>
      <c r="B19" s="4" t="s">
        <v>1658</v>
      </c>
      <c r="C19" s="4" t="s">
        <v>1659</v>
      </c>
      <c r="G19" s="10" t="s">
        <v>2199</v>
      </c>
      <c r="H19" s="10"/>
      <c r="I19" s="10"/>
      <c r="J19" s="10"/>
      <c r="K19" s="10"/>
      <c r="L19" s="10"/>
      <c r="M19" s="10"/>
      <c r="N19" s="11"/>
      <c r="O19" s="10"/>
      <c r="P19" s="10"/>
      <c r="Q19" s="10">
        <v>196</v>
      </c>
      <c r="R19" s="10">
        <v>8</v>
      </c>
      <c r="S19" s="10">
        <v>204</v>
      </c>
      <c r="T19" s="13">
        <f t="shared" si="0"/>
        <v>3.9335234536335926</v>
      </c>
      <c r="U19" s="13">
        <f t="shared" si="1"/>
        <v>100.30484806765661</v>
      </c>
      <c r="V19" s="13">
        <f t="shared" si="2"/>
        <v>96.37132461402301</v>
      </c>
      <c r="W19" s="10"/>
      <c r="X19" s="10"/>
      <c r="Y19" s="10"/>
      <c r="Z19" s="10"/>
      <c r="AA19" s="10"/>
      <c r="AB19" s="10"/>
      <c r="AC19" s="10"/>
      <c r="AD19" s="10"/>
      <c r="AE19" s="10"/>
      <c r="AF19" s="10"/>
      <c r="AG19" t="s">
        <v>19</v>
      </c>
      <c r="AH19" t="s">
        <v>20</v>
      </c>
      <c r="AJ19">
        <v>1</v>
      </c>
    </row>
    <row r="20" spans="1:36" ht="29">
      <c r="A20" t="s">
        <v>603</v>
      </c>
      <c r="B20" s="4" t="s">
        <v>1695</v>
      </c>
      <c r="C20" s="4" t="s">
        <v>1696</v>
      </c>
      <c r="G20" s="10" t="s">
        <v>2199</v>
      </c>
      <c r="H20" s="10"/>
      <c r="I20" s="10"/>
      <c r="J20" s="10"/>
      <c r="K20" s="10"/>
      <c r="L20" s="10"/>
      <c r="M20" s="10"/>
      <c r="N20" s="11"/>
      <c r="O20" s="10"/>
      <c r="P20" s="10"/>
      <c r="Q20" s="10">
        <v>-1088</v>
      </c>
      <c r="R20" s="10">
        <v>1701</v>
      </c>
      <c r="S20" s="10">
        <v>613</v>
      </c>
      <c r="T20" s="13">
        <f t="shared" si="0"/>
        <v>836.36542432884255</v>
      </c>
      <c r="U20" s="13">
        <f t="shared" si="1"/>
        <v>301.40623463467404</v>
      </c>
      <c r="V20" s="13">
        <f t="shared" si="2"/>
        <v>-534.95918969416857</v>
      </c>
      <c r="W20" s="10"/>
      <c r="X20" s="10"/>
      <c r="Y20" s="10"/>
      <c r="Z20" s="10"/>
      <c r="AA20" s="10"/>
      <c r="AB20" s="10"/>
      <c r="AC20" s="10"/>
      <c r="AD20" s="10"/>
      <c r="AE20" s="10"/>
      <c r="AF20" s="10"/>
      <c r="AG20" t="s">
        <v>19</v>
      </c>
      <c r="AH20" t="s">
        <v>20</v>
      </c>
      <c r="AJ20">
        <v>1</v>
      </c>
    </row>
    <row r="21" spans="1:36" ht="29">
      <c r="A21" t="s">
        <v>676</v>
      </c>
      <c r="B21" s="4" t="s">
        <v>677</v>
      </c>
      <c r="C21" s="4" t="s">
        <v>678</v>
      </c>
      <c r="G21" s="10" t="s">
        <v>2199</v>
      </c>
      <c r="H21" s="10"/>
      <c r="I21" s="10"/>
      <c r="J21" s="10"/>
      <c r="K21" s="10"/>
      <c r="L21" s="10"/>
      <c r="M21" s="10"/>
      <c r="N21" s="10"/>
      <c r="O21" s="10"/>
      <c r="P21" s="10"/>
      <c r="Q21" s="10">
        <v>-1</v>
      </c>
      <c r="R21" s="10">
        <v>1</v>
      </c>
      <c r="S21" s="10">
        <v>0</v>
      </c>
      <c r="T21" s="13">
        <f t="shared" si="0"/>
        <v>0.49169043170419907</v>
      </c>
      <c r="U21" s="13">
        <f t="shared" si="1"/>
        <v>0</v>
      </c>
      <c r="V21" s="13">
        <f t="shared" si="2"/>
        <v>-0.49169043170419907</v>
      </c>
      <c r="W21" s="10"/>
      <c r="X21" s="10"/>
      <c r="Y21" s="10"/>
      <c r="Z21" s="10"/>
      <c r="AA21" s="10"/>
      <c r="AB21" s="10"/>
      <c r="AC21" s="10"/>
      <c r="AD21" s="10"/>
      <c r="AE21" s="10"/>
      <c r="AF21" s="10"/>
      <c r="AG21" t="s">
        <v>20</v>
      </c>
      <c r="AH21" t="s">
        <v>20</v>
      </c>
      <c r="AJ21">
        <v>0</v>
      </c>
    </row>
    <row r="22" spans="1:36" ht="58">
      <c r="A22" t="s">
        <v>693</v>
      </c>
      <c r="B22" s="4" t="s">
        <v>1893</v>
      </c>
      <c r="C22" s="4" t="s">
        <v>1894</v>
      </c>
      <c r="G22" s="10" t="s">
        <v>2199</v>
      </c>
      <c r="H22" s="10"/>
      <c r="I22" s="10"/>
      <c r="J22" s="10"/>
      <c r="K22" s="10"/>
      <c r="L22" s="10"/>
      <c r="M22" s="10"/>
      <c r="N22" s="10"/>
      <c r="O22" s="10"/>
      <c r="P22" s="10"/>
      <c r="Q22" s="10">
        <v>-2</v>
      </c>
      <c r="R22" s="10">
        <v>3</v>
      </c>
      <c r="S22" s="10">
        <v>1</v>
      </c>
      <c r="T22" s="13">
        <f t="shared" si="0"/>
        <v>1.4750712951125973</v>
      </c>
      <c r="U22" s="13">
        <f t="shared" si="1"/>
        <v>0.49169043170419907</v>
      </c>
      <c r="V22" s="13">
        <f t="shared" si="2"/>
        <v>-0.98338086340839825</v>
      </c>
      <c r="W22" s="10"/>
      <c r="X22" s="10"/>
      <c r="Y22" s="10"/>
      <c r="Z22" s="10"/>
      <c r="AA22" s="10"/>
      <c r="AB22" s="10"/>
      <c r="AC22" s="10"/>
      <c r="AD22" s="10"/>
      <c r="AE22" s="10"/>
      <c r="AF22" s="10"/>
      <c r="AG22" t="s">
        <v>19</v>
      </c>
      <c r="AH22" t="s">
        <v>20</v>
      </c>
      <c r="AJ22">
        <v>1</v>
      </c>
    </row>
    <row r="23" spans="1:36" ht="29">
      <c r="A23" t="s">
        <v>710</v>
      </c>
      <c r="B23" s="4" t="s">
        <v>711</v>
      </c>
      <c r="C23" s="4" t="s">
        <v>712</v>
      </c>
      <c r="G23" s="10" t="s">
        <v>2199</v>
      </c>
      <c r="H23" s="10"/>
      <c r="I23" s="10"/>
      <c r="J23" s="10"/>
      <c r="K23" s="10"/>
      <c r="L23" s="10"/>
      <c r="M23" s="10"/>
      <c r="N23" s="11"/>
      <c r="O23" s="10"/>
      <c r="P23" s="10"/>
      <c r="Q23" s="10">
        <v>-1</v>
      </c>
      <c r="R23" s="10">
        <v>1</v>
      </c>
      <c r="S23" s="10">
        <v>0</v>
      </c>
      <c r="T23" s="13">
        <f t="shared" si="0"/>
        <v>0.49169043170419907</v>
      </c>
      <c r="U23" s="13">
        <f t="shared" si="1"/>
        <v>0</v>
      </c>
      <c r="V23" s="13">
        <f t="shared" si="2"/>
        <v>-0.49169043170419907</v>
      </c>
      <c r="W23" s="10"/>
      <c r="X23" s="10"/>
      <c r="Y23" s="10"/>
      <c r="Z23" s="10"/>
      <c r="AA23" s="10"/>
      <c r="AB23" s="10"/>
      <c r="AC23" s="10"/>
      <c r="AD23" s="10"/>
      <c r="AE23" s="10"/>
      <c r="AF23" s="10"/>
      <c r="AG23" t="s">
        <v>19</v>
      </c>
      <c r="AH23" t="s">
        <v>20</v>
      </c>
      <c r="AJ23">
        <v>1</v>
      </c>
    </row>
    <row r="24" spans="1:36" ht="43.5">
      <c r="A24" t="s">
        <v>723</v>
      </c>
      <c r="B24" s="4" t="s">
        <v>1968</v>
      </c>
      <c r="C24" s="4" t="s">
        <v>1967</v>
      </c>
      <c r="G24" s="10" t="s">
        <v>2199</v>
      </c>
      <c r="H24" s="10"/>
      <c r="I24" s="10"/>
      <c r="J24" s="10"/>
      <c r="K24" s="10"/>
      <c r="L24" s="10"/>
      <c r="M24" s="10"/>
      <c r="N24" s="11"/>
      <c r="O24" s="10"/>
      <c r="P24" s="10"/>
      <c r="Q24" s="10">
        <v>-1862</v>
      </c>
      <c r="R24" s="10">
        <v>2475</v>
      </c>
      <c r="S24" s="10">
        <v>613</v>
      </c>
      <c r="T24" s="13">
        <f t="shared" si="0"/>
        <v>1216.9338184678927</v>
      </c>
      <c r="U24" s="13">
        <f t="shared" si="1"/>
        <v>301.40623463467404</v>
      </c>
      <c r="V24" s="13">
        <f t="shared" si="2"/>
        <v>-915.52758383321861</v>
      </c>
      <c r="W24" s="10"/>
      <c r="X24" s="10"/>
      <c r="Y24" s="10"/>
      <c r="Z24" s="10"/>
      <c r="AA24" s="10"/>
      <c r="AB24" s="10"/>
      <c r="AC24" s="10"/>
      <c r="AD24" s="10"/>
      <c r="AE24" s="10"/>
      <c r="AF24" s="10"/>
      <c r="AG24" t="s">
        <v>19</v>
      </c>
      <c r="AH24" t="s">
        <v>20</v>
      </c>
      <c r="AJ24">
        <v>1</v>
      </c>
    </row>
    <row r="25" spans="1:36" ht="29">
      <c r="A25" t="s">
        <v>735</v>
      </c>
      <c r="B25" s="4" t="s">
        <v>738</v>
      </c>
      <c r="C25" s="4" t="s">
        <v>739</v>
      </c>
      <c r="G25" s="10" t="s">
        <v>2199</v>
      </c>
      <c r="H25" s="10"/>
      <c r="I25" s="10"/>
      <c r="J25" s="10"/>
      <c r="K25" s="10"/>
      <c r="L25" s="10"/>
      <c r="M25" s="10"/>
      <c r="N25" s="11"/>
      <c r="O25" s="10"/>
      <c r="P25" s="10"/>
      <c r="Q25" s="10">
        <v>-2</v>
      </c>
      <c r="R25" s="10">
        <v>2</v>
      </c>
      <c r="S25" s="10">
        <v>0</v>
      </c>
      <c r="T25" s="13">
        <f t="shared" si="0"/>
        <v>0.98338086340839814</v>
      </c>
      <c r="U25" s="13">
        <f t="shared" si="1"/>
        <v>0</v>
      </c>
      <c r="V25" s="13">
        <f t="shared" si="2"/>
        <v>-0.98338086340839814</v>
      </c>
      <c r="W25" s="10"/>
      <c r="X25" s="10"/>
      <c r="Y25" s="10"/>
      <c r="Z25" s="10"/>
      <c r="AA25" s="10"/>
      <c r="AB25" s="10"/>
      <c r="AC25" s="10"/>
      <c r="AD25" s="10"/>
      <c r="AE25" s="10"/>
      <c r="AF25" s="10"/>
      <c r="AG25" t="s">
        <v>19</v>
      </c>
      <c r="AH25" t="s">
        <v>20</v>
      </c>
      <c r="AJ25">
        <v>1</v>
      </c>
    </row>
    <row r="26" spans="1:36" ht="87">
      <c r="A26" t="s">
        <v>741</v>
      </c>
      <c r="B26" s="4" t="s">
        <v>1984</v>
      </c>
      <c r="C26" s="4" t="s">
        <v>1983</v>
      </c>
      <c r="G26" s="10" t="s">
        <v>2199</v>
      </c>
      <c r="H26" s="10"/>
      <c r="I26" s="10"/>
      <c r="J26" s="10"/>
      <c r="K26" s="10"/>
      <c r="L26" s="10"/>
      <c r="M26" s="10"/>
      <c r="N26" s="11"/>
      <c r="O26" s="10"/>
      <c r="P26" s="10"/>
      <c r="Q26" s="10">
        <v>1615</v>
      </c>
      <c r="R26" s="10">
        <v>86</v>
      </c>
      <c r="S26" s="10">
        <v>1701</v>
      </c>
      <c r="T26" s="13">
        <f t="shared" si="0"/>
        <v>42.285377126561116</v>
      </c>
      <c r="U26" s="13">
        <f t="shared" si="1"/>
        <v>836.36542432884255</v>
      </c>
      <c r="V26" s="13">
        <f t="shared" si="2"/>
        <v>794.08004720228143</v>
      </c>
      <c r="W26" s="10"/>
      <c r="X26" s="10"/>
      <c r="Y26" s="10"/>
      <c r="Z26" s="10"/>
      <c r="AA26" s="10"/>
      <c r="AB26" s="10"/>
      <c r="AC26" s="10"/>
      <c r="AD26" s="10"/>
      <c r="AE26" s="10"/>
      <c r="AF26" s="10"/>
      <c r="AG26" t="s">
        <v>19</v>
      </c>
      <c r="AH26" t="s">
        <v>20</v>
      </c>
      <c r="AJ26">
        <v>1</v>
      </c>
    </row>
    <row r="27" spans="1:36" ht="58">
      <c r="A27" t="s">
        <v>746</v>
      </c>
      <c r="B27" s="4" t="s">
        <v>2448</v>
      </c>
      <c r="C27" s="4" t="s">
        <v>2319</v>
      </c>
      <c r="G27" s="10" t="s">
        <v>2199</v>
      </c>
      <c r="H27" s="10"/>
      <c r="I27" s="10"/>
      <c r="J27" s="10"/>
      <c r="K27" s="10"/>
      <c r="L27" s="10"/>
      <c r="M27" s="10"/>
      <c r="N27" s="11"/>
      <c r="O27" s="10"/>
      <c r="P27" s="10"/>
      <c r="Q27" s="10">
        <v>-249</v>
      </c>
      <c r="R27" s="10">
        <v>280</v>
      </c>
      <c r="S27" s="10">
        <v>31</v>
      </c>
      <c r="T27" s="13">
        <f t="shared" si="0"/>
        <v>137.67332087717574</v>
      </c>
      <c r="U27" s="13">
        <f t="shared" si="1"/>
        <v>15.242403382830171</v>
      </c>
      <c r="V27" s="13">
        <f t="shared" si="2"/>
        <v>-122.43091749434556</v>
      </c>
      <c r="W27" s="10"/>
      <c r="X27" s="10"/>
      <c r="Y27" s="10"/>
      <c r="Z27" s="10"/>
      <c r="AA27" s="10"/>
      <c r="AB27" s="10"/>
      <c r="AC27" s="10"/>
      <c r="AD27" s="10"/>
      <c r="AE27" s="10"/>
      <c r="AF27" s="10"/>
      <c r="AG27" t="s">
        <v>19</v>
      </c>
      <c r="AH27" t="s">
        <v>20</v>
      </c>
      <c r="AJ27">
        <v>1</v>
      </c>
    </row>
    <row r="28" spans="1:36" ht="58">
      <c r="A28" t="s">
        <v>775</v>
      </c>
      <c r="B28" s="4" t="s">
        <v>2059</v>
      </c>
      <c r="C28" s="4" t="s">
        <v>2058</v>
      </c>
      <c r="G28" s="10" t="s">
        <v>2199</v>
      </c>
      <c r="H28" s="10"/>
      <c r="I28" s="10"/>
      <c r="J28" s="10"/>
      <c r="K28" s="10"/>
      <c r="L28" s="10"/>
      <c r="M28" s="10"/>
      <c r="N28" s="11"/>
      <c r="O28" s="10"/>
      <c r="P28" s="10"/>
      <c r="Q28" s="10">
        <v>1530</v>
      </c>
      <c r="R28" s="10">
        <v>171</v>
      </c>
      <c r="S28" s="10">
        <v>1701</v>
      </c>
      <c r="T28" s="13">
        <f t="shared" si="0"/>
        <v>84.079063821418046</v>
      </c>
      <c r="U28" s="13">
        <f t="shared" si="1"/>
        <v>836.36542432884255</v>
      </c>
      <c r="V28" s="13">
        <f t="shared" si="2"/>
        <v>752.28636050742455</v>
      </c>
      <c r="W28" s="10"/>
      <c r="X28" s="10"/>
      <c r="Y28" s="10"/>
      <c r="Z28" s="10"/>
      <c r="AA28" s="10"/>
      <c r="AB28" s="10"/>
      <c r="AC28" s="10"/>
      <c r="AD28" s="10"/>
      <c r="AE28" s="10"/>
      <c r="AF28" s="10"/>
      <c r="AG28" t="s">
        <v>19</v>
      </c>
      <c r="AH28" t="s">
        <v>20</v>
      </c>
      <c r="AJ28">
        <v>1</v>
      </c>
    </row>
    <row r="29" spans="1:36" ht="43.5">
      <c r="A29" t="s">
        <v>804</v>
      </c>
      <c r="B29" s="4" t="s">
        <v>2124</v>
      </c>
      <c r="C29" s="4" t="s">
        <v>2123</v>
      </c>
      <c r="G29" s="10" t="s">
        <v>2199</v>
      </c>
      <c r="H29" s="10"/>
      <c r="I29" s="10"/>
      <c r="J29" s="10"/>
      <c r="K29" s="10"/>
      <c r="L29" s="10"/>
      <c r="M29" s="10"/>
      <c r="N29" s="11"/>
      <c r="O29" s="10"/>
      <c r="P29" s="10"/>
      <c r="Q29" s="10">
        <v>447</v>
      </c>
      <c r="R29" s="10">
        <v>166</v>
      </c>
      <c r="S29" s="10">
        <v>613</v>
      </c>
      <c r="T29" s="13">
        <f t="shared" si="0"/>
        <v>81.620611662897048</v>
      </c>
      <c r="U29" s="13">
        <f t="shared" si="1"/>
        <v>301.40623463467404</v>
      </c>
      <c r="V29" s="13">
        <f t="shared" si="2"/>
        <v>219.785622971777</v>
      </c>
      <c r="W29" s="10"/>
      <c r="X29" s="10"/>
      <c r="Y29" s="10"/>
      <c r="Z29" s="10"/>
      <c r="AA29" s="10"/>
      <c r="AB29" s="10"/>
      <c r="AC29" s="10"/>
      <c r="AD29" s="10"/>
      <c r="AE29" s="10"/>
      <c r="AF29" s="10"/>
      <c r="AG29" t="s">
        <v>19</v>
      </c>
      <c r="AH29" t="s">
        <v>20</v>
      </c>
      <c r="AJ29">
        <v>1</v>
      </c>
    </row>
    <row r="30" spans="1:36" ht="29">
      <c r="A30" t="s">
        <v>810</v>
      </c>
      <c r="B30" s="4" t="s">
        <v>2136</v>
      </c>
      <c r="C30" s="4" t="s">
        <v>2137</v>
      </c>
      <c r="G30" s="10" t="s">
        <v>2199</v>
      </c>
      <c r="H30" s="10"/>
      <c r="I30" s="10"/>
      <c r="J30" s="10"/>
      <c r="K30" s="10"/>
      <c r="L30" s="10"/>
      <c r="M30" s="10"/>
      <c r="N30" s="11"/>
      <c r="O30" s="10"/>
      <c r="P30" s="10"/>
      <c r="Q30" s="10">
        <v>1645</v>
      </c>
      <c r="R30" s="10">
        <v>830</v>
      </c>
      <c r="S30" s="10">
        <v>2475</v>
      </c>
      <c r="T30" s="13">
        <f t="shared" si="0"/>
        <v>408.10305831448517</v>
      </c>
      <c r="U30" s="13">
        <f t="shared" si="1"/>
        <v>1216.9338184678927</v>
      </c>
      <c r="V30" s="13">
        <f t="shared" si="2"/>
        <v>808.83076015340748</v>
      </c>
      <c r="W30" s="10"/>
      <c r="X30" s="10"/>
      <c r="Y30" s="10"/>
      <c r="Z30" s="10"/>
      <c r="AA30" s="10"/>
      <c r="AB30" s="10"/>
      <c r="AC30" s="10"/>
      <c r="AD30" s="10"/>
      <c r="AE30" s="10"/>
      <c r="AF30" s="10"/>
      <c r="AG30" t="s">
        <v>20</v>
      </c>
      <c r="AH30" t="s">
        <v>20</v>
      </c>
      <c r="AJ30">
        <v>0</v>
      </c>
    </row>
    <row r="33" spans="4:5">
      <c r="D33" t="s">
        <v>2384</v>
      </c>
      <c r="E33">
        <v>20338</v>
      </c>
    </row>
    <row r="36" spans="4:5">
      <c r="D36" t="s">
        <v>2402</v>
      </c>
      <c r="E36">
        <f>COUNTIF(Q:Q, "&gt;0")</f>
        <v>11</v>
      </c>
    </row>
    <row r="37" spans="4:5">
      <c r="D37" t="s">
        <v>2403</v>
      </c>
      <c r="E37">
        <f>COUNTIF(Q:Q, "&lt;0")</f>
        <v>18</v>
      </c>
    </row>
    <row r="38" spans="4:5">
      <c r="D38" t="s">
        <v>2404</v>
      </c>
      <c r="E38">
        <f>_xlfn.BINOM.DIST(MIN(E36,E37),(E36+E37),0.5,TRUE)*2</f>
        <v>0.26493089646101003</v>
      </c>
    </row>
    <row r="40" spans="4:5">
      <c r="D40" t="s">
        <v>2405</v>
      </c>
      <c r="E40">
        <f>AVERAGE(Q:Q)</f>
        <v>-109.17241379310344</v>
      </c>
    </row>
    <row r="41" spans="4:5">
      <c r="D41" t="s">
        <v>2406</v>
      </c>
      <c r="E41">
        <f>_xlfn.STDEV.S(Q:Q)</f>
        <v>856.69443914908504</v>
      </c>
    </row>
    <row r="44" spans="4:5">
      <c r="D44" t="s">
        <v>2407</v>
      </c>
      <c r="E44">
        <f>AVERAGE(V:V)</f>
        <v>-53.679031268120511</v>
      </c>
    </row>
    <row r="45" spans="4:5">
      <c r="D45" t="s">
        <v>2408</v>
      </c>
      <c r="E45">
        <f>_xlfn.STDEV.S(V:V)</f>
        <v>421.22845862380035</v>
      </c>
    </row>
    <row r="48" spans="4:5">
      <c r="D48" t="s">
        <v>2410</v>
      </c>
      <c r="E48">
        <f>COUNT(V:V)</f>
        <v>29</v>
      </c>
    </row>
    <row r="49" spans="4:5">
      <c r="D49" t="s">
        <v>2411</v>
      </c>
      <c r="E49">
        <f>_xlfn.STDEV.P(V:V)</f>
        <v>413.90218742614633</v>
      </c>
    </row>
  </sheetData>
  <autoFilter ref="A1:AJ1" xr:uid="{42C0AAD7-8327-4D8A-A98C-8C8C1376E3BE}"/>
  <conditionalFormatting sqref="G2:G30">
    <cfRule type="expression" dxfId="25" priority="10">
      <formula>$I2&lt;&gt;""</formula>
    </cfRule>
    <cfRule type="expression" dxfId="24" priority="11">
      <formula>$I2=""</formula>
    </cfRule>
  </conditionalFormatting>
  <conditionalFormatting sqref="H2:L30 O2:P30">
    <cfRule type="expression" dxfId="23" priority="27">
      <formula>AND(OR($I2="Addition",$I2="Omission"), H2="")</formula>
    </cfRule>
    <cfRule type="expression" dxfId="22" priority="28">
      <formula>AND($I2&lt;&gt;"Addition",$I2&lt;&gt;"Omission",$I2&lt;&gt;"Substitution - Word")</formula>
    </cfRule>
  </conditionalFormatting>
  <conditionalFormatting sqref="H2:P30">
    <cfRule type="expression" dxfId="21" priority="26">
      <formula>AND(OR($I2="Addition",$I2="Omission"), H2&lt;&gt;"")</formula>
    </cfRule>
  </conditionalFormatting>
  <conditionalFormatting sqref="K2:K30">
    <cfRule type="expression" dxfId="20" priority="21">
      <formula>AND($K2&lt;&gt;"",$K2&gt;1)</formula>
    </cfRule>
  </conditionalFormatting>
  <conditionalFormatting sqref="M2:N30">
    <cfRule type="expression" dxfId="19" priority="17">
      <formula>$N2="Absent"</formula>
    </cfRule>
    <cfRule type="expression" dxfId="18" priority="18">
      <formula>$N2="NA"</formula>
    </cfRule>
    <cfRule type="expression" dxfId="17" priority="19">
      <formula>AND(OR($I2="Addition",$I2="Omission"), M2="")</formula>
    </cfRule>
    <cfRule type="expression" dxfId="16" priority="20">
      <formula>AND($I2&lt;&gt;"Addition",$I2&lt;&gt;"Omission")</formula>
    </cfRule>
  </conditionalFormatting>
  <conditionalFormatting sqref="O2:O30">
    <cfRule type="expression" dxfId="15" priority="22">
      <formula>OR($I2="Addition",$I2="Omission",$I2 = "Substitution - Word")</formula>
    </cfRule>
  </conditionalFormatting>
  <conditionalFormatting sqref="Q2:S30">
    <cfRule type="expression" dxfId="14" priority="23">
      <formula>AND(AND(LEFT($I2,3)="Sub", RIGHT($I2,4)&lt;&gt;"Form"),$S2&lt;&gt;"")</formula>
    </cfRule>
    <cfRule type="expression" dxfId="13" priority="24">
      <formula>AND(AND(LEFT($I2,3)="Sub", RIGHT($I2,4)&lt;&gt;"Form"),$S2="")</formula>
    </cfRule>
    <cfRule type="expression" dxfId="12" priority="25">
      <formula>"&lt;&gt;AND(LEFT($J2,3)=""Sub"", RIGHT($J2,4)&lt;&gt;""Form"")"</formula>
    </cfRule>
  </conditionalFormatting>
  <conditionalFormatting sqref="R2:V30">
    <cfRule type="expression" dxfId="11" priority="1">
      <formula>AND(AND(LEFT($I2,3)="Sub", RIGHT($I2,4)&lt;&gt;"Form"),$S2&lt;&gt;"")</formula>
    </cfRule>
    <cfRule type="expression" dxfId="10" priority="2">
      <formula>AND(AND(LEFT($I2,3)="Sub", RIGHT($I2,4)&lt;&gt;"Form"),$S2="")</formula>
    </cfRule>
    <cfRule type="expression" dxfId="9" priority="3">
      <formula>"&lt;&gt;AND(LEFT($J2,3)=""Sub"", RIGHT($J2,4)&lt;&gt;""Form"")"</formula>
    </cfRule>
  </conditionalFormatting>
  <conditionalFormatting sqref="W2:W30">
    <cfRule type="expression" dxfId="8" priority="13">
      <formula>AND($Y2&lt;&gt;"",OR($AF2="Yes",$AG2&lt;&gt;""))</formula>
    </cfRule>
    <cfRule type="expression" dxfId="7" priority="14">
      <formula>OR($AF2="Yes",$AG2&lt;&gt;"")</formula>
    </cfRule>
    <cfRule type="expression" dxfId="6" priority="31">
      <formula>AND($AF2&lt;&gt;"Yes",$AG2="")</formula>
    </cfRule>
  </conditionalFormatting>
  <conditionalFormatting sqref="W2:AF30">
    <cfRule type="expression" dxfId="5" priority="29">
      <formula>AND($I2&lt;&gt;"",$I2&lt;&gt;"Unclear due to correction")</formula>
    </cfRule>
    <cfRule type="expression" dxfId="4" priority="30">
      <formula>OR($I2="",$I2="Unclear due to correction")</formula>
    </cfRule>
  </conditionalFormatting>
  <conditionalFormatting sqref="X2:X30">
    <cfRule type="expression" dxfId="3" priority="12">
      <formula>AND($I2&lt;&gt;"",$I2&lt;&gt;"Unclear due to correction",$Z2="")</formula>
    </cfRule>
  </conditionalFormatting>
  <conditionalFormatting sqref="Y2:Y30">
    <cfRule type="expression" dxfId="2" priority="15">
      <formula>AND($Z2="Yes",$AA2="")</formula>
    </cfRule>
    <cfRule type="expression" dxfId="1" priority="16">
      <formula>$Z2=""</formula>
    </cfRule>
  </conditionalFormatting>
  <conditionalFormatting sqref="AD2:AD30">
    <cfRule type="expression" dxfId="0" priority="32">
      <formula>AND(OR($AD2&lt;&gt;"",$AE2&lt;&gt;""),$AF2="")</formula>
    </cfRule>
  </conditionalFormatting>
  <dataValidations count="1">
    <dataValidation allowBlank="1" showInputMessage="1" sqref="X2:X30" xr:uid="{BEDDEED5-83C6-46B8-AF12-2E67D1D4AC45}"/>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8A9226D1-7DD1-464F-ABE9-554743525F22}">
          <x14:formula1>
            <xm:f>'Data Regularization'!$Q$2:$Q$4</xm:f>
          </x14:formula1>
          <xm:sqref>AG2:AI3 AI4:AI30 AG4:AG30</xm:sqref>
        </x14:dataValidation>
        <x14:dataValidation type="list" allowBlank="1" showInputMessage="1" showErrorMessage="1" xr:uid="{73605CC0-3FE6-46D3-8504-D2A3887E8499}">
          <x14:formula1>
            <xm:f>'Data Regularization'!$D$2:$D$1048576</xm:f>
          </x14:formula1>
          <xm:sqref>G2:G30</xm:sqref>
        </x14:dataValidation>
        <x14:dataValidation type="list" allowBlank="1" showInputMessage="1" showErrorMessage="1" xr:uid="{4EC429E1-7925-404E-A95A-66C91237782E}">
          <x14:formula1>
            <xm:f>'Data Regularization'!$E$2:$E$1048576</xm:f>
          </x14:formula1>
          <xm:sqref>K2:K30</xm:sqref>
        </x14:dataValidation>
        <x14:dataValidation type="list" allowBlank="1" showInputMessage="1" showErrorMessage="1" xr:uid="{175FD8E9-65B7-400C-8860-5B938EC7F651}">
          <x14:formula1>
            <xm:f>'Data Regularization'!$F$2:$F$1048576</xm:f>
          </x14:formula1>
          <xm:sqref>L2:L30</xm:sqref>
        </x14:dataValidation>
        <x14:dataValidation type="list" allowBlank="1" showInputMessage="1" showErrorMessage="1" xr:uid="{C35A6819-1931-43F9-94FD-C68C94B8315B}">
          <x14:formula1>
            <xm:f>'Data Regularization'!$G$2:$G$1048576</xm:f>
          </x14:formula1>
          <xm:sqref>O2:O30</xm:sqref>
        </x14:dataValidation>
        <x14:dataValidation type="list" allowBlank="1" showInputMessage="1" showErrorMessage="1" xr:uid="{4FCACBF6-7A3C-46CF-8E56-8742F7CE3BA2}">
          <x14:formula1>
            <xm:f>'Data Regularization'!$K$2:$K$1048576</xm:f>
          </x14:formula1>
          <xm:sqref>W2:W30 Y2:Y30</xm:sqref>
        </x14:dataValidation>
        <x14:dataValidation type="list" allowBlank="1" showInputMessage="1" showErrorMessage="1" xr:uid="{D4F8CB58-9B15-4BC6-8912-24942F2FE977}">
          <x14:formula1>
            <xm:f>'Data Regularization'!$L$2:$L$1048576</xm:f>
          </x14:formula1>
          <xm:sqref>Z2:Z30</xm:sqref>
        </x14:dataValidation>
        <x14:dataValidation type="list" allowBlank="1" showInputMessage="1" showErrorMessage="1" xr:uid="{56007DB5-EDC3-4E0F-8C24-5249ABB3468D}">
          <x14:formula1>
            <xm:f>'Data Regularization'!$M$2:$M$1048576</xm:f>
          </x14:formula1>
          <xm:sqref>AA2:AA30</xm:sqref>
        </x14:dataValidation>
        <x14:dataValidation type="list" allowBlank="1" showInputMessage="1" showErrorMessage="1" xr:uid="{3958630F-4882-4BAD-B668-2551E091A9E8}">
          <x14:formula1>
            <xm:f>'Data Regularization'!$N$2:$N$1048576</xm:f>
          </x14:formula1>
          <xm:sqref>AB2:AB30</xm:sqref>
        </x14:dataValidation>
        <x14:dataValidation type="list" allowBlank="1" showInputMessage="1" showErrorMessage="1" xr:uid="{47586A5E-B5C9-4C41-A181-586F1CFB21F8}">
          <x14:formula1>
            <xm:f>'Data Regularization'!$O$2:$O$1048576</xm:f>
          </x14:formula1>
          <xm:sqref>AD2:AD30</xm:sqref>
        </x14:dataValidation>
        <x14:dataValidation type="list" allowBlank="1" showInputMessage="1" showErrorMessage="1" xr:uid="{D2160921-B5E1-4723-A8D6-98244D7C9FEA}">
          <x14:formula1>
            <xm:f>'Data Regularization'!$P$2:$P$1048576</xm:f>
          </x14:formula1>
          <xm:sqref>AE2:AE30</xm:sqref>
        </x14:dataValidation>
        <x14:dataValidation type="list" allowBlank="1" showInputMessage="1" showErrorMessage="1" xr:uid="{E61209C3-64B0-4F0B-988B-D9499938CEE8}">
          <x14:formula1>
            <xm:f>'Data Regularization'!$Q$2:$Q$1048576</xm:f>
          </x14:formula1>
          <xm:sqref>AF2:AF30</xm:sqref>
        </x14:dataValidation>
        <x14:dataValidation type="list" allowBlank="1" showInputMessage="1" showErrorMessage="1" xr:uid="{73EBA922-03D7-4927-A661-89050F0C3FF6}">
          <x14:formula1>
            <xm:f>'Data Regularization'!$C$2:$C$29</xm:f>
          </x14:formula1>
          <xm:sqref>F2:F30</xm:sqref>
        </x14:dataValidation>
        <x14:dataValidation type="list" allowBlank="1" showInputMessage="1" showErrorMessage="1" xr:uid="{1D89E02C-4DD5-433E-92A7-73C1B95D9681}">
          <x14:formula1>
            <xm:f>'Data Regularization'!$A$2:$A$1048576</xm:f>
          </x14:formula1>
          <xm:sqref>D2:D30</xm:sqref>
        </x14:dataValidation>
        <x14:dataValidation type="list" allowBlank="1" showInputMessage="1" showErrorMessage="1" xr:uid="{4850F83E-77AE-46DF-AFB3-0EB770A42F68}">
          <x14:formula1>
            <xm:f>'Data Regularization'!$B$2:$B$1048576</xm:f>
          </x14:formula1>
          <xm:sqref>E2:E30</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31DF4-AF44-4AFD-9681-4EC74918A129}">
  <dimension ref="A1:AH6"/>
  <sheetViews>
    <sheetView workbookViewId="0">
      <selection activeCell="V1" sqref="V1"/>
    </sheetView>
  </sheetViews>
  <sheetFormatPr defaultRowHeight="14.5"/>
  <sheetData>
    <row r="1" spans="1:34" s="1" customFormat="1" ht="29">
      <c r="A1" s="1" t="s">
        <v>0</v>
      </c>
      <c r="B1" s="1" t="s">
        <v>5</v>
      </c>
      <c r="C1" s="3" t="s">
        <v>6</v>
      </c>
      <c r="D1" s="1" t="s">
        <v>2181</v>
      </c>
      <c r="E1" s="1" t="s">
        <v>2182</v>
      </c>
      <c r="F1" s="1" t="s">
        <v>2183</v>
      </c>
      <c r="G1" s="1" t="s">
        <v>7</v>
      </c>
      <c r="H1" s="1" t="s">
        <v>3</v>
      </c>
      <c r="I1" s="1" t="s">
        <v>2184</v>
      </c>
      <c r="J1" s="1" t="s">
        <v>2185</v>
      </c>
      <c r="K1" s="1" t="s">
        <v>2186</v>
      </c>
      <c r="L1" s="1" t="s">
        <v>2187</v>
      </c>
      <c r="M1" s="1" t="s">
        <v>2146</v>
      </c>
      <c r="N1" s="1" t="s">
        <v>2188</v>
      </c>
      <c r="O1" s="9" t="s">
        <v>2189</v>
      </c>
      <c r="P1" s="1" t="s">
        <v>2147</v>
      </c>
      <c r="Q1" s="1" t="s">
        <v>2190</v>
      </c>
      <c r="R1" s="1" t="s">
        <v>2191</v>
      </c>
      <c r="S1" s="1" t="s">
        <v>2385</v>
      </c>
      <c r="T1" s="1" t="s">
        <v>2386</v>
      </c>
      <c r="U1" s="1" t="s">
        <v>2194</v>
      </c>
      <c r="V1" s="1" t="s">
        <v>2457</v>
      </c>
      <c r="W1" s="1" t="s">
        <v>2195</v>
      </c>
      <c r="X1" s="1" t="s">
        <v>2196</v>
      </c>
      <c r="Y1" s="1" t="s">
        <v>2148</v>
      </c>
      <c r="Z1" s="1" t="s">
        <v>2149</v>
      </c>
      <c r="AA1" s="1" t="s">
        <v>2150</v>
      </c>
      <c r="AB1" s="1" t="s">
        <v>2192</v>
      </c>
      <c r="AC1" s="1" t="s">
        <v>2197</v>
      </c>
      <c r="AD1" s="1" t="s">
        <v>2151</v>
      </c>
      <c r="AE1" s="1" t="s">
        <v>2193</v>
      </c>
      <c r="AF1" s="1" t="s">
        <v>2215</v>
      </c>
      <c r="AG1" s="1" t="s">
        <v>2207</v>
      </c>
      <c r="AH1" s="1" t="s">
        <v>2214</v>
      </c>
    </row>
    <row r="4" spans="1:34">
      <c r="D4" t="s">
        <v>2412</v>
      </c>
      <c r="E4">
        <f>COUNTIF(U:U, "Harmonizing")</f>
        <v>0</v>
      </c>
    </row>
    <row r="5" spans="1:34">
      <c r="D5" t="s">
        <v>2413</v>
      </c>
      <c r="E5">
        <f>COUNTIF(U:U, "Disharmonizing")</f>
        <v>0</v>
      </c>
    </row>
    <row r="6" spans="1:34">
      <c r="D6" t="s">
        <v>2414</v>
      </c>
      <c r="E6" t="e">
        <f>E4/(E4+E5)</f>
        <v>#DIV/0!</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AD663-0F66-4ED2-96B2-177BADE10367}">
  <dimension ref="A1:B6"/>
  <sheetViews>
    <sheetView workbookViewId="0"/>
  </sheetViews>
  <sheetFormatPr defaultRowHeight="14.5"/>
  <cols>
    <col min="1" max="1" width="24.54296875" bestFit="1" customWidth="1"/>
  </cols>
  <sheetData>
    <row r="1" spans="1:2">
      <c r="A1" t="s">
        <v>2415</v>
      </c>
      <c r="B1">
        <v>13393</v>
      </c>
    </row>
    <row r="2" spans="1:2">
      <c r="A2" t="s">
        <v>2416</v>
      </c>
      <c r="B2">
        <f>COUNTA('Unfiltered Data'!A:A) - 1</f>
        <v>894</v>
      </c>
    </row>
    <row r="3" spans="1:2">
      <c r="A3" t="s">
        <v>2417</v>
      </c>
      <c r="B3">
        <f>COUNTA('Gen-filters'!A:A) - 1</f>
        <v>571</v>
      </c>
    </row>
    <row r="5" spans="1:2">
      <c r="A5" t="s">
        <v>2418</v>
      </c>
      <c r="B5">
        <f>(B2/B1)*1000</f>
        <v>66.751287986261488</v>
      </c>
    </row>
    <row r="6" spans="1:2">
      <c r="A6" t="s">
        <v>2419</v>
      </c>
      <c r="B6">
        <f>(B3/B1)*1000</f>
        <v>42.634211901739718</v>
      </c>
    </row>
  </sheetData>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7DB59-E8FF-426E-8372-89A1DA152C19}">
  <dimension ref="A2:D12"/>
  <sheetViews>
    <sheetView workbookViewId="0"/>
  </sheetViews>
  <sheetFormatPr defaultRowHeight="14.5"/>
  <sheetData>
    <row r="2" spans="1:4">
      <c r="A2" t="s">
        <v>2421</v>
      </c>
    </row>
    <row r="3" spans="1:4">
      <c r="A3" t="s">
        <v>19</v>
      </c>
      <c r="B3">
        <f>COUNTIF('Unfiltered Data'!G:G, "Yes")</f>
        <v>4</v>
      </c>
    </row>
    <row r="4" spans="1:4">
      <c r="A4" t="s">
        <v>20</v>
      </c>
      <c r="B4">
        <f>COUNTIF('Unfiltered Data'!G:G, "No")</f>
        <v>1</v>
      </c>
    </row>
    <row r="5" spans="1:4">
      <c r="A5" t="s">
        <v>2422</v>
      </c>
      <c r="B5">
        <f>B3/SUM(B3:B4)</f>
        <v>0.8</v>
      </c>
    </row>
    <row r="8" spans="1:4">
      <c r="A8" t="s">
        <v>2423</v>
      </c>
    </row>
    <row r="9" spans="1:4">
      <c r="B9" t="s">
        <v>2424</v>
      </c>
      <c r="C9" t="s">
        <v>2425</v>
      </c>
      <c r="D9" t="s">
        <v>2426</v>
      </c>
    </row>
    <row r="10" spans="1:4">
      <c r="A10" t="s">
        <v>19</v>
      </c>
      <c r="B10">
        <f>COUNTIF('Unfiltered Data'!H:H, "Yes")</f>
        <v>94</v>
      </c>
      <c r="C10">
        <f>B10/'Gen-Error-Rates'!$B$2</f>
        <v>0.10514541387024609</v>
      </c>
      <c r="D10">
        <f>B10/SUM($B$10:$B$12)</f>
        <v>0.8867924528301887</v>
      </c>
    </row>
    <row r="11" spans="1:4">
      <c r="A11" t="s">
        <v>2427</v>
      </c>
      <c r="B11">
        <f>COUNTIF('Unfiltered Data'!H:H, "Yes, partially")</f>
        <v>4</v>
      </c>
      <c r="C11">
        <f>B11/'Gen-Error-Rates'!$B$2</f>
        <v>4.4742729306487695E-3</v>
      </c>
      <c r="D11">
        <f t="shared" ref="D11:D12" si="0">B11/SUM($B$10:$B$12)</f>
        <v>3.7735849056603772E-2</v>
      </c>
    </row>
    <row r="12" spans="1:4">
      <c r="A12" t="s">
        <v>2428</v>
      </c>
      <c r="B12">
        <f>COUNTIF('Unfiltered Data'!H:H, "Yes, to another error")</f>
        <v>8</v>
      </c>
      <c r="C12">
        <f>B12/'Gen-Error-Rates'!$B$2</f>
        <v>8.948545861297539E-3</v>
      </c>
      <c r="D12">
        <f t="shared" si="0"/>
        <v>7.5471698113207544E-2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156D7-421F-42E5-9F55-F22A94A76A4F}">
  <dimension ref="A1:Q21"/>
  <sheetViews>
    <sheetView workbookViewId="0">
      <pane ySplit="1" topLeftCell="A2" activePane="bottomLeft" state="frozen"/>
      <selection pane="bottomLeft" activeCell="I1" sqref="I1:I5"/>
    </sheetView>
  </sheetViews>
  <sheetFormatPr defaultRowHeight="14.5"/>
  <sheetData>
    <row r="1" spans="1:17">
      <c r="A1" s="1" t="s">
        <v>8</v>
      </c>
      <c r="B1" s="1" t="s">
        <v>9</v>
      </c>
      <c r="C1" s="1" t="s">
        <v>10</v>
      </c>
      <c r="D1" s="1" t="s">
        <v>3</v>
      </c>
      <c r="E1" s="1" t="s">
        <v>2145</v>
      </c>
      <c r="F1" s="1" t="s">
        <v>2146</v>
      </c>
      <c r="G1" s="1" t="s">
        <v>2147</v>
      </c>
      <c r="H1" s="1" t="s">
        <v>2194</v>
      </c>
      <c r="I1" s="1" t="s">
        <v>2457</v>
      </c>
      <c r="J1" s="1" t="s">
        <v>2195</v>
      </c>
      <c r="K1" s="1" t="s">
        <v>2196</v>
      </c>
      <c r="L1" s="1" t="s">
        <v>2148</v>
      </c>
      <c r="M1" s="1" t="s">
        <v>2149</v>
      </c>
      <c r="N1" s="1" t="s">
        <v>2150</v>
      </c>
      <c r="O1" s="1" t="s">
        <v>2197</v>
      </c>
      <c r="P1" s="1" t="s">
        <v>2151</v>
      </c>
      <c r="Q1" s="1" t="s">
        <v>2193</v>
      </c>
    </row>
    <row r="2" spans="1:17">
      <c r="A2" s="1"/>
    </row>
    <row r="3" spans="1:17">
      <c r="A3" t="s">
        <v>11</v>
      </c>
      <c r="B3" t="s">
        <v>19</v>
      </c>
      <c r="C3" t="s">
        <v>19</v>
      </c>
      <c r="D3" t="s">
        <v>24</v>
      </c>
      <c r="E3" t="s">
        <v>2152</v>
      </c>
      <c r="F3" t="s">
        <v>2153</v>
      </c>
      <c r="G3" t="s">
        <v>2154</v>
      </c>
      <c r="H3" t="s">
        <v>4</v>
      </c>
      <c r="I3" t="s">
        <v>2458</v>
      </c>
      <c r="J3" t="s">
        <v>19</v>
      </c>
      <c r="K3" t="s">
        <v>4</v>
      </c>
      <c r="L3" t="s">
        <v>2155</v>
      </c>
      <c r="M3" t="s">
        <v>19</v>
      </c>
      <c r="N3" t="s">
        <v>2156</v>
      </c>
      <c r="O3" t="s">
        <v>19</v>
      </c>
      <c r="P3" t="s">
        <v>2157</v>
      </c>
      <c r="Q3" t="s">
        <v>19</v>
      </c>
    </row>
    <row r="4" spans="1:17">
      <c r="A4" t="s">
        <v>12</v>
      </c>
      <c r="B4" t="s">
        <v>21</v>
      </c>
      <c r="C4" t="s">
        <v>22</v>
      </c>
      <c r="D4" t="s">
        <v>25</v>
      </c>
      <c r="E4" t="s">
        <v>2158</v>
      </c>
      <c r="F4" t="s">
        <v>2159</v>
      </c>
      <c r="G4" t="s">
        <v>2160</v>
      </c>
      <c r="H4" t="s">
        <v>2198</v>
      </c>
      <c r="I4" t="s">
        <v>2459</v>
      </c>
      <c r="J4" t="s">
        <v>20</v>
      </c>
      <c r="K4" t="s">
        <v>2198</v>
      </c>
      <c r="L4" t="s">
        <v>2420</v>
      </c>
      <c r="M4" t="s">
        <v>20</v>
      </c>
      <c r="N4" t="s">
        <v>2162</v>
      </c>
      <c r="O4" t="s">
        <v>20</v>
      </c>
      <c r="P4" t="s">
        <v>2163</v>
      </c>
      <c r="Q4" t="s">
        <v>20</v>
      </c>
    </row>
    <row r="5" spans="1:17">
      <c r="A5" t="s">
        <v>13</v>
      </c>
      <c r="B5" t="s">
        <v>20</v>
      </c>
      <c r="C5" t="s">
        <v>23</v>
      </c>
      <c r="D5" t="s">
        <v>2199</v>
      </c>
      <c r="E5" t="s">
        <v>2164</v>
      </c>
      <c r="F5" t="s">
        <v>2200</v>
      </c>
      <c r="I5" t="s">
        <v>2460</v>
      </c>
      <c r="L5" t="s">
        <v>2161</v>
      </c>
      <c r="N5" t="s">
        <v>2166</v>
      </c>
      <c r="P5" t="s">
        <v>2167</v>
      </c>
    </row>
    <row r="6" spans="1:17">
      <c r="A6" t="s">
        <v>17</v>
      </c>
      <c r="C6" t="s">
        <v>20</v>
      </c>
      <c r="D6" t="s">
        <v>2201</v>
      </c>
      <c r="E6" t="s">
        <v>2168</v>
      </c>
      <c r="N6" t="s">
        <v>2169</v>
      </c>
      <c r="P6" t="s">
        <v>2170</v>
      </c>
    </row>
    <row r="7" spans="1:17">
      <c r="A7" t="s">
        <v>28</v>
      </c>
      <c r="D7" t="s">
        <v>2202</v>
      </c>
      <c r="E7" t="s">
        <v>2171</v>
      </c>
      <c r="N7" t="s">
        <v>2235</v>
      </c>
    </row>
    <row r="8" spans="1:17">
      <c r="A8" t="s">
        <v>29</v>
      </c>
      <c r="D8" t="s">
        <v>26</v>
      </c>
      <c r="E8" t="s">
        <v>2173</v>
      </c>
      <c r="N8" t="s">
        <v>2172</v>
      </c>
    </row>
    <row r="9" spans="1:17">
      <c r="A9" t="s">
        <v>10</v>
      </c>
      <c r="D9" t="s">
        <v>27</v>
      </c>
      <c r="E9" t="s">
        <v>2175</v>
      </c>
      <c r="N9" t="s">
        <v>2174</v>
      </c>
    </row>
    <row r="10" spans="1:17">
      <c r="A10" t="s">
        <v>14</v>
      </c>
      <c r="D10" t="s">
        <v>30</v>
      </c>
      <c r="E10" t="s">
        <v>2177</v>
      </c>
      <c r="N10" t="s">
        <v>2176</v>
      </c>
    </row>
    <row r="11" spans="1:17">
      <c r="A11" t="s">
        <v>18</v>
      </c>
      <c r="E11" t="s">
        <v>2179</v>
      </c>
      <c r="N11" t="s">
        <v>2178</v>
      </c>
    </row>
    <row r="12" spans="1:17">
      <c r="A12" t="s">
        <v>2203</v>
      </c>
      <c r="E12" t="s">
        <v>2204</v>
      </c>
      <c r="N12" t="s">
        <v>2354</v>
      </c>
    </row>
    <row r="13" spans="1:17">
      <c r="A13" t="s">
        <v>31</v>
      </c>
      <c r="E13" t="s">
        <v>2219</v>
      </c>
      <c r="N13" t="s">
        <v>2353</v>
      </c>
    </row>
    <row r="14" spans="1:17">
      <c r="A14" t="s">
        <v>32</v>
      </c>
      <c r="E14" t="s">
        <v>2180</v>
      </c>
    </row>
    <row r="15" spans="1:17">
      <c r="A15" t="s">
        <v>33</v>
      </c>
    </row>
    <row r="16" spans="1:17">
      <c r="A16" t="s">
        <v>15</v>
      </c>
    </row>
    <row r="17" spans="1:1">
      <c r="A17" t="s">
        <v>16</v>
      </c>
    </row>
    <row r="18" spans="1:1">
      <c r="A18" t="s">
        <v>34</v>
      </c>
    </row>
    <row r="19" spans="1:1">
      <c r="A19" t="s">
        <v>35</v>
      </c>
    </row>
    <row r="20" spans="1:1">
      <c r="A20" t="s">
        <v>2355</v>
      </c>
    </row>
    <row r="21" spans="1:1">
      <c r="A21" t="s">
        <v>36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Unfiltered Data</vt:lpstr>
      <vt:lpstr>Gen-filters</vt:lpstr>
      <vt:lpstr>AddOmits</vt:lpstr>
      <vt:lpstr>WF_AO_LM</vt:lpstr>
      <vt:lpstr>WF_AO_HM</vt:lpstr>
      <vt:lpstr>WF_SUB</vt:lpstr>
      <vt:lpstr>Harmonization</vt:lpstr>
      <vt:lpstr>Gen-filters_2</vt:lpstr>
      <vt:lpstr>AddOmits_2</vt:lpstr>
      <vt:lpstr>WF_AO_LM_2</vt:lpstr>
      <vt:lpstr>WF_AO_HM_2</vt:lpstr>
      <vt:lpstr>WF_SUB_2</vt:lpstr>
      <vt:lpstr>Harmonization_2</vt:lpstr>
      <vt:lpstr>Gen-Error-Rates</vt:lpstr>
      <vt:lpstr>Corrections</vt:lpstr>
      <vt:lpstr>Data Regularization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Wilken</dc:creator>
  <cp:lastModifiedBy>Jonathan Wilken</cp:lastModifiedBy>
  <dcterms:created xsi:type="dcterms:W3CDTF">2022-11-18T18:06:54Z</dcterms:created>
  <dcterms:modified xsi:type="dcterms:W3CDTF">2026-05-01T22:27:20Z</dcterms:modified>
</cp:coreProperties>
</file>