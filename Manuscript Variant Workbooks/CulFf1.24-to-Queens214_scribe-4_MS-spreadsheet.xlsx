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86593bc330ab858/Cambridge PhD/Thesis/10 The Final Final Version/New and Updated Files for Upload/MS Variant Spreadsheets/"/>
    </mc:Choice>
  </mc:AlternateContent>
  <xr:revisionPtr revIDLastSave="237" documentId="13_ncr:1_{10CFA25D-F59D-4203-8882-5D9295722A1D}" xr6:coauthVersionLast="47" xr6:coauthVersionMax="47" xr10:uidLastSave="{F4A69199-BB49-49D2-AF60-4079C83A1475}"/>
  <bookViews>
    <workbookView xWindow="-110" yWindow="-110" windowWidth="25820" windowHeight="15500" xr2:uid="{5BB4D106-A247-41F8-A104-83D51E35EC09}"/>
  </bookViews>
  <sheets>
    <sheet name="Unfiltered Data" sheetId="1" r:id="rId1"/>
    <sheet name="Gen-filters" sheetId="7" r:id="rId2"/>
    <sheet name="AddOmits" sheetId="8" r:id="rId3"/>
    <sheet name="WF_AO_LM" sheetId="11" r:id="rId4"/>
    <sheet name="WF_AO_HM" sheetId="10" r:id="rId5"/>
    <sheet name="WF_SUB" sheetId="12" r:id="rId6"/>
    <sheet name="Harmonization" sheetId="13" r:id="rId7"/>
    <sheet name="Gen-filters_2" sheetId="21" r:id="rId8"/>
    <sheet name="AddOmits_2" sheetId="16" r:id="rId9"/>
    <sheet name="WF_AO_LM_2" sheetId="18" r:id="rId10"/>
    <sheet name="WF_AO_HM_2" sheetId="17" r:id="rId11"/>
    <sheet name="WF_SUB_2" sheetId="19" r:id="rId12"/>
    <sheet name="Harmonization_2" sheetId="20" r:id="rId13"/>
    <sheet name="Gen-Error-Rates" sheetId="14" r:id="rId14"/>
    <sheet name="Corrections" sheetId="22" r:id="rId15"/>
    <sheet name="Data Regularization" sheetId="2" r:id="rId16"/>
  </sheets>
  <definedNames>
    <definedName name="_xlnm._FilterDatabase" localSheetId="2" hidden="1">AddOmits!$A$1:$AH$106</definedName>
    <definedName name="_xlnm._FilterDatabase" localSheetId="1" hidden="1">'Gen-filters'!$A$1:$AG$1</definedName>
    <definedName name="_xlnm._FilterDatabase" localSheetId="6" hidden="1">Harmonization!$A$1:$AI$8</definedName>
    <definedName name="_xlnm._FilterDatabase" localSheetId="0" hidden="1">'Unfiltered Data'!$A$1:$AL$321</definedName>
    <definedName name="_xlnm._FilterDatabase" localSheetId="4" hidden="1">WF_AO_HM!$A$1:$AH$14</definedName>
    <definedName name="_xlnm._FilterDatabase" localSheetId="3" hidden="1">WF_AO_LM!$A$1:$AH$81</definedName>
    <definedName name="_xlnm._FilterDatabase" localSheetId="5" hidden="1">WF_SUB!$A$1:$AJ$44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4" i="1" l="1"/>
  <c r="F226" i="7"/>
  <c r="J13" i="20"/>
  <c r="I13" i="20"/>
  <c r="I14" i="20" s="1"/>
  <c r="H13" i="20"/>
  <c r="G13" i="20"/>
  <c r="F13" i="20"/>
  <c r="E13" i="20"/>
  <c r="J12" i="20"/>
  <c r="I12" i="20"/>
  <c r="H12" i="20"/>
  <c r="G12" i="20"/>
  <c r="G14" i="20" s="1"/>
  <c r="F12" i="20"/>
  <c r="E12" i="20"/>
  <c r="J14" i="20"/>
  <c r="H14" i="20"/>
  <c r="F14" i="20"/>
  <c r="E14" i="20"/>
  <c r="E20" i="13"/>
  <c r="F20" i="13"/>
  <c r="G20" i="13"/>
  <c r="G19" i="13"/>
  <c r="G18" i="13"/>
  <c r="E19" i="13"/>
  <c r="E18" i="13"/>
  <c r="J19" i="13"/>
  <c r="I19" i="13"/>
  <c r="H19" i="13"/>
  <c r="F19" i="13"/>
  <c r="J18" i="13"/>
  <c r="I18" i="13"/>
  <c r="H18" i="13"/>
  <c r="F18" i="13"/>
  <c r="B12" i="22"/>
  <c r="B11" i="22"/>
  <c r="D11" i="22" s="1"/>
  <c r="B10" i="22"/>
  <c r="B4" i="22"/>
  <c r="B3" i="22"/>
  <c r="U44" i="12"/>
  <c r="T44" i="12"/>
  <c r="U43" i="12"/>
  <c r="T43" i="12"/>
  <c r="U42" i="12"/>
  <c r="T42" i="12"/>
  <c r="U41" i="12"/>
  <c r="T41" i="12"/>
  <c r="U40" i="12"/>
  <c r="T40" i="12"/>
  <c r="U39" i="12"/>
  <c r="T39" i="12"/>
  <c r="U38" i="12"/>
  <c r="T38" i="12"/>
  <c r="U37" i="12"/>
  <c r="T37" i="12"/>
  <c r="U36" i="12"/>
  <c r="T36" i="12"/>
  <c r="U35" i="12"/>
  <c r="T35" i="12"/>
  <c r="U34" i="12"/>
  <c r="T34" i="12"/>
  <c r="U33" i="12"/>
  <c r="T33" i="12"/>
  <c r="U32" i="12"/>
  <c r="T32" i="12"/>
  <c r="U31" i="12"/>
  <c r="T31" i="12"/>
  <c r="U30" i="12"/>
  <c r="T30" i="12"/>
  <c r="U29" i="12"/>
  <c r="T29" i="12"/>
  <c r="U28" i="12"/>
  <c r="T28" i="12"/>
  <c r="U27" i="12"/>
  <c r="T27" i="12"/>
  <c r="U26" i="12"/>
  <c r="T26" i="12"/>
  <c r="U25" i="12"/>
  <c r="T25" i="12"/>
  <c r="U24" i="12"/>
  <c r="T24" i="12"/>
  <c r="U23" i="12"/>
  <c r="T23" i="12"/>
  <c r="U22" i="12"/>
  <c r="T22" i="12"/>
  <c r="U21" i="12"/>
  <c r="T21" i="12"/>
  <c r="U20" i="12"/>
  <c r="T20" i="12"/>
  <c r="U19" i="12"/>
  <c r="T19" i="12"/>
  <c r="U18" i="12"/>
  <c r="T18" i="12"/>
  <c r="U17" i="12"/>
  <c r="T17" i="12"/>
  <c r="U16" i="12"/>
  <c r="T16" i="12"/>
  <c r="U15" i="12"/>
  <c r="T15" i="12"/>
  <c r="U14" i="12"/>
  <c r="T14" i="12"/>
  <c r="U13" i="12"/>
  <c r="T13" i="12"/>
  <c r="U12" i="12"/>
  <c r="T12" i="12"/>
  <c r="U11" i="12"/>
  <c r="T11" i="12"/>
  <c r="U10" i="12"/>
  <c r="T10" i="12"/>
  <c r="U9" i="12"/>
  <c r="T9" i="12"/>
  <c r="U8" i="12"/>
  <c r="T8" i="12"/>
  <c r="U7" i="12"/>
  <c r="T7" i="12"/>
  <c r="U6" i="12"/>
  <c r="T6" i="12"/>
  <c r="U5" i="12"/>
  <c r="T5" i="12"/>
  <c r="U4" i="12"/>
  <c r="T4" i="12"/>
  <c r="U3" i="12"/>
  <c r="T3" i="12"/>
  <c r="U2" i="12"/>
  <c r="T2" i="12"/>
  <c r="V2" i="12" s="1"/>
  <c r="Q106" i="8"/>
  <c r="Q105" i="8"/>
  <c r="Q104" i="8"/>
  <c r="Q103" i="8"/>
  <c r="Q102" i="8"/>
  <c r="Q101" i="8"/>
  <c r="Q100" i="8"/>
  <c r="Q99" i="8"/>
  <c r="Q98" i="8"/>
  <c r="Q97" i="8"/>
  <c r="Q96" i="8"/>
  <c r="Q95" i="8"/>
  <c r="Q94" i="8"/>
  <c r="Q93" i="8"/>
  <c r="Q92" i="8"/>
  <c r="Q91" i="8"/>
  <c r="Q90" i="8"/>
  <c r="Q89" i="8"/>
  <c r="Q88" i="8"/>
  <c r="Q87" i="8"/>
  <c r="Q86" i="8"/>
  <c r="Q85" i="8"/>
  <c r="Q84" i="8"/>
  <c r="Q83" i="8"/>
  <c r="Q82" i="8"/>
  <c r="Q81" i="8"/>
  <c r="Q80" i="8"/>
  <c r="Q79" i="8"/>
  <c r="Q78" i="8"/>
  <c r="Q77" i="8"/>
  <c r="Q76" i="8"/>
  <c r="Q75" i="8"/>
  <c r="Q74" i="8"/>
  <c r="Q73" i="8"/>
  <c r="Q72" i="8"/>
  <c r="Q71" i="8"/>
  <c r="Q70" i="8"/>
  <c r="Q69" i="8"/>
  <c r="Q68" i="8"/>
  <c r="Q67" i="8"/>
  <c r="Q66" i="8"/>
  <c r="Q65" i="8"/>
  <c r="Q64" i="8"/>
  <c r="Q63" i="8"/>
  <c r="Q62" i="8"/>
  <c r="Q61" i="8"/>
  <c r="Q60" i="8"/>
  <c r="Q59" i="8"/>
  <c r="Q58" i="8"/>
  <c r="Q57" i="8"/>
  <c r="Q56" i="8"/>
  <c r="Q55" i="8"/>
  <c r="Q54" i="8"/>
  <c r="Q53" i="8"/>
  <c r="Q52" i="8"/>
  <c r="Q51" i="8"/>
  <c r="Q50" i="8"/>
  <c r="Q49" i="8"/>
  <c r="Q48" i="8"/>
  <c r="Q47" i="8"/>
  <c r="Q46" i="8"/>
  <c r="Q45" i="8"/>
  <c r="Q44" i="8"/>
  <c r="Q43" i="8"/>
  <c r="Q42" i="8"/>
  <c r="Q41" i="8"/>
  <c r="Q40" i="8"/>
  <c r="Q39" i="8"/>
  <c r="Q38" i="8"/>
  <c r="Q37" i="8"/>
  <c r="Q36" i="8"/>
  <c r="Q35" i="8"/>
  <c r="Q34" i="8"/>
  <c r="Q33" i="8"/>
  <c r="Q32" i="8"/>
  <c r="Q31" i="8"/>
  <c r="Q30" i="8"/>
  <c r="Q29" i="8"/>
  <c r="Q28" i="8"/>
  <c r="Q27" i="8"/>
  <c r="Q26" i="8"/>
  <c r="Q25" i="8"/>
  <c r="Q24" i="8"/>
  <c r="Q23" i="8"/>
  <c r="Q22" i="8"/>
  <c r="Q21" i="8"/>
  <c r="Q20" i="8"/>
  <c r="Q19" i="8"/>
  <c r="Q18" i="8"/>
  <c r="Q17" i="8"/>
  <c r="Q16" i="8"/>
  <c r="Q15" i="8"/>
  <c r="Q14" i="8"/>
  <c r="Q13" i="8"/>
  <c r="Q12" i="8"/>
  <c r="Q11" i="8"/>
  <c r="Q10" i="8"/>
  <c r="Q9" i="8"/>
  <c r="Q8" i="8"/>
  <c r="Q7" i="8"/>
  <c r="Q6" i="8"/>
  <c r="Q5" i="8"/>
  <c r="Q4" i="8"/>
  <c r="Q3" i="8"/>
  <c r="Q2" i="8"/>
  <c r="AJ191" i="1" a="1"/>
  <c r="AJ191" i="1" s="1"/>
  <c r="AJ48" i="1" a="1"/>
  <c r="AJ48" i="1" s="1"/>
  <c r="V48" i="1"/>
  <c r="U48" i="1"/>
  <c r="T8" i="1"/>
  <c r="E6" i="20"/>
  <c r="E5" i="20"/>
  <c r="E26" i="19"/>
  <c r="E25" i="19"/>
  <c r="E22" i="19"/>
  <c r="E21" i="19"/>
  <c r="E21" i="18"/>
  <c r="E28" i="18" s="1"/>
  <c r="E34" i="18"/>
  <c r="E33" i="18"/>
  <c r="E32" i="18"/>
  <c r="E75" i="16"/>
  <c r="D75" i="16"/>
  <c r="E74" i="16"/>
  <c r="D74" i="16"/>
  <c r="E73" i="16"/>
  <c r="D73" i="16"/>
  <c r="F73" i="16" s="1"/>
  <c r="E72" i="16"/>
  <c r="D72" i="16"/>
  <c r="E71" i="16"/>
  <c r="D71" i="16"/>
  <c r="E67" i="16"/>
  <c r="D67" i="16"/>
  <c r="E66" i="16"/>
  <c r="D66" i="16"/>
  <c r="E65" i="16"/>
  <c r="D65" i="16"/>
  <c r="E60" i="16"/>
  <c r="D60" i="16"/>
  <c r="E59" i="16"/>
  <c r="D59" i="16"/>
  <c r="E54" i="16"/>
  <c r="D54" i="16"/>
  <c r="E53" i="16"/>
  <c r="D53" i="16"/>
  <c r="E48" i="16"/>
  <c r="D48" i="16"/>
  <c r="E47" i="16"/>
  <c r="D47" i="16"/>
  <c r="F40" i="16"/>
  <c r="F39" i="16"/>
  <c r="F35" i="16"/>
  <c r="F34" i="16"/>
  <c r="F30" i="16"/>
  <c r="F29" i="16"/>
  <c r="I20" i="13" l="1"/>
  <c r="H20" i="13"/>
  <c r="J20" i="13"/>
  <c r="E7" i="20"/>
  <c r="E49" i="16"/>
  <c r="B5" i="22"/>
  <c r="D10" i="22"/>
  <c r="D12" i="22"/>
  <c r="V7" i="12"/>
  <c r="V24" i="12"/>
  <c r="V26" i="12"/>
  <c r="V28" i="12"/>
  <c r="V13" i="12"/>
  <c r="V3" i="12"/>
  <c r="V6" i="12"/>
  <c r="V22" i="12"/>
  <c r="E23" i="19"/>
  <c r="V29" i="12"/>
  <c r="V14" i="12"/>
  <c r="V16" i="12"/>
  <c r="V32" i="12"/>
  <c r="V18" i="12"/>
  <c r="V34" i="12"/>
  <c r="V4" i="12"/>
  <c r="V21" i="12"/>
  <c r="V37" i="12"/>
  <c r="V41" i="12"/>
  <c r="V42" i="12"/>
  <c r="V43" i="12"/>
  <c r="V30" i="12"/>
  <c r="V15" i="12"/>
  <c r="V31" i="12"/>
  <c r="V17" i="12"/>
  <c r="V33" i="12"/>
  <c r="V19" i="12"/>
  <c r="V35" i="12"/>
  <c r="V20" i="12"/>
  <c r="V36" i="12"/>
  <c r="V5" i="12"/>
  <c r="V38" i="12"/>
  <c r="V23" i="12"/>
  <c r="V39" i="12"/>
  <c r="V8" i="12"/>
  <c r="V40" i="12"/>
  <c r="V9" i="12"/>
  <c r="V25" i="12"/>
  <c r="V10" i="12"/>
  <c r="V11" i="12"/>
  <c r="V27" i="12"/>
  <c r="V12" i="12"/>
  <c r="V44" i="12"/>
  <c r="E24" i="18"/>
  <c r="E25" i="18"/>
  <c r="E27" i="18"/>
  <c r="E29" i="18" s="1"/>
  <c r="F41" i="16"/>
  <c r="D49" i="16"/>
  <c r="F59" i="16"/>
  <c r="F36" i="16"/>
  <c r="F72" i="16"/>
  <c r="F66" i="16"/>
  <c r="F31" i="16"/>
  <c r="F71" i="16"/>
  <c r="F75" i="16"/>
  <c r="F65" i="16"/>
  <c r="F47" i="16"/>
  <c r="F48" i="16"/>
  <c r="F60" i="16"/>
  <c r="F61" i="16" s="1"/>
  <c r="F67" i="16"/>
  <c r="F74" i="16"/>
  <c r="F53" i="16"/>
  <c r="F54" i="16"/>
  <c r="F55" i="16" s="1"/>
  <c r="E34" i="19"/>
  <c r="F49" i="16" l="1"/>
  <c r="F42" i="16"/>
  <c r="E26" i="18"/>
  <c r="E29" i="19"/>
  <c r="E33" i="19"/>
  <c r="E30" i="19"/>
  <c r="B3" i="14" l="1"/>
  <c r="B6" i="14" s="1"/>
  <c r="B2" i="14"/>
  <c r="B5" i="14" l="1"/>
  <c r="C12" i="22"/>
  <c r="C10" i="22"/>
  <c r="C11" i="22"/>
  <c r="E12" i="13"/>
  <c r="E11" i="13"/>
  <c r="E13" i="13" l="1"/>
  <c r="E55" i="12"/>
  <c r="T111" i="1"/>
  <c r="E51" i="12"/>
  <c r="E50" i="12"/>
  <c r="E98" i="11"/>
  <c r="E97" i="11"/>
  <c r="E96" i="11"/>
  <c r="E54" i="12" l="1"/>
  <c r="E52" i="12"/>
  <c r="E62" i="12" l="1"/>
  <c r="E63" i="12"/>
  <c r="E58" i="12"/>
  <c r="E59" i="12"/>
  <c r="E18" i="10"/>
  <c r="E25" i="10" s="1"/>
  <c r="V321" i="1"/>
  <c r="U321" i="1"/>
  <c r="V320" i="1"/>
  <c r="U320" i="1"/>
  <c r="V319" i="1"/>
  <c r="U319" i="1"/>
  <c r="V318" i="1"/>
  <c r="U318" i="1"/>
  <c r="V317" i="1"/>
  <c r="U317" i="1"/>
  <c r="V315" i="1"/>
  <c r="U315" i="1"/>
  <c r="V313" i="1"/>
  <c r="U313" i="1"/>
  <c r="V312" i="1"/>
  <c r="U312" i="1"/>
  <c r="V311" i="1"/>
  <c r="U311" i="1"/>
  <c r="V310" i="1"/>
  <c r="U310" i="1"/>
  <c r="V309" i="1"/>
  <c r="U309" i="1"/>
  <c r="V308" i="1"/>
  <c r="U308" i="1"/>
  <c r="V307" i="1"/>
  <c r="U307" i="1"/>
  <c r="V306" i="1"/>
  <c r="U306" i="1"/>
  <c r="V305" i="1"/>
  <c r="U305" i="1"/>
  <c r="V303" i="1"/>
  <c r="U303" i="1"/>
  <c r="V302" i="1"/>
  <c r="U302" i="1"/>
  <c r="V299" i="1"/>
  <c r="U299" i="1"/>
  <c r="V297" i="1"/>
  <c r="U297" i="1"/>
  <c r="V296" i="1"/>
  <c r="U296" i="1"/>
  <c r="V294" i="1"/>
  <c r="U294" i="1"/>
  <c r="V293" i="1"/>
  <c r="U293" i="1"/>
  <c r="V291" i="1"/>
  <c r="U291" i="1"/>
  <c r="V289" i="1"/>
  <c r="U289" i="1"/>
  <c r="V288" i="1"/>
  <c r="U288" i="1"/>
  <c r="V287" i="1"/>
  <c r="U287" i="1"/>
  <c r="V286" i="1"/>
  <c r="U286" i="1"/>
  <c r="V284" i="1"/>
  <c r="U284" i="1"/>
  <c r="V283" i="1"/>
  <c r="U283" i="1"/>
  <c r="V282" i="1"/>
  <c r="U282" i="1"/>
  <c r="V281" i="1"/>
  <c r="U281" i="1"/>
  <c r="V280" i="1"/>
  <c r="U280" i="1"/>
  <c r="V279" i="1"/>
  <c r="U279" i="1"/>
  <c r="V278" i="1"/>
  <c r="U278" i="1"/>
  <c r="V277" i="1"/>
  <c r="U277" i="1"/>
  <c r="V276" i="1"/>
  <c r="U276" i="1"/>
  <c r="V275" i="1"/>
  <c r="U275" i="1"/>
  <c r="V274" i="1"/>
  <c r="U274" i="1"/>
  <c r="V273" i="1"/>
  <c r="U273" i="1"/>
  <c r="V272" i="1"/>
  <c r="U272" i="1"/>
  <c r="V271" i="1"/>
  <c r="U271" i="1"/>
  <c r="V270" i="1"/>
  <c r="U270" i="1"/>
  <c r="V268" i="1"/>
  <c r="U268" i="1"/>
  <c r="V267" i="1"/>
  <c r="U267" i="1"/>
  <c r="V266" i="1"/>
  <c r="U266" i="1"/>
  <c r="V263" i="1"/>
  <c r="U263" i="1"/>
  <c r="V262" i="1"/>
  <c r="U262" i="1"/>
  <c r="V261" i="1"/>
  <c r="U261" i="1"/>
  <c r="V260" i="1"/>
  <c r="U260" i="1"/>
  <c r="V258" i="1"/>
  <c r="U258" i="1"/>
  <c r="V257" i="1"/>
  <c r="U257" i="1"/>
  <c r="V255" i="1"/>
  <c r="U255" i="1"/>
  <c r="V254" i="1"/>
  <c r="U254" i="1"/>
  <c r="V253" i="1"/>
  <c r="U253" i="1"/>
  <c r="V251" i="1"/>
  <c r="U251" i="1"/>
  <c r="V250" i="1"/>
  <c r="U250" i="1"/>
  <c r="V249" i="1"/>
  <c r="U249" i="1"/>
  <c r="V248" i="1"/>
  <c r="U248" i="1"/>
  <c r="V247" i="1"/>
  <c r="U247" i="1"/>
  <c r="V245" i="1"/>
  <c r="U245" i="1"/>
  <c r="V244" i="1"/>
  <c r="U244" i="1"/>
  <c r="V243" i="1"/>
  <c r="U243" i="1"/>
  <c r="V242" i="1"/>
  <c r="U242" i="1"/>
  <c r="V241" i="1"/>
  <c r="U241" i="1"/>
  <c r="V239" i="1"/>
  <c r="U239" i="1"/>
  <c r="V238" i="1"/>
  <c r="U238" i="1"/>
  <c r="V237" i="1"/>
  <c r="U237" i="1"/>
  <c r="V236" i="1"/>
  <c r="U236" i="1"/>
  <c r="V235" i="1"/>
  <c r="U235" i="1"/>
  <c r="V234" i="1"/>
  <c r="U234" i="1"/>
  <c r="V233" i="1"/>
  <c r="U233" i="1"/>
  <c r="V232" i="1"/>
  <c r="U232" i="1"/>
  <c r="V231" i="1"/>
  <c r="U231" i="1"/>
  <c r="V229" i="1"/>
  <c r="U229" i="1"/>
  <c r="V228" i="1"/>
  <c r="U228" i="1"/>
  <c r="V226" i="1"/>
  <c r="U226" i="1"/>
  <c r="V225" i="1"/>
  <c r="U225" i="1"/>
  <c r="V224" i="1"/>
  <c r="U224" i="1"/>
  <c r="V223" i="1"/>
  <c r="U223" i="1"/>
  <c r="V222" i="1"/>
  <c r="U222" i="1"/>
  <c r="V221" i="1"/>
  <c r="U221" i="1"/>
  <c r="V220" i="1"/>
  <c r="U220" i="1"/>
  <c r="V219" i="1"/>
  <c r="U219" i="1"/>
  <c r="V218" i="1"/>
  <c r="U218" i="1"/>
  <c r="V217" i="1"/>
  <c r="U217" i="1"/>
  <c r="V216" i="1"/>
  <c r="U216" i="1"/>
  <c r="V215" i="1"/>
  <c r="U215" i="1"/>
  <c r="V214" i="1"/>
  <c r="U214" i="1"/>
  <c r="V213" i="1"/>
  <c r="U213" i="1"/>
  <c r="V212" i="1"/>
  <c r="U212" i="1"/>
  <c r="V211" i="1"/>
  <c r="U211" i="1"/>
  <c r="V210" i="1"/>
  <c r="U210" i="1"/>
  <c r="V209" i="1"/>
  <c r="U209" i="1"/>
  <c r="V207" i="1"/>
  <c r="U207" i="1"/>
  <c r="V206" i="1"/>
  <c r="U206" i="1"/>
  <c r="V204" i="1"/>
  <c r="U204" i="1"/>
  <c r="V203" i="1"/>
  <c r="U203" i="1"/>
  <c r="V202" i="1"/>
  <c r="U202" i="1"/>
  <c r="V201" i="1"/>
  <c r="U201" i="1"/>
  <c r="V199" i="1"/>
  <c r="U199" i="1"/>
  <c r="V197" i="1"/>
  <c r="U197" i="1"/>
  <c r="V196" i="1"/>
  <c r="U196" i="1"/>
  <c r="V194" i="1"/>
  <c r="U194" i="1"/>
  <c r="V189" i="1"/>
  <c r="U189" i="1"/>
  <c r="V188" i="1"/>
  <c r="U188" i="1"/>
  <c r="V187" i="1"/>
  <c r="U187" i="1"/>
  <c r="V186" i="1"/>
  <c r="U186" i="1"/>
  <c r="V184" i="1"/>
  <c r="U184" i="1"/>
  <c r="V183" i="1"/>
  <c r="U183" i="1"/>
  <c r="V182" i="1"/>
  <c r="U182" i="1"/>
  <c r="V181" i="1"/>
  <c r="U181" i="1"/>
  <c r="V180" i="1"/>
  <c r="U180" i="1"/>
  <c r="V179" i="1"/>
  <c r="U179" i="1"/>
  <c r="V178" i="1"/>
  <c r="U178" i="1"/>
  <c r="V177" i="1"/>
  <c r="U177" i="1"/>
  <c r="V175" i="1"/>
  <c r="U175" i="1"/>
  <c r="V173" i="1"/>
  <c r="U173" i="1"/>
  <c r="V172" i="1"/>
  <c r="U172" i="1"/>
  <c r="V171" i="1"/>
  <c r="U171" i="1"/>
  <c r="V169" i="1"/>
  <c r="U169" i="1"/>
  <c r="V168" i="1"/>
  <c r="U168" i="1"/>
  <c r="V167" i="1"/>
  <c r="U167" i="1"/>
  <c r="V166" i="1"/>
  <c r="U166" i="1"/>
  <c r="V164" i="1"/>
  <c r="U164" i="1"/>
  <c r="V163" i="1"/>
  <c r="U163" i="1"/>
  <c r="V162" i="1"/>
  <c r="U162" i="1"/>
  <c r="V161" i="1"/>
  <c r="U161" i="1"/>
  <c r="V160" i="1"/>
  <c r="U160" i="1"/>
  <c r="V159" i="1"/>
  <c r="U159" i="1"/>
  <c r="V158" i="1"/>
  <c r="U158" i="1"/>
  <c r="V157" i="1"/>
  <c r="U157" i="1"/>
  <c r="V155" i="1"/>
  <c r="U155" i="1"/>
  <c r="V154" i="1"/>
  <c r="U154" i="1"/>
  <c r="V153" i="1"/>
  <c r="U153" i="1"/>
  <c r="V152" i="1"/>
  <c r="U152" i="1"/>
  <c r="V151" i="1"/>
  <c r="U151" i="1"/>
  <c r="V150" i="1"/>
  <c r="U150" i="1"/>
  <c r="V149" i="1"/>
  <c r="U149" i="1"/>
  <c r="V148" i="1"/>
  <c r="U148" i="1"/>
  <c r="V147" i="1"/>
  <c r="U147" i="1"/>
  <c r="V146" i="1"/>
  <c r="U146" i="1"/>
  <c r="V145" i="1"/>
  <c r="U145" i="1"/>
  <c r="V143" i="1"/>
  <c r="U143" i="1"/>
  <c r="V142" i="1"/>
  <c r="U142" i="1"/>
  <c r="V141" i="1"/>
  <c r="U141" i="1"/>
  <c r="V139" i="1"/>
  <c r="U139" i="1"/>
  <c r="V138" i="1"/>
  <c r="U138" i="1"/>
  <c r="V137" i="1"/>
  <c r="U137" i="1"/>
  <c r="V136" i="1"/>
  <c r="U136" i="1"/>
  <c r="V135" i="1"/>
  <c r="U135" i="1"/>
  <c r="V133" i="1"/>
  <c r="U133" i="1"/>
  <c r="V132" i="1"/>
  <c r="U132" i="1"/>
  <c r="V131" i="1"/>
  <c r="U131" i="1"/>
  <c r="V130" i="1"/>
  <c r="U130" i="1"/>
  <c r="V129" i="1"/>
  <c r="U129" i="1"/>
  <c r="V128" i="1"/>
  <c r="U128" i="1"/>
  <c r="V127" i="1"/>
  <c r="U127" i="1"/>
  <c r="V126" i="1"/>
  <c r="U126" i="1"/>
  <c r="V125" i="1"/>
  <c r="U125" i="1"/>
  <c r="V124" i="1"/>
  <c r="U124" i="1"/>
  <c r="V123" i="1"/>
  <c r="U123" i="1"/>
  <c r="V122" i="1"/>
  <c r="U122" i="1"/>
  <c r="V121" i="1"/>
  <c r="U121" i="1"/>
  <c r="V120" i="1"/>
  <c r="U120" i="1"/>
  <c r="V119" i="1"/>
  <c r="U119" i="1"/>
  <c r="V118" i="1"/>
  <c r="U118" i="1"/>
  <c r="V116" i="1"/>
  <c r="U116" i="1"/>
  <c r="V115" i="1"/>
  <c r="U115" i="1"/>
  <c r="V114" i="1"/>
  <c r="U114" i="1"/>
  <c r="V113" i="1"/>
  <c r="U113" i="1"/>
  <c r="V112" i="1"/>
  <c r="U112" i="1"/>
  <c r="V110" i="1"/>
  <c r="U110" i="1"/>
  <c r="V109" i="1"/>
  <c r="U109" i="1"/>
  <c r="V108" i="1"/>
  <c r="U108" i="1"/>
  <c r="V106" i="1"/>
  <c r="U106" i="1"/>
  <c r="V105" i="1"/>
  <c r="U105" i="1"/>
  <c r="V104" i="1"/>
  <c r="U104" i="1"/>
  <c r="V103" i="1"/>
  <c r="U103" i="1"/>
  <c r="V102" i="1"/>
  <c r="U102" i="1"/>
  <c r="V101" i="1"/>
  <c r="U101" i="1"/>
  <c r="V100" i="1"/>
  <c r="U100" i="1"/>
  <c r="V99" i="1"/>
  <c r="U99" i="1"/>
  <c r="V98" i="1"/>
  <c r="U98" i="1"/>
  <c r="V97" i="1"/>
  <c r="U97" i="1"/>
  <c r="V95" i="1"/>
  <c r="U95" i="1"/>
  <c r="V93" i="1"/>
  <c r="U93" i="1"/>
  <c r="V92" i="1"/>
  <c r="U92" i="1"/>
  <c r="V91" i="1"/>
  <c r="U91" i="1"/>
  <c r="V89" i="1"/>
  <c r="U89" i="1"/>
  <c r="V88" i="1"/>
  <c r="U88" i="1"/>
  <c r="V87" i="1"/>
  <c r="U87" i="1"/>
  <c r="V86" i="1"/>
  <c r="U86" i="1"/>
  <c r="V85" i="1"/>
  <c r="U85" i="1"/>
  <c r="V84" i="1"/>
  <c r="U84" i="1"/>
  <c r="V83" i="1"/>
  <c r="U83" i="1"/>
  <c r="V80" i="1"/>
  <c r="U80" i="1"/>
  <c r="V79" i="1"/>
  <c r="U79" i="1"/>
  <c r="V78" i="1"/>
  <c r="U78" i="1"/>
  <c r="V77" i="1"/>
  <c r="U77" i="1"/>
  <c r="V76" i="1"/>
  <c r="U76" i="1"/>
  <c r="V75" i="1"/>
  <c r="U75" i="1"/>
  <c r="V74" i="1"/>
  <c r="U74" i="1"/>
  <c r="V73" i="1"/>
  <c r="U73" i="1"/>
  <c r="V72" i="1"/>
  <c r="U72" i="1"/>
  <c r="V71" i="1"/>
  <c r="U71" i="1"/>
  <c r="V70" i="1"/>
  <c r="U70" i="1"/>
  <c r="V69" i="1"/>
  <c r="U69" i="1"/>
  <c r="V68" i="1"/>
  <c r="U68" i="1"/>
  <c r="V66" i="1"/>
  <c r="U66" i="1"/>
  <c r="V65" i="1"/>
  <c r="U65" i="1"/>
  <c r="V64" i="1"/>
  <c r="U64" i="1"/>
  <c r="V63" i="1"/>
  <c r="U63" i="1"/>
  <c r="V62" i="1"/>
  <c r="U62" i="1"/>
  <c r="V61" i="1"/>
  <c r="U61" i="1"/>
  <c r="V60" i="1"/>
  <c r="U60" i="1"/>
  <c r="V59" i="1"/>
  <c r="U59" i="1"/>
  <c r="V58" i="1"/>
  <c r="U58" i="1"/>
  <c r="V57" i="1"/>
  <c r="U57" i="1"/>
  <c r="V56" i="1"/>
  <c r="U56" i="1"/>
  <c r="V54" i="1"/>
  <c r="U54" i="1"/>
  <c r="V53" i="1"/>
  <c r="U53" i="1"/>
  <c r="V52" i="1"/>
  <c r="U52" i="1"/>
  <c r="V51" i="1"/>
  <c r="U51" i="1"/>
  <c r="V50" i="1"/>
  <c r="U50" i="1"/>
  <c r="V49" i="1"/>
  <c r="U49" i="1"/>
  <c r="V47" i="1"/>
  <c r="U47" i="1"/>
  <c r="V46" i="1"/>
  <c r="U46" i="1"/>
  <c r="V45" i="1"/>
  <c r="U45" i="1"/>
  <c r="V44" i="1"/>
  <c r="U44" i="1"/>
  <c r="V43" i="1"/>
  <c r="U43" i="1"/>
  <c r="V42" i="1"/>
  <c r="U42" i="1"/>
  <c r="V41" i="1"/>
  <c r="U41" i="1"/>
  <c r="V40" i="1"/>
  <c r="U40" i="1"/>
  <c r="V38" i="1"/>
  <c r="U38" i="1"/>
  <c r="V37" i="1"/>
  <c r="U37" i="1"/>
  <c r="V36" i="1"/>
  <c r="U36" i="1"/>
  <c r="V35" i="1"/>
  <c r="U35" i="1"/>
  <c r="V34" i="1"/>
  <c r="U34" i="1"/>
  <c r="V33" i="1"/>
  <c r="U33" i="1"/>
  <c r="V32" i="1"/>
  <c r="U32" i="1"/>
  <c r="V31" i="1"/>
  <c r="U31" i="1"/>
  <c r="V30" i="1"/>
  <c r="U30" i="1"/>
  <c r="V26" i="1"/>
  <c r="U26" i="1"/>
  <c r="V25" i="1"/>
  <c r="U25" i="1"/>
  <c r="V24" i="1"/>
  <c r="U24" i="1"/>
  <c r="V23" i="1"/>
  <c r="U23" i="1"/>
  <c r="V22" i="1"/>
  <c r="U22" i="1"/>
  <c r="V19" i="1"/>
  <c r="U19" i="1"/>
  <c r="V18" i="1"/>
  <c r="U18" i="1"/>
  <c r="V17" i="1"/>
  <c r="U17" i="1"/>
  <c r="V16" i="1"/>
  <c r="U16" i="1"/>
  <c r="V15" i="1"/>
  <c r="U15" i="1"/>
  <c r="V14" i="1"/>
  <c r="U14" i="1"/>
  <c r="V13" i="1"/>
  <c r="U13" i="1"/>
  <c r="V12" i="1"/>
  <c r="U12" i="1"/>
  <c r="V11" i="1"/>
  <c r="U11" i="1"/>
  <c r="V10" i="1"/>
  <c r="U10" i="1"/>
  <c r="V7" i="1"/>
  <c r="U7" i="1"/>
  <c r="V6" i="1"/>
  <c r="U6" i="1"/>
  <c r="V5" i="1"/>
  <c r="U5" i="1"/>
  <c r="V4" i="1"/>
  <c r="U4" i="1"/>
  <c r="V3" i="1"/>
  <c r="U3" i="1"/>
  <c r="V2" i="1"/>
  <c r="U2" i="1"/>
  <c r="V111" i="1"/>
  <c r="U8" i="1"/>
  <c r="U111" i="1"/>
  <c r="V8" i="1"/>
  <c r="E21" i="10" l="1"/>
  <c r="E22" i="10"/>
  <c r="E24" i="10"/>
  <c r="E26" i="10" s="1"/>
  <c r="E85" i="11"/>
  <c r="E155" i="8"/>
  <c r="D155" i="8"/>
  <c r="E154" i="8"/>
  <c r="D154" i="8"/>
  <c r="E153" i="8"/>
  <c r="D153" i="8"/>
  <c r="E152" i="8"/>
  <c r="D152" i="8"/>
  <c r="E151" i="8"/>
  <c r="D151" i="8"/>
  <c r="E23" i="10" l="1"/>
  <c r="E27" i="10" s="1"/>
  <c r="E92" i="11"/>
  <c r="E88" i="11"/>
  <c r="E89" i="11"/>
  <c r="E91" i="11"/>
  <c r="F154" i="8"/>
  <c r="F152" i="8"/>
  <c r="F151" i="8"/>
  <c r="F153" i="8"/>
  <c r="F155" i="8"/>
  <c r="E90" i="11" l="1"/>
  <c r="E93" i="11"/>
  <c r="E147" i="8"/>
  <c r="D147" i="8"/>
  <c r="E146" i="8"/>
  <c r="D146" i="8"/>
  <c r="E145" i="8"/>
  <c r="D145" i="8"/>
  <c r="F146" i="8" l="1"/>
  <c r="F145" i="8"/>
  <c r="F147" i="8"/>
  <c r="E140" i="8"/>
  <c r="D140" i="8"/>
  <c r="E139" i="8"/>
  <c r="D139" i="8"/>
  <c r="F140" i="8" l="1"/>
  <c r="F139" i="8"/>
  <c r="E134" i="8"/>
  <c r="D134" i="8"/>
  <c r="E133" i="8"/>
  <c r="D133" i="8"/>
  <c r="E128" i="8"/>
  <c r="D128" i="8"/>
  <c r="E127" i="8"/>
  <c r="D127" i="8"/>
  <c r="F141" i="8" l="1"/>
  <c r="F128" i="8"/>
  <c r="F133" i="8"/>
  <c r="F134" i="8"/>
  <c r="D129" i="8"/>
  <c r="E129" i="8"/>
  <c r="F127" i="8"/>
  <c r="F135" i="8" l="1"/>
  <c r="F129" i="8"/>
  <c r="F120" i="8"/>
  <c r="F119" i="8"/>
  <c r="F115" i="8"/>
  <c r="F114" i="8"/>
  <c r="F110" i="8"/>
  <c r="F109" i="8"/>
  <c r="F116" i="8" l="1"/>
  <c r="F111" i="8"/>
  <c r="F121" i="8"/>
  <c r="F122" i="8" l="1"/>
  <c r="AK326" i="1" l="1"/>
  <c r="AJ321" i="1" a="1"/>
  <c r="AJ321" i="1" s="1"/>
  <c r="AJ320" i="1" a="1"/>
  <c r="AJ320" i="1" s="1"/>
  <c r="AJ319" i="1" a="1"/>
  <c r="AJ319" i="1" s="1"/>
  <c r="AJ318" i="1" a="1"/>
  <c r="AJ318" i="1" s="1"/>
  <c r="AJ317" i="1" a="1"/>
  <c r="AJ317" i="1" s="1"/>
  <c r="AJ316" i="1" a="1"/>
  <c r="AJ316" i="1" s="1"/>
  <c r="AJ315" i="1" a="1"/>
  <c r="AJ315" i="1" s="1"/>
  <c r="AJ314" i="1" a="1"/>
  <c r="AJ314" i="1" s="1"/>
  <c r="AJ313" i="1" a="1"/>
  <c r="AJ313" i="1" s="1"/>
  <c r="AJ312" i="1" a="1"/>
  <c r="AJ312" i="1" s="1"/>
  <c r="AJ311" i="1" a="1"/>
  <c r="AJ311" i="1" s="1"/>
  <c r="AJ310" i="1" a="1"/>
  <c r="AJ310" i="1" s="1"/>
  <c r="AJ309" i="1" a="1"/>
  <c r="AJ309" i="1" s="1"/>
  <c r="AJ308" i="1" a="1"/>
  <c r="AJ308" i="1" s="1"/>
  <c r="AJ307" i="1" a="1"/>
  <c r="AJ307" i="1" s="1"/>
  <c r="AJ306" i="1" a="1"/>
  <c r="AJ306" i="1" s="1"/>
  <c r="AJ305" i="1" a="1"/>
  <c r="AJ305" i="1" s="1"/>
  <c r="AJ304" i="1" a="1"/>
  <c r="AJ304" i="1" s="1"/>
  <c r="AJ303" i="1" a="1"/>
  <c r="AJ303" i="1" s="1"/>
  <c r="AJ302" i="1" a="1"/>
  <c r="AJ302" i="1" s="1"/>
  <c r="AJ301" i="1" a="1"/>
  <c r="AJ301" i="1" s="1"/>
  <c r="AJ300" i="1" a="1"/>
  <c r="AJ300" i="1" s="1"/>
  <c r="AJ299" i="1" a="1"/>
  <c r="AJ299" i="1" s="1"/>
  <c r="AJ298" i="1" a="1"/>
  <c r="AJ298" i="1" s="1"/>
  <c r="AJ297" i="1" a="1"/>
  <c r="AJ297" i="1" s="1"/>
  <c r="AJ296" i="1" a="1"/>
  <c r="AJ296" i="1" s="1"/>
  <c r="AJ295" i="1" a="1"/>
  <c r="AJ295" i="1" s="1"/>
  <c r="AJ294" i="1" a="1"/>
  <c r="AJ294" i="1" s="1"/>
  <c r="AJ293" i="1" a="1"/>
  <c r="AJ293" i="1" s="1"/>
  <c r="AJ292" i="1" a="1"/>
  <c r="AJ292" i="1" s="1"/>
  <c r="AJ291" i="1" a="1"/>
  <c r="AJ291" i="1" s="1"/>
  <c r="AJ290" i="1" a="1"/>
  <c r="AJ290" i="1" s="1"/>
  <c r="AJ289" i="1" a="1"/>
  <c r="AJ289" i="1" s="1"/>
  <c r="AJ288" i="1" a="1"/>
  <c r="AJ288" i="1" s="1"/>
  <c r="AJ287" i="1" a="1"/>
  <c r="AJ287" i="1" s="1"/>
  <c r="AJ286" i="1" a="1"/>
  <c r="AJ286" i="1" s="1"/>
  <c r="AJ285" i="1" a="1"/>
  <c r="AJ285" i="1" s="1"/>
  <c r="AJ284" i="1" a="1"/>
  <c r="AJ284" i="1" s="1"/>
  <c r="AJ283" i="1" a="1"/>
  <c r="AJ283" i="1" s="1"/>
  <c r="AJ282" i="1" a="1"/>
  <c r="AJ282" i="1" s="1"/>
  <c r="AJ281" i="1" a="1"/>
  <c r="AJ281" i="1" s="1"/>
  <c r="AJ280" i="1" a="1"/>
  <c r="AJ280" i="1" s="1"/>
  <c r="AJ279" i="1" a="1"/>
  <c r="AJ279" i="1" s="1"/>
  <c r="AJ278" i="1" a="1"/>
  <c r="AJ278" i="1" s="1"/>
  <c r="AJ277" i="1" a="1"/>
  <c r="AJ277" i="1" s="1"/>
  <c r="AJ276" i="1" a="1"/>
  <c r="AJ276" i="1" s="1"/>
  <c r="AJ275" i="1" a="1"/>
  <c r="AJ275" i="1" s="1"/>
  <c r="AJ274" i="1" a="1"/>
  <c r="AJ274" i="1" s="1"/>
  <c r="AJ273" i="1" a="1"/>
  <c r="AJ273" i="1" s="1"/>
  <c r="AJ272" i="1" a="1"/>
  <c r="AJ272" i="1" s="1"/>
  <c r="AJ271" i="1" a="1"/>
  <c r="AJ271" i="1" s="1"/>
  <c r="AJ270" i="1" a="1"/>
  <c r="AJ270" i="1" s="1"/>
  <c r="AJ269" i="1" a="1"/>
  <c r="AJ269" i="1" s="1"/>
  <c r="AJ268" i="1" a="1"/>
  <c r="AJ268" i="1" s="1"/>
  <c r="AJ267" i="1" a="1"/>
  <c r="AJ267" i="1" s="1"/>
  <c r="AJ266" i="1" a="1"/>
  <c r="AJ266" i="1" s="1"/>
  <c r="AJ265" i="1" a="1"/>
  <c r="AJ265" i="1" s="1"/>
  <c r="AJ264" i="1" a="1"/>
  <c r="AJ264" i="1" s="1"/>
  <c r="AJ263" i="1" a="1"/>
  <c r="AJ263" i="1" s="1"/>
  <c r="AJ262" i="1" a="1"/>
  <c r="AJ262" i="1" s="1"/>
  <c r="AJ261" i="1" a="1"/>
  <c r="AJ261" i="1" s="1"/>
  <c r="AJ260" i="1" a="1"/>
  <c r="AJ260" i="1" s="1"/>
  <c r="AJ259" i="1" a="1"/>
  <c r="AJ259" i="1" s="1"/>
  <c r="AJ258" i="1" a="1"/>
  <c r="AJ258" i="1" s="1"/>
  <c r="AJ257" i="1" a="1"/>
  <c r="AJ257" i="1" s="1"/>
  <c r="AJ256" i="1" a="1"/>
  <c r="AJ256" i="1" s="1"/>
  <c r="AJ255" i="1" a="1"/>
  <c r="AJ255" i="1" s="1"/>
  <c r="AJ254" i="1" a="1"/>
  <c r="AJ254" i="1" s="1"/>
  <c r="AJ253" i="1" a="1"/>
  <c r="AJ253" i="1" s="1"/>
  <c r="AJ252" i="1" a="1"/>
  <c r="AJ252" i="1" s="1"/>
  <c r="AJ251" i="1" a="1"/>
  <c r="AJ251" i="1" s="1"/>
  <c r="AJ250" i="1" a="1"/>
  <c r="AJ250" i="1" s="1"/>
  <c r="AJ249" i="1" a="1"/>
  <c r="AJ249" i="1" s="1"/>
  <c r="AJ248" i="1" a="1"/>
  <c r="AJ248" i="1" s="1"/>
  <c r="AJ247" i="1" a="1"/>
  <c r="AJ247" i="1" s="1"/>
  <c r="AJ246" i="1" a="1"/>
  <c r="AJ246" i="1" s="1"/>
  <c r="AJ245" i="1" a="1"/>
  <c r="AJ245" i="1" s="1"/>
  <c r="AJ244" i="1" a="1"/>
  <c r="AJ244" i="1" s="1"/>
  <c r="AJ243" i="1" a="1"/>
  <c r="AJ243" i="1" s="1"/>
  <c r="AJ242" i="1" a="1"/>
  <c r="AJ242" i="1" s="1"/>
  <c r="AJ241" i="1" a="1"/>
  <c r="AJ241" i="1" s="1"/>
  <c r="AJ240" i="1" a="1"/>
  <c r="AJ240" i="1" s="1"/>
  <c r="AJ239" i="1" a="1"/>
  <c r="AJ239" i="1" s="1"/>
  <c r="AJ238" i="1" a="1"/>
  <c r="AJ238" i="1" s="1"/>
  <c r="AJ237" i="1" a="1"/>
  <c r="AJ237" i="1" s="1"/>
  <c r="AJ236" i="1" a="1"/>
  <c r="AJ236" i="1" s="1"/>
  <c r="AJ235" i="1" a="1"/>
  <c r="AJ235" i="1" s="1"/>
  <c r="AJ234" i="1" a="1"/>
  <c r="AJ234" i="1" s="1"/>
  <c r="AJ233" i="1" a="1"/>
  <c r="AJ233" i="1" s="1"/>
  <c r="AJ232" i="1" a="1"/>
  <c r="AJ232" i="1" s="1"/>
  <c r="AJ231" i="1" a="1"/>
  <c r="AJ231" i="1" s="1"/>
  <c r="AJ230" i="1" a="1"/>
  <c r="AJ230" i="1" s="1"/>
  <c r="AJ229" i="1" a="1"/>
  <c r="AJ229" i="1" s="1"/>
  <c r="AJ228" i="1" a="1"/>
  <c r="AJ228" i="1" s="1"/>
  <c r="AJ227" i="1" a="1"/>
  <c r="AJ227" i="1" s="1"/>
  <c r="AJ226" i="1" a="1"/>
  <c r="AJ226" i="1" s="1"/>
  <c r="AJ225" i="1" a="1"/>
  <c r="AJ225" i="1" s="1"/>
  <c r="AJ224" i="1" a="1"/>
  <c r="AJ224" i="1" s="1"/>
  <c r="AJ223" i="1" a="1"/>
  <c r="AJ223" i="1" s="1"/>
  <c r="AJ222" i="1" a="1"/>
  <c r="AJ222" i="1" s="1"/>
  <c r="AJ221" i="1" a="1"/>
  <c r="AJ221" i="1" s="1"/>
  <c r="AJ220" i="1" a="1"/>
  <c r="AJ220" i="1" s="1"/>
  <c r="AJ219" i="1" a="1"/>
  <c r="AJ219" i="1" s="1"/>
  <c r="AJ218" i="1" a="1"/>
  <c r="AJ218" i="1" s="1"/>
  <c r="AJ217" i="1" a="1"/>
  <c r="AJ217" i="1" s="1"/>
  <c r="AJ216" i="1" a="1"/>
  <c r="AJ216" i="1" s="1"/>
  <c r="AJ215" i="1" a="1"/>
  <c r="AJ215" i="1" s="1"/>
  <c r="AJ214" i="1" a="1"/>
  <c r="AJ214" i="1" s="1"/>
  <c r="AJ213" i="1" a="1"/>
  <c r="AJ213" i="1" s="1"/>
  <c r="AJ212" i="1" a="1"/>
  <c r="AJ212" i="1" s="1"/>
  <c r="AJ211" i="1" a="1"/>
  <c r="AJ211" i="1" s="1"/>
  <c r="AJ210" i="1" a="1"/>
  <c r="AJ210" i="1" s="1"/>
  <c r="AJ209" i="1" a="1"/>
  <c r="AJ209" i="1" s="1"/>
  <c r="AJ208" i="1" a="1"/>
  <c r="AJ208" i="1" s="1"/>
  <c r="AJ207" i="1" a="1"/>
  <c r="AJ207" i="1" s="1"/>
  <c r="AJ206" i="1" a="1"/>
  <c r="AJ206" i="1" s="1"/>
  <c r="AJ205" i="1" a="1"/>
  <c r="AJ205" i="1" s="1"/>
  <c r="AJ204" i="1" a="1"/>
  <c r="AJ204" i="1" s="1"/>
  <c r="AJ203" i="1" a="1"/>
  <c r="AJ203" i="1" s="1"/>
  <c r="AJ202" i="1" a="1"/>
  <c r="AJ202" i="1" s="1"/>
  <c r="AJ201" i="1" a="1"/>
  <c r="AJ201" i="1" s="1"/>
  <c r="AJ200" i="1" a="1"/>
  <c r="AJ200" i="1" s="1"/>
  <c r="AJ199" i="1" a="1"/>
  <c r="AJ199" i="1" s="1"/>
  <c r="AJ198" i="1" a="1"/>
  <c r="AJ198" i="1" s="1"/>
  <c r="AJ197" i="1" a="1"/>
  <c r="AJ197" i="1" s="1"/>
  <c r="AJ196" i="1" a="1"/>
  <c r="AJ196" i="1" s="1"/>
  <c r="AJ195" i="1" a="1"/>
  <c r="AJ195" i="1" s="1"/>
  <c r="AJ194" i="1" a="1"/>
  <c r="AJ194" i="1" s="1"/>
  <c r="AJ193" i="1" a="1"/>
  <c r="AJ193" i="1" s="1"/>
  <c r="AJ192" i="1" a="1"/>
  <c r="AJ192" i="1" s="1"/>
  <c r="AJ190" i="1" a="1"/>
  <c r="AJ190" i="1" s="1"/>
  <c r="AJ189" i="1" a="1"/>
  <c r="AJ189" i="1" s="1"/>
  <c r="AJ188" i="1" a="1"/>
  <c r="AJ188" i="1" s="1"/>
  <c r="AJ187" i="1" a="1"/>
  <c r="AJ187" i="1" s="1"/>
  <c r="AJ186" i="1" a="1"/>
  <c r="AJ186" i="1" s="1"/>
  <c r="AJ185" i="1" a="1"/>
  <c r="AJ185" i="1" s="1"/>
  <c r="AJ184" i="1" a="1"/>
  <c r="AJ184" i="1" s="1"/>
  <c r="AJ183" i="1" a="1"/>
  <c r="AJ183" i="1" s="1"/>
  <c r="AJ182" i="1" a="1"/>
  <c r="AJ182" i="1" s="1"/>
  <c r="AJ181" i="1" a="1"/>
  <c r="AJ181" i="1" s="1"/>
  <c r="AJ180" i="1" a="1"/>
  <c r="AJ180" i="1" s="1"/>
  <c r="AJ179" i="1" a="1"/>
  <c r="AJ179" i="1" s="1"/>
  <c r="AJ178" i="1" a="1"/>
  <c r="AJ178" i="1" s="1"/>
  <c r="AJ177" i="1" a="1"/>
  <c r="AJ177" i="1" s="1"/>
  <c r="AJ176" i="1" a="1"/>
  <c r="AJ176" i="1" s="1"/>
  <c r="AJ175" i="1" a="1"/>
  <c r="AJ175" i="1" s="1"/>
  <c r="AJ174" i="1" a="1"/>
  <c r="AJ174" i="1" s="1"/>
  <c r="AJ173" i="1" a="1"/>
  <c r="AJ173" i="1" s="1"/>
  <c r="AJ172" i="1" a="1"/>
  <c r="AJ172" i="1" s="1"/>
  <c r="AJ171" i="1" a="1"/>
  <c r="AJ171" i="1" s="1"/>
  <c r="AJ170" i="1" a="1"/>
  <c r="AJ170" i="1" s="1"/>
  <c r="AJ169" i="1" a="1"/>
  <c r="AJ169" i="1" s="1"/>
  <c r="AJ168" i="1" a="1"/>
  <c r="AJ168" i="1" s="1"/>
  <c r="AJ167" i="1" a="1"/>
  <c r="AJ167" i="1" s="1"/>
  <c r="AJ166" i="1" a="1"/>
  <c r="AJ166" i="1" s="1"/>
  <c r="AJ165" i="1" a="1"/>
  <c r="AJ165" i="1" s="1"/>
  <c r="AJ164" i="1" a="1"/>
  <c r="AJ164" i="1" s="1"/>
  <c r="AJ163" i="1" a="1"/>
  <c r="AJ163" i="1" s="1"/>
  <c r="AJ162" i="1" a="1"/>
  <c r="AJ162" i="1" s="1"/>
  <c r="AJ161" i="1" a="1"/>
  <c r="AJ161" i="1" s="1"/>
  <c r="AJ160" i="1" a="1"/>
  <c r="AJ160" i="1" s="1"/>
  <c r="AJ159" i="1" a="1"/>
  <c r="AJ159" i="1" s="1"/>
  <c r="AJ158" i="1" a="1"/>
  <c r="AJ158" i="1" s="1"/>
  <c r="AJ157" i="1" a="1"/>
  <c r="AJ157" i="1" s="1"/>
  <c r="AJ156" i="1" a="1"/>
  <c r="AJ156" i="1" s="1"/>
  <c r="AJ155" i="1" a="1"/>
  <c r="AJ155" i="1" s="1"/>
  <c r="AJ154" i="1" a="1"/>
  <c r="AJ154" i="1" s="1"/>
  <c r="AJ153" i="1" a="1"/>
  <c r="AJ153" i="1" s="1"/>
  <c r="AJ152" i="1" a="1"/>
  <c r="AJ152" i="1" s="1"/>
  <c r="AJ151" i="1" a="1"/>
  <c r="AJ151" i="1" s="1"/>
  <c r="AJ150" i="1" a="1"/>
  <c r="AJ150" i="1" s="1"/>
  <c r="AJ149" i="1" a="1"/>
  <c r="AJ149" i="1" s="1"/>
  <c r="AJ148" i="1" a="1"/>
  <c r="AJ148" i="1" s="1"/>
  <c r="AJ147" i="1" a="1"/>
  <c r="AJ147" i="1" s="1"/>
  <c r="AJ146" i="1" a="1"/>
  <c r="AJ146" i="1" s="1"/>
  <c r="AJ145" i="1" a="1"/>
  <c r="AJ145" i="1" s="1"/>
  <c r="AJ144" i="1" a="1"/>
  <c r="AJ144" i="1" s="1"/>
  <c r="AJ143" i="1" a="1"/>
  <c r="AJ143" i="1" s="1"/>
  <c r="AJ142" i="1" a="1"/>
  <c r="AJ142" i="1" s="1"/>
  <c r="AJ141" i="1" a="1"/>
  <c r="AJ141" i="1" s="1"/>
  <c r="AJ140" i="1" a="1"/>
  <c r="AJ140" i="1" s="1"/>
  <c r="AJ139" i="1" a="1"/>
  <c r="AJ139" i="1" s="1"/>
  <c r="AJ138" i="1" a="1"/>
  <c r="AJ138" i="1" s="1"/>
  <c r="AJ137" i="1" a="1"/>
  <c r="AJ137" i="1" s="1"/>
  <c r="AJ136" i="1" a="1"/>
  <c r="AJ136" i="1" s="1"/>
  <c r="AJ135" i="1" a="1"/>
  <c r="AJ135" i="1" s="1"/>
  <c r="AJ134" i="1" a="1"/>
  <c r="AJ134" i="1" s="1"/>
  <c r="AJ133" i="1" a="1"/>
  <c r="AJ133" i="1" s="1"/>
  <c r="AJ132" i="1" a="1"/>
  <c r="AJ132" i="1" s="1"/>
  <c r="AJ131" i="1" a="1"/>
  <c r="AJ131" i="1" s="1"/>
  <c r="AJ130" i="1" a="1"/>
  <c r="AJ130" i="1" s="1"/>
  <c r="AJ129" i="1" a="1"/>
  <c r="AJ129" i="1" s="1"/>
  <c r="AJ128" i="1" a="1"/>
  <c r="AJ128" i="1" s="1"/>
  <c r="AJ127" i="1" a="1"/>
  <c r="AJ127" i="1" s="1"/>
  <c r="AJ126" i="1" a="1"/>
  <c r="AJ126" i="1" s="1"/>
  <c r="AJ125" i="1" a="1"/>
  <c r="AJ125" i="1" s="1"/>
  <c r="AJ124" i="1" a="1"/>
  <c r="AJ124" i="1" s="1"/>
  <c r="AJ123" i="1" a="1"/>
  <c r="AJ123" i="1" s="1"/>
  <c r="AJ122" i="1" a="1"/>
  <c r="AJ122" i="1" s="1"/>
  <c r="AJ121" i="1" a="1"/>
  <c r="AJ121" i="1" s="1"/>
  <c r="AJ120" i="1" a="1"/>
  <c r="AJ120" i="1" s="1"/>
  <c r="AJ119" i="1" a="1"/>
  <c r="AJ119" i="1" s="1"/>
  <c r="AJ118" i="1" a="1"/>
  <c r="AJ118" i="1" s="1"/>
  <c r="AJ117" i="1" a="1"/>
  <c r="AJ117" i="1" s="1"/>
  <c r="AJ116" i="1" a="1"/>
  <c r="AJ116" i="1" s="1"/>
  <c r="AJ115" i="1" a="1"/>
  <c r="AJ115" i="1" s="1"/>
  <c r="AJ114" i="1" a="1"/>
  <c r="AJ114" i="1" s="1"/>
  <c r="AJ113" i="1" a="1"/>
  <c r="AJ113" i="1" s="1"/>
  <c r="AJ112" i="1" a="1"/>
  <c r="AJ112" i="1" s="1"/>
  <c r="AJ111" i="1" a="1"/>
  <c r="AJ111" i="1" s="1"/>
  <c r="AJ110" i="1" a="1"/>
  <c r="AJ110" i="1" s="1"/>
  <c r="AJ109" i="1" a="1"/>
  <c r="AJ109" i="1" s="1"/>
  <c r="AJ108" i="1" a="1"/>
  <c r="AJ108" i="1" s="1"/>
  <c r="AJ107" i="1" a="1"/>
  <c r="AJ107" i="1" s="1"/>
  <c r="AJ106" i="1" a="1"/>
  <c r="AJ106" i="1" s="1"/>
  <c r="AJ105" i="1" a="1"/>
  <c r="AJ105" i="1" s="1"/>
  <c r="AJ104" i="1" a="1"/>
  <c r="AJ104" i="1" s="1"/>
  <c r="AJ103" i="1" a="1"/>
  <c r="AJ103" i="1" s="1"/>
  <c r="AJ102" i="1" a="1"/>
  <c r="AJ102" i="1" s="1"/>
  <c r="AJ101" i="1" a="1"/>
  <c r="AJ101" i="1" s="1"/>
  <c r="AJ100" i="1" a="1"/>
  <c r="AJ100" i="1" s="1"/>
  <c r="AJ99" i="1" a="1"/>
  <c r="AJ99" i="1" s="1"/>
  <c r="AJ98" i="1" a="1"/>
  <c r="AJ98" i="1" s="1"/>
  <c r="AJ97" i="1" a="1"/>
  <c r="AJ97" i="1" s="1"/>
  <c r="AJ96" i="1" a="1"/>
  <c r="AJ96" i="1" s="1"/>
  <c r="AJ95" i="1" a="1"/>
  <c r="AJ95" i="1" s="1"/>
  <c r="AJ94" i="1" a="1"/>
  <c r="AJ94" i="1" s="1"/>
  <c r="AJ93" i="1" a="1"/>
  <c r="AJ93" i="1" s="1"/>
  <c r="AJ92" i="1" a="1"/>
  <c r="AJ92" i="1" s="1"/>
  <c r="AJ91" i="1" a="1"/>
  <c r="AJ91" i="1" s="1"/>
  <c r="AJ90" i="1" a="1"/>
  <c r="AJ90" i="1" s="1"/>
  <c r="AJ89" i="1" a="1"/>
  <c r="AJ89" i="1" s="1"/>
  <c r="AJ88" i="1" a="1"/>
  <c r="AJ88" i="1" s="1"/>
  <c r="AJ87" i="1" a="1"/>
  <c r="AJ87" i="1" s="1"/>
  <c r="AJ86" i="1" a="1"/>
  <c r="AJ86" i="1" s="1"/>
  <c r="AJ85" i="1" a="1"/>
  <c r="AJ85" i="1" s="1"/>
  <c r="AJ84" i="1" a="1"/>
  <c r="AJ84" i="1" s="1"/>
  <c r="AJ83" i="1" a="1"/>
  <c r="AJ83" i="1" s="1"/>
  <c r="AJ82" i="1" a="1"/>
  <c r="AJ82" i="1" s="1"/>
  <c r="AJ81" i="1" a="1"/>
  <c r="AJ81" i="1" s="1"/>
  <c r="AJ80" i="1" a="1"/>
  <c r="AJ80" i="1" s="1"/>
  <c r="AJ79" i="1" a="1"/>
  <c r="AJ79" i="1" s="1"/>
  <c r="AJ78" i="1" a="1"/>
  <c r="AJ78" i="1" s="1"/>
  <c r="AJ77" i="1" a="1"/>
  <c r="AJ77" i="1" s="1"/>
  <c r="AJ76" i="1" a="1"/>
  <c r="AJ76" i="1" s="1"/>
  <c r="AJ75" i="1" a="1"/>
  <c r="AJ75" i="1" s="1"/>
  <c r="AJ74" i="1" a="1"/>
  <c r="AJ74" i="1" s="1"/>
  <c r="AJ73" i="1" a="1"/>
  <c r="AJ73" i="1" s="1"/>
  <c r="AJ72" i="1" a="1"/>
  <c r="AJ72" i="1" s="1"/>
  <c r="AJ71" i="1" a="1"/>
  <c r="AJ71" i="1" s="1"/>
  <c r="AJ70" i="1" a="1"/>
  <c r="AJ70" i="1" s="1"/>
  <c r="AJ69" i="1" a="1"/>
  <c r="AJ69" i="1" s="1"/>
  <c r="AJ68" i="1" a="1"/>
  <c r="AJ68" i="1" s="1"/>
  <c r="AJ67" i="1" a="1"/>
  <c r="AJ67" i="1" s="1"/>
  <c r="AJ66" i="1" a="1"/>
  <c r="AJ66" i="1" s="1"/>
  <c r="AJ65" i="1" a="1"/>
  <c r="AJ65" i="1" s="1"/>
  <c r="AJ64" i="1" a="1"/>
  <c r="AJ64" i="1" s="1"/>
  <c r="AJ63" i="1" a="1"/>
  <c r="AJ63" i="1" s="1"/>
  <c r="AJ62" i="1" a="1"/>
  <c r="AJ62" i="1" s="1"/>
  <c r="AJ61" i="1" a="1"/>
  <c r="AJ61" i="1" s="1"/>
  <c r="AJ60" i="1" a="1"/>
  <c r="AJ60" i="1" s="1"/>
  <c r="AJ59" i="1" a="1"/>
  <c r="AJ59" i="1" s="1"/>
  <c r="AJ58" i="1" a="1"/>
  <c r="AJ58" i="1" s="1"/>
  <c r="AJ57" i="1" a="1"/>
  <c r="AJ57" i="1" s="1"/>
  <c r="AJ56" i="1" a="1"/>
  <c r="AJ56" i="1" s="1"/>
  <c r="AJ55" i="1" a="1"/>
  <c r="AJ55" i="1" s="1"/>
  <c r="AJ54" i="1" a="1"/>
  <c r="AJ54" i="1" s="1"/>
  <c r="AJ53" i="1" a="1"/>
  <c r="AJ53" i="1" s="1"/>
  <c r="AJ52" i="1" a="1"/>
  <c r="AJ52" i="1" s="1"/>
  <c r="AJ51" i="1" a="1"/>
  <c r="AJ51" i="1" s="1"/>
  <c r="AJ50" i="1" a="1"/>
  <c r="AJ50" i="1" s="1"/>
  <c r="AJ49" i="1" a="1"/>
  <c r="AJ49" i="1" s="1"/>
  <c r="AJ47" i="1" a="1"/>
  <c r="AJ47" i="1" s="1"/>
  <c r="AJ46" i="1" a="1"/>
  <c r="AJ46" i="1" s="1"/>
  <c r="AJ45" i="1" a="1"/>
  <c r="AJ45" i="1" s="1"/>
  <c r="AJ44" i="1" a="1"/>
  <c r="AJ44" i="1" s="1"/>
  <c r="AJ43" i="1" a="1"/>
  <c r="AJ43" i="1" s="1"/>
  <c r="AJ42" i="1" a="1"/>
  <c r="AJ42" i="1" s="1"/>
  <c r="AJ41" i="1" a="1"/>
  <c r="AJ41" i="1" s="1"/>
  <c r="AJ40" i="1" a="1"/>
  <c r="AJ40" i="1" s="1"/>
  <c r="AJ39" i="1" a="1"/>
  <c r="AJ39" i="1" s="1"/>
  <c r="AJ38" i="1" a="1"/>
  <c r="AJ38" i="1" s="1"/>
  <c r="AJ37" i="1" a="1"/>
  <c r="AJ37" i="1" s="1"/>
  <c r="AJ36" i="1" a="1"/>
  <c r="AJ36" i="1" s="1"/>
  <c r="AJ35" i="1" a="1"/>
  <c r="AJ35" i="1" s="1"/>
  <c r="AJ34" i="1" a="1"/>
  <c r="AJ34" i="1" s="1"/>
  <c r="AJ33" i="1" a="1"/>
  <c r="AJ33" i="1" s="1"/>
  <c r="AJ32" i="1" a="1"/>
  <c r="AJ32" i="1" s="1"/>
  <c r="AJ31" i="1" a="1"/>
  <c r="AJ31" i="1" s="1"/>
  <c r="AJ30" i="1" a="1"/>
  <c r="AJ30" i="1" s="1"/>
  <c r="AJ29" i="1" a="1"/>
  <c r="AJ29" i="1" s="1"/>
  <c r="AJ28" i="1" a="1"/>
  <c r="AJ28" i="1" s="1"/>
  <c r="AJ27" i="1" a="1"/>
  <c r="AJ27" i="1" s="1"/>
  <c r="AJ26" i="1" a="1"/>
  <c r="AJ26" i="1" s="1"/>
  <c r="AJ25" i="1" a="1"/>
  <c r="AJ25" i="1" s="1"/>
  <c r="AJ24" i="1" a="1"/>
  <c r="AJ24" i="1" s="1"/>
  <c r="AJ23" i="1" a="1"/>
  <c r="AJ23" i="1" s="1"/>
  <c r="AJ22" i="1" a="1"/>
  <c r="AJ22" i="1" s="1"/>
  <c r="AJ21" i="1" a="1"/>
  <c r="AJ21" i="1" s="1"/>
  <c r="AJ20" i="1" a="1"/>
  <c r="AJ20" i="1" s="1"/>
  <c r="AJ19" i="1" a="1"/>
  <c r="AJ19" i="1" s="1"/>
  <c r="AJ18" i="1" a="1"/>
  <c r="AJ18" i="1" s="1"/>
  <c r="AJ17" i="1" a="1"/>
  <c r="AJ17" i="1" s="1"/>
  <c r="AJ16" i="1" a="1"/>
  <c r="AJ16" i="1" s="1"/>
  <c r="AJ15" i="1" a="1"/>
  <c r="AJ15" i="1" s="1"/>
  <c r="AJ14" i="1" a="1"/>
  <c r="AJ14" i="1" s="1"/>
  <c r="AJ13" i="1" a="1"/>
  <c r="AJ13" i="1" s="1"/>
  <c r="AJ12" i="1" a="1"/>
  <c r="AJ12" i="1" s="1"/>
  <c r="AJ11" i="1" a="1"/>
  <c r="AJ11" i="1" s="1"/>
  <c r="AJ10" i="1" a="1"/>
  <c r="AJ10" i="1" s="1"/>
  <c r="AJ9" i="1" a="1"/>
  <c r="AJ9" i="1" s="1"/>
  <c r="AJ8" i="1" a="1"/>
  <c r="AJ8" i="1" s="1"/>
  <c r="AJ7" i="1" a="1"/>
  <c r="AJ7" i="1" s="1"/>
  <c r="AJ6" i="1" a="1"/>
  <c r="AJ6" i="1" s="1"/>
  <c r="AJ5" i="1" a="1"/>
  <c r="AJ5" i="1" s="1"/>
  <c r="AJ4" i="1" a="1"/>
  <c r="AJ4" i="1" s="1"/>
  <c r="AJ3" i="1" a="1"/>
  <c r="AJ3" i="1" s="1"/>
  <c r="AJ2" i="1" a="1"/>
  <c r="AJ2" i="1" s="1"/>
  <c r="AK327" i="1"/>
  <c r="T316" i="1"/>
  <c r="T314" i="1"/>
  <c r="T304" i="1"/>
  <c r="T301" i="1"/>
  <c r="T300" i="1"/>
  <c r="T298" i="1"/>
  <c r="T295" i="1"/>
  <c r="T292" i="1"/>
  <c r="T290" i="1"/>
  <c r="T285" i="1"/>
  <c r="T269" i="1"/>
  <c r="T265" i="1"/>
  <c r="T264" i="1"/>
  <c r="T259" i="1"/>
  <c r="T256" i="1"/>
  <c r="T252" i="1"/>
  <c r="T246" i="1"/>
  <c r="T230" i="1"/>
  <c r="T227" i="1"/>
  <c r="T208" i="1"/>
  <c r="T205" i="1"/>
  <c r="T200" i="1"/>
  <c r="T198" i="1"/>
  <c r="T195" i="1"/>
  <c r="T193" i="1"/>
  <c r="T190" i="1"/>
  <c r="T185" i="1"/>
  <c r="T176" i="1"/>
  <c r="T174" i="1"/>
  <c r="T170" i="1"/>
  <c r="T165" i="1"/>
  <c r="T156" i="1"/>
  <c r="T144" i="1"/>
  <c r="T140" i="1"/>
  <c r="T134" i="1"/>
  <c r="T117" i="1"/>
  <c r="T107" i="1"/>
  <c r="T96" i="1"/>
  <c r="T94" i="1"/>
  <c r="T90" i="1"/>
  <c r="T82" i="1"/>
  <c r="T81" i="1"/>
  <c r="T67" i="1"/>
  <c r="T55" i="1"/>
  <c r="T39" i="1"/>
  <c r="T29" i="1"/>
  <c r="T28" i="1"/>
  <c r="T27" i="1"/>
  <c r="T21" i="1"/>
  <c r="T20" i="1"/>
  <c r="T9" i="1"/>
  <c r="E324" i="1"/>
  <c r="E323" i="1"/>
  <c r="V205" i="1"/>
  <c r="U290" i="1"/>
  <c r="V227" i="1"/>
  <c r="V264" i="1"/>
  <c r="U165" i="1"/>
  <c r="V107" i="1"/>
  <c r="V252" i="1"/>
  <c r="V314" i="1"/>
  <c r="V295" i="1"/>
  <c r="U21" i="1"/>
  <c r="V67" i="1"/>
  <c r="V198" i="1"/>
  <c r="U256" i="1"/>
  <c r="V144" i="1"/>
  <c r="U285" i="1"/>
  <c r="V29" i="1"/>
  <c r="U300" i="1"/>
  <c r="U55" i="1"/>
  <c r="U174" i="1"/>
  <c r="U295" i="1"/>
  <c r="V174" i="1"/>
  <c r="U39" i="1"/>
  <c r="U252" i="1"/>
  <c r="V300" i="1"/>
  <c r="V176" i="1"/>
  <c r="V94" i="1"/>
  <c r="U82" i="1"/>
  <c r="V170" i="1"/>
  <c r="V200" i="1"/>
  <c r="U269" i="1"/>
  <c r="U117" i="1"/>
  <c r="V81" i="1"/>
  <c r="V28" i="1"/>
  <c r="U107" i="1"/>
  <c r="U292" i="1"/>
  <c r="V27" i="1"/>
  <c r="U156" i="1"/>
  <c r="U27" i="1"/>
  <c r="U200" i="1"/>
  <c r="V230" i="1"/>
  <c r="V21" i="1"/>
  <c r="U94" i="1"/>
  <c r="U304" i="1"/>
  <c r="U90" i="1"/>
  <c r="U190" i="1"/>
  <c r="U198" i="1"/>
  <c r="V285" i="1"/>
  <c r="U29" i="1"/>
  <c r="V265" i="1"/>
  <c r="V290" i="1"/>
  <c r="U316" i="1"/>
  <c r="U246" i="1"/>
  <c r="V55" i="1"/>
  <c r="V246" i="1"/>
  <c r="V301" i="1"/>
  <c r="U195" i="1"/>
  <c r="U176" i="1"/>
  <c r="U227" i="1"/>
  <c r="U259" i="1"/>
  <c r="V292" i="1"/>
  <c r="U81" i="1"/>
  <c r="V304" i="1"/>
  <c r="U67" i="1"/>
  <c r="V256" i="1"/>
  <c r="V316" i="1"/>
  <c r="V165" i="1"/>
  <c r="V39" i="1"/>
  <c r="U264" i="1"/>
  <c r="U9" i="1"/>
  <c r="V185" i="1"/>
  <c r="U301" i="1"/>
  <c r="U230" i="1"/>
  <c r="V208" i="1"/>
  <c r="V156" i="1"/>
  <c r="U134" i="1"/>
  <c r="V9" i="1"/>
  <c r="V96" i="1"/>
  <c r="U208" i="1"/>
  <c r="U205" i="1"/>
  <c r="U96" i="1"/>
  <c r="V259" i="1"/>
  <c r="V117" i="1"/>
  <c r="V298" i="1"/>
  <c r="U314" i="1"/>
  <c r="U170" i="1"/>
  <c r="U185" i="1"/>
  <c r="V269" i="1"/>
  <c r="V82" i="1"/>
  <c r="U140" i="1"/>
  <c r="U28" i="1"/>
  <c r="V190" i="1"/>
  <c r="V140" i="1"/>
  <c r="V90" i="1"/>
  <c r="U193" i="1"/>
  <c r="V193" i="1"/>
  <c r="U144" i="1"/>
  <c r="U298" i="1"/>
  <c r="V195" i="1"/>
  <c r="U20" i="1"/>
  <c r="V134" i="1"/>
  <c r="V20" i="1"/>
  <c r="U265" i="1"/>
  <c r="AL327" i="1" l="1"/>
  <c r="AK328" i="1"/>
  <c r="AL326" i="1" l="1"/>
  <c r="AL328" i="1" s="1"/>
  <c r="E10" i="17" l="1"/>
  <c r="E17" i="17" l="1"/>
  <c r="E16" i="17"/>
  <c r="E14" i="17"/>
  <c r="E13" i="17"/>
  <c r="E15" i="17" l="1"/>
  <c r="E18" i="17"/>
  <c r="E19"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Wilken</author>
    <author>tc={11C45E5E-AC65-4BCD-9D62-1AA8D1FC384F}</author>
    <author>tc={3E3A7306-08C6-49A9-8D1B-32D16EFDEDA4}</author>
  </authors>
  <commentList>
    <comment ref="B1" authorId="0" shapeId="0" xr:uid="{6104EF6B-4AD2-4EFC-9D5F-F38E0DFD3FAE}">
      <text>
        <r>
          <rPr>
            <b/>
            <sz val="9"/>
            <color indexed="81"/>
            <rFont val="Tahoma"/>
            <family val="2"/>
          </rPr>
          <t>Jonathan Wilken:</t>
        </r>
        <r>
          <rPr>
            <sz val="9"/>
            <color indexed="81"/>
            <rFont val="Tahoma"/>
            <family val="2"/>
          </rPr>
          <t xml:space="preserve">
Page.Column.line range of autograph reading</t>
        </r>
      </text>
    </comment>
    <comment ref="C1" authorId="0" shapeId="0" xr:uid="{D83461E1-D0BC-4AE8-9AF1-D6EF69CBB4B7}">
      <text>
        <r>
          <rPr>
            <b/>
            <sz val="9"/>
            <color indexed="81"/>
            <rFont val="Tahoma"/>
            <family val="2"/>
          </rPr>
          <t>Jonathan Wilken:</t>
        </r>
        <r>
          <rPr>
            <sz val="9"/>
            <color indexed="81"/>
            <rFont val="Tahoma"/>
            <family val="2"/>
          </rPr>
          <t xml:space="preserve">
Page.Column.line range of apograph reading</t>
        </r>
      </text>
    </comment>
    <comment ref="D1" authorId="0" shapeId="0" xr:uid="{27AADEAB-46D2-4816-AF18-0C5D0FC5EAE7}">
      <text>
        <r>
          <rPr>
            <b/>
            <sz val="9"/>
            <color indexed="81"/>
            <rFont val="Tahoma"/>
            <family val="2"/>
          </rPr>
          <t>Jonathan Wilken:</t>
        </r>
        <r>
          <rPr>
            <sz val="9"/>
            <color indexed="81"/>
            <rFont val="Tahoma"/>
            <family val="2"/>
          </rPr>
          <t xml:space="preserve">
Reading from autograph (i.e., the older MS that was copied)</t>
        </r>
      </text>
    </comment>
    <comment ref="E1" authorId="0" shapeId="0" xr:uid="{474F1E89-E526-4C93-B50F-8EEB5BC34E91}">
      <text>
        <r>
          <rPr>
            <b/>
            <sz val="9"/>
            <color indexed="81"/>
            <rFont val="Tahoma"/>
            <family val="2"/>
          </rPr>
          <t>Jonathan Wilken:</t>
        </r>
        <r>
          <rPr>
            <sz val="9"/>
            <color indexed="81"/>
            <rFont val="Tahoma"/>
            <family val="2"/>
          </rPr>
          <t xml:space="preserve">
Reading from apograph (i.e., younger copy)</t>
        </r>
      </text>
    </comment>
    <comment ref="F1" authorId="0" shapeId="0" xr:uid="{ED2FCDE9-AC17-477A-BB5D-AAE9D19109FA}">
      <text>
        <r>
          <rPr>
            <b/>
            <sz val="9"/>
            <color indexed="81"/>
            <rFont val="Tahoma"/>
            <family val="2"/>
          </rPr>
          <t>Jonathan Wilken:</t>
        </r>
        <r>
          <rPr>
            <sz val="9"/>
            <color indexed="81"/>
            <rFont val="Tahoma"/>
            <family val="2"/>
          </rPr>
          <t xml:space="preserve">
Potential reasons why this reading should not be included in data analysis</t>
        </r>
      </text>
    </comment>
    <comment ref="G1" authorId="0" shapeId="0" xr:uid="{F1BE123A-DC51-4109-A4E6-38D076C626B5}">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H1" authorId="0" shapeId="0" xr:uid="{F60858E4-F428-41CC-B7F7-D25463D36FB0}">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J1" authorId="0" shapeId="0" xr:uid="{CFBE01EF-24B6-4A66-9DF4-375FC8242380}">
      <text>
        <r>
          <rPr>
            <b/>
            <sz val="9"/>
            <color indexed="81"/>
            <rFont val="Tahoma"/>
            <family val="2"/>
          </rPr>
          <t>Jonathan Wilken:</t>
        </r>
        <r>
          <rPr>
            <sz val="9"/>
            <color indexed="81"/>
            <rFont val="Tahoma"/>
            <family val="2"/>
          </rPr>
          <t xml:space="preserve">
Add, omit, transposition, substitution, combo</t>
        </r>
      </text>
    </comment>
    <comment ref="K1" authorId="0" shapeId="0" xr:uid="{E24FD131-D76B-466A-8874-841941CADBEF}">
      <text>
        <r>
          <rPr>
            <b/>
            <sz val="9"/>
            <color indexed="81"/>
            <rFont val="Tahoma"/>
            <family val="2"/>
          </rPr>
          <t>Jonathan Wilken:</t>
        </r>
        <r>
          <rPr>
            <sz val="9"/>
            <color indexed="81"/>
            <rFont val="Tahoma"/>
            <family val="2"/>
          </rPr>
          <t xml:space="preserve">
For add/omits. Should only be used if complete phrases &gt;= 1. Set to 0 for &lt; 1.
</t>
        </r>
      </text>
    </comment>
    <comment ref="L1" authorId="0" shapeId="0" xr:uid="{F2895D40-B2BE-452E-823E-503F9FF3A11D}">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M1" authorId="0" shapeId="0" xr:uid="{31893B3B-B352-492F-9209-78D2A2DAFF44}">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N1" authorId="0" shapeId="0" xr:uid="{8589E8C3-E5EB-48DB-BFE6-BE3A6ECAB854}">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O1" authorId="0" shapeId="0" xr:uid="{06F2B24F-F6F0-4FD8-9A43-53EDCBAC622B}">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P1" authorId="0" shapeId="0" xr:uid="{BB2C7F10-89A9-4A44-8CA6-A0E0AB0741DD}">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Q1" authorId="0" shapeId="0" xr:uid="{B1BDE666-0C1F-4970-AD42-B5660CF38196}">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R1" authorId="0" shapeId="0" xr:uid="{C6B7B373-E38E-41C8-AD9F-C8F5486B2A36}">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S1" authorId="0" shapeId="0" xr:uid="{F4CBD1E7-A26B-48CD-9AFC-1B4481FC71B0}">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T1" authorId="0" shapeId="0" xr:uid="{0A50DBE9-DC9A-4281-8E70-BCC99C8C527A}">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1" shapeId="0" xr:uid="{11C45E5E-AC65-4BCD-9D62-1AA8D1FC384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V1" authorId="2" shapeId="0" xr:uid="{3E3A7306-08C6-49A9-8D1B-32D16EFDEDA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Y1" authorId="0" shapeId="0" xr:uid="{00B91FB4-AA25-4FD0-8F8D-86ACBF251DD2}">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A2C2050D-38D4-49C7-AAD9-98C4713F6894}">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AFDE9939-D6FA-4FE3-A207-DCB1206BF99F}">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4853ADC9-3B3C-47C5-9FEA-A61A30B4A8FA}">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640CF7AA-79EE-4810-A7CE-1D891ABE3E18}">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FD0854F2-A059-4740-9F17-06B52568F321}">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A4A09671-B847-4389-9F90-F44D56FAD587}">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Jonathan Wilken</author>
    <author>tc={C797F4AB-38A6-48E2-8A90-3523997B327C}</author>
    <author>tc={42A57B8F-6C7C-433F-B9C8-CAC2C63B6102}</author>
  </authors>
  <commentList>
    <comment ref="B1" authorId="0" shapeId="0" xr:uid="{A447CDBC-3729-4C92-A38E-881EECA8911E}">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27616D79-CA51-4F9D-9EAB-8FE17BD041D8}">
      <text>
        <r>
          <rPr>
            <b/>
            <sz val="9"/>
            <color indexed="81"/>
            <rFont val="Tahoma"/>
            <family val="2"/>
          </rPr>
          <t>Jonathan Wilken:</t>
        </r>
        <r>
          <rPr>
            <sz val="9"/>
            <color indexed="81"/>
            <rFont val="Tahoma"/>
            <family val="2"/>
          </rPr>
          <t xml:space="preserve">
Reading from apograph (i.e., younger copy)</t>
        </r>
      </text>
    </comment>
    <comment ref="D1" authorId="0" shapeId="0" xr:uid="{CF7A9ACC-ADCA-43B2-9DE8-B728E4A3F291}">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3C0D8ED3-8159-4520-A828-29DEC1E9F17D}">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437952F4-9414-4406-83B0-2D1D4D625DEE}">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C1CB7B0B-56D5-47ED-8970-0E2D9ECA61C8}">
      <text>
        <r>
          <rPr>
            <b/>
            <sz val="9"/>
            <color indexed="81"/>
            <rFont val="Tahoma"/>
            <family val="2"/>
          </rPr>
          <t>Jonathan Wilken:</t>
        </r>
        <r>
          <rPr>
            <sz val="9"/>
            <color indexed="81"/>
            <rFont val="Tahoma"/>
            <family val="2"/>
          </rPr>
          <t xml:space="preserve">
Add, omit, transposition, substitution, combo</t>
        </r>
      </text>
    </comment>
    <comment ref="H1" authorId="0" shapeId="0" xr:uid="{B75CE99F-F911-466C-BF10-4182C7E5CA97}">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9898ED8A-44DA-416A-9ED1-500FEBBD5182}">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CC1D2C86-5D4B-485D-8842-071224BD9D3E}">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1E31A30C-59D8-4AAF-9DA7-FDDB34FA22FE}">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044B0D72-A933-47E8-8FC1-3CA8775819D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35C8A3DC-9388-430C-A1FE-278A9CCA6763}">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577B5258-B72B-4EE9-8A52-933421987170}">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D17FDB6C-FE63-4E64-A582-65E359A7C75D}">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B5808948-7981-42B3-8DCD-553389E06C95}">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58268459-E197-4BD9-AF16-533B87B919F3}">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C797F4AB-38A6-48E2-8A90-3523997B327C}">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42A57B8F-6C7C-433F-B9C8-CAC2C63B6102}">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DC9BCF99-902E-4FAE-A113-3A7BACA4237F}">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C5E7FC99-B7AF-4AED-A31D-8BEE4C19645B}">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358144D8-DD28-4430-8574-BEEA64BC8560}">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14906331-E587-4676-AFA1-BFED16F2D961}">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116622B7-AB78-4E8D-B947-A03FE9850FB8}">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CBED9411-C427-4DE8-A46D-16AE4457C9FE}">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04008F8F-66C2-4D35-9EBD-4B08599C1A41}">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Wilken</author>
    <author>tc={F4CD470D-D381-4518-B83F-CA8CD3878F3C}</author>
    <author>tc={C88838FA-4A49-4795-BD17-7459821CC203}</author>
    <author>tc={BF7B4448-14E0-4B2D-ADC1-F8B284433F03}</author>
    <author>tc={AAA361B9-165A-4331-A5E8-6ACDF8009FB9}</author>
    <author>tc={A854D587-AB6E-48DE-8E14-1893471222E1}</author>
    <author>tc={151C8778-B154-4B7B-A611-00428684F532}</author>
    <author>tc={3D7B3443-2755-4D50-B02D-B2088E6719F2}</author>
    <author>tc={D6B94900-D7A6-47BA-AC4D-80EA4E6C167D}</author>
    <author>tc={6A065C90-FD5E-4F61-B622-BB31619B22CF}</author>
    <author>tc={13FDB31E-649A-46D9-9716-72A4A901D475}</author>
    <author>tc={6D30D556-EBFD-48AE-A60E-D191BE926DA7}</author>
    <author>tc={0F7A5482-1E18-49BE-9321-35C0B3DEC905}</author>
    <author>tc={587BB1F2-FC1B-45CC-928B-4DBE9AF38BE3}</author>
    <author>tc={839B3D80-07ED-4000-ADFA-FB0BDC93E1CA}</author>
    <author>tc={173B0ED9-2A36-44BA-B6D7-A98F0F8BB3F9}</author>
    <author>tc={93F21761-62BE-46EA-96F0-9069B4A7BD8A}</author>
    <author>tc={546AE8A1-0C00-44FB-991D-00FEF396A25D}</author>
    <author>tc={A074CE99-6161-482C-858A-C1B666CD74A1}</author>
    <author>tc={15DA898F-0C83-4B4D-A2AB-DAE605CF0DDA}</author>
    <author>tc={CD8EE802-E595-486E-9DFF-51D9928A2201}</author>
    <author>tc={E429EFD9-9DE9-468C-A5B2-0360B2222890}</author>
    <author>tc={026A3C47-73C1-4EF6-B13E-C324C8E60856}</author>
    <author>tc={298C8F0A-E447-4641-90B3-46C514BF1989}</author>
    <author>tc={FCB4D91D-6334-4D32-8B91-B00D8C135731}</author>
    <author>tc={46CDFA74-5C92-46B8-B246-2C23B4FF228C}</author>
    <author>tc={23C78B75-7346-449E-B938-2D6C4FACA328}</author>
    <author>tc={CA50FF0F-6928-4773-BBE8-EDB10E23EBC3}</author>
    <author>tc={C899ED03-0B8F-4F19-8AD8-41151375E060}</author>
    <author>tc={7512EDF2-9114-48F5-A3BB-9E4B2322C561}</author>
    <author>tc={8C2626BE-B6AB-43E4-9246-D02CBECFC34A}</author>
    <author>tc={4B36A439-9D21-460F-95E8-115889ACAD41}</author>
    <author>tc={33C14EE9-012F-4E34-8061-B01F43212379}</author>
    <author>tc={A3A59832-E821-48D8-ABD4-D92AB4282A40}</author>
    <author>tc={E4B9448A-4735-4DC4-B11D-49400BA19528}</author>
    <author>tc={4AF80A91-EB35-4000-B81F-CDC4C7B10556}</author>
    <author>tc={1329C0E8-F4F4-4402-AC63-A164A1049588}</author>
    <author>tc={FD89AE2F-BC65-42FF-AC15-93D1AD99DAA9}</author>
    <author>tc={A58F5164-576D-4099-9C33-922DEA8675AC}</author>
    <author>tc={A41BFAC3-D9AD-4231-AAC4-E981351498CC}</author>
    <author>tc={EFB2BB1D-C23E-4046-B9EE-7E3924A50994}</author>
    <author>tc={B8489477-6099-4245-9415-AA2F0DD5C04E}</author>
    <author>tc={89534CEE-E44C-49F0-BD9E-21745286DD55}</author>
    <author>tc={AB3E5EE1-EE48-4BE0-BB76-463C145678A1}</author>
    <author>tc={78228090-CC6D-4EC3-8EE4-0C81FDA4774A}</author>
    <author>tc={7B2F6684-E883-4E3A-9A74-A5A4849995C3}</author>
  </authors>
  <commentList>
    <comment ref="B1" authorId="0" shapeId="0" xr:uid="{0471A261-4094-43B5-98CD-B522330CA5E3}">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9B01CCB7-EDA3-425C-A404-3A0EEDC38F1A}">
      <text>
        <r>
          <rPr>
            <b/>
            <sz val="9"/>
            <color indexed="81"/>
            <rFont val="Tahoma"/>
            <family val="2"/>
          </rPr>
          <t>Jonathan Wilken:</t>
        </r>
        <r>
          <rPr>
            <sz val="9"/>
            <color indexed="81"/>
            <rFont val="Tahoma"/>
            <family val="2"/>
          </rPr>
          <t xml:space="preserve">
Reading from apograph (i.e., younger copy)</t>
        </r>
      </text>
    </comment>
    <comment ref="D1" authorId="0" shapeId="0" xr:uid="{FCED42DB-289F-401F-958D-96A46AB6B5A0}">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66A0C75E-46F2-4533-BB33-4D5167C4A3AE}">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93A3BBB1-D26C-47B9-995A-10BA309904A7}">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597CF27C-D683-4C40-BA70-3A1040824D65}">
      <text>
        <r>
          <rPr>
            <b/>
            <sz val="9"/>
            <color indexed="81"/>
            <rFont val="Tahoma"/>
            <family val="2"/>
          </rPr>
          <t>Jonathan Wilken:</t>
        </r>
        <r>
          <rPr>
            <sz val="9"/>
            <color indexed="81"/>
            <rFont val="Tahoma"/>
            <family val="2"/>
          </rPr>
          <t xml:space="preserve">
Add, omit, transposition, substitution, combo</t>
        </r>
      </text>
    </comment>
    <comment ref="H1" authorId="0" shapeId="0" xr:uid="{61CA3349-E6BE-4B28-9F63-96F4B48A6248}">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DAC15119-BAFB-48E2-829F-77BFE226DBFA}">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0F4970AC-F916-4386-8793-CF6C360CB498}">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F956CF3B-393D-467F-8079-84E799182E32}">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C16D3FC3-D989-4D96-A955-4DE587CAE899}">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E11B5255-760A-4665-9DDA-A02F093F8D2B}">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65E66B0C-57DF-4E0A-842A-4822E524D7CE}">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5F91202E-FE15-4020-A5C8-2B09BA1636A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E96B6D8F-5BE5-4684-9DDB-4F2BB48FD644}">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F4CD470D-D381-4518-B83F-CA8CD3878F3C}">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6048A5C9-7CCA-4134-B7A3-0E1B33947DF9}">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C88838FA-4A49-4795-BD17-7459821CC20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BF7B4448-14E0-4B2D-ADC1-F8B284433F0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2A2EFA99-5406-4441-8942-2081AD0DA9CE}">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55DA6B87-F068-4A5D-8766-A8E8C73CB2A2}">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773B3724-5D6E-4509-A1C2-F762D196D32B}">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A00EF5C6-ECA2-4472-B090-F06E4741CFA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1BF7B3A5-2674-4DDF-A7B1-60F6AFC74B4F}">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F61EC92B-A67F-479B-AB01-EF4B0D1BCA46}">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7FD2FDC8-71D0-4BA7-8B73-8F5E30ABACAD}">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109" authorId="4" shapeId="0" xr:uid="{AAA361B9-165A-4331-A5E8-6ACDF8009FB9}">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110" authorId="5" shapeId="0" xr:uid="{A854D587-AB6E-48DE-8E14-1893471222E1}">
      <text>
        <t>[Threaded comment]
Your version of Excel allows you to read this threaded comment; however, any edits to it will get removed if the file is opened in a newer version of Excel. Learn more: https://go.microsoft.com/fwlink/?linkid=870924
Comment:
    "Low Meaning" words</t>
      </text>
    </comment>
    <comment ref="C110" authorId="6" shapeId="0" xr:uid="{151C8778-B154-4B7B-A611-00428684F532}">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110" authorId="7" shapeId="0" xr:uid="{3D7B3443-2755-4D50-B02D-B2088E6719F2}">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111" authorId="8" shapeId="0" xr:uid="{D6B94900-D7A6-47BA-AC4D-80EA4E6C167D}">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114" authorId="9" shapeId="0" xr:uid="{6A065C90-FD5E-4F61-B622-BB31619B22CF}">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115" authorId="10" shapeId="0" xr:uid="{13FDB31E-649A-46D9-9716-72A4A901D475}">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116" authorId="11" shapeId="0" xr:uid="{6D30D556-EBFD-48AE-A60E-D191BE926DA7}">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119" authorId="12" shapeId="0" xr:uid="{0F7A5482-1E18-49BE-9321-35C0B3DEC905}">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120" authorId="13" shapeId="0" xr:uid="{587BB1F2-FC1B-45CC-928B-4DBE9AF38BE3}">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121" authorId="14" shapeId="0" xr:uid="{839B3D80-07ED-4000-ADFA-FB0BDC93E1CA}">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127" authorId="15" shapeId="0" xr:uid="{173B0ED9-2A36-44BA-B6D7-A98F0F8BB3F9}">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127" authorId="16" shapeId="0" xr:uid="{93F21761-62BE-46EA-96F0-9069B4A7BD8A}">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127" authorId="17" shapeId="0" xr:uid="{546AE8A1-0C00-44FB-991D-00FEF396A25D}">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128" authorId="18" shapeId="0" xr:uid="{A074CE99-6161-482C-858A-C1B666CD74A1}">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128" authorId="19" shapeId="0" xr:uid="{15DA898F-0C83-4B4D-A2AB-DAE605CF0DDA}">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128" authorId="20" shapeId="0" xr:uid="{CD8EE802-E595-486E-9DFF-51D9928A2201}">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129" authorId="21" shapeId="0" xr:uid="{E429EFD9-9DE9-468C-A5B2-0360B2222890}">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129" authorId="22" shapeId="0" xr:uid="{026A3C47-73C1-4EF6-B13E-C324C8E60856}">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129" authorId="23" shapeId="0" xr:uid="{298C8F0A-E447-4641-90B3-46C514BF1989}">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133" authorId="24" shapeId="0" xr:uid="{FCB4D91D-6334-4D32-8B91-B00D8C135731}">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133" authorId="25" shapeId="0" xr:uid="{46CDFA74-5C92-46B8-B246-2C23B4FF228C}">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134" authorId="26" shapeId="0" xr:uid="{23C78B75-7346-449E-B938-2D6C4FACA328}">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134" authorId="27" shapeId="0" xr:uid="{CA50FF0F-6928-4773-BBE8-EDB10E23EBC3}">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139" authorId="28" shapeId="0" xr:uid="{C899ED03-0B8F-4F19-8AD8-41151375E060}">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139" authorId="29" shapeId="0" xr:uid="{7512EDF2-9114-48F5-A3BB-9E4B2322C561}">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140" authorId="30" shapeId="0" xr:uid="{8C2626BE-B6AB-43E4-9246-D02CBECFC34A}">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140" authorId="31" shapeId="0" xr:uid="{4B36A439-9D21-460F-95E8-115889ACAD41}">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145" authorId="32" shapeId="0" xr:uid="{33C14EE9-012F-4E34-8061-B01F43212379}">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145" authorId="33" shapeId="0" xr:uid="{A3A59832-E821-48D8-ABD4-D92AB4282A40}">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145" authorId="34" shapeId="0" xr:uid="{E4B9448A-4735-4DC4-B11D-49400BA19528}">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146" authorId="35" shapeId="0" xr:uid="{4AF80A91-EB35-4000-B81F-CDC4C7B10556}">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146" authorId="36" shapeId="0" xr:uid="{1329C0E8-F4F4-4402-AC63-A164A1049588}">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146" authorId="37" shapeId="0" xr:uid="{FD89AE2F-BC65-42FF-AC15-93D1AD99DAA9}">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147" authorId="38" shapeId="0" xr:uid="{A58F5164-576D-4099-9C33-922DEA8675AC}">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147" authorId="39" shapeId="0" xr:uid="{A41BFAC3-D9AD-4231-AAC4-E981351498CC}">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147" authorId="40" shapeId="0" xr:uid="{EFB2BB1D-C23E-4046-B9EE-7E3924A50994}">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150" authorId="41" shapeId="0" xr:uid="{B8489477-6099-4245-9415-AA2F0DD5C04E}">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150" authorId="42" shapeId="0" xr:uid="{89534CEE-E44C-49F0-BD9E-21745286DD55}">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150" authorId="43" shapeId="0" xr:uid="{AB3E5EE1-EE48-4BE0-BB76-463C145678A1}">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150" authorId="44" shapeId="0" xr:uid="{78228090-CC6D-4EC3-8EE4-0C81FDA4774A}">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158" authorId="45" shapeId="0" xr:uid="{7B2F6684-E883-4E3A-9A74-A5A4849995C3}">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Wilken</author>
    <author>tc={011E0E3A-8255-4908-BE6B-E330E6A4B48F}</author>
    <author>tc={57BF1BAF-63CA-4138-8C2E-7B956FDDC02B}</author>
    <author>tc={13EF569E-07FB-48B9-87E0-A642C7FB11F0}</author>
    <author>tc={A3C6A0AF-A27C-4512-AC0E-EE6C212BC4D3}</author>
    <author>tc={1B31A28A-9931-496C-9E35-08B3CD64117E}</author>
    <author>tc={48D09DCE-89C9-44B2-BF6B-BF03AEB5C398}</author>
    <author>tc={9435A053-5EBB-452F-8251-558AC7D51085}</author>
    <author>tc={D5BF6FB1-3368-477B-B4AF-C4AE0A5E9F19}</author>
    <author>tc={87DD1AB2-BBEC-49FE-9638-61D052DE535F}</author>
    <author>tc={57FA1CE8-2568-4745-A4BE-A5C13341359A}</author>
    <author>tc={20503263-E465-437A-A875-E6419ED016A9}</author>
    <author>tc={4BCC899B-3CCB-4D0B-B85C-C48BD96492CB}</author>
    <author>tc={0ADBAF1C-B28C-4D11-9925-0148EE7C565F}</author>
    <author>tc={FFD8DDD7-AD8F-42E1-8DF8-5C4304651C7D}</author>
  </authors>
  <commentList>
    <comment ref="B1" authorId="0" shapeId="0" xr:uid="{2736E985-02F7-406B-93E3-FBDCC334B8C7}">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B1298680-A96B-4B88-AB71-85298A24A8AE}">
      <text>
        <r>
          <rPr>
            <b/>
            <sz val="9"/>
            <color indexed="81"/>
            <rFont val="Tahoma"/>
            <family val="2"/>
          </rPr>
          <t>Jonathan Wilken:</t>
        </r>
        <r>
          <rPr>
            <sz val="9"/>
            <color indexed="81"/>
            <rFont val="Tahoma"/>
            <family val="2"/>
          </rPr>
          <t xml:space="preserve">
Reading from apograph (i.e., younger copy)</t>
        </r>
      </text>
    </comment>
    <comment ref="D1" authorId="0" shapeId="0" xr:uid="{D68A0327-0CFD-4E03-AD07-2F561071E94C}">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4F5E6A8A-B335-4CA1-AE75-496BF7D86BCD}">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C14AD14F-D061-4A09-9178-A66F06FA3CE5}">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FD990CC9-55CD-4933-BD40-63464A1F1D10}">
      <text>
        <r>
          <rPr>
            <b/>
            <sz val="9"/>
            <color indexed="81"/>
            <rFont val="Tahoma"/>
            <family val="2"/>
          </rPr>
          <t>Jonathan Wilken:</t>
        </r>
        <r>
          <rPr>
            <sz val="9"/>
            <color indexed="81"/>
            <rFont val="Tahoma"/>
            <family val="2"/>
          </rPr>
          <t xml:space="preserve">
Add, omit, transposition, substitution, combo</t>
        </r>
      </text>
    </comment>
    <comment ref="H1" authorId="0" shapeId="0" xr:uid="{FA8F2F7F-647E-4B39-BC89-A5C334AB247C}">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2C0B68CF-CA13-48DF-8CE4-4A694CD7DDAB}">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02FDA144-D410-4300-9A11-C323A5CD23FF}">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5C0164FB-7FA6-4EF5-B793-3A76BA93533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8CC6A62D-0997-4385-8BA6-55646236AC23}">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8EF0F7AF-0B3F-4D0D-AACE-7F7379564CBD}">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69C20B5F-CF72-434A-892F-764450448D95}">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0D4614EF-EB73-4137-A15D-AAC3640E2C31}">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4EC0F71F-A3C4-4FAC-BB70-EBDDABA739D6}">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011E0E3A-8255-4908-BE6B-E330E6A4B48F}">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7A1B9E54-B4E0-46D7-BAFD-0E08CF23888A}">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57BF1BAF-63CA-4138-8C2E-7B956FDDC02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13EF569E-07FB-48B9-87E0-A642C7FB11F0}">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338B8237-FB71-4847-AA46-461F5ED8A67E}">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0DD98C15-6696-4EB6-95D0-F310D14A27F6}">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C3700791-FD74-485D-A718-74EE98BB9642}">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C2595C93-9A4B-4DB2-854B-D1AE73F067BB}">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801167C8-2C30-4587-9555-5802677B78C1}">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7D0D8A95-6B85-4CEF-AE26-EC5E992892ED}">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1856C664-E548-4F5C-9F8D-0B355A8E40A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84" authorId="4" shapeId="0" xr:uid="{A3C6A0AF-A27C-4512-AC0E-EE6C212BC4D3}">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85" authorId="5" shapeId="0" xr:uid="{1B31A28A-9931-496C-9E35-08B3CD64117E}">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88" authorId="6" shapeId="0" xr:uid="{48D09DCE-89C9-44B2-BF6B-BF03AEB5C398}">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89" authorId="7" shapeId="0" xr:uid="{9435A053-5EBB-452F-8251-558AC7D51085}">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90" authorId="8" shapeId="0" xr:uid="{D5BF6FB1-3368-477B-B4AF-C4AE0A5E9F19}">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91" authorId="9" shapeId="0" xr:uid="{87DD1AB2-BBEC-49FE-9638-61D052DE535F}">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92" authorId="10" shapeId="0" xr:uid="{57FA1CE8-2568-4745-A4BE-A5C13341359A}">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93" authorId="11" shapeId="0" xr:uid="{20503263-E465-437A-A875-E6419ED016A9}">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96" authorId="12" shapeId="0" xr:uid="{4BCC899B-3CCB-4D0B-B85C-C48BD96492CB}">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97" authorId="13" shapeId="0" xr:uid="{0ADBAF1C-B28C-4D11-9925-0148EE7C565F}">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98" authorId="14" shapeId="0" xr:uid="{FFD8DDD7-AD8F-42E1-8DF8-5C4304651C7D}">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Wilken</author>
    <author>tc={170491A0-1F15-4D70-9F11-A2076F4DA891}</author>
    <author>tc={D644D20C-3ECC-4171-A82C-7E761695704B}</author>
    <author>tc={553B44B1-4356-4AF5-8507-6F40A18E0A21}</author>
    <author>tc={EB5DD003-796C-467D-B6AB-446261F3C619}</author>
    <author>tc={C0405869-1251-4D0E-B658-187A2B6B6F9E}</author>
    <author>tc={9B5E1E98-208D-4B36-937C-0BFB921FFB46}</author>
    <author>tc={95BD72BD-A5AE-4CB9-9C48-505B6F8AB747}</author>
    <author>tc={5182DAA6-6356-4735-BCCD-3A33FE91E055}</author>
    <author>tc={FFB63586-73EC-44A6-AE0F-4B6A3550B0BB}</author>
    <author>tc={5F525D7D-56B7-4A6B-96D0-DA9547C5A863}</author>
    <author>tc={85F7F0B5-84A1-4310-9F57-A44A8F8A2DFB}</author>
    <author>tc={F69055C1-1FB0-465B-82C8-276F8CCB3C1B}</author>
  </authors>
  <commentList>
    <comment ref="B1" authorId="0" shapeId="0" xr:uid="{9E898404-E4A3-4A78-B265-FC9BDDE073DF}">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12A77DE5-FCEF-4810-90C7-140E5FBF3A32}">
      <text>
        <r>
          <rPr>
            <b/>
            <sz val="9"/>
            <color indexed="81"/>
            <rFont val="Tahoma"/>
            <family val="2"/>
          </rPr>
          <t>Jonathan Wilken:</t>
        </r>
        <r>
          <rPr>
            <sz val="9"/>
            <color indexed="81"/>
            <rFont val="Tahoma"/>
            <family val="2"/>
          </rPr>
          <t xml:space="preserve">
Reading from apograph (i.e., younger copy)</t>
        </r>
      </text>
    </comment>
    <comment ref="D1" authorId="0" shapeId="0" xr:uid="{A693297D-C8AB-41D4-ADD5-E6CD029A6696}">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08FAA05C-17D5-41EA-9790-D512D756171B}">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9AC99300-414B-4935-877F-D2B879FCA864}">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D43CFE81-8A8C-4E89-8FF4-FD901206494E}">
      <text>
        <r>
          <rPr>
            <b/>
            <sz val="9"/>
            <color indexed="81"/>
            <rFont val="Tahoma"/>
            <family val="2"/>
          </rPr>
          <t>Jonathan Wilken:</t>
        </r>
        <r>
          <rPr>
            <sz val="9"/>
            <color indexed="81"/>
            <rFont val="Tahoma"/>
            <family val="2"/>
          </rPr>
          <t xml:space="preserve">
Add, omit, transposition, substitution, combo</t>
        </r>
      </text>
    </comment>
    <comment ref="H1" authorId="0" shapeId="0" xr:uid="{18BA381F-7D1D-4EDA-AFD3-753231E52D9C}">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946718BE-223C-4D85-B4ED-CB0533075476}">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2121FACB-C0C1-4E7F-81FA-FB3393AEE304}">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CED6B6D0-FAE4-408E-A97E-42AB92EBB094}">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CAE1E465-0E85-43A1-8938-CAEF8D7169D9}">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04D23723-AAF1-42F2-A7B5-B11DF3A3513E}">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6387C091-DCFC-407B-B93A-95E07708C8E4}">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B8D999FE-0000-49C7-A349-9BF23921A52E}">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D85B51A0-D230-4BF3-A15D-D00F6EE1C714}">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170491A0-1F15-4D70-9F11-A2076F4DA891}">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2298D386-5CFC-4CEF-9FA0-9C15E7B82582}">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D644D20C-3ECC-4171-A82C-7E761695704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553B44B1-4356-4AF5-8507-6F40A18E0A21}">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397AADB8-2E16-496C-B344-BBDF3FC7EE07}">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6557803C-409A-41E0-A052-6F3D618AF659}">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74392985-A878-4ABE-9639-AC6E11B074BF}">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E0B1FEE2-A12A-4F11-8EE4-5A29F0E9ADE4}">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0E2C038E-A9A4-4773-A2F3-7E932EC875F7}">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B6EA8034-B26F-4FF2-AA70-03419DF100D0}">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410D87AB-AF33-4E31-8200-9ADBE9458503}">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7" authorId="4" shapeId="0" xr:uid="{EB5DD003-796C-467D-B6AB-446261F3C619}">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8" authorId="5" shapeId="0" xr:uid="{C0405869-1251-4D0E-B658-187A2B6B6F9E}">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21" authorId="6" shapeId="0" xr:uid="{9B5E1E98-208D-4B36-937C-0BFB921FFB46}">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22" authorId="7" shapeId="0" xr:uid="{95BD72BD-A5AE-4CB9-9C48-505B6F8AB747}">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23" authorId="8" shapeId="0" xr:uid="{5182DAA6-6356-4735-BCCD-3A33FE91E055}">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24" authorId="9" shapeId="0" xr:uid="{FFB63586-73EC-44A6-AE0F-4B6A3550B0BB}">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25" authorId="10" shapeId="0" xr:uid="{5F525D7D-56B7-4A6B-96D0-DA9547C5A863}">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26" authorId="11" shapeId="0" xr:uid="{85F7F0B5-84A1-4310-9F57-A44A8F8A2DFB}">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27" authorId="12" shapeId="0" xr:uid="{F69055C1-1FB0-465B-82C8-276F8CCB3C1B}">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Jonathan Wilken</author>
    <author>tc={D3D876BB-FE7B-4507-AB33-E02F4E6CE3A7}</author>
    <author>tc={EF932C60-81DE-49C8-B5DD-0C80FBA9270C}</author>
    <author>tc={7F7C073F-DEB6-458C-A544-875635F793DC}</author>
    <author>tc={2FAE73CA-1AAB-4ECC-9D58-5412D10615B1}</author>
    <author>tc={448876B3-04BF-4355-B230-3CBDEFE4877B}</author>
    <author>tc={F07E9AE1-8519-4801-A5FE-A697BBEB152B}</author>
    <author>tc={29A74703-016E-4CFC-B92E-F07673EC1D82}</author>
    <author>tc={39FB509D-9BA6-4302-A8CF-5C81DEAD4512}</author>
    <author>tc={11BF7480-9A11-40C5-AEEB-D6734371103C}</author>
    <author>tc={B5AA0E27-9780-4598-8A32-1A7F2906C7B4}</author>
    <author>tc={27D7FE53-4D77-47DC-AD69-F7893C79DECD}</author>
    <author>tc={A4A4EC7D-67FF-4D19-A29E-CB776119497A}</author>
    <author>tc={1899E584-79CD-4B97-B753-5BA64543D75A}</author>
    <author>tc={AD150F21-F59A-4934-880C-72B0F3E437A0}</author>
    <author>tc={7AA6584E-B67C-4ADD-B92D-1D7FBD6E0132}</author>
  </authors>
  <commentList>
    <comment ref="B1" authorId="0" shapeId="0" xr:uid="{DCEF93CD-22C7-4419-9867-77F5169259E4}">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B3E6EDC8-3235-4AE2-AC22-254E7626E43C}">
      <text>
        <r>
          <rPr>
            <b/>
            <sz val="9"/>
            <color indexed="81"/>
            <rFont val="Tahoma"/>
            <family val="2"/>
          </rPr>
          <t>Jonathan Wilken:</t>
        </r>
        <r>
          <rPr>
            <sz val="9"/>
            <color indexed="81"/>
            <rFont val="Tahoma"/>
            <family val="2"/>
          </rPr>
          <t xml:space="preserve">
Reading from apograph (i.e., younger copy)</t>
        </r>
      </text>
    </comment>
    <comment ref="D1" authorId="0" shapeId="0" xr:uid="{838BB39B-778E-418A-A254-1D9BE3955F63}">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5768729F-C810-4F79-B6A3-A5D87DC6062E}">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5140BC13-2A4E-4C69-AC30-275DCAEBB6CC}">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4A871544-81D7-40C5-8D94-456115D288B3}">
      <text>
        <r>
          <rPr>
            <b/>
            <sz val="9"/>
            <color indexed="81"/>
            <rFont val="Tahoma"/>
            <family val="2"/>
          </rPr>
          <t>Jonathan Wilken:</t>
        </r>
        <r>
          <rPr>
            <sz val="9"/>
            <color indexed="81"/>
            <rFont val="Tahoma"/>
            <family val="2"/>
          </rPr>
          <t xml:space="preserve">
Add, omit, transposition, substitution, combo</t>
        </r>
      </text>
    </comment>
    <comment ref="H1" authorId="0" shapeId="0" xr:uid="{52307410-A697-433E-BBC8-0DB6B56081E2}">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FF7CD8DC-2A2B-427C-9A47-06144DBAC35F}">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19DD3358-2C01-42B8-B2C9-6A90EC2E687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DCD52E96-E151-49C0-889D-82F6A02A1B82}">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7E017BCE-31FC-4949-AE6B-4407A09AE1B7}">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C5EACF8C-3FEB-47DA-9A28-616CBC1D03DC}">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9BEDCE1E-6714-49F8-8976-1F4073DF910D}">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EF4C934C-FB89-4C8E-8811-54E0374B66BC}">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177D38DF-51F9-4939-B9CB-204C15227693}">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017B6696-5D07-4436-A842-FEE5480BEA6B}">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D3D876BB-FE7B-4507-AB33-E02F4E6CE3A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EF932C60-81DE-49C8-B5DD-0C80FBA9270C}">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7F7C073F-DEB6-458C-A544-875635F793DC}">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2FAE73CA-1AAB-4ECC-9D58-5412D10615B1}">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448876B3-04BF-4355-B230-3CBDEFE4877B}">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31049312-0DDA-4143-8C90-10723F699FDF}">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A1E6ECE2-E365-4837-B83F-30F7B94C0973}">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D9D4DB41-5B41-4E98-9896-21BE7F9B7E91}">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A4A16E2B-F968-4C3A-AC78-D41C81884C26}">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BBD2E093-CCEE-465C-816B-A443C5FEBB91}">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86FCF775-5457-4660-BF1C-A67B11BFCBDF}">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953CA2B7-14A3-4633-84D9-4D13F0519078}">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47" authorId="6" shapeId="0" xr:uid="{F07E9AE1-8519-4801-A5FE-A697BBEB152B}">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50" authorId="7" shapeId="0" xr:uid="{29A74703-016E-4CFC-B92E-F07673EC1D82}">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51" authorId="8" shapeId="0" xr:uid="{39FB509D-9BA6-4302-A8CF-5C81DEAD4512}">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52" authorId="9" shapeId="0" xr:uid="{11BF7480-9A11-40C5-AEEB-D6734371103C}">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54" authorId="10" shapeId="0" xr:uid="{B5AA0E27-9780-4598-8A32-1A7F2906C7B4}">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55" authorId="11" shapeId="0" xr:uid="{27D7FE53-4D77-47DC-AD69-F7893C79DECD}">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58" authorId="12" shapeId="0" xr:uid="{A4A4EC7D-67FF-4D19-A29E-CB776119497A}">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59" authorId="13" shapeId="0" xr:uid="{1899E584-79CD-4B97-B753-5BA64543D75A}">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62" authorId="14" shapeId="0" xr:uid="{AD150F21-F59A-4934-880C-72B0F3E437A0}">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63" authorId="15" shapeId="0" xr:uid="{7AA6584E-B67C-4ADD-B92D-1D7FBD6E0132}">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Wilken</author>
    <author>tc={15EAEB4B-473C-4B73-95B4-58147F2B84C1}</author>
    <author>tc={71669841-C90F-40A8-8F4B-78D3C8A09DFD}</author>
    <author>tc={0D18027D-D054-4AC3-BAE7-B4A99D94C0F0}</author>
    <author>tc={49EFB3FC-62E5-403C-B2C0-54EDD3596E07}</author>
    <author>tc={EE9C6689-578E-4889-8372-38C9E9BCE407}</author>
    <author>tc={76F51042-9711-4953-AB04-A20858CFC720}</author>
    <author>tc={A135EC53-0464-453A-86F4-47881F057890}</author>
    <author>tc={5098A3F9-E3A1-4231-A7D8-977A54B0A79B}</author>
    <author>tc={E4CFDDC4-6FA3-4024-9163-FE2B6691707D}</author>
    <author>tc={9E7603AE-C18D-481B-94B2-B48F0B27BD2F}</author>
    <author>tc={0D03D6FF-BC2F-48A2-A2BE-93F02B02F282}</author>
    <author>tc={03B6D285-AE31-460B-8FB6-3CC65BE0FB1C}</author>
    <author>tc={87457865-A1B6-41EE-A792-F3E27CEC8034}</author>
    <author>tc={BC7EABE2-E308-4A9E-B435-2DA34FE2660B}</author>
  </authors>
  <commentList>
    <comment ref="B1" authorId="0" shapeId="0" xr:uid="{5D3D291E-D37C-4B6E-98F9-6B137D6F2B74}">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6BF37661-526F-415A-8638-48C96598C429}">
      <text>
        <r>
          <rPr>
            <b/>
            <sz val="9"/>
            <color indexed="81"/>
            <rFont val="Tahoma"/>
            <family val="2"/>
          </rPr>
          <t>Jonathan Wilken:</t>
        </r>
        <r>
          <rPr>
            <sz val="9"/>
            <color indexed="81"/>
            <rFont val="Tahoma"/>
            <family val="2"/>
          </rPr>
          <t xml:space="preserve">
Reading from apograph (i.e., younger copy)</t>
        </r>
      </text>
    </comment>
    <comment ref="D1" authorId="0" shapeId="0" xr:uid="{CE2A9B5B-7963-43ED-A1C1-AA68D3CBC639}">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3386C103-4379-4E17-8237-6A08275908C5}">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73D69FD9-7DE7-4437-B220-944C66D0FE9F}">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BF892C10-5BDE-4A48-A64E-0D14B083F238}">
      <text>
        <r>
          <rPr>
            <b/>
            <sz val="9"/>
            <color indexed="81"/>
            <rFont val="Tahoma"/>
            <family val="2"/>
          </rPr>
          <t>Jonathan Wilken:</t>
        </r>
        <r>
          <rPr>
            <sz val="9"/>
            <color indexed="81"/>
            <rFont val="Tahoma"/>
            <family val="2"/>
          </rPr>
          <t xml:space="preserve">
Add, omit, transposition, substitution, combo</t>
        </r>
      </text>
    </comment>
    <comment ref="I1" authorId="0" shapeId="0" xr:uid="{0497ECB3-250C-403B-92C8-99DD3D64A9A6}">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BCC64033-8663-49E6-9743-1E314ACEA9FA}">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3E8D12ED-4237-4EF3-8A4F-E43C151691E1}">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B40F4AAE-C713-42BF-9053-AB2EC8FFAF64}">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342D1F60-A908-4CA3-997E-9DBFBA94AB08}">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E20D2A07-9139-4EDA-BD27-ECA08305751E}">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C2673E08-BB41-47D6-AF78-FB5F268BDA46}">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27FB0014-CEA0-4DDD-995E-026720BC4156}">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AECDE1C5-9F18-435B-A4FE-0697E682AF7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E8533C0C-63C3-4348-9DD1-D8BE80697B88}">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15EAEB4B-473C-4B73-95B4-58147F2B84C1}">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71669841-C90F-40A8-8F4B-78D3C8A09DFD}">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AA155067-ABCA-463E-B8E4-60F6E9399B03}">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2F68DE46-D52B-4DCC-8E3E-B57E21E8850C}">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CAEA9055-6BF7-4947-B804-AC4E8E2C157E}">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BC153346-B5C8-42B8-A16D-8FD0DC28F223}">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B1A12900-1E60-4F7E-BB90-C576059A3DC7}">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B0DD2A94-863A-4601-9031-1F91215E4674}">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CA070822-9E01-43EB-9864-E8CFB24027D2}">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1" authorId="3" shapeId="0" xr:uid="{0D18027D-D054-4AC3-BAE7-B4A99D94C0F0}">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12" authorId="4" shapeId="0" xr:uid="{49EFB3FC-62E5-403C-B2C0-54EDD3596E07}">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13" authorId="5" shapeId="0" xr:uid="{EE9C6689-578E-4889-8372-38C9E9BCE407}">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17" authorId="6" shapeId="0" xr:uid="{76F51042-9711-4953-AB04-A20858CFC720}">
      <text>
        <t>[Threaded comment]
Your version of Excel allows you to read this threaded comment; however, any edits to it will get removed if the file is opened in a newer version of Excel. Learn more: https://go.microsoft.com/fwlink/?linkid=870924
Comment:
    ONLY those cases where influence from preceding material was possible and EXCLUDING cases where influence from following material was possible.</t>
      </text>
    </comment>
    <comment ref="F17" authorId="7" shapeId="0" xr:uid="{A135EC53-0464-453A-86F4-47881F057890}">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G17" authorId="8" shapeId="0" xr:uid="{5098A3F9-E3A1-4231-A7D8-977A54B0A79B}">
      <text>
        <t>[Threaded comment]
Your version of Excel allows you to read this threaded comment; however, any edits to it will get removed if the file is opened in a newer version of Excel. Learn more: https://go.microsoft.com/fwlink/?linkid=870924
Comment:
    ONLY those cases where influence from following material was possible and EXCLUDING cases where influence from preceding material was possible.</t>
      </text>
    </comment>
    <comment ref="H17" authorId="9" shapeId="0" xr:uid="{E4CFDDC4-6FA3-4024-9163-FE2B6691707D}">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I17" authorId="10" shapeId="0" xr:uid="{9E7603AE-C18D-481B-94B2-B48F0B27BD2F}">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J17" authorId="11" shapeId="0" xr:uid="{0D03D6FF-BC2F-48A2-A2BE-93F02B02F282}">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18" authorId="12" shapeId="0" xr:uid="{03B6D285-AE31-460B-8FB6-3CC65BE0FB1C}">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19" authorId="13" shapeId="0" xr:uid="{87457865-A1B6-41EE-A792-F3E27CEC8034}">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20" authorId="14" shapeId="0" xr:uid="{BC7EABE2-E308-4A9E-B435-2DA34FE2660B}">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Jonathan Wilken</author>
    <author>tc={143F3946-4DAF-4E74-AB64-D6EFBAAFF9D0}</author>
    <author>tc={25AC859F-1FC9-4560-BD30-D596AA7DF11B}</author>
  </authors>
  <commentList>
    <comment ref="B1" authorId="0" shapeId="0" xr:uid="{DC94CB7A-E4B7-4D2B-9763-2213BF75D8CB}">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8F7473C2-C774-48A5-A44D-2C22DAC80771}">
      <text>
        <r>
          <rPr>
            <b/>
            <sz val="9"/>
            <color indexed="81"/>
            <rFont val="Tahoma"/>
            <family val="2"/>
          </rPr>
          <t>Jonathan Wilken:</t>
        </r>
        <r>
          <rPr>
            <sz val="9"/>
            <color indexed="81"/>
            <rFont val="Tahoma"/>
            <family val="2"/>
          </rPr>
          <t xml:space="preserve">
Reading from apograph (i.e., younger copy)</t>
        </r>
      </text>
    </comment>
    <comment ref="D1" authorId="0" shapeId="0" xr:uid="{4B26AF7C-DCC8-47A8-8802-D403A94F0592}">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25EB3166-F9FB-43F9-9169-D3BA7908BDAA}">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66CE0E3D-34BC-41E4-84BA-72530A8AB9BF}">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A82F252F-1433-4639-8F15-A42DE7EC9183}">
      <text>
        <r>
          <rPr>
            <b/>
            <sz val="9"/>
            <color indexed="81"/>
            <rFont val="Tahoma"/>
            <family val="2"/>
          </rPr>
          <t>Jonathan Wilken:</t>
        </r>
        <r>
          <rPr>
            <sz val="9"/>
            <color indexed="81"/>
            <rFont val="Tahoma"/>
            <family val="2"/>
          </rPr>
          <t xml:space="preserve">
Add, omit, transposition, substitution, combo</t>
        </r>
      </text>
    </comment>
    <comment ref="H1" authorId="0" shapeId="0" xr:uid="{D5FC306B-DFDF-474D-8583-FC3C73A010C6}">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D36F1789-EC3D-499D-8D2A-C93178D7F144}">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F9AC44A4-EE6B-4505-ABDB-9D7E7D1D9273}">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6B5B6E65-D2FB-4467-9E88-B4C9E961A946}">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EE97C733-3AED-4E4A-9A41-4622FB3F558F}">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9F52ABBD-73C2-4EBC-96FA-CF72D6879532}">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481480E6-0561-442B-9A33-744095A3F543}">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B277074A-0BA3-4FA5-9EA4-18B78E85E50B}">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C3715F03-AD5B-4FB8-AC9D-DF4605360B2D}">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9BA6A5D9-F966-426A-A933-5C2BEB3681D3}">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143F3946-4DAF-4E74-AB64-D6EFBAAFF9D0}">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25AC859F-1FC9-4560-BD30-D596AA7DF11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FB426430-8BD0-4E54-B455-81DC2DF62E00}">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54D606E2-409D-4D1A-8BCC-3B160387C200}">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D6AB401D-366E-4B0C-AC7D-FFA9BD06042B}">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C6055634-C7C8-42FD-86B5-6B4C9D0D58DC}">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A99A23C0-DC34-4C97-87F0-31D946CD39ED}">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0C1440AB-5EEA-461B-BB3A-7F0FD26A9218}">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23F64A73-909A-4015-9BFE-132B93594B98}">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Jonathan Wilken</author>
    <author>tc={6E879E5A-1D84-4E71-A066-38882273141B}</author>
    <author>tc={78428332-A6E5-43F7-AF5A-F0F4710F2C4A}</author>
    <author>tc={CA3F116F-D6D3-44EE-85F8-6B5C9FEBE435}</author>
    <author>tc={A44F5EDA-BDEF-4603-B8D6-3A219046E9CA}</author>
    <author>tc={1C8D527B-4A63-480B-B5FA-73568763E5BD}</author>
    <author>tc={04917DA1-FAE3-4C14-B6FD-BF74B98F3F2B}</author>
    <author>tc={9BA896FB-A380-4E32-AB56-3F44CA5568D9}</author>
    <author>tc={91BCCE6C-15F3-4380-8BDE-B3EA3DEC95FF}</author>
    <author>tc={A979B574-2BDF-41E6-80D2-F998F3CCCA3B}</author>
    <author>tc={721892DC-07DC-4342-9AA0-08447D791387}</author>
    <author>tc={898B9714-6CA6-44B4-94B3-21C157C7E073}</author>
    <author>tc={4D4ABAD3-5F4C-4964-8B58-AC50D09EA8CD}</author>
    <author>tc={15E44A9C-5043-4D15-9550-CCB3837CF335}</author>
    <author>tc={4E6BB0E9-7587-4111-AF40-C2224E5C1920}</author>
    <author>tc={CB6DA7E5-E33E-4389-B4C3-6BBDE4385FF0}</author>
    <author>tc={DE97E0AC-D556-4A10-A3C4-DCB63341D630}</author>
    <author>tc={A81877A2-563A-421C-9CAD-96A7025FD14A}</author>
    <author>tc={A0D4D01A-03A2-46E5-9B0E-6E30ADB78834}</author>
    <author>tc={8CB124B0-FD46-445B-9302-E763F3D9C946}</author>
    <author>tc={C913507B-A116-4369-A7DA-460CF9BFAA36}</author>
    <author>tc={8B4560E4-95B9-4900-B35C-B35A646B8821}</author>
    <author>tc={AF03E3AE-3AB6-40BF-88C4-8370E08EE46A}</author>
    <author>tc={9D39B02E-E760-4091-87F4-EDA78D69BF30}</author>
    <author>tc={9B992ECA-4F49-4B60-9BFB-FF2AC9E9B584}</author>
    <author>tc={136B5656-08C8-4EA0-A5B5-7AFF497B37C0}</author>
    <author>tc={AF932AEB-3F60-44F6-A5CA-246043C4233A}</author>
    <author>tc={510E2DAC-EDDC-41AA-9B44-C5481BACE1D3}</author>
    <author>tc={08C5E1C6-DBF9-45B7-9048-2D6AA393DFB5}</author>
    <author>tc={D3C4C2B8-15F0-4BC5-AF3B-A88EC813CF6D}</author>
    <author>tc={3B49321E-5DAD-42A2-AC8B-1A13379A7D56}</author>
    <author>tc={136D93EC-1ABC-4D4F-BDC9-ACEC6EFA4320}</author>
    <author>tc={22899B8D-B6BA-4774-B443-3C4CE7058923}</author>
    <author>tc={03FAD016-37BC-4072-A1D2-D356371481EF}</author>
    <author>tc={AEE5BCDA-FD12-4663-B7F1-E29BC62759C4}</author>
    <author>tc={13DE9C82-502D-4D0C-AAAF-03385E139328}</author>
    <author>tc={F383FAAE-7894-414E-8BA2-E82C6110DE89}</author>
    <author>tc={9C13C2CA-C612-490D-BC05-E399C10DC5E3}</author>
    <author>tc={F416BF82-FE4E-4590-9107-7F48BC3A2D68}</author>
    <author>tc={99BC4E4C-8F5D-4479-8B2F-77F8FD653923}</author>
    <author>tc={CB31E416-FC6B-44F0-866C-AD279AF60058}</author>
    <author>tc={331B19FC-41E3-4BB6-BA5A-6927ACE85C2C}</author>
    <author>tc={F7937CE7-38A3-4BCA-8856-E520AD81811F}</author>
    <author>tc={9C5EDACF-B33C-4DFF-8FD7-8606D5E57C5A}</author>
    <author>tc={B7E98012-C818-41A1-92E7-C5771658B57B}</author>
    <author>tc={6DFE91F7-D799-42BC-B090-03556E128839}</author>
  </authors>
  <commentList>
    <comment ref="B1" authorId="0" shapeId="0" xr:uid="{0BDEA689-6522-43E4-9ED1-85038246F47E}">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EC760325-1D53-4BDE-B680-72FD8D365AA9}">
      <text>
        <r>
          <rPr>
            <b/>
            <sz val="9"/>
            <color indexed="81"/>
            <rFont val="Tahoma"/>
            <family val="2"/>
          </rPr>
          <t>Jonathan Wilken:</t>
        </r>
        <r>
          <rPr>
            <sz val="9"/>
            <color indexed="81"/>
            <rFont val="Tahoma"/>
            <family val="2"/>
          </rPr>
          <t xml:space="preserve">
Reading from apograph (i.e., younger copy)</t>
        </r>
      </text>
    </comment>
    <comment ref="D1" authorId="0" shapeId="0" xr:uid="{22D991B7-9B5E-4C05-9095-F525CC0D802D}">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E74F2278-FA62-4023-A0FC-F151860A8240}">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818684EC-D769-4A02-97F5-A1A3312CBF73}">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3A1820F8-5BFE-47A6-A6B3-AC1AEE2C3B26}">
      <text>
        <r>
          <rPr>
            <b/>
            <sz val="9"/>
            <color indexed="81"/>
            <rFont val="Tahoma"/>
            <family val="2"/>
          </rPr>
          <t>Jonathan Wilken:</t>
        </r>
        <r>
          <rPr>
            <sz val="9"/>
            <color indexed="81"/>
            <rFont val="Tahoma"/>
            <family val="2"/>
          </rPr>
          <t xml:space="preserve">
Add, omit, transposition, substitution, combo</t>
        </r>
      </text>
    </comment>
    <comment ref="H1" authorId="0" shapeId="0" xr:uid="{66DDB295-2D65-4E04-B1EE-45F7A54142E9}">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E8FA9312-483B-4FE3-881E-C451F0A75C38}">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793FFD7E-A851-4072-A74E-79B2564AB1E0}">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4E2C569D-FA51-4699-80EC-50DB00A13946}">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2661FAC7-B351-4A09-B29F-80CDF18181B0}">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A1A7A0FA-EEAF-4561-82BA-13C28FC8DD93}">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FD757260-50AF-4E7B-959B-55545A234640}">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6CA2480A-5134-41E0-B9FB-C5FFF9BC08F1}">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167D5C5C-A814-461D-8F74-518BA74AFF1F}">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6E879E5A-1D84-4E71-A066-38882273141B}">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C307BCBD-F2E2-467B-8E2B-5AD3928E0F24}">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78428332-A6E5-43F7-AF5A-F0F4710F2C4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CA3F116F-D6D3-44EE-85F8-6B5C9FEBE43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35004B94-7E1B-4F92-BBFC-108E02E9A062}">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42970D06-97A1-4F77-B530-69EAC6C813BA}">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F1EC6DA7-CDC3-4958-A22B-FC4EB83BB8A2}">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C9317A04-5838-49E9-A1C5-94FBCEB05033}">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E8205DC2-E916-4D94-AD62-A61813959537}">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CA38ED8B-794C-4E54-B7C7-8D367FE0F76A}">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4744DA90-E875-4E59-B032-E457E1CA6CF7}">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29" authorId="4" shapeId="0" xr:uid="{A44F5EDA-BDEF-4603-B8D6-3A219046E9CA}">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30" authorId="5" shapeId="0" xr:uid="{1C8D527B-4A63-480B-B5FA-73568763E5BD}">
      <text>
        <t>[Threaded comment]
Your version of Excel allows you to read this threaded comment; however, any edits to it will get removed if the file is opened in a newer version of Excel. Learn more: https://go.microsoft.com/fwlink/?linkid=870924
Comment:
    "Low Meaning" words</t>
      </text>
    </comment>
    <comment ref="C30" authorId="6" shapeId="0" xr:uid="{04917DA1-FAE3-4C14-B6FD-BF74B98F3F2B}">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30" authorId="7" shapeId="0" xr:uid="{9BA896FB-A380-4E32-AB56-3F44CA5568D9}">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31" authorId="8" shapeId="0" xr:uid="{91BCCE6C-15F3-4380-8BDE-B3EA3DEC95FF}">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34" authorId="9" shapeId="0" xr:uid="{A979B574-2BDF-41E6-80D2-F998F3CCCA3B}">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35" authorId="10" shapeId="0" xr:uid="{721892DC-07DC-4342-9AA0-08447D791387}">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36" authorId="11" shapeId="0" xr:uid="{898B9714-6CA6-44B4-94B3-21C157C7E073}">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39" authorId="12" shapeId="0" xr:uid="{4D4ABAD3-5F4C-4964-8B58-AC50D09EA8CD}">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40" authorId="13" shapeId="0" xr:uid="{15E44A9C-5043-4D15-9550-CCB3837CF335}">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41" authorId="14" shapeId="0" xr:uid="{4E6BB0E9-7587-4111-AF40-C2224E5C1920}">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47" authorId="15" shapeId="0" xr:uid="{CB6DA7E5-E33E-4389-B4C3-6BBDE4385FF0}">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47" authorId="16" shapeId="0" xr:uid="{DE97E0AC-D556-4A10-A3C4-DCB63341D630}">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47" authorId="17" shapeId="0" xr:uid="{A81877A2-563A-421C-9CAD-96A7025FD14A}">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48" authorId="18" shapeId="0" xr:uid="{A0D4D01A-03A2-46E5-9B0E-6E30ADB78834}">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48" authorId="19" shapeId="0" xr:uid="{8CB124B0-FD46-445B-9302-E763F3D9C946}">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48" authorId="20" shapeId="0" xr:uid="{C913507B-A116-4369-A7DA-460CF9BFAA36}">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49" authorId="21" shapeId="0" xr:uid="{8B4560E4-95B9-4900-B35C-B35A646B8821}">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49" authorId="22" shapeId="0" xr:uid="{AF03E3AE-3AB6-40BF-88C4-8370E08EE46A}">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49" authorId="23" shapeId="0" xr:uid="{9D39B02E-E760-4091-87F4-EDA78D69BF30}">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53" authorId="24" shapeId="0" xr:uid="{9B992ECA-4F49-4B60-9BFB-FF2AC9E9B584}">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53" authorId="25" shapeId="0" xr:uid="{136B5656-08C8-4EA0-A5B5-7AFF497B37C0}">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54" authorId="26" shapeId="0" xr:uid="{AF932AEB-3F60-44F6-A5CA-246043C4233A}">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54" authorId="27" shapeId="0" xr:uid="{510E2DAC-EDDC-41AA-9B44-C5481BACE1D3}">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59" authorId="28" shapeId="0" xr:uid="{08C5E1C6-DBF9-45B7-9048-2D6AA393DFB5}">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59" authorId="29" shapeId="0" xr:uid="{D3C4C2B8-15F0-4BC5-AF3B-A88EC813CF6D}">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60" authorId="30" shapeId="0" xr:uid="{3B49321E-5DAD-42A2-AC8B-1A13379A7D56}">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60" authorId="31" shapeId="0" xr:uid="{136D93EC-1ABC-4D4F-BDC9-ACEC6EFA4320}">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65" authorId="32" shapeId="0" xr:uid="{22899B8D-B6BA-4774-B443-3C4CE7058923}">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65" authorId="33" shapeId="0" xr:uid="{03FAD016-37BC-4072-A1D2-D356371481EF}">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65" authorId="34" shapeId="0" xr:uid="{AEE5BCDA-FD12-4663-B7F1-E29BC62759C4}">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66" authorId="35" shapeId="0" xr:uid="{13DE9C82-502D-4D0C-AAAF-03385E139328}">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66" authorId="36" shapeId="0" xr:uid="{F383FAAE-7894-414E-8BA2-E82C6110DE89}">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66" authorId="37" shapeId="0" xr:uid="{9C13C2CA-C612-490D-BC05-E399C10DC5E3}">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67" authorId="38" shapeId="0" xr:uid="{F416BF82-FE4E-4590-9107-7F48BC3A2D68}">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67" authorId="39" shapeId="0" xr:uid="{99BC4E4C-8F5D-4479-8B2F-77F8FD653923}">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67" authorId="40" shapeId="0" xr:uid="{CB31E416-FC6B-44F0-866C-AD279AF60058}">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70" authorId="41" shapeId="0" xr:uid="{331B19FC-41E3-4BB6-BA5A-6927ACE85C2C}">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70" authorId="42" shapeId="0" xr:uid="{F7937CE7-38A3-4BCA-8856-E520AD81811F}">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70" authorId="43" shapeId="0" xr:uid="{9C5EDACF-B33C-4DFF-8FD7-8606D5E57C5A}">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70" authorId="44" shapeId="0" xr:uid="{B7E98012-C818-41A1-92E7-C5771658B57B}">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78" authorId="45" shapeId="0" xr:uid="{6DFE91F7-D799-42BC-B090-03556E128839}">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Jonathan Wilken</author>
    <author>tc={155D98FD-3021-4C83-AE76-99B1008D0A94}</author>
    <author>tc={6F18ADB8-3A57-441D-9595-61FFDAB1A74A}</author>
    <author>tc={F8436B7D-306A-4420-8D8C-B3087C4763D5}</author>
    <author>tc={A27F08B1-CB56-4065-AFDD-61169B22EE77}</author>
    <author>tc={4539DAA4-4162-439A-9F64-3B7EF75170EA}</author>
    <author>tc={8843CEA8-4DAC-4C7D-AB0D-3313727DE48A}</author>
    <author>tc={06810358-BE6F-48E5-B4AE-6177968D8A99}</author>
    <author>tc={B8B0404D-FC48-4216-804D-60AE5FECD83E}</author>
    <author>tc={83655260-7EF3-4CAA-9D1D-841AB1BAD663}</author>
    <author>tc={AA1D5965-35B4-4777-982F-E12380E1DA61}</author>
    <author>tc={946C0C61-1D14-4149-B3FA-CF75706E5794}</author>
    <author>tc={C6758262-6E2C-4D97-A982-74F84E465E05}</author>
    <author>tc={16AF493A-457E-446B-B720-342492B24AC3}</author>
    <author>tc={81BD981E-E402-4207-8AE7-2464190699E0}</author>
  </authors>
  <commentList>
    <comment ref="B1" authorId="0" shapeId="0" xr:uid="{210479B6-F078-4853-8CC9-532004F2EAF1}">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258DC087-D6A8-4E40-91EA-9A391DCBC4FB}">
      <text>
        <r>
          <rPr>
            <b/>
            <sz val="9"/>
            <color indexed="81"/>
            <rFont val="Tahoma"/>
            <family val="2"/>
          </rPr>
          <t>Jonathan Wilken:</t>
        </r>
        <r>
          <rPr>
            <sz val="9"/>
            <color indexed="81"/>
            <rFont val="Tahoma"/>
            <family val="2"/>
          </rPr>
          <t xml:space="preserve">
Reading from apograph (i.e., younger copy)</t>
        </r>
      </text>
    </comment>
    <comment ref="D1" authorId="0" shapeId="0" xr:uid="{35280991-192D-4E47-8C62-B3D17247B16E}">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5F575950-7BC5-405C-BFA0-607DF9E28A1D}">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EBF7B60E-0653-4139-B4B3-8FE5236B539B}">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2B699775-1C1F-42DA-8BAB-1B895DF8CA35}">
      <text>
        <r>
          <rPr>
            <b/>
            <sz val="9"/>
            <color indexed="81"/>
            <rFont val="Tahoma"/>
            <family val="2"/>
          </rPr>
          <t>Jonathan Wilken:</t>
        </r>
        <r>
          <rPr>
            <sz val="9"/>
            <color indexed="81"/>
            <rFont val="Tahoma"/>
            <family val="2"/>
          </rPr>
          <t xml:space="preserve">
Add, omit, transposition, substitution, combo</t>
        </r>
      </text>
    </comment>
    <comment ref="H1" authorId="0" shapeId="0" xr:uid="{19D23B7A-F989-41CC-A3D7-418E0B5F037B}">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BE0323AD-1E35-41DC-9F9F-121D5E278870}">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23E015BD-575A-4D30-9DA8-356B83B92E71}">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47690641-AADE-4198-8785-A689B3C55005}">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269338B4-3C58-471D-95E0-8CB9616E5AD3}">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FA7C0A6A-9493-4610-ABC0-4BEDF49B9AA5}">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3FADB578-17DA-4C07-96F9-4016047289D7}">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22AF7C67-A1D8-4F48-8BD8-F72F2A7783EC}">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D3F53BA0-2724-4830-A20C-3A23FF47F9FC}">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155D98FD-3021-4C83-AE76-99B1008D0A94}">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47C2057D-FE76-4E5A-9E0C-052E17A5AB8F}">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6F18ADB8-3A57-441D-9595-61FFDAB1A74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F8436B7D-306A-4420-8D8C-B3087C4763D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FCF9EAE1-D23B-4CD9-AD73-3357B4266F9B}">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2AD9424F-EE38-4316-8B02-199C261516FC}">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1F86ACF8-7606-4262-86EC-91DF05A567BD}">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5E2CFC49-AB83-462C-ABFC-94446B9FB6F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58CF4B8D-4BE3-4E47-A198-7F2FFE85F930}">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0926A7D6-416A-4144-8794-7B8684EBA2EF}">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5AC6ADEB-2441-4D9E-BB0B-EE8D752C6E22}">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20" authorId="4" shapeId="0" xr:uid="{A27F08B1-CB56-4065-AFDD-61169B22EE77}">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21" authorId="5" shapeId="0" xr:uid="{4539DAA4-4162-439A-9F64-3B7EF75170EA}">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24" authorId="6" shapeId="0" xr:uid="{8843CEA8-4DAC-4C7D-AB0D-3313727DE48A}">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25" authorId="7" shapeId="0" xr:uid="{06810358-BE6F-48E5-B4AE-6177968D8A99}">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26" authorId="8" shapeId="0" xr:uid="{B8B0404D-FC48-4216-804D-60AE5FECD83E}">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27" authorId="9" shapeId="0" xr:uid="{83655260-7EF3-4CAA-9D1D-841AB1BAD663}">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28" authorId="10" shapeId="0" xr:uid="{AA1D5965-35B4-4777-982F-E12380E1DA61}">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29" authorId="11" shapeId="0" xr:uid="{946C0C61-1D14-4149-B3FA-CF75706E5794}">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32" authorId="12" shapeId="0" xr:uid="{C6758262-6E2C-4D97-A982-74F84E465E05}">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33" authorId="13" shapeId="0" xr:uid="{16AF493A-457E-446B-B720-342492B24AC3}">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34" authorId="14" shapeId="0" xr:uid="{81BD981E-E402-4207-8AE7-2464190699E0}">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Jonathan Wilken</author>
    <author>tc={61C76FDC-A235-4BF4-989E-700B7950A4FF}</author>
    <author>tc={82C898D4-CFF6-474A-A034-A10397D322D0}</author>
    <author>tc={93898867-0ACF-4057-B892-0B1CBCD42C40}</author>
    <author>tc={5AA8B83B-F319-41B9-AEE7-B76A93AA7EDF}</author>
    <author>tc={6CF4DAA7-A51C-4B8A-975A-1AEB0C71196D}</author>
    <author>tc={986B5E31-CBCE-466A-9659-705C008400B2}</author>
    <author>tc={6971C682-9367-46AC-9E4B-75D1E4B6CD64}</author>
    <author>tc={9F2A69FA-7435-405E-BDE1-EAFEA9E6B6A2}</author>
    <author>tc={9F575387-B2A6-4E18-AA3F-77613D2F1772}</author>
    <author>tc={1AB106C3-ACF6-4D26-8380-4CDEC2BA35E1}</author>
    <author>tc={1A7AC34D-BC51-4316-8E45-94B5DE32DFC8}</author>
    <author>tc={EB167329-4D2A-4FC8-90CC-1BACC9CEAB17}</author>
  </authors>
  <commentList>
    <comment ref="B1" authorId="0" shapeId="0" xr:uid="{32438730-E767-4D54-A648-9A6EB1FA370A}">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0EF9E819-8D06-49F6-B9D9-56D72A7B7F36}">
      <text>
        <r>
          <rPr>
            <b/>
            <sz val="9"/>
            <color indexed="81"/>
            <rFont val="Tahoma"/>
            <family val="2"/>
          </rPr>
          <t>Jonathan Wilken:</t>
        </r>
        <r>
          <rPr>
            <sz val="9"/>
            <color indexed="81"/>
            <rFont val="Tahoma"/>
            <family val="2"/>
          </rPr>
          <t xml:space="preserve">
Reading from apograph (i.e., younger copy)</t>
        </r>
      </text>
    </comment>
    <comment ref="D1" authorId="0" shapeId="0" xr:uid="{D80A3B98-C088-4B57-9C63-F6FDFDBBA9E8}">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C64A8776-4A39-42D0-8909-97A0FB3A6EDE}">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A8C27E42-368D-4795-B7BF-D3F88B20F3A4}">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C3E5ED3A-DB78-4459-9EB1-DCDCB67E17DD}">
      <text>
        <r>
          <rPr>
            <b/>
            <sz val="9"/>
            <color indexed="81"/>
            <rFont val="Tahoma"/>
            <family val="2"/>
          </rPr>
          <t>Jonathan Wilken:</t>
        </r>
        <r>
          <rPr>
            <sz val="9"/>
            <color indexed="81"/>
            <rFont val="Tahoma"/>
            <family val="2"/>
          </rPr>
          <t xml:space="preserve">
Add, omit, transposition, substitution, combo</t>
        </r>
      </text>
    </comment>
    <comment ref="H1" authorId="0" shapeId="0" xr:uid="{002F6C53-FEF8-4A34-BD86-8E10B4A86055}">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97AA237F-88E0-4397-B7ED-24DA808DEF07}">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C656DFE1-1C71-41E1-ADEB-BD6E5E5FB7A5}">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2C9119AB-D763-4A7D-9CB9-604849D888FA}">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C323549D-B98F-4D2B-AF44-F0C216ECF7BA}">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1264B2DE-07E0-4678-AF3A-725E3AD95722}">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F2CBBC23-B41B-4204-AD6C-9884F77949BC}">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5ECFCF19-B545-4D54-947E-62EFD82FDC31}">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0494B1A6-6D02-4811-8834-DA361267379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61C76FDC-A235-4BF4-989E-700B7950A4FF}">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B26A4859-3AEC-4614-ACF9-AF35CE524243}">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82C898D4-CFF6-474A-A034-A10397D322D0}">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93898867-0ACF-4057-B892-0B1CBCD42C40}">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FE1AAB6A-A04F-47E8-95B5-025B7418789E}">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57B5E8A1-9499-4C12-9358-89D86BA06120}">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CF934A6F-1443-4A38-95DD-1BCED609F609}">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56C7DA93-EE52-4621-8337-DB9CE8087725}">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3B8F1485-FDAC-49A8-89B6-9C88F00F94C4}">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0E5D68E8-1700-4662-BB1A-9134B592784E}">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FB7DBD04-E6DE-4BD8-8E58-DF77C5AB383E}">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9" authorId="4" shapeId="0" xr:uid="{5AA8B83B-F319-41B9-AEE7-B76A93AA7EDF}">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0" authorId="5" shapeId="0" xr:uid="{6CF4DAA7-A51C-4B8A-975A-1AEB0C71196D}">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13" authorId="6" shapeId="0" xr:uid="{986B5E31-CBCE-466A-9659-705C008400B2}">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14" authorId="7" shapeId="0" xr:uid="{6971C682-9367-46AC-9E4B-75D1E4B6CD64}">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15" authorId="8" shapeId="0" xr:uid="{9F2A69FA-7435-405E-BDE1-EAFEA9E6B6A2}">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16" authorId="9" shapeId="0" xr:uid="{9F575387-B2A6-4E18-AA3F-77613D2F1772}">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17" authorId="10" shapeId="0" xr:uid="{1AB106C3-ACF6-4D26-8380-4CDEC2BA35E1}">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18" authorId="11" shapeId="0" xr:uid="{1A7AC34D-BC51-4316-8E45-94B5DE32DFC8}">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19" authorId="12" shapeId="0" xr:uid="{EB167329-4D2A-4FC8-90CC-1BACC9CEAB17}">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Jonathan Wilken</author>
    <author>tc={A08788F3-C0D1-47FB-89AB-0D33C05E1729}</author>
    <author>tc={0880F06A-AC02-4FD4-8D03-CDA000BEBE76}</author>
    <author>tc={07C77F2D-4F1A-4B5D-8BD8-57C89A1F3437}</author>
    <author>tc={E9D6EEF9-0FC5-4532-85D6-CFFFF3768DB8}</author>
    <author>tc={13EE558B-03C2-4AB6-B7CE-4075A78961B3}</author>
    <author>tc={38F2BB77-C7E5-4B48-B3A3-EACEE667638B}</author>
    <author>tc={CBA0DC0D-D92A-4823-91B8-509C23D2CBD6}</author>
    <author>tc={02850F84-D14F-4933-99C3-04E349B4F2E2}</author>
    <author>tc={3CDA3166-3E4A-4A3A-AB01-182EB99AE347}</author>
    <author>tc={9E11BED6-AD10-43B4-B778-966376DA2271}</author>
    <author>tc={5793AF60-9ED1-4C1D-BA60-2E1DC25CFFAD}</author>
    <author>tc={CBF9310C-AC54-4AB5-A76D-FEA82DD0AED3}</author>
    <author>tc={4FEA324B-9245-4F4D-9366-A0D0F0006DFA}</author>
    <author>tc={DA9372FD-8D22-4689-A533-4972AAD90871}</author>
    <author>tc={4F8D7D0B-DB8A-4246-960A-C8886D681839}</author>
  </authors>
  <commentList>
    <comment ref="B1" authorId="0" shapeId="0" xr:uid="{56BD3881-4853-45C8-9F55-3E381A73D2D0}">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C5588A5F-9C4E-47E0-A213-34EA12F840E5}">
      <text>
        <r>
          <rPr>
            <b/>
            <sz val="9"/>
            <color indexed="81"/>
            <rFont val="Tahoma"/>
            <family val="2"/>
          </rPr>
          <t>Jonathan Wilken:</t>
        </r>
        <r>
          <rPr>
            <sz val="9"/>
            <color indexed="81"/>
            <rFont val="Tahoma"/>
            <family val="2"/>
          </rPr>
          <t xml:space="preserve">
Reading from apograph (i.e., younger copy)</t>
        </r>
      </text>
    </comment>
    <comment ref="D1" authorId="0" shapeId="0" xr:uid="{9E1FCDEA-D2A0-476B-8D10-35516E6D45D8}">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146C64EF-793C-4795-A9B9-0F8A27CABDA2}">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A0A31F2B-7BC6-4100-B3CD-86BF52384218}">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72CE5DEA-C737-4E64-B749-18AF43FCF6DC}">
      <text>
        <r>
          <rPr>
            <b/>
            <sz val="9"/>
            <color indexed="81"/>
            <rFont val="Tahoma"/>
            <family val="2"/>
          </rPr>
          <t>Jonathan Wilken:</t>
        </r>
        <r>
          <rPr>
            <sz val="9"/>
            <color indexed="81"/>
            <rFont val="Tahoma"/>
            <family val="2"/>
          </rPr>
          <t xml:space="preserve">
Add, omit, transposition, substitution, combo</t>
        </r>
      </text>
    </comment>
    <comment ref="H1" authorId="0" shapeId="0" xr:uid="{D33781FB-7B1F-4E68-A4BE-4914ED12B559}">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6343DED7-C077-4349-BE09-80A274B9EF63}">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61D9A54E-16A4-4BE1-8901-6D5CF390681A}">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2186DC23-E10E-45C5-8839-B911F6573AC1}">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E16DB5DB-A68C-416E-AFAA-0A80C809FB02}">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7288AEAB-35F9-4D78-B8EA-1EDF03AAD3D2}">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D7266F62-2301-4435-8D04-7828D5A33E49}">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E1712CF3-261A-4157-B6F7-96D436974CDE}">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9EBAABFD-6E2D-4AE3-A425-1DEA1A9EF0E6}">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5CB4D739-3A85-488B-95E2-829FCD9759C2}">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A08788F3-C0D1-47FB-89AB-0D33C05E172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0880F06A-AC02-4FD4-8D03-CDA000BEBE7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07C77F2D-4F1A-4B5D-8BD8-57C89A1F3437}">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E9D6EEF9-0FC5-4532-85D6-CFFFF3768DB8}">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13EE558B-03C2-4AB6-B7CE-4075A78961B3}">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B6DD9B7C-C342-4610-AC06-0173D16F4134}">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9B85042B-4293-4B76-BE01-22BE72B1CE68}">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3358F6EF-F286-40DF-BBA5-3851892C6305}">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C7240D2F-19E7-4AFD-9BDE-6B75CE1269D3}">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CC0607EF-0C2A-4A4F-9442-A64E906B9E5F}">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06ABAA60-D783-4AFF-B0A7-DC254E5E29ED}">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9209EF3B-AD34-47AD-892E-ECF2A68F360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8" authorId="6" shapeId="0" xr:uid="{38F2BB77-C7E5-4B48-B3A3-EACEE667638B}">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21" authorId="7" shapeId="0" xr:uid="{CBA0DC0D-D92A-4823-91B8-509C23D2CBD6}">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22" authorId="8" shapeId="0" xr:uid="{02850F84-D14F-4933-99C3-04E349B4F2E2}">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23" authorId="9" shapeId="0" xr:uid="{3CDA3166-3E4A-4A3A-AB01-182EB99AE347}">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25" authorId="10" shapeId="0" xr:uid="{9E11BED6-AD10-43B4-B778-966376DA2271}">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26" authorId="11" shapeId="0" xr:uid="{5793AF60-9ED1-4C1D-BA60-2E1DC25CFFAD}">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29" authorId="12" shapeId="0" xr:uid="{CBF9310C-AC54-4AB5-A76D-FEA82DD0AED3}">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30" authorId="13" shapeId="0" xr:uid="{4FEA324B-9245-4F4D-9366-A0D0F0006DFA}">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33" authorId="14" shapeId="0" xr:uid="{DA9372FD-8D22-4689-A533-4972AAD90871}">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34" authorId="15" shapeId="0" xr:uid="{4F8D7D0B-DB8A-4246-960A-C8886D681839}">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Jonathan Wilken</author>
    <author>tc={FA5E55A7-A505-4D11-912A-6CF07AD2BB39}</author>
    <author>tc={2A2F6122-A2C5-41EC-AB05-7820A9F0055D}</author>
    <author>tc={8338F56D-D610-4F17-903C-A2ECE6EED2F0}</author>
    <author>tc={8A240D90-89AC-4D4B-9DB7-D34B60F01251}</author>
    <author>tc={9930AED6-643A-4B1A-BFCC-DC8C9DA94175}</author>
    <author>tc={6DE769AC-0F42-481E-968D-5AC291FE124B}</author>
    <author>tc={338017DB-1FC0-4A06-841C-22D9F7BD6E0B}</author>
    <author>tc={296F1BA0-5226-47A7-BAFE-87D25EB7DC04}</author>
    <author>tc={28E27575-CA76-4E5C-8A3D-AEE252FFF8A9}</author>
    <author>tc={D4556F5E-5AE9-4124-99B8-0E17C3353AF2}</author>
    <author>tc={58C6837B-9EC6-4ABB-AA60-926C2C3C15CD}</author>
    <author>tc={2E7B344D-9AB0-4906-A50F-72C72529D2E8}</author>
    <author>tc={C22DC7C1-1330-4EFE-B744-E98BE62337E7}</author>
    <author>tc={06505F78-E000-497A-828C-222C825F32FC}</author>
  </authors>
  <commentList>
    <comment ref="B1" authorId="0" shapeId="0" xr:uid="{9FBDDBD4-3F34-473B-84F8-836C879183CE}">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3C74D148-D533-4356-9FA4-58284B9A4A94}">
      <text>
        <r>
          <rPr>
            <b/>
            <sz val="9"/>
            <color indexed="81"/>
            <rFont val="Tahoma"/>
            <family val="2"/>
          </rPr>
          <t>Jonathan Wilken:</t>
        </r>
        <r>
          <rPr>
            <sz val="9"/>
            <color indexed="81"/>
            <rFont val="Tahoma"/>
            <family val="2"/>
          </rPr>
          <t xml:space="preserve">
Reading from apograph (i.e., younger copy)</t>
        </r>
      </text>
    </comment>
    <comment ref="D1" authorId="0" shapeId="0" xr:uid="{CC33324C-7F75-472C-86EE-2E0072A4AC5C}">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42A72B08-0E51-47A0-9779-2A090F006499}">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7F4004A9-025E-4268-B15F-7016A666A509}">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80D37B3F-E1BB-478A-B580-DB85A38C806D}">
      <text>
        <r>
          <rPr>
            <b/>
            <sz val="9"/>
            <color indexed="81"/>
            <rFont val="Tahoma"/>
            <family val="2"/>
          </rPr>
          <t>Jonathan Wilken:</t>
        </r>
        <r>
          <rPr>
            <sz val="9"/>
            <color indexed="81"/>
            <rFont val="Tahoma"/>
            <family val="2"/>
          </rPr>
          <t xml:space="preserve">
Add, omit, transposition, substitution, combo</t>
        </r>
      </text>
    </comment>
    <comment ref="I1" authorId="0" shapeId="0" xr:uid="{22709EC9-85AA-4BC5-A882-FB6F61049E86}">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CD49EEE3-9F8B-41B9-883D-3D4E735AC758}">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A39C14A0-6B13-4F00-9B92-EF70B0074A10}">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F8E8937A-CE15-436F-9304-3D52B114D781}">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76C3A135-2E25-4015-82EC-B4E6EBDA00A7}">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8FDAA0ED-E765-4279-8410-33ED9DCBA404}">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A1A9FB31-60D6-40E4-858B-F0AD8FD2B9E0}">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02376C66-399C-4879-9B95-F690F7E7571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56946DAD-E3EF-497E-BAE2-BC72C3D41A5B}">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18288B67-A08E-4640-8155-A575E407DD14}">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FA5E55A7-A505-4D11-912A-6CF07AD2BB3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2A2F6122-A2C5-41EC-AB05-7820A9F0055D}">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F99D19AF-F43A-4F91-B9CD-63467F2EDB34}">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4734B7F2-5BD5-412B-ACA2-8846D7C49EAE}">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2F64C7DB-7E14-4A0D-8ABB-B56024494149}">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B7F26BB6-8B54-47E8-BEFE-132EE71C6D13}">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4E1DFAAA-DD9C-4A30-871C-2359F4541592}">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590C179E-D26A-4305-AC4E-BB117D54F358}">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B0CED5C0-5776-4055-B9F4-1344117F7F6D}">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5" authorId="3" shapeId="0" xr:uid="{8338F56D-D610-4F17-903C-A2ECE6EED2F0}">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6" authorId="4" shapeId="0" xr:uid="{8A240D90-89AC-4D4B-9DB7-D34B60F01251}">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7" authorId="5" shapeId="0" xr:uid="{9930AED6-643A-4B1A-BFCC-DC8C9DA94175}">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11" authorId="6" shapeId="0" xr:uid="{6DE769AC-0F42-481E-968D-5AC291FE124B}">
      <text>
        <t>[Threaded comment]
Your version of Excel allows you to read this threaded comment; however, any edits to it will get removed if the file is opened in a newer version of Excel. Learn more: https://go.microsoft.com/fwlink/?linkid=870924
Comment:
    ONLY those cases where influence from preceding material was possible and EXCLUDING cases where influence from following material was possible.</t>
      </text>
    </comment>
    <comment ref="F11" authorId="7" shapeId="0" xr:uid="{338017DB-1FC0-4A06-841C-22D9F7BD6E0B}">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G11" authorId="8" shapeId="0" xr:uid="{296F1BA0-5226-47A7-BAFE-87D25EB7DC04}">
      <text>
        <t>[Threaded comment]
Your version of Excel allows you to read this threaded comment; however, any edits to it will get removed if the file is opened in a newer version of Excel. Learn more: https://go.microsoft.com/fwlink/?linkid=870924
Comment:
    ONLY those cases where influence from following material was possible and EXCLUDING cases where influence from preceding material was possible.</t>
      </text>
    </comment>
    <comment ref="H11" authorId="9" shapeId="0" xr:uid="{28E27575-CA76-4E5C-8A3D-AEE252FFF8A9}">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I11" authorId="10" shapeId="0" xr:uid="{D4556F5E-5AE9-4124-99B8-0E17C3353AF2}">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J11" authorId="11" shapeId="0" xr:uid="{58C6837B-9EC6-4ABB-AA60-926C2C3C15CD}">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12" authorId="12" shapeId="0" xr:uid="{2E7B344D-9AB0-4906-A50F-72C72529D2E8}">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13" authorId="13" shapeId="0" xr:uid="{C22DC7C1-1330-4EFE-B744-E98BE62337E7}">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14" authorId="14" shapeId="0" xr:uid="{06505F78-E000-497A-828C-222C825F32FC}">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tc={12457FC7-0A9A-46D0-BE5D-06338A82F0AB}</author>
    <author>tc={9E228A31-D8D9-4D5A-B997-FDB28ACAD15B}</author>
    <author>tc={FB2D5FDD-E396-4E1C-8834-3BE7399D74B8}</author>
    <author>tc={A3579185-6790-4408-9A29-37A0DA3D07E9}</author>
    <author>tc={53F889B6-4E7C-46B5-B64C-8365A3E367BC}</author>
  </authors>
  <commentList>
    <comment ref="A1" authorId="0" shapeId="0" xr:uid="{12457FC7-0A9A-46D0-BE5D-06338A82F0AB}">
      <text>
        <t>[Threaded comment]
Your version of Excel allows you to read this threaded comment; however, any edits to it will get removed if the file is opened in a newer version of Excel. Learn more: https://go.microsoft.com/fwlink/?linkid=870924
Comment:
    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
      </text>
    </comment>
    <comment ref="A2" authorId="1" shapeId="0" xr:uid="{9E228A31-D8D9-4D5A-B997-FDB28ACAD15B}">
      <text>
        <t>[Threaded comment]
Your version of Excel allows you to read this threaded comment; however, any edits to it will get removed if the file is opened in a newer version of Excel. Learn more: https://go.microsoft.com/fwlink/?linkid=870924
Comment:
    The number of total deviations from the exemplar. Includes itacisms, orthographic changes, nonsense readings etc.</t>
      </text>
    </comment>
    <comment ref="A3" authorId="2" shapeId="0" xr:uid="{FB2D5FDD-E396-4E1C-8834-3BE7399D74B8}">
      <text>
        <t>[Threaded comment]
Your version of Excel allows you to read this threaded comment; however, any edits to it will get removed if the file is opened in a newer version of Excel. Learn more: https://go.microsoft.com/fwlink/?linkid=870924
Comment:
    The number of "meaningful" variants produced by the scribe. Should be based on the "general filters" page, with those readings excluded that have not been deemed fit for analysis (e.g., nonsense readings and corrections thereof, itacisms etc.)</t>
      </text>
    </comment>
    <comment ref="A5" authorId="3" shapeId="0" xr:uid="{A3579185-6790-4408-9A29-37A0DA3D07E9}">
      <text>
        <t>[Threaded comment]
Your version of Excel allows you to read this threaded comment; however, any edits to it will get removed if the file is opened in a newer version of Excel. Learn more: https://go.microsoft.com/fwlink/?linkid=870924
Comment:
    The rate of error generation per 1000 words in the apograph. Figure includes itacisms, orthographic changes, nonsense readings etc.</t>
      </text>
    </comment>
    <comment ref="A6" authorId="4" shapeId="0" xr:uid="{53F889B6-4E7C-46B5-B64C-8365A3E367BC}">
      <text>
        <t>[Threaded comment]
Your version of Excel allows you to read this threaded comment; however, any edits to it will get removed if the file is opened in a newer version of Excel. Learn more: https://go.microsoft.com/fwlink/?linkid=870924
Comment:
    Frequency of "meaningful" errors per 1000 words in the apograph. "Meaningful" errors are defined by the general filters applied to the raw data. (Here, this means the exclusion of such readings as itacisms, orthographic changes, variants involving nonsense readings etc.)</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Jonathan Wilken</author>
    <author>tc={9F8FA015-943D-4E69-B8E8-90F249A40330}</author>
    <author>tc={C09A08B5-BEC8-4C29-98C5-F48E6A991F47}</author>
    <author>tc={E53F9ABF-15DF-411C-A449-F709A05F6F26}</author>
    <author>tc={CA332D3B-255C-4BFE-A327-192CC1243DCB}</author>
  </authors>
  <commentList>
    <comment ref="A1" authorId="0" shapeId="0" xr:uid="{05E51D34-2F76-4EA3-9756-10DC5A681CE6}">
      <text>
        <r>
          <rPr>
            <b/>
            <sz val="9"/>
            <color indexed="81"/>
            <rFont val="Tahoma"/>
            <family val="2"/>
          </rPr>
          <t>Jonathan Wilken:</t>
        </r>
        <r>
          <rPr>
            <sz val="9"/>
            <color indexed="81"/>
            <rFont val="Tahoma"/>
            <family val="2"/>
          </rPr>
          <t xml:space="preserve">
Potential reasons why this reading should not be included in data analysis</t>
        </r>
      </text>
    </comment>
    <comment ref="B1" authorId="0" shapeId="0" xr:uid="{C05D5664-63DA-4F1D-B1CC-B5C61DE8C6C6}">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C1" authorId="0" shapeId="0" xr:uid="{89632D27-797E-46CA-AAEB-D1B14C9982F6}">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D1" authorId="0" shapeId="0" xr:uid="{BB5CBAAC-C8B1-4656-96BC-D620C95C2E16}">
      <text>
        <r>
          <rPr>
            <b/>
            <sz val="9"/>
            <color indexed="81"/>
            <rFont val="Tahoma"/>
            <family val="2"/>
          </rPr>
          <t>Jonathan Wilken:</t>
        </r>
        <r>
          <rPr>
            <sz val="9"/>
            <color indexed="81"/>
            <rFont val="Tahoma"/>
            <family val="2"/>
          </rPr>
          <t xml:space="preserve">
Add, omit, transposition, substitution, combo</t>
        </r>
      </text>
    </comment>
    <comment ref="L3" authorId="1" shapeId="0" xr:uid="{9F8FA015-943D-4E69-B8E8-90F249A40330}">
      <text>
        <t>[Threaded comment]
Your version of Excel allows you to read this threaded comment; however, any edits to it will get removed if the file is opened in a newer version of Excel. Learn more: https://go.microsoft.com/fwlink/?linkid=870924
Comment:
    The apograph reading is singular and the autograph reading is not. The singular readings method would detect this variant</t>
      </text>
    </comment>
    <comment ref="L4" authorId="2" shapeId="0" xr:uid="{C09A08B5-BEC8-4C29-98C5-F48E6A991F47}">
      <text>
        <t>[Threaded comment]
Your version of Excel allows you to read this threaded comment; however, any edits to it will get removed if the file is opened in a newer version of Excel. Learn more: https://go.microsoft.com/fwlink/?linkid=870924
Comment:
    That is, the autograph contains a singular reading and the apograph followed it</t>
      </text>
    </comment>
    <comment ref="L5" authorId="3" shapeId="0" xr:uid="{E53F9ABF-15DF-411C-A449-F709A05F6F26}">
      <text>
        <t>[Threaded comment]
Your version of Excel allows you to read this threaded comment; however, any edits to it will get removed if the file is opened in a newer version of Excel. Learn more: https://go.microsoft.com/fwlink/?linkid=870924
Comment:
    The apograph reading is not singular: other witnesses contain the same reading. These are real variants produced by the apograph scribe, but the singular readings method would not detect them</t>
      </text>
    </comment>
    <comment ref="N13" authorId="4" shapeId="0" xr:uid="{CA332D3B-255C-4BFE-A327-192CC1243DCB}">
      <text>
        <t>[Threaded comment]
Your version of Excel allows you to read this threaded comment; however, any edits to it will get removed if the file is opened in a newer version of Excel. Learn more: https://go.microsoft.com/fwlink/?linkid=870924
Comment:
    For words which have multiple common forms not impacting their inflection (e.g., ουκ-ουχ-ου, επι-επ-εφ)</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<sst xmlns="http://schemas.openxmlformats.org/spreadsheetml/2006/main" count="8257" uniqueCount="1024">
  <si>
    <t>Verse Ref</t>
  </si>
  <si>
    <t>Phys Loc 1</t>
  </si>
  <si>
    <t>Phys Loc 2</t>
  </si>
  <si>
    <t>Basic Type</t>
  </si>
  <si>
    <t>Harmonizing</t>
  </si>
  <si>
    <t>Autograph</t>
  </si>
  <si>
    <t>Apograph</t>
  </si>
  <si>
    <t>Detail</t>
  </si>
  <si>
    <t>Exclusion grounds</t>
  </si>
  <si>
    <t>Corrector followed</t>
  </si>
  <si>
    <t>Apograph corrected</t>
  </si>
  <si>
    <t>Autograph unclear</t>
  </si>
  <si>
    <t>Autograph unclear (but clear enough)</t>
  </si>
  <si>
    <t>Autograph unclear (Apograph reading likely)</t>
  </si>
  <si>
    <t>Damage to autograph</t>
  </si>
  <si>
    <t>Not a variant: autograph transcript error</t>
  </si>
  <si>
    <t>Not a variant: apograph transcript error</t>
  </si>
  <si>
    <t>Apograph unclear</t>
  </si>
  <si>
    <t>Marked Regularization?</t>
  </si>
  <si>
    <t>Yes</t>
  </si>
  <si>
    <t>No</t>
  </si>
  <si>
    <t>Yes, but still an error</t>
  </si>
  <si>
    <t>Yes, partially</t>
  </si>
  <si>
    <t>Yes, to another error</t>
  </si>
  <si>
    <t>Addition</t>
  </si>
  <si>
    <t>Omission</t>
  </si>
  <si>
    <t>Transposition</t>
  </si>
  <si>
    <t>Multiple</t>
  </si>
  <si>
    <t>Apograph unclear (but clear enough)</t>
  </si>
  <si>
    <t>Apograph unclear (Autograph reading likely)</t>
  </si>
  <si>
    <t>Unclear due to correction</t>
  </si>
  <si>
    <t>Autograph transcript error, but still a variant</t>
  </si>
  <si>
    <t>Apograph transcript error, but still a variant</t>
  </si>
  <si>
    <t>Both transcripts in error, but still a variant</t>
  </si>
  <si>
    <t>Not a variant: error in both transcripts</t>
  </si>
  <si>
    <t>Not a variant, but correction is</t>
  </si>
  <si>
    <t>Other</t>
  </si>
  <si>
    <t>ημων</t>
  </si>
  <si>
    <t>δικαιοσυνη</t>
  </si>
  <si>
    <t>επιστρεψουσι</t>
  </si>
  <si>
    <t>επιστρεψωσι</t>
  </si>
  <si>
    <t>TNaph.5.8</t>
  </si>
  <si>
    <t>γελαχαιοι</t>
  </si>
  <si>
    <t>γελακαιοι</t>
  </si>
  <si>
    <t>TNaph.6.1</t>
  </si>
  <si>
    <t>TNaph.6.2</t>
  </si>
  <si>
    <t>πλοιον</t>
  </si>
  <si>
    <t>πλειον</t>
  </si>
  <si>
    <t>επεγεγραπτο</t>
  </si>
  <si>
    <t>επεγεραπτο</t>
  </si>
  <si>
    <t>TNaph.6.3</t>
  </si>
  <si>
    <t>TNaph.6.4</t>
  </si>
  <si>
    <t>εφηπταται</t>
  </si>
  <si>
    <t>εφεπτεται</t>
  </si>
  <si>
    <t>TNaph.6.5</t>
  </si>
  <si>
    <t>εφερωμεθα</t>
  </si>
  <si>
    <t>εφερομεθα</t>
  </si>
  <si>
    <t>TNaph.6.7</t>
  </si>
  <si>
    <t>TNaph.6.8</t>
  </si>
  <si>
    <t>περιβαλομενος</t>
  </si>
  <si>
    <t>περιβαλλομενος</t>
  </si>
  <si>
    <t>TNaph.6.9</t>
  </si>
  <si>
    <t>TNaph.7.1</t>
  </si>
  <si>
    <t>TNaph.7.2</t>
  </si>
  <si>
    <t>TNaph.7.3</t>
  </si>
  <si>
    <t>γεννησαντα</t>
  </si>
  <si>
    <t>γενησαντα</t>
  </si>
  <si>
    <t>TNaph.7.4</t>
  </si>
  <si>
    <t>πεπραται</t>
  </si>
  <si>
    <t>πεπαραται</t>
  </si>
  <si>
    <t>TNaph.8.2</t>
  </si>
  <si>
    <t>ενουνται</t>
  </si>
  <si>
    <t>ενωνται</t>
  </si>
  <si>
    <t>ευλογηθησεται</t>
  </si>
  <si>
    <t>ειλογηθησεται</t>
  </si>
  <si>
    <t>TNaph.8.4</t>
  </si>
  <si>
    <t>TNaph.8.5</t>
  </si>
  <si>
    <t>εργου</t>
  </si>
  <si>
    <t>ερρου</t>
  </si>
  <si>
    <t>TNaph.8.6</t>
  </si>
  <si>
    <t>TNaph.8.7</t>
  </si>
  <si>
    <t>TNaph.8.9</t>
  </si>
  <si>
    <t>εισι</t>
  </si>
  <si>
    <t>TNaph.8.10</t>
  </si>
  <si>
    <t>TNaph.9.1</t>
  </si>
  <si>
    <t>μετακωμισωσι</t>
  </si>
  <si>
    <t>μετακομισωσι</t>
  </si>
  <si>
    <t>TGad.1.1</t>
  </si>
  <si>
    <t>TGad.1.3</t>
  </si>
  <si>
    <t>TGad.1.4</t>
  </si>
  <si>
    <t>εποιμανε</t>
  </si>
  <si>
    <t>κυματος</t>
  </si>
  <si>
    <t>TGad.1.6</t>
  </si>
  <si>
    <t>βαλας</t>
  </si>
  <si>
    <t>TGad.1.7</t>
  </si>
  <si>
    <t>εξηλομην</t>
  </si>
  <si>
    <t>εξελομην</t>
  </si>
  <si>
    <t>TGad.1.9</t>
  </si>
  <si>
    <t>ημτων</t>
  </si>
  <si>
    <t>επειθεθετο</t>
  </si>
  <si>
    <t>επειθετο</t>
  </si>
  <si>
    <t>TGad.2.1</t>
  </si>
  <si>
    <t>ελεους</t>
  </si>
  <si>
    <t>ελεως</t>
  </si>
  <si>
    <t>TGad.2.2</t>
  </si>
  <si>
    <t>εκλειξαι</t>
  </si>
  <si>
    <t>εκλειψαι</t>
  </si>
  <si>
    <t>TGad.2.3</t>
  </si>
  <si>
    <t>χρυσων</t>
  </si>
  <si>
    <t>χρυσιων</t>
  </si>
  <si>
    <t>TGad.3.1</t>
  </si>
  <si>
    <t>TGad.3.2</t>
  </si>
  <si>
    <t>TGad.3.3</t>
  </si>
  <si>
    <t>TGad.4.1</t>
  </si>
  <si>
    <t>TGad.4.3</t>
  </si>
  <si>
    <t>σπευδει</t>
  </si>
  <si>
    <t>σπαδει</t>
  </si>
  <si>
    <t>TGad.4.4</t>
  </si>
  <si>
    <t>επιχειρει</t>
  </si>
  <si>
    <t>επιχαιρει</t>
  </si>
  <si>
    <t>TGad.4.5</t>
  </si>
  <si>
    <t>TGad.4.6</t>
  </si>
  <si>
    <t>TGad.4.7</t>
  </si>
  <si>
    <t>TGad.5.1</t>
  </si>
  <si>
    <t>λαλων</t>
  </si>
  <si>
    <t>TGad.5.2</t>
  </si>
  <si>
    <t>TGad.5.3</t>
  </si>
  <si>
    <t>TGad.5.4</t>
  </si>
  <si>
    <t>TGad.5.5</t>
  </si>
  <si>
    <t>TGad.5.6</t>
  </si>
  <si>
    <t>TGad.5.8</t>
  </si>
  <si>
    <t>TGad.5.9</t>
  </si>
  <si>
    <t>TGad.5.11</t>
  </si>
  <si>
    <t>TGad.6.2</t>
  </si>
  <si>
    <t>TGad.6.5</t>
  </si>
  <si>
    <t>δολωφωνησαι</t>
  </si>
  <si>
    <t>δολοφoνησαι</t>
  </si>
  <si>
    <t>TGad.6.6</t>
  </si>
  <si>
    <t>φοβηθησεται</t>
  </si>
  <si>
    <t>φωβηθησεται</t>
  </si>
  <si>
    <t>ειρηνευσει</t>
  </si>
  <si>
    <t>ειρηνευει</t>
  </si>
  <si>
    <t>TGad.6.7</t>
  </si>
  <si>
    <t>ενισταται</t>
  </si>
  <si>
    <t>ενιστασαι</t>
  </si>
  <si>
    <t>TGad.7.2</t>
  </si>
  <si>
    <t>μνημονευοντες</t>
  </si>
  <si>
    <t>μνημονευεντες</t>
  </si>
  <si>
    <t>TGad.7.3</t>
  </si>
  <si>
    <t>ησυχασει</t>
  </si>
  <si>
    <t>ησυχαζει</t>
  </si>
  <si>
    <t>TGad.7.7</t>
  </si>
  <si>
    <t>TGad.8.1</t>
  </si>
  <si>
    <t>τιμησωσιν</t>
  </si>
  <si>
    <t>τιμησωσαν</t>
  </si>
  <si>
    <t>TGad.8.2</t>
  </si>
  <si>
    <t>διαφθορα</t>
  </si>
  <si>
    <t>διαφορα</t>
  </si>
  <si>
    <t>TGad.8.5</t>
  </si>
  <si>
    <t>TAsh.1.1</t>
  </si>
  <si>
    <t>TAsh.1.6</t>
  </si>
  <si>
    <t>δικαιωσυνη</t>
  </si>
  <si>
    <t>TAsh.1.8</t>
  </si>
  <si>
    <t>απωθουμενος</t>
  </si>
  <si>
    <t>αποθουμενος</t>
  </si>
  <si>
    <t>TAsh.1.9</t>
  </si>
  <si>
    <t>TAsh.2.4</t>
  </si>
  <si>
    <t>TAsh.2.5</t>
  </si>
  <si>
    <t>διπροσωπον</t>
  </si>
  <si>
    <t>διπρωσωπον</t>
  </si>
  <si>
    <t>TAsh.2.6</t>
  </si>
  <si>
    <t>TAsh.2.7</t>
  </si>
  <si>
    <t>TAsh.2.8</t>
  </si>
  <si>
    <t>υπερογκου</t>
  </si>
  <si>
    <t>υερογκου</t>
  </si>
  <si>
    <t>TAsh.2.9</t>
  </si>
  <si>
    <t>ειστι</t>
  </si>
  <si>
    <t>TAsh.2.10</t>
  </si>
  <si>
    <t>TAsh.3.2</t>
  </si>
  <si>
    <t>TAsh.4.1</t>
  </si>
  <si>
    <t>TAsh.4.2</t>
  </si>
  <si>
    <t>εκριζωσας</t>
  </si>
  <si>
    <t>ερκιζωσας</t>
  </si>
  <si>
    <t>απωλεσεν</t>
  </si>
  <si>
    <t>απωλλωλεν</t>
  </si>
  <si>
    <t>TAsh.4.4</t>
  </si>
  <si>
    <t>TAsh.5.1</t>
  </si>
  <si>
    <t>TJos.2.2</t>
  </si>
  <si>
    <t>ηγωνισαμην</t>
  </si>
  <si>
    <t>ηγονισαμην</t>
  </si>
  <si>
    <t>TJos.2.3</t>
  </si>
  <si>
    <t>ετυπτιθην</t>
  </si>
  <si>
    <t>ετυπτισθην</t>
  </si>
  <si>
    <t>TJos.2.4</t>
  </si>
  <si>
    <t>TJos.2.5</t>
  </si>
  <si>
    <t>TJos.2.6</t>
  </si>
  <si>
    <t>διαφοροις</t>
  </si>
  <si>
    <t>δικροφοις</t>
  </si>
  <si>
    <t>TJos.3.2</t>
  </si>
  <si>
    <t>TJos.3.3</t>
  </si>
  <si>
    <t>TJos.3.4</t>
  </si>
  <si>
    <t>TJos.3.5</t>
  </si>
  <si>
    <t>επεδιδη</t>
  </si>
  <si>
    <t>επιδιδη</t>
  </si>
  <si>
    <t>TJos.3.6</t>
  </si>
  <si>
    <t>ενοχλει</t>
  </si>
  <si>
    <t>ενωχλει</t>
  </si>
  <si>
    <t>TJos.3.7</t>
  </si>
  <si>
    <t>TJos.3.8</t>
  </si>
  <si>
    <t>TJos.3.9</t>
  </si>
  <si>
    <t>TJos.4.1</t>
  </si>
  <si>
    <t>TJos.4.2</t>
  </si>
  <si>
    <t>εδοξαζε</t>
  </si>
  <si>
    <t>εδοξασε</t>
  </si>
  <si>
    <t>TJos.4.3</t>
  </si>
  <si>
    <t>ρυσεται</t>
  </si>
  <si>
    <t>TJos.4.6</t>
  </si>
  <si>
    <t>TJos.4.7</t>
  </si>
  <si>
    <t>εκτελεσαι</t>
  </si>
  <si>
    <t>εκτελησαι</t>
  </si>
  <si>
    <t>TJos.4.8</t>
  </si>
  <si>
    <t>TJos.5.2</t>
  </si>
  <si>
    <t>TJos.5.3</t>
  </si>
  <si>
    <t>TJos.5.4</t>
  </si>
  <si>
    <t>θαλπουσα</t>
  </si>
  <si>
    <t>θελπουσα</t>
  </si>
  <si>
    <t>TJos.6.1</t>
  </si>
  <si>
    <t>πεφυραμενον</t>
  </si>
  <si>
    <t>πεφυρμενον</t>
  </si>
  <si>
    <t>TJos.6.2</t>
  </si>
  <si>
    <t>TJos.6.3</t>
  </si>
  <si>
    <t>TJos.6.5</t>
  </si>
  <si>
    <t>TJos.6.6</t>
  </si>
  <si>
    <t>γνωθι</t>
  </si>
  <si>
    <t>γνωσθι</t>
  </si>
  <si>
    <t>ιδουσα</t>
  </si>
  <si>
    <t>ιδοσα</t>
  </si>
  <si>
    <t>TJos.6.7</t>
  </si>
  <si>
    <t>θεοσεβουντων</t>
  </si>
  <si>
    <t>TJos.7.1</t>
  </si>
  <si>
    <t>TJos.7.2</t>
  </si>
  <si>
    <t>εθεραπευεν</t>
  </si>
  <si>
    <t>εθεραπευσεν</t>
  </si>
  <si>
    <t>TJos.7.3</t>
  </si>
  <si>
    <t>TJos.7.5</t>
  </si>
  <si>
    <t>σεαυτην</t>
  </si>
  <si>
    <t>σαυτην</t>
  </si>
  <si>
    <t>TJos.7.6</t>
  </si>
  <si>
    <t>TJos.7.7</t>
  </si>
  <si>
    <t>TJos.7.8</t>
  </si>
  <si>
    <t>δουλωθη</t>
  </si>
  <si>
    <t>δουλευθη</t>
  </si>
  <si>
    <t>TJos.8.1</t>
  </si>
  <si>
    <t>TJos.8.2</t>
  </si>
  <si>
    <t>TJos.8.3</t>
  </si>
  <si>
    <t>TJos.8.4</t>
  </si>
  <si>
    <t>εσυκοφαντισε</t>
  </si>
  <si>
    <t>εσυκοφαντησε</t>
  </si>
  <si>
    <t>TJos.8.5</t>
  </si>
  <si>
    <t>προφασεως</t>
  </si>
  <si>
    <t>προπασεως</t>
  </si>
  <si>
    <t>TJos.9.1</t>
  </si>
  <si>
    <t>TJos.9.2</t>
  </si>
  <si>
    <t>TJos.9.3</t>
  </si>
  <si>
    <t>TJos.9.4</t>
  </si>
  <si>
    <t>ηκουε</t>
  </si>
  <si>
    <t>ηκουσε</t>
  </si>
  <si>
    <t>TJos.9.5</t>
  </si>
  <si>
    <t>εγχειρηματων</t>
  </si>
  <si>
    <t>εγκειρηματων</t>
  </si>
  <si>
    <t>TJos.10.1</t>
  </si>
  <si>
    <t>TJos.10.2</t>
  </si>
  <si>
    <t>TJos.10.3</t>
  </si>
  <si>
    <t>ρυεται</t>
  </si>
  <si>
    <t>TJos.10.4</t>
  </si>
  <si>
    <t>TJos.10.5</t>
  </si>
  <si>
    <t>TJos.10.6</t>
  </si>
  <si>
    <t>ετιμουν</t>
  </si>
  <si>
    <t>εσιωπουν</t>
  </si>
  <si>
    <t>εσιωπων</t>
  </si>
  <si>
    <t>TJos.11.2</t>
  </si>
  <si>
    <t>TJos.11.3</t>
  </si>
  <si>
    <t>TJos.11.5</t>
  </si>
  <si>
    <t>TJos.11.7</t>
  </si>
  <si>
    <t>TJos.12.1</t>
  </si>
  <si>
    <t>παριει</t>
  </si>
  <si>
    <t>παρηει</t>
  </si>
  <si>
    <t>TJos.12.2</t>
  </si>
  <si>
    <t>επλουτισεν</t>
  </si>
  <si>
    <t>επλουτησεν</t>
  </si>
  <si>
    <t>TJos.12.3</t>
  </si>
  <si>
    <t>TJos.13.1</t>
  </si>
  <si>
    <t>μετεμπωλων</t>
  </si>
  <si>
    <t>μετεμπολων</t>
  </si>
  <si>
    <t>TJos.13.3</t>
  </si>
  <si>
    <t>TJos.13.4</t>
  </si>
  <si>
    <t>πετεφρις</t>
  </si>
  <si>
    <t>πεντεφρης</t>
  </si>
  <si>
    <t>TJos.13.5</t>
  </si>
  <si>
    <t>αρχευνουχω</t>
  </si>
  <si>
    <t>αρχιευνουχω</t>
  </si>
  <si>
    <t>ευνουχων</t>
  </si>
  <si>
    <t>εννουχων</t>
  </si>
  <si>
    <t>TJos.13.6</t>
  </si>
  <si>
    <t>TJos.13.8</t>
  </si>
  <si>
    <t>TJos.13.9</t>
  </si>
  <si>
    <t>TJos.14.1</t>
  </si>
  <si>
    <t>τυπτομενου</t>
  </si>
  <si>
    <t>τυπωμενου</t>
  </si>
  <si>
    <t>τιμωρεις</t>
  </si>
  <si>
    <t>τιωρεις</t>
  </si>
  <si>
    <t>TJos.14.2</t>
  </si>
  <si>
    <t>εποιμαινε</t>
  </si>
  <si>
    <t>καυματος</t>
  </si>
  <si>
    <t>βαλλας</t>
  </si>
  <si>
    <t>και λευι</t>
  </si>
  <si>
    <t>ημην παρων εκει και ιδου</t>
  </si>
  <si>
    <t>ημην εκει που και ιδου</t>
  </si>
  <si>
    <r>
      <t xml:space="preserve">ημην </t>
    </r>
    <r>
      <rPr>
        <b/>
        <sz val="11"/>
        <color theme="1"/>
        <rFont val="Calibri"/>
        <family val="2"/>
        <scheme val="minor"/>
      </rPr>
      <t>παρων</t>
    </r>
    <r>
      <rPr>
        <sz val="11"/>
        <color theme="1"/>
        <rFont val="Calibri"/>
        <family val="2"/>
        <scheme val="minor"/>
      </rPr>
      <t xml:space="preserve"> εκει και ιδου</t>
    </r>
  </si>
  <si>
    <r>
      <t xml:space="preserve">ημην εκει </t>
    </r>
    <r>
      <rPr>
        <b/>
        <sz val="11"/>
        <color theme="1"/>
        <rFont val="Calibri"/>
        <family val="2"/>
        <scheme val="minor"/>
      </rPr>
      <t>που</t>
    </r>
    <r>
      <rPr>
        <sz val="11"/>
        <color theme="1"/>
        <rFont val="Calibri"/>
        <family val="2"/>
        <scheme val="minor"/>
      </rPr>
      <t xml:space="preserve"> και ιδου</t>
    </r>
  </si>
  <si>
    <t>κληρονομησουσιν αιχμαλωσια</t>
  </si>
  <si>
    <t>κληρονομησουσιν εν αιχμαλωσια</t>
  </si>
  <si>
    <t>(5:8) ιηλ (6:1) και παλιν</t>
  </si>
  <si>
    <t>(5:8) ισραηλ (6:1) παλιν</t>
  </si>
  <si>
    <t>ιαμνιας και ημεις</t>
  </si>
  <si>
    <t>ιαμνα και ημεις</t>
  </si>
  <si>
    <t>Queens corrects ιαμνα -&gt; ιαμνε</t>
  </si>
  <si>
    <t>εκτος ναυτων</t>
  </si>
  <si>
    <t>εκτος αυτων</t>
  </si>
  <si>
    <t>δε το πλοιον ιακωβ</t>
  </si>
  <si>
    <t>δε το πλοιον πλοιον ιακωβ</t>
  </si>
  <si>
    <t>πατηρ εμβωμεν</t>
  </si>
  <si>
    <t>πηρ ημων εμβωμεν</t>
  </si>
  <si>
    <t>Queens corrects to εφεπταται</t>
  </si>
  <si>
    <t>υδατων τρικυμιας περιρισσομενον</t>
  </si>
  <si>
    <r>
      <t xml:space="preserve">υδατων </t>
    </r>
    <r>
      <rPr>
        <b/>
        <sz val="11"/>
        <color theme="1"/>
        <rFont val="Calibri"/>
        <family val="2"/>
        <scheme val="minor"/>
      </rPr>
      <t>εν</t>
    </r>
    <r>
      <rPr>
        <sz val="11"/>
        <color theme="1"/>
        <rFont val="Calibri"/>
        <family val="2"/>
        <scheme val="minor"/>
      </rPr>
      <t xml:space="preserve"> τρικυμιαις περιρρησσομενον</t>
    </r>
  </si>
  <si>
    <r>
      <t xml:space="preserve">υδατων εν </t>
    </r>
    <r>
      <rPr>
        <b/>
        <sz val="11"/>
        <color theme="1"/>
        <rFont val="Calibri"/>
        <family val="2"/>
        <scheme val="minor"/>
      </rPr>
      <t>τρικυμιαις</t>
    </r>
    <r>
      <rPr>
        <sz val="11"/>
        <color theme="1"/>
        <rFont val="Calibri"/>
        <family val="2"/>
        <scheme val="minor"/>
      </rPr>
      <t xml:space="preserve"> περιρρησσομενον</t>
    </r>
  </si>
  <si>
    <r>
      <t xml:space="preserve">υδατων </t>
    </r>
    <r>
      <rPr>
        <b/>
        <sz val="11"/>
        <color theme="1"/>
        <rFont val="Calibri"/>
        <family val="2"/>
        <scheme val="minor"/>
      </rPr>
      <t>τρικυμιας</t>
    </r>
    <r>
      <rPr>
        <sz val="11"/>
        <color theme="1"/>
        <rFont val="Calibri"/>
        <family val="2"/>
        <scheme val="minor"/>
      </rPr>
      <t xml:space="preserve"> περιρισσομενον</t>
    </r>
  </si>
  <si>
    <r>
      <t xml:space="preserve">υδατων τρικυμιας </t>
    </r>
    <r>
      <rPr>
        <b/>
        <sz val="11"/>
        <color theme="1"/>
        <rFont val="Calibri"/>
        <family val="2"/>
        <scheme val="minor"/>
      </rPr>
      <t>περιρισσομενον</t>
    </r>
  </si>
  <si>
    <r>
      <t xml:space="preserve">υδατων εν τρικυμιαις </t>
    </r>
    <r>
      <rPr>
        <b/>
        <sz val="11"/>
        <color theme="1"/>
        <rFont val="Calibri"/>
        <family val="2"/>
        <scheme val="minor"/>
      </rPr>
      <t>περιρρησσομενον</t>
    </r>
  </si>
  <si>
    <t>ουν οι παντες</t>
  </si>
  <si>
    <t>ουν παντες</t>
  </si>
  <si>
    <t>ως εν ειρηνη</t>
  </si>
  <si>
    <t>ωσπερ εν ειρηνη</t>
  </si>
  <si>
    <t>δει ταυτα πληρωθηναι</t>
  </si>
  <si>
    <t>δει αυτο πληρωθηναι</t>
  </si>
  <si>
    <t>Queens corrects αυτο -&gt; αυτα</t>
  </si>
  <si>
    <t>κατα καιρον</t>
  </si>
  <si>
    <t>κατα καιρους</t>
  </si>
  <si>
    <t>λεγει μοι ο πηρ</t>
  </si>
  <si>
    <t>λεγει ο πατηρ</t>
  </si>
  <si>
    <t>οτι ο κυριος</t>
  </si>
  <si>
    <t>οτι κς</t>
  </si>
  <si>
    <t>ζης τεκνον μου ιωσηφ και</t>
  </si>
  <si>
    <t>ζης ιωσηφ τεκνον μου και</t>
  </si>
  <si>
    <t>και ουχ ορας</t>
  </si>
  <si>
    <t>και συ ουχ ορας</t>
  </si>
  <si>
    <t xml:space="preserve">(3) σε (4) εποιησε δε και ημας </t>
  </si>
  <si>
    <t xml:space="preserve">(3) σε (4) και εποιησε και ημας </t>
  </si>
  <si>
    <t>δακρυσαι εν τοις λογοις τουτοις</t>
  </si>
  <si>
    <r>
      <t xml:space="preserve">δακρυσαι </t>
    </r>
    <r>
      <rPr>
        <b/>
        <sz val="11"/>
        <color theme="1"/>
        <rFont val="Calibri"/>
        <family val="2"/>
        <scheme val="minor"/>
      </rPr>
      <t>επι</t>
    </r>
    <r>
      <rPr>
        <sz val="11"/>
        <color theme="1"/>
        <rFont val="Calibri"/>
        <family val="2"/>
        <scheme val="minor"/>
      </rPr>
      <t xml:space="preserve"> τοις λογοις αυτου τουτοις</t>
    </r>
  </si>
  <si>
    <r>
      <t xml:space="preserve">δακρυσαι </t>
    </r>
    <r>
      <rPr>
        <b/>
        <sz val="11"/>
        <color theme="1"/>
        <rFont val="Calibri"/>
        <family val="2"/>
        <scheme val="minor"/>
      </rPr>
      <t>εν</t>
    </r>
    <r>
      <rPr>
        <sz val="11"/>
        <color theme="1"/>
        <rFont val="Calibri"/>
        <family val="2"/>
        <scheme val="minor"/>
      </rPr>
      <t xml:space="preserve"> τοις λογοις τουτοις</t>
    </r>
  </si>
  <si>
    <r>
      <t xml:space="preserve">δακρυσαι επι τοις λογοις </t>
    </r>
    <r>
      <rPr>
        <b/>
        <sz val="11"/>
        <color theme="1"/>
        <rFont val="Calibri"/>
        <family val="2"/>
        <scheme val="minor"/>
      </rPr>
      <t>αυτου</t>
    </r>
    <r>
      <rPr>
        <sz val="11"/>
        <color theme="1"/>
        <rFont val="Calibri"/>
        <family val="2"/>
        <scheme val="minor"/>
      </rPr>
      <t xml:space="preserve"> τουτοις</t>
    </r>
  </si>
  <si>
    <t>εαν εργασησθε</t>
  </si>
  <si>
    <r>
      <t xml:space="preserve">εαν </t>
    </r>
    <r>
      <rPr>
        <b/>
        <sz val="11"/>
        <color theme="1"/>
        <rFont val="Calibri"/>
        <family val="2"/>
        <scheme val="minor"/>
      </rPr>
      <t>γαρ</t>
    </r>
    <r>
      <rPr>
        <sz val="11"/>
        <color theme="1"/>
        <rFont val="Calibri"/>
        <family val="2"/>
        <scheme val="minor"/>
      </rPr>
      <t xml:space="preserve"> εργαζησθε</t>
    </r>
  </si>
  <si>
    <r>
      <t xml:space="preserve">εαν γαρ </t>
    </r>
    <r>
      <rPr>
        <b/>
        <sz val="11"/>
        <color theme="1"/>
        <rFont val="Calibri"/>
        <family val="2"/>
        <scheme val="minor"/>
      </rPr>
      <t>εργαζησθε</t>
    </r>
  </si>
  <si>
    <r>
      <t xml:space="preserve">εαν </t>
    </r>
    <r>
      <rPr>
        <b/>
        <sz val="11"/>
        <color theme="1"/>
        <rFont val="Calibri"/>
        <family val="2"/>
        <scheme val="minor"/>
      </rPr>
      <t>εργασησθε</t>
    </r>
  </si>
  <si>
    <t>και ο θεος</t>
  </si>
  <si>
    <t>και θς</t>
  </si>
  <si>
    <t>δοξασθησεται εν τοις εθνεσι δι υμων και</t>
  </si>
  <si>
    <t>δοξασθησεται δι υμων εν τοις εθνεσι και</t>
  </si>
  <si>
    <t>τις γαρ τεκνον</t>
  </si>
  <si>
    <t>τις τεκνον</t>
  </si>
  <si>
    <t>παρα θεου αγαθη</t>
  </si>
  <si>
    <t>παρα θω αγαθη</t>
  </si>
  <si>
    <t>καταρασονται οι ανοι και οι αγγελοι και ο θς</t>
  </si>
  <si>
    <r>
      <t xml:space="preserve">καταρασονται </t>
    </r>
    <r>
      <rPr>
        <b/>
        <sz val="11"/>
        <color theme="1"/>
        <rFont val="Calibri"/>
        <family val="2"/>
        <scheme val="minor"/>
      </rPr>
      <t>οι ανοι και οι αγγελοι</t>
    </r>
    <r>
      <rPr>
        <sz val="11"/>
        <color theme="1"/>
        <rFont val="Calibri"/>
        <family val="2"/>
        <scheme val="minor"/>
      </rPr>
      <t xml:space="preserve"> και ο θς</t>
    </r>
  </si>
  <si>
    <t>αδοξησει εν τοις</t>
  </si>
  <si>
    <t>αδοξηση εν τοις</t>
  </si>
  <si>
    <t>τα οστα εις χεβρων</t>
  </si>
  <si>
    <t>τα οστα αυτου εις χεβρων</t>
  </si>
  <si>
    <t>in a marginal note, Queens claims the inclusion of αυτου is a reading from the Oxford MS (= Barocci); evidence the witnesses are getting confused?</t>
  </si>
  <si>
    <t>θαψωσι μετα</t>
  </si>
  <si>
    <r>
      <rPr>
        <b/>
        <sz val="11"/>
        <color theme="1"/>
        <rFont val="Calibri"/>
        <family val="2"/>
        <scheme val="minor"/>
      </rPr>
      <t>θαψωσι</t>
    </r>
    <r>
      <rPr>
        <sz val="11"/>
        <color theme="1"/>
        <rFont val="Calibri"/>
        <family val="2"/>
        <scheme val="minor"/>
      </rPr>
      <t xml:space="preserve"> μετα</t>
    </r>
  </si>
  <si>
    <r>
      <rPr>
        <b/>
        <sz val="11"/>
        <color theme="1"/>
        <rFont val="Calibri"/>
        <family val="2"/>
        <scheme val="minor"/>
      </rPr>
      <t>θαψωσιν</t>
    </r>
    <r>
      <rPr>
        <sz val="11"/>
        <color theme="1"/>
        <rFont val="Calibri"/>
        <family val="2"/>
        <scheme val="minor"/>
      </rPr>
      <t xml:space="preserve"> αυτον μετα</t>
    </r>
  </si>
  <si>
    <r>
      <t xml:space="preserve">θαψωσιν </t>
    </r>
    <r>
      <rPr>
        <b/>
        <sz val="11"/>
        <color theme="1"/>
        <rFont val="Calibri"/>
        <family val="2"/>
        <scheme val="minor"/>
      </rPr>
      <t>αυτον</t>
    </r>
    <r>
      <rPr>
        <sz val="11"/>
        <color theme="1"/>
        <rFont val="Calibri"/>
        <family val="2"/>
        <scheme val="minor"/>
      </rPr>
      <t xml:space="preserve"> μετα</t>
    </r>
  </si>
  <si>
    <t>ελαλησε τοις υιοις</t>
  </si>
  <si>
    <r>
      <rPr>
        <b/>
        <sz val="11"/>
        <color theme="1"/>
        <rFont val="Calibri"/>
        <family val="2"/>
        <scheme val="minor"/>
      </rPr>
      <t>ελαλησεν</t>
    </r>
    <r>
      <rPr>
        <sz val="11"/>
        <color theme="1"/>
        <rFont val="Calibri"/>
        <family val="2"/>
        <scheme val="minor"/>
      </rPr>
      <t xml:space="preserve"> αυτος τοις υιοις</t>
    </r>
  </si>
  <si>
    <r>
      <rPr>
        <b/>
        <sz val="11"/>
        <color theme="1"/>
        <rFont val="Calibri"/>
        <family val="2"/>
        <scheme val="minor"/>
      </rPr>
      <t>ελαλησε</t>
    </r>
    <r>
      <rPr>
        <sz val="11"/>
        <color theme="1"/>
        <rFont val="Calibri"/>
        <family val="2"/>
        <scheme val="minor"/>
      </rPr>
      <t xml:space="preserve"> τοις υιοις</t>
    </r>
  </si>
  <si>
    <r>
      <t xml:space="preserve">ελαλησεν </t>
    </r>
    <r>
      <rPr>
        <b/>
        <sz val="11"/>
        <color theme="1"/>
        <rFont val="Calibri"/>
        <family val="2"/>
        <scheme val="minor"/>
      </rPr>
      <t>αυτος</t>
    </r>
    <r>
      <rPr>
        <sz val="11"/>
        <color theme="1"/>
        <rFont val="Calibri"/>
        <family val="2"/>
        <scheme val="minor"/>
      </rPr>
      <t xml:space="preserve"> τοις υιοις</t>
    </r>
  </si>
  <si>
    <t>εν ετει εκατοστω εικοστω εβδομω ζωης αυτου λεγων (2) εβδομος υιος</t>
  </si>
  <si>
    <t>εν ετει ρκε της ζωης αυτου (2) εβδομος υιος</t>
  </si>
  <si>
    <r>
      <t xml:space="preserve">εν ετει εκατοστω εικοστω </t>
    </r>
    <r>
      <rPr>
        <b/>
        <sz val="11"/>
        <color theme="1"/>
        <rFont val="Calibri"/>
        <family val="2"/>
        <scheme val="minor"/>
      </rPr>
      <t>εβδομω</t>
    </r>
    <r>
      <rPr>
        <sz val="11"/>
        <color theme="1"/>
        <rFont val="Calibri"/>
        <family val="2"/>
        <scheme val="minor"/>
      </rPr>
      <t xml:space="preserve"> ζωης αυτου λεγων (2) εβδομος υιος</t>
    </r>
  </si>
  <si>
    <r>
      <t>εν ετει ρκ</t>
    </r>
    <r>
      <rPr>
        <b/>
        <sz val="11"/>
        <color theme="1"/>
        <rFont val="Calibri"/>
        <family val="2"/>
        <scheme val="minor"/>
      </rPr>
      <t>ε</t>
    </r>
    <r>
      <rPr>
        <sz val="11"/>
        <color theme="1"/>
        <rFont val="Calibri"/>
        <family val="2"/>
        <scheme val="minor"/>
      </rPr>
      <t xml:space="preserve"> της ζωης αυτου (2) εβδομος υιος</t>
    </r>
  </si>
  <si>
    <r>
      <t xml:space="preserve">εν ετει ρκε </t>
    </r>
    <r>
      <rPr>
        <b/>
        <sz val="11"/>
        <color theme="1"/>
        <rFont val="Calibri"/>
        <family val="2"/>
        <scheme val="minor"/>
      </rPr>
      <t>της</t>
    </r>
    <r>
      <rPr>
        <sz val="11"/>
        <color theme="1"/>
        <rFont val="Calibri"/>
        <family val="2"/>
        <scheme val="minor"/>
      </rPr>
      <t xml:space="preserve"> ζωης αυτου (2) εβδομος υιος</t>
    </r>
  </si>
  <si>
    <r>
      <t xml:space="preserve">εν ετει εκατοστω εικοστω εβδομω ζωης αυτου </t>
    </r>
    <r>
      <rPr>
        <b/>
        <sz val="11"/>
        <color theme="1"/>
        <rFont val="Calibri"/>
        <family val="2"/>
        <scheme val="minor"/>
      </rPr>
      <t>λεγων</t>
    </r>
    <r>
      <rPr>
        <sz val="11"/>
        <color theme="1"/>
        <rFont val="Calibri"/>
        <family val="2"/>
        <scheme val="minor"/>
      </rPr>
      <t xml:space="preserve"> (2) εβδομος υιος</t>
    </r>
  </si>
  <si>
    <t>ηρχετο ο λεων η λυκος</t>
  </si>
  <si>
    <t>ηρχετο ο λυκος η λεων</t>
  </si>
  <si>
    <t>η αρτκος επι την ποιμνην</t>
  </si>
  <si>
    <r>
      <t xml:space="preserve">η </t>
    </r>
    <r>
      <rPr>
        <b/>
        <sz val="11"/>
        <color theme="1"/>
        <rFont val="Calibri"/>
        <family val="2"/>
        <scheme val="minor"/>
      </rPr>
      <t>αρκος</t>
    </r>
    <r>
      <rPr>
        <sz val="11"/>
        <color theme="1"/>
        <rFont val="Calibri"/>
        <family val="2"/>
        <scheme val="minor"/>
      </rPr>
      <t xml:space="preserve"> η παν θηριον επι την ποιμνην</t>
    </r>
  </si>
  <si>
    <r>
      <t xml:space="preserve">η </t>
    </r>
    <r>
      <rPr>
        <b/>
        <sz val="11"/>
        <color theme="1"/>
        <rFont val="Calibri"/>
        <family val="2"/>
        <scheme val="minor"/>
      </rPr>
      <t>αρτκος</t>
    </r>
    <r>
      <rPr>
        <sz val="11"/>
        <color theme="1"/>
        <rFont val="Calibri"/>
        <family val="2"/>
        <scheme val="minor"/>
      </rPr>
      <t xml:space="preserve"> επι την ποιμνην</t>
    </r>
  </si>
  <si>
    <r>
      <t xml:space="preserve">η αρκος </t>
    </r>
    <r>
      <rPr>
        <b/>
        <sz val="11"/>
        <color theme="1"/>
        <rFont val="Calibri"/>
        <family val="2"/>
        <scheme val="minor"/>
      </rPr>
      <t>η παν θηριον</t>
    </r>
    <r>
      <rPr>
        <sz val="11"/>
        <color theme="1"/>
        <rFont val="Calibri"/>
        <family val="2"/>
        <scheme val="minor"/>
      </rPr>
      <t xml:space="preserve"> επι την ποιμνην</t>
    </r>
  </si>
  <si>
    <t>κατεδιωκον αυτον και πιαζων</t>
  </si>
  <si>
    <t>κατεδιωκον αυτο και πιαζων</t>
  </si>
  <si>
    <r>
      <rPr>
        <b/>
        <sz val="11"/>
        <color theme="1"/>
        <rFont val="Calibri"/>
        <family val="2"/>
        <scheme val="minor"/>
      </rPr>
      <t>ακοντιζoν</t>
    </r>
    <r>
      <rPr>
        <sz val="11"/>
        <color theme="1"/>
        <rFont val="Calibri"/>
        <family val="2"/>
        <scheme val="minor"/>
      </rPr>
      <t xml:space="preserve"> αυτο επι δυο</t>
    </r>
  </si>
  <si>
    <r>
      <rPr>
        <b/>
        <sz val="11"/>
        <color theme="1"/>
        <rFont val="Calibri"/>
        <family val="2"/>
        <scheme val="minor"/>
      </rPr>
      <t>ακοντιζων</t>
    </r>
    <r>
      <rPr>
        <sz val="11"/>
        <color theme="1"/>
        <rFont val="Calibri"/>
        <family val="2"/>
        <scheme val="minor"/>
      </rPr>
      <t xml:space="preserve"> αυτον επι δυο</t>
    </r>
  </si>
  <si>
    <r>
      <t xml:space="preserve">ακοντιζoν </t>
    </r>
    <r>
      <rPr>
        <b/>
        <sz val="11"/>
        <color theme="1"/>
        <rFont val="Calibri"/>
        <family val="2"/>
        <scheme val="minor"/>
      </rPr>
      <t>αυτο</t>
    </r>
    <r>
      <rPr>
        <sz val="11"/>
        <color theme="1"/>
        <rFont val="Calibri"/>
        <family val="2"/>
        <scheme val="minor"/>
      </rPr>
      <t xml:space="preserve"> επι δυο</t>
    </r>
  </si>
  <si>
    <r>
      <t xml:space="preserve">ακοντιζων </t>
    </r>
    <r>
      <rPr>
        <b/>
        <sz val="11"/>
        <color theme="1"/>
        <rFont val="Calibri"/>
        <family val="2"/>
        <scheme val="minor"/>
      </rPr>
      <t>αυτον</t>
    </r>
    <r>
      <rPr>
        <sz val="11"/>
        <color theme="1"/>
        <rFont val="Calibri"/>
        <family val="2"/>
        <scheme val="minor"/>
      </rPr>
      <t xml:space="preserve"> επι δυο</t>
    </r>
  </si>
  <si>
    <t>σταδιους και ουτως</t>
  </si>
  <si>
    <t>σταδιους ουτως</t>
  </si>
  <si>
    <t>ως ημερων λ</t>
  </si>
  <si>
    <t>ως ημερας λ</t>
  </si>
  <si>
    <t>οτι υιοι ζελφας</t>
  </si>
  <si>
    <r>
      <t xml:space="preserve">οτι </t>
    </r>
    <r>
      <rPr>
        <b/>
        <sz val="11"/>
        <color theme="1"/>
        <rFont val="Calibri"/>
        <family val="2"/>
        <scheme val="minor"/>
      </rPr>
      <t>οι</t>
    </r>
    <r>
      <rPr>
        <sz val="11"/>
        <color theme="1"/>
        <rFont val="Calibri"/>
        <family val="2"/>
        <scheme val="minor"/>
      </rPr>
      <t xml:space="preserve"> υιοι τελφας</t>
    </r>
  </si>
  <si>
    <r>
      <t xml:space="preserve">οτι οι υιοι </t>
    </r>
    <r>
      <rPr>
        <b/>
        <sz val="11"/>
        <color theme="1"/>
        <rFont val="Calibri"/>
        <family val="2"/>
        <scheme val="minor"/>
      </rPr>
      <t>τελφας</t>
    </r>
  </si>
  <si>
    <r>
      <t xml:space="preserve">οτι υιοι </t>
    </r>
    <r>
      <rPr>
        <b/>
        <sz val="11"/>
        <color theme="1"/>
        <rFont val="Calibri"/>
        <family val="2"/>
        <scheme val="minor"/>
      </rPr>
      <t>ζελφας</t>
    </r>
  </si>
  <si>
    <t>αυτα γε παρα</t>
  </si>
  <si>
    <t>αυτα παρα</t>
  </si>
  <si>
    <t>αρνον εθυσα περι</t>
  </si>
  <si>
    <t>αρνον περι</t>
  </si>
  <si>
    <t>ουκ ηδυνατο</t>
  </si>
  <si>
    <t>ουκ αδυνατο</t>
  </si>
  <si>
    <t>ιουδα εσθιομεν</t>
  </si>
  <si>
    <t>ιουδα ησθιομεν</t>
  </si>
  <si>
    <t>και ολως</t>
  </si>
  <si>
    <t>και δε ολως</t>
  </si>
  <si>
    <t>ουκ ην εν εμοι</t>
  </si>
  <si>
    <t>ουκ ημενην εν εμοι</t>
  </si>
  <si>
    <t>ακουσατε τεκνα μου λογους</t>
  </si>
  <si>
    <t>ακουσατε λογους</t>
  </si>
  <si>
    <r>
      <rPr>
        <b/>
        <sz val="11"/>
        <color theme="1"/>
        <rFont val="Calibri"/>
        <family val="2"/>
        <scheme val="minor"/>
      </rPr>
      <t>πλανασθαι</t>
    </r>
    <r>
      <rPr>
        <sz val="11"/>
        <color theme="1"/>
        <rFont val="Calibri"/>
        <family val="2"/>
        <scheme val="minor"/>
      </rPr>
      <t xml:space="preserve"> τω πνι</t>
    </r>
  </si>
  <si>
    <r>
      <rPr>
        <b/>
        <sz val="11"/>
        <color theme="1"/>
        <rFont val="Calibri"/>
        <family val="2"/>
        <scheme val="minor"/>
      </rPr>
      <t>πλανασθε</t>
    </r>
    <r>
      <rPr>
        <sz val="11"/>
        <color theme="1"/>
        <rFont val="Calibri"/>
        <family val="2"/>
        <scheme val="minor"/>
      </rPr>
      <t xml:space="preserve"> του πνευματι</t>
    </r>
  </si>
  <si>
    <r>
      <t xml:space="preserve">πλανασθε </t>
    </r>
    <r>
      <rPr>
        <b/>
        <sz val="11"/>
        <color theme="1"/>
        <rFont val="Calibri"/>
        <family val="2"/>
        <scheme val="minor"/>
      </rPr>
      <t>του</t>
    </r>
    <r>
      <rPr>
        <sz val="11"/>
        <color theme="1"/>
        <rFont val="Calibri"/>
        <family val="2"/>
        <scheme val="minor"/>
      </rPr>
      <t xml:space="preserve"> πνευματι</t>
    </r>
  </si>
  <si>
    <r>
      <t xml:space="preserve">πλανασθαι </t>
    </r>
    <r>
      <rPr>
        <b/>
        <sz val="11"/>
        <color theme="1"/>
        <rFont val="Calibri"/>
        <family val="2"/>
        <scheme val="minor"/>
      </rPr>
      <t>τω</t>
    </r>
    <r>
      <rPr>
        <sz val="11"/>
        <color theme="1"/>
        <rFont val="Calibri"/>
        <family val="2"/>
        <scheme val="minor"/>
      </rPr>
      <t xml:space="preserve"> πνι</t>
    </r>
  </si>
  <si>
    <r>
      <rPr>
        <b/>
        <sz val="11"/>
        <color theme="1"/>
        <rFont val="Calibri"/>
        <family val="2"/>
        <scheme val="minor"/>
      </rPr>
      <t>ποιη</t>
    </r>
    <r>
      <rPr>
        <sz val="11"/>
        <color theme="1"/>
        <rFont val="Calibri"/>
        <family val="2"/>
        <scheme val="minor"/>
      </rPr>
      <t xml:space="preserve"> νομον κυ τουτον ουκ επαινει εαν φοβηται</t>
    </r>
  </si>
  <si>
    <r>
      <t xml:space="preserve">ποιη νομον κυ </t>
    </r>
    <r>
      <rPr>
        <b/>
        <sz val="11"/>
        <color theme="1"/>
        <rFont val="Calibri"/>
        <family val="2"/>
        <scheme val="minor"/>
      </rPr>
      <t>τουτον ουκ επαινει</t>
    </r>
    <r>
      <rPr>
        <sz val="11"/>
        <color theme="1"/>
        <rFont val="Calibri"/>
        <family val="2"/>
        <scheme val="minor"/>
      </rPr>
      <t xml:space="preserve"> εαν φοβηται</t>
    </r>
  </si>
  <si>
    <r>
      <t xml:space="preserve">ποιει νομον κυ </t>
    </r>
    <r>
      <rPr>
        <b/>
        <sz val="11"/>
        <color theme="1"/>
        <rFont val="Calibri"/>
        <family val="2"/>
        <scheme val="minor"/>
      </rPr>
      <t>ουκ επαινει τουτον</t>
    </r>
    <r>
      <rPr>
        <sz val="11"/>
        <color theme="1"/>
        <rFont val="Calibri"/>
        <family val="2"/>
        <scheme val="minor"/>
      </rPr>
      <t xml:space="preserve"> εαν φοβηται</t>
    </r>
  </si>
  <si>
    <t>θελει δικαια</t>
  </si>
  <si>
    <t>θελη δικαια</t>
  </si>
  <si>
    <t xml:space="preserve">ασπαζετε υπερηφανιαν </t>
  </si>
  <si>
    <t xml:space="preserve">ασπαζεται υπερηφανιαν </t>
  </si>
  <si>
    <t>οτι εις αυτον</t>
  </si>
  <si>
    <t>οτι επ αυτον</t>
  </si>
  <si>
    <t>αδελφος αυτου ευθυς</t>
  </si>
  <si>
    <t>αδελφος ευθυς</t>
  </si>
  <si>
    <t>εαν δε δουλος η συμβαλλει αυτον</t>
  </si>
  <si>
    <t>εαν δε η δουλος συμβαλλει αυτον</t>
  </si>
  <si>
    <t>θανατωσει αυτον (5) το γαρ</t>
  </si>
  <si>
    <t>θανατωσει αυτονο (5) το γαρ</t>
  </si>
  <si>
    <t>μισος ενεργει</t>
  </si>
  <si>
    <t>μισος συνεργει</t>
  </si>
  <si>
    <t>ευπραγουντων την προκοπην ακουων</t>
  </si>
  <si>
    <t>ευπραγουντων τη προκοπη ακουων</t>
  </si>
  <si>
    <t>θελησει ανακαλεσασθαι</t>
  </si>
  <si>
    <t>θελει ανακαλεσασθαι</t>
  </si>
  <si>
    <t>σωτηριαν των ανθρωπων</t>
  </si>
  <si>
    <t>σριαν ανων</t>
  </si>
  <si>
    <t>κακον ουν το μισος</t>
  </si>
  <si>
    <t>κακον το μισος</t>
  </si>
  <si>
    <t>Queens corrects to λαλουν</t>
  </si>
  <si>
    <t>(1) πληροι (2) και ταυτα εκ πειρας</t>
  </si>
  <si>
    <t>(1) πληροι (2) ταυτα εκπειρας</t>
  </si>
  <si>
    <t>λεγω υμιν οπως</t>
  </si>
  <si>
    <t>λεγω υμιν τεκνα μου οπως</t>
  </si>
  <si>
    <t>δικαιος και ταπεινος</t>
  </si>
  <si>
    <t>Queens seems to correct και -&gt; ο</t>
  </si>
  <si>
    <t>ουχ υπο αλλου</t>
  </si>
  <si>
    <t>ουκ υπο αλλου</t>
  </si>
  <si>
    <t>αλλ υπο της</t>
  </si>
  <si>
    <t>αλλα υπο της</t>
  </si>
  <si>
    <t>φοβος του υψιστου</t>
  </si>
  <si>
    <t>φοβος του θεου</t>
  </si>
  <si>
    <t>το καθολου ουδε</t>
  </si>
  <si>
    <t>το καθ ολον ουδε</t>
  </si>
  <si>
    <t>περι του ιωσηφ</t>
  </si>
  <si>
    <t>περι ιωσηφ</t>
  </si>
  <si>
    <t>(7) σωτηριαν (8) ουκ εμαθεν</t>
  </si>
  <si>
    <t>(7) σριαν (8) και α ουκ εμαθεν</t>
  </si>
  <si>
    <t>θς νοσον ηπατος</t>
  </si>
  <si>
    <t>θεος γνωσιν ηπατος</t>
  </si>
  <si>
    <t>ει μη ευχαι του πατρος μου ιακωβ ολιγου</t>
  </si>
  <si>
    <r>
      <t xml:space="preserve">ει μη </t>
    </r>
    <r>
      <rPr>
        <b/>
        <sz val="11"/>
        <color theme="1"/>
        <rFont val="Calibri"/>
        <family val="2"/>
        <scheme val="minor"/>
      </rPr>
      <t>αι</t>
    </r>
    <r>
      <rPr>
        <sz val="11"/>
        <color theme="1"/>
        <rFont val="Calibri"/>
        <family val="2"/>
        <scheme val="minor"/>
      </rPr>
      <t xml:space="preserve"> ευχαι ιακωβ του πρς μου ολιγου</t>
    </r>
  </si>
  <si>
    <r>
      <t xml:space="preserve">ει μη αι ευχαι </t>
    </r>
    <r>
      <rPr>
        <b/>
        <sz val="11"/>
        <color theme="1"/>
        <rFont val="Calibri"/>
        <family val="2"/>
        <scheme val="minor"/>
      </rPr>
      <t>ιακωβ του πρς μου</t>
    </r>
    <r>
      <rPr>
        <sz val="11"/>
        <color theme="1"/>
        <rFont val="Calibri"/>
        <family val="2"/>
        <scheme val="minor"/>
      </rPr>
      <t xml:space="preserve"> ολιγου</t>
    </r>
  </si>
  <si>
    <r>
      <t xml:space="preserve">ει μη ευχαι </t>
    </r>
    <r>
      <rPr>
        <b/>
        <sz val="11"/>
        <color theme="1"/>
        <rFont val="Calibri"/>
        <family val="2"/>
        <scheme val="minor"/>
      </rPr>
      <t>του πατρος μου ιακωβ</t>
    </r>
    <r>
      <rPr>
        <sz val="11"/>
        <color theme="1"/>
        <rFont val="Calibri"/>
        <family val="2"/>
        <scheme val="minor"/>
      </rPr>
      <t xml:space="preserve"> ολιγου</t>
    </r>
  </si>
  <si>
    <t>απ εμου το πνα μου (10) δι ων</t>
  </si>
  <si>
    <t>απ εμου (10) δι ων</t>
  </si>
  <si>
    <t>ανιλεως κατα</t>
  </si>
  <si>
    <t>ανιλεως εκρινομην</t>
  </si>
  <si>
    <t>ανηλεως κατα</t>
  </si>
  <si>
    <t>ανηλεως εκρινομην</t>
  </si>
  <si>
    <t>πρς υμων ειρηνικα</t>
  </si>
  <si>
    <t>πατρος ημων ειρηνικα</t>
  </si>
  <si>
    <t>εταρασσε μου την ψυχην του ανελειν</t>
  </si>
  <si>
    <t>εταρασσε την ψυχην μου του ανελειν</t>
  </si>
  <si>
    <t>ησυχασθη μη</t>
  </si>
  <si>
    <t>ησυχασηη μη</t>
  </si>
  <si>
    <t xml:space="preserve">προσφερετε τω παρεχοντι </t>
  </si>
  <si>
    <t xml:space="preserve">προσφερετε του παρεχοντι </t>
  </si>
  <si>
    <t>αγαπατε αλληλους</t>
  </si>
  <si>
    <t>αγαπησατε αλληλους</t>
  </si>
  <si>
    <t>ευθυτητι καρδιας</t>
  </si>
  <si>
    <t>ευθυτητι της καρδιας</t>
  </si>
  <si>
    <t>και τον λευι</t>
  </si>
  <si>
    <t>ανατελει κς σρα τω ιηλ</t>
  </si>
  <si>
    <r>
      <t xml:space="preserve">ανατελει </t>
    </r>
    <r>
      <rPr>
        <b/>
        <sz val="11"/>
        <color theme="1"/>
        <rFont val="Calibri"/>
        <family val="2"/>
        <scheme val="minor"/>
      </rPr>
      <t>υμιν</t>
    </r>
    <r>
      <rPr>
        <sz val="11"/>
        <color theme="1"/>
        <rFont val="Calibri"/>
        <family val="2"/>
        <scheme val="minor"/>
      </rPr>
      <t xml:space="preserve"> κυριος σωτηρ του ιηλ</t>
    </r>
  </si>
  <si>
    <r>
      <t xml:space="preserve">ανατελει κς </t>
    </r>
    <r>
      <rPr>
        <b/>
        <sz val="11"/>
        <color theme="1"/>
        <rFont val="Calibri"/>
        <family val="2"/>
        <scheme val="minor"/>
      </rPr>
      <t>σρα</t>
    </r>
    <r>
      <rPr>
        <sz val="11"/>
        <color theme="1"/>
        <rFont val="Calibri"/>
        <family val="2"/>
        <scheme val="minor"/>
      </rPr>
      <t xml:space="preserve"> τω ιηλ</t>
    </r>
  </si>
  <si>
    <r>
      <t xml:space="preserve">ανατελει υμιν κυριος </t>
    </r>
    <r>
      <rPr>
        <b/>
        <sz val="11"/>
        <color theme="1"/>
        <rFont val="Calibri"/>
        <family val="2"/>
        <scheme val="minor"/>
      </rPr>
      <t>σωτηρ</t>
    </r>
    <r>
      <rPr>
        <sz val="11"/>
        <color theme="1"/>
        <rFont val="Calibri"/>
        <family val="2"/>
        <scheme val="minor"/>
      </rPr>
      <t xml:space="preserve"> του ιηλ</t>
    </r>
  </si>
  <si>
    <r>
      <t xml:space="preserve">ανατελει κς σρα </t>
    </r>
    <r>
      <rPr>
        <b/>
        <sz val="11"/>
        <color theme="1"/>
        <rFont val="Calibri"/>
        <family val="2"/>
        <scheme val="minor"/>
      </rPr>
      <t>τω</t>
    </r>
    <r>
      <rPr>
        <sz val="11"/>
        <color theme="1"/>
        <rFont val="Calibri"/>
        <family val="2"/>
        <scheme val="minor"/>
      </rPr>
      <t xml:space="preserve"> ιηλ</t>
    </r>
  </si>
  <si>
    <r>
      <t xml:space="preserve">ανατελει υμιν κυριος σωτηρ </t>
    </r>
    <r>
      <rPr>
        <b/>
        <sz val="11"/>
        <color theme="1"/>
        <rFont val="Calibri"/>
        <family val="2"/>
        <scheme val="minor"/>
      </rPr>
      <t>του</t>
    </r>
    <r>
      <rPr>
        <sz val="11"/>
        <color theme="1"/>
        <rFont val="Calibri"/>
        <family val="2"/>
        <scheme val="minor"/>
      </rPr>
      <t xml:space="preserve"> ιηλ</t>
    </r>
  </si>
  <si>
    <t>ανηγαγον αυτον εις</t>
  </si>
  <si>
    <t>ανηγαγον αυτον και εθηκαν αυτον εις</t>
  </si>
  <si>
    <t>υιοις αυτου εκατοστω εικοστω ετει ζωης</t>
  </si>
  <si>
    <r>
      <t xml:space="preserve">υιοις αυτου </t>
    </r>
    <r>
      <rPr>
        <b/>
        <sz val="11"/>
        <color theme="1"/>
        <rFont val="Calibri"/>
        <family val="2"/>
        <scheme val="minor"/>
      </rPr>
      <t>εν</t>
    </r>
    <r>
      <rPr>
        <sz val="11"/>
        <color theme="1"/>
        <rFont val="Calibri"/>
        <family val="2"/>
        <scheme val="minor"/>
      </rPr>
      <t xml:space="preserve"> ρκς ετει της ζωης</t>
    </r>
  </si>
  <si>
    <r>
      <t>υιοις αυτου εν ρκ</t>
    </r>
    <r>
      <rPr>
        <b/>
        <sz val="11"/>
        <color theme="1"/>
        <rFont val="Calibri"/>
        <family val="2"/>
        <scheme val="minor"/>
      </rPr>
      <t>ς</t>
    </r>
    <r>
      <rPr>
        <sz val="11"/>
        <color theme="1"/>
        <rFont val="Calibri"/>
        <family val="2"/>
        <scheme val="minor"/>
      </rPr>
      <t xml:space="preserve"> ετει της ζωης</t>
    </r>
  </si>
  <si>
    <r>
      <t xml:space="preserve">υιοις αυτου εν ρκς ετει </t>
    </r>
    <r>
      <rPr>
        <b/>
        <sz val="11"/>
        <color theme="1"/>
        <rFont val="Calibri"/>
        <family val="2"/>
        <scheme val="minor"/>
      </rPr>
      <t>της</t>
    </r>
    <r>
      <rPr>
        <sz val="11"/>
        <color theme="1"/>
        <rFont val="Calibri"/>
        <family val="2"/>
        <scheme val="minor"/>
      </rPr>
      <t xml:space="preserve"> ζωης</t>
    </r>
  </si>
  <si>
    <t>αγαθον πραξει εν πονηρια αυτο μεταστρεφει</t>
  </si>
  <si>
    <r>
      <t xml:space="preserve">αγαθον </t>
    </r>
    <r>
      <rPr>
        <b/>
        <sz val="11"/>
        <color theme="1"/>
        <rFont val="Calibri"/>
        <family val="2"/>
        <scheme val="minor"/>
      </rPr>
      <t>τι</t>
    </r>
    <r>
      <rPr>
        <sz val="11"/>
        <color theme="1"/>
        <rFont val="Calibri"/>
        <family val="2"/>
        <scheme val="minor"/>
      </rPr>
      <t xml:space="preserve"> πραξη εν πονηρια αυτω μεταστρεφει</t>
    </r>
  </si>
  <si>
    <r>
      <t xml:space="preserve">αγαθον τι </t>
    </r>
    <r>
      <rPr>
        <b/>
        <sz val="11"/>
        <color theme="1"/>
        <rFont val="Calibri"/>
        <family val="2"/>
        <scheme val="minor"/>
      </rPr>
      <t>πραξη</t>
    </r>
    <r>
      <rPr>
        <sz val="11"/>
        <color theme="1"/>
        <rFont val="Calibri"/>
        <family val="2"/>
        <scheme val="minor"/>
      </rPr>
      <t xml:space="preserve"> εν πονηρια αυτω μεταστρεφει</t>
    </r>
  </si>
  <si>
    <r>
      <t xml:space="preserve">αγαθον </t>
    </r>
    <r>
      <rPr>
        <b/>
        <sz val="11"/>
        <color theme="1"/>
        <rFont val="Calibri"/>
        <family val="2"/>
        <scheme val="minor"/>
      </rPr>
      <t>πραξει</t>
    </r>
    <r>
      <rPr>
        <sz val="11"/>
        <color theme="1"/>
        <rFont val="Calibri"/>
        <family val="2"/>
        <scheme val="minor"/>
      </rPr>
      <t xml:space="preserve"> εν πονηρια αυτο μεταστρεφει</t>
    </r>
  </si>
  <si>
    <r>
      <t xml:space="preserve">αγαθον πραξει εν πονηρια </t>
    </r>
    <r>
      <rPr>
        <b/>
        <sz val="11"/>
        <color theme="1"/>
        <rFont val="Calibri"/>
        <family val="2"/>
        <scheme val="minor"/>
      </rPr>
      <t>αυτο</t>
    </r>
    <r>
      <rPr>
        <sz val="11"/>
        <color theme="1"/>
        <rFont val="Calibri"/>
        <family val="2"/>
        <scheme val="minor"/>
      </rPr>
      <t xml:space="preserve"> μεταστρεφει</t>
    </r>
  </si>
  <si>
    <r>
      <t xml:space="preserve">αγαθον τι πραξη εν πονηρια </t>
    </r>
    <r>
      <rPr>
        <b/>
        <sz val="11"/>
        <color theme="1"/>
        <rFont val="Calibri"/>
        <family val="2"/>
        <scheme val="minor"/>
      </rPr>
      <t>αυτω</t>
    </r>
    <r>
      <rPr>
        <sz val="11"/>
        <color theme="1"/>
        <rFont val="Calibri"/>
        <family val="2"/>
        <scheme val="minor"/>
      </rPr>
      <t xml:space="preserve"> μεταστρεφει</t>
    </r>
  </si>
  <si>
    <t>οτε γαρ</t>
  </si>
  <si>
    <t>οταν γαρ</t>
  </si>
  <si>
    <t>θησαυρος διαβολου</t>
  </si>
  <si>
    <t>θησαυρος του διαβολου</t>
  </si>
  <si>
    <t>ιου πονηρου πνς πεπληρωται (2:1) εστιν ουν</t>
  </si>
  <si>
    <t>ιου πονηρου πεπληρωται πνευματος (2:1) εστιν ουν</t>
  </si>
  <si>
    <t>καιγε αγαπη</t>
  </si>
  <si>
    <t>και ζε αγαπη</t>
  </si>
  <si>
    <t>τουτο ολον δε πονηρον</t>
  </si>
  <si>
    <r>
      <t xml:space="preserve">τουτο </t>
    </r>
    <r>
      <rPr>
        <b/>
        <sz val="11"/>
        <color theme="1"/>
        <rFont val="Calibri"/>
        <family val="2"/>
        <scheme val="minor"/>
      </rPr>
      <t>το</t>
    </r>
    <r>
      <rPr>
        <sz val="11"/>
        <color theme="1"/>
        <rFont val="Calibri"/>
        <family val="2"/>
        <scheme val="minor"/>
      </rPr>
      <t xml:space="preserve"> δε ολον πονηρον</t>
    </r>
  </si>
  <si>
    <r>
      <t xml:space="preserve">τουτο </t>
    </r>
    <r>
      <rPr>
        <b/>
        <sz val="11"/>
        <color theme="1"/>
        <rFont val="Calibri"/>
        <family val="2"/>
        <scheme val="minor"/>
      </rPr>
      <t>ολον δε</t>
    </r>
    <r>
      <rPr>
        <sz val="11"/>
        <color theme="1"/>
        <rFont val="Calibri"/>
        <family val="2"/>
        <scheme val="minor"/>
      </rPr>
      <t xml:space="preserve"> πονηρον</t>
    </r>
  </si>
  <si>
    <r>
      <t xml:space="preserve">τουτο το </t>
    </r>
    <r>
      <rPr>
        <b/>
        <sz val="11"/>
        <color theme="1"/>
        <rFont val="Calibri"/>
        <family val="2"/>
        <scheme val="minor"/>
      </rPr>
      <t>δε ολον</t>
    </r>
    <r>
      <rPr>
        <sz val="11"/>
        <color theme="1"/>
        <rFont val="Calibri"/>
        <family val="2"/>
        <scheme val="minor"/>
      </rPr>
      <t xml:space="preserve"> πονηρον</t>
    </r>
  </si>
  <si>
    <t>(5) εστι (6) πλεονεκτων</t>
  </si>
  <si>
    <r>
      <t xml:space="preserve">(5) </t>
    </r>
    <r>
      <rPr>
        <b/>
        <sz val="11"/>
        <color theme="1"/>
        <rFont val="Calibri"/>
        <family val="2"/>
        <scheme val="minor"/>
      </rPr>
      <t>εστι</t>
    </r>
    <r>
      <rPr>
        <sz val="11"/>
        <color theme="1"/>
        <rFont val="Calibri"/>
        <family val="2"/>
        <scheme val="minor"/>
      </rPr>
      <t xml:space="preserve"> (6) πλεονεκτων</t>
    </r>
  </si>
  <si>
    <r>
      <t xml:space="preserve">(5) </t>
    </r>
    <r>
      <rPr>
        <b/>
        <sz val="11"/>
        <color theme="1"/>
        <rFont val="Calibri"/>
        <family val="2"/>
        <scheme val="minor"/>
      </rPr>
      <t>εστιν</t>
    </r>
    <r>
      <rPr>
        <sz val="11"/>
        <color theme="1"/>
        <rFont val="Calibri"/>
        <family val="2"/>
        <scheme val="minor"/>
      </rPr>
      <t xml:space="preserve"> (6) ο πλεονεκτων</t>
    </r>
  </si>
  <si>
    <r>
      <t xml:space="preserve">(5) εστιν (6) </t>
    </r>
    <r>
      <rPr>
        <b/>
        <sz val="11"/>
        <color theme="1"/>
        <rFont val="Calibri"/>
        <family val="2"/>
        <scheme val="minor"/>
      </rPr>
      <t>ο</t>
    </r>
    <r>
      <rPr>
        <sz val="11"/>
        <color theme="1"/>
        <rFont val="Calibri"/>
        <family val="2"/>
        <scheme val="minor"/>
      </rPr>
      <t xml:space="preserve"> πλεονεκτων</t>
    </r>
  </si>
  <si>
    <t>ελεει τον εντολεα</t>
  </si>
  <si>
    <t>ελεα τον εντολεα</t>
  </si>
  <si>
    <r>
      <t xml:space="preserve">νομου </t>
    </r>
    <r>
      <rPr>
        <b/>
        <sz val="11"/>
        <color theme="1"/>
        <rFont val="Calibri"/>
        <family val="2"/>
        <scheme val="minor"/>
      </rPr>
      <t>κν</t>
    </r>
    <r>
      <rPr>
        <sz val="11"/>
        <color theme="1"/>
        <rFont val="Calibri"/>
        <family val="2"/>
        <scheme val="minor"/>
      </rPr>
      <t xml:space="preserve"> αθετη και</t>
    </r>
  </si>
  <si>
    <r>
      <t xml:space="preserve">νομου </t>
    </r>
    <r>
      <rPr>
        <b/>
        <sz val="11"/>
        <color theme="1"/>
        <rFont val="Calibri"/>
        <family val="2"/>
        <scheme val="minor"/>
      </rPr>
      <t>κυριου</t>
    </r>
    <r>
      <rPr>
        <sz val="11"/>
        <color theme="1"/>
        <rFont val="Calibri"/>
        <family val="2"/>
        <scheme val="minor"/>
      </rPr>
      <t xml:space="preserve"> αθετει και</t>
    </r>
  </si>
  <si>
    <r>
      <t xml:space="preserve">νομου κυριου </t>
    </r>
    <r>
      <rPr>
        <b/>
        <sz val="11"/>
        <color theme="1"/>
        <rFont val="Calibri"/>
        <family val="2"/>
        <scheme val="minor"/>
      </rPr>
      <t>αθετει</t>
    </r>
    <r>
      <rPr>
        <sz val="11"/>
        <color theme="1"/>
        <rFont val="Calibri"/>
        <family val="2"/>
        <scheme val="minor"/>
      </rPr>
      <t xml:space="preserve"> και</t>
    </r>
  </si>
  <si>
    <r>
      <t xml:space="preserve">νομου κν </t>
    </r>
    <r>
      <rPr>
        <b/>
        <sz val="11"/>
        <color theme="1"/>
        <rFont val="Calibri"/>
        <family val="2"/>
        <scheme val="minor"/>
      </rPr>
      <t>αθετη</t>
    </r>
    <r>
      <rPr>
        <sz val="11"/>
        <color theme="1"/>
        <rFont val="Calibri"/>
        <family val="2"/>
        <scheme val="minor"/>
      </rPr>
      <t xml:space="preserve"> και</t>
    </r>
  </si>
  <si>
    <t>ψυχην σπιλοι</t>
  </si>
  <si>
    <t>ψυχην ψιλοι</t>
  </si>
  <si>
    <t>τουτο διπροσωπον</t>
  </si>
  <si>
    <t>τουτο μεν διπροσωπον</t>
  </si>
  <si>
    <t>απεχεται αιδεσματων</t>
  </si>
  <si>
    <t>απεχεται εδεσματων</t>
  </si>
  <si>
    <t>δυναστεια και τω πλουτω</t>
  </si>
  <si>
    <t>δυναστεια τω πλουτω</t>
  </si>
  <si>
    <r>
      <t xml:space="preserve">εστιν </t>
    </r>
    <r>
      <rPr>
        <b/>
        <sz val="11"/>
        <color theme="1"/>
        <rFont val="Calibri"/>
        <family val="2"/>
        <scheme val="minor"/>
      </rPr>
      <t>ολον δε</t>
    </r>
    <r>
      <rPr>
        <sz val="11"/>
        <color theme="1"/>
        <rFont val="Calibri"/>
        <family val="2"/>
        <scheme val="minor"/>
      </rPr>
      <t xml:space="preserve"> κακον εστιν (9) οι τοιουτοι</t>
    </r>
  </si>
  <si>
    <t>εστιν ολον δε κακον εστιν (9) οι τοιουτοι</t>
  </si>
  <si>
    <r>
      <rPr>
        <b/>
        <sz val="11"/>
        <color theme="1"/>
        <rFont val="Calibri"/>
        <family val="2"/>
        <scheme val="minor"/>
      </rPr>
      <t>εστιν</t>
    </r>
    <r>
      <rPr>
        <sz val="11"/>
        <color theme="1"/>
        <rFont val="Calibri"/>
        <family val="2"/>
        <scheme val="minor"/>
      </rPr>
      <t xml:space="preserve"> ολον δε κακον εστιν (9) οι τοιουτοι</t>
    </r>
  </si>
  <si>
    <r>
      <rPr>
        <b/>
        <sz val="11"/>
        <color theme="1"/>
        <rFont val="Calibri"/>
        <family val="2"/>
        <scheme val="minor"/>
      </rPr>
      <t>εστι</t>
    </r>
    <r>
      <rPr>
        <sz val="11"/>
        <color theme="1"/>
        <rFont val="Calibri"/>
        <family val="2"/>
        <scheme val="minor"/>
      </rPr>
      <t xml:space="preserve"> το δε ολον κακον εστι (9) οι τοιουτοι</t>
    </r>
  </si>
  <si>
    <r>
      <t xml:space="preserve">εστι </t>
    </r>
    <r>
      <rPr>
        <b/>
        <sz val="11"/>
        <color theme="1"/>
        <rFont val="Calibri"/>
        <family val="2"/>
        <scheme val="minor"/>
      </rPr>
      <t>το</t>
    </r>
    <r>
      <rPr>
        <sz val="11"/>
        <color theme="1"/>
        <rFont val="Calibri"/>
        <family val="2"/>
        <scheme val="minor"/>
      </rPr>
      <t xml:space="preserve"> δε ολον κακον εστι (9) οι τοιουτοι</t>
    </r>
  </si>
  <si>
    <r>
      <t xml:space="preserve">εστι το </t>
    </r>
    <r>
      <rPr>
        <b/>
        <sz val="11"/>
        <color theme="1"/>
        <rFont val="Calibri"/>
        <family val="2"/>
        <scheme val="minor"/>
      </rPr>
      <t>δε ολον</t>
    </r>
    <r>
      <rPr>
        <sz val="11"/>
        <color theme="1"/>
        <rFont val="Calibri"/>
        <family val="2"/>
        <scheme val="minor"/>
      </rPr>
      <t xml:space="preserve"> κακον εστι (9) οι τοιουτοι</t>
    </r>
  </si>
  <si>
    <r>
      <t xml:space="preserve">εστιν ολον δε κακον </t>
    </r>
    <r>
      <rPr>
        <b/>
        <sz val="11"/>
        <color theme="1"/>
        <rFont val="Calibri"/>
        <family val="2"/>
        <scheme val="minor"/>
      </rPr>
      <t>εστιν</t>
    </r>
    <r>
      <rPr>
        <sz val="11"/>
        <color theme="1"/>
        <rFont val="Calibri"/>
        <family val="2"/>
        <scheme val="minor"/>
      </rPr>
      <t xml:space="preserve"> (9) οι τοιουτοι</t>
    </r>
  </si>
  <si>
    <r>
      <t xml:space="preserve">εστι το δε ολον κακον </t>
    </r>
    <r>
      <rPr>
        <b/>
        <sz val="11"/>
        <color theme="1"/>
        <rFont val="Calibri"/>
        <family val="2"/>
        <scheme val="minor"/>
      </rPr>
      <t>εστι</t>
    </r>
    <r>
      <rPr>
        <sz val="11"/>
        <color theme="1"/>
        <rFont val="Calibri"/>
        <family val="2"/>
        <scheme val="minor"/>
      </rPr>
      <t xml:space="preserve"> (9) οι τοιουτοι</t>
    </r>
  </si>
  <si>
    <r>
      <t xml:space="preserve">τοιουτοι </t>
    </r>
    <r>
      <rPr>
        <b/>
        <sz val="11"/>
        <color theme="1"/>
        <rFont val="Calibri"/>
        <family val="2"/>
        <scheme val="minor"/>
      </rPr>
      <t>ως υες</t>
    </r>
    <r>
      <rPr>
        <sz val="11"/>
        <color theme="1"/>
        <rFont val="Calibri"/>
        <family val="2"/>
        <scheme val="minor"/>
      </rPr>
      <t xml:space="preserve"> εισι δασυποδες</t>
    </r>
  </si>
  <si>
    <r>
      <t xml:space="preserve">τοιουτοι </t>
    </r>
    <r>
      <rPr>
        <b/>
        <sz val="11"/>
        <color theme="1"/>
        <rFont val="Calibri"/>
        <family val="2"/>
        <scheme val="minor"/>
      </rPr>
      <t>οσιοι</t>
    </r>
    <r>
      <rPr>
        <sz val="11"/>
        <color theme="1"/>
        <rFont val="Calibri"/>
        <family val="2"/>
        <scheme val="minor"/>
      </rPr>
      <t xml:space="preserve"> ειστι δασυποδες</t>
    </r>
  </si>
  <si>
    <r>
      <t xml:space="preserve">τοιουτοι ως υες </t>
    </r>
    <r>
      <rPr>
        <b/>
        <sz val="11"/>
        <color theme="1"/>
        <rFont val="Calibri"/>
        <family val="2"/>
        <scheme val="minor"/>
      </rPr>
      <t>εισι</t>
    </r>
    <r>
      <rPr>
        <sz val="11"/>
        <color theme="1"/>
        <rFont val="Calibri"/>
        <family val="2"/>
        <scheme val="minor"/>
      </rPr>
      <t xml:space="preserve"> δασυποδες</t>
    </r>
  </si>
  <si>
    <r>
      <t xml:space="preserve">τοιουτοι οσιοι </t>
    </r>
    <r>
      <rPr>
        <b/>
        <sz val="11"/>
        <color theme="1"/>
        <rFont val="Calibri"/>
        <family val="2"/>
        <scheme val="minor"/>
      </rPr>
      <t>ειστι</t>
    </r>
    <r>
      <rPr>
        <sz val="11"/>
        <color theme="1"/>
        <rFont val="Calibri"/>
        <family val="2"/>
        <scheme val="minor"/>
      </rPr>
      <t xml:space="preserve"> δασυποδες</t>
    </r>
  </si>
  <si>
    <t>και γαρ θεος</t>
  </si>
  <si>
    <t>και γαρ ο θς</t>
  </si>
  <si>
    <t>ουρανων ειπεν ουτως (3:1) υμεις</t>
  </si>
  <si>
    <t>ουνων ουτως ειπεν (3:1) υμεις</t>
  </si>
  <si>
    <t>την κακιαν</t>
  </si>
  <si>
    <t>την δε κακιαν</t>
  </si>
  <si>
    <t>αγαθοι ανδρες και</t>
  </si>
  <si>
    <t>αγαθοι ανθρωποι και</t>
  </si>
  <si>
    <t>καν νομισθωσι</t>
  </si>
  <si>
    <t>καν μομισθωσι</t>
  </si>
  <si>
    <t>αναιρουντες πονηρους</t>
  </si>
  <si>
    <t>αναιρουντες τους πονηρους</t>
  </si>
  <si>
    <t>δια κακου</t>
  </si>
  <si>
    <t>δια καλου</t>
  </si>
  <si>
    <r>
      <t xml:space="preserve">ολον </t>
    </r>
    <r>
      <rPr>
        <b/>
        <sz val="11"/>
        <color theme="1"/>
        <rFont val="Calibri"/>
        <family val="2"/>
        <scheme val="minor"/>
      </rPr>
      <t>εστι δε</t>
    </r>
    <r>
      <rPr>
        <sz val="11"/>
        <color theme="1"/>
        <rFont val="Calibri"/>
        <family val="2"/>
        <scheme val="minor"/>
      </rPr>
      <t xml:space="preserve"> καλον</t>
    </r>
  </si>
  <si>
    <r>
      <t xml:space="preserve">ολον </t>
    </r>
    <r>
      <rPr>
        <b/>
        <sz val="11"/>
        <color theme="1"/>
        <rFont val="Calibri"/>
        <family val="2"/>
        <scheme val="minor"/>
      </rPr>
      <t>δε εστι</t>
    </r>
    <r>
      <rPr>
        <sz val="11"/>
        <color theme="1"/>
        <rFont val="Calibri"/>
        <family val="2"/>
        <scheme val="minor"/>
      </rPr>
      <t xml:space="preserve"> κακον</t>
    </r>
  </si>
  <si>
    <r>
      <t xml:space="preserve">ολον εστι δε </t>
    </r>
    <r>
      <rPr>
        <b/>
        <sz val="11"/>
        <color theme="1"/>
        <rFont val="Calibri"/>
        <family val="2"/>
        <scheme val="minor"/>
      </rPr>
      <t>καλον</t>
    </r>
  </si>
  <si>
    <r>
      <t xml:space="preserve">ολον δε εστι </t>
    </r>
    <r>
      <rPr>
        <b/>
        <sz val="11"/>
        <color theme="1"/>
        <rFont val="Calibri"/>
        <family val="2"/>
        <scheme val="minor"/>
      </rPr>
      <t>κακον</t>
    </r>
  </si>
  <si>
    <t>Queens corrects to απολλωλεν</t>
  </si>
  <si>
    <t>θελει αγαθην ημεραν ιδειν</t>
  </si>
  <si>
    <t>θελει ημεραν αγαθην ιδειν</t>
  </si>
  <si>
    <t xml:space="preserve">μολυνει την ψυχην </t>
  </si>
  <si>
    <t>μολυνη την ψυχην</t>
  </si>
  <si>
    <t>διπροσωπον εστιν ολον</t>
  </si>
  <si>
    <t>διπροσωπον ολον</t>
  </si>
  <si>
    <t>ορατε τεκνα</t>
  </si>
  <si>
    <t>ορατε ουν τεκνα</t>
  </si>
  <si>
    <t xml:space="preserve">εν πασι και εν υπο του ενος </t>
  </si>
  <si>
    <t>εφυλαξε με εκ φλογος</t>
  </si>
  <si>
    <t>εφυλαξε με απο φλογος</t>
  </si>
  <si>
    <t>ου μη γαρ εγκαταλιπη τους φοβουμενους</t>
  </si>
  <si>
    <t>ου γαρ εγκαταλειψει κυριος τους φοβουμενους</t>
  </si>
  <si>
    <r>
      <t xml:space="preserve">ου </t>
    </r>
    <r>
      <rPr>
        <b/>
        <sz val="11"/>
        <color theme="1"/>
        <rFont val="Calibri"/>
        <family val="2"/>
        <scheme val="minor"/>
      </rPr>
      <t>μη</t>
    </r>
    <r>
      <rPr>
        <sz val="11"/>
        <color theme="1"/>
        <rFont val="Calibri"/>
        <family val="2"/>
        <scheme val="minor"/>
      </rPr>
      <t xml:space="preserve"> γαρ εγκαταλιπη τους φοβουμενους</t>
    </r>
  </si>
  <si>
    <r>
      <t xml:space="preserve">ου μη γαρ </t>
    </r>
    <r>
      <rPr>
        <b/>
        <sz val="11"/>
        <color theme="1"/>
        <rFont val="Calibri"/>
        <family val="2"/>
        <scheme val="minor"/>
      </rPr>
      <t>εγκαταλιπη</t>
    </r>
    <r>
      <rPr>
        <sz val="11"/>
        <color theme="1"/>
        <rFont val="Calibri"/>
        <family val="2"/>
        <scheme val="minor"/>
      </rPr>
      <t xml:space="preserve"> τους φοβουμενους</t>
    </r>
  </si>
  <si>
    <r>
      <t xml:space="preserve">ου γαρ </t>
    </r>
    <r>
      <rPr>
        <b/>
        <sz val="11"/>
        <color theme="1"/>
        <rFont val="Calibri"/>
        <family val="2"/>
        <scheme val="minor"/>
      </rPr>
      <t>εγκαταλειψει</t>
    </r>
    <r>
      <rPr>
        <sz val="11"/>
        <color theme="1"/>
        <rFont val="Calibri"/>
        <family val="2"/>
        <scheme val="minor"/>
      </rPr>
      <t xml:space="preserve"> κυριος τους φοβουμενους</t>
    </r>
  </si>
  <si>
    <r>
      <t xml:space="preserve">ου γαρ εγκαταλειψει </t>
    </r>
    <r>
      <rPr>
        <b/>
        <sz val="11"/>
        <color theme="1"/>
        <rFont val="Calibri"/>
        <family val="2"/>
        <scheme val="minor"/>
      </rPr>
      <t>κυριος</t>
    </r>
    <r>
      <rPr>
        <sz val="11"/>
        <color theme="1"/>
        <rFont val="Calibri"/>
        <family val="2"/>
        <scheme val="minor"/>
      </rPr>
      <t xml:space="preserve"> τους φοβουμενους</t>
    </r>
  </si>
  <si>
    <r>
      <rPr>
        <b/>
        <sz val="11"/>
        <color theme="1"/>
        <rFont val="Calibri"/>
        <family val="2"/>
        <scheme val="minor"/>
      </rPr>
      <t>ουδε</t>
    </r>
    <r>
      <rPr>
        <sz val="11"/>
        <color theme="1"/>
        <rFont val="Calibri"/>
        <family val="2"/>
        <scheme val="minor"/>
      </rPr>
      <t xml:space="preserve"> ως υιος ανου δειλια ουδε ως γηγενης ασθενει η αποθειται</t>
    </r>
  </si>
  <si>
    <r>
      <rPr>
        <b/>
        <sz val="11"/>
        <color theme="1"/>
        <rFont val="Calibri"/>
        <family val="2"/>
        <scheme val="minor"/>
      </rPr>
      <t>ουτε</t>
    </r>
    <r>
      <rPr>
        <sz val="11"/>
        <color theme="1"/>
        <rFont val="Calibri"/>
        <family val="2"/>
        <scheme val="minor"/>
      </rPr>
      <t xml:space="preserve"> ως ανθρωπος δειλια ουτε ως γηγενης ασθενει η απωθειται</t>
    </r>
  </si>
  <si>
    <r>
      <t xml:space="preserve">ουτε ως </t>
    </r>
    <r>
      <rPr>
        <b/>
        <sz val="11"/>
        <color theme="1"/>
        <rFont val="Calibri"/>
        <family val="2"/>
        <scheme val="minor"/>
      </rPr>
      <t>ανθρωπος</t>
    </r>
    <r>
      <rPr>
        <sz val="11"/>
        <color theme="1"/>
        <rFont val="Calibri"/>
        <family val="2"/>
        <scheme val="minor"/>
      </rPr>
      <t xml:space="preserve"> δειλια ουτε ως γηγενης ασθενει η απωθειται</t>
    </r>
  </si>
  <si>
    <r>
      <t xml:space="preserve">ουδε ως </t>
    </r>
    <r>
      <rPr>
        <b/>
        <sz val="11"/>
        <color theme="1"/>
        <rFont val="Calibri"/>
        <family val="2"/>
        <scheme val="minor"/>
      </rPr>
      <t>υιος ανου</t>
    </r>
    <r>
      <rPr>
        <sz val="11"/>
        <color theme="1"/>
        <rFont val="Calibri"/>
        <family val="2"/>
        <scheme val="minor"/>
      </rPr>
      <t xml:space="preserve"> δειλια ουδε ως γηγενης ασθενει η αποθειται</t>
    </r>
  </si>
  <si>
    <r>
      <t xml:space="preserve">ουδε ως υιος ανου δειλια </t>
    </r>
    <r>
      <rPr>
        <b/>
        <sz val="11"/>
        <color theme="1"/>
        <rFont val="Calibri"/>
        <family val="2"/>
        <scheme val="minor"/>
      </rPr>
      <t>ουδε</t>
    </r>
    <r>
      <rPr>
        <sz val="11"/>
        <color theme="1"/>
        <rFont val="Calibri"/>
        <family val="2"/>
        <scheme val="minor"/>
      </rPr>
      <t xml:space="preserve"> ως γηγενης ασθενει η αποθειται</t>
    </r>
  </si>
  <si>
    <r>
      <t xml:space="preserve">ουτε ως ανθρωπος δειλια </t>
    </r>
    <r>
      <rPr>
        <b/>
        <sz val="11"/>
        <color theme="1"/>
        <rFont val="Calibri"/>
        <family val="2"/>
        <scheme val="minor"/>
      </rPr>
      <t>ουτε</t>
    </r>
    <r>
      <rPr>
        <sz val="11"/>
        <color theme="1"/>
        <rFont val="Calibri"/>
        <family val="2"/>
        <scheme val="minor"/>
      </rPr>
      <t xml:space="preserve"> ως γηγενης ασθενει η απωθειται</t>
    </r>
  </si>
  <si>
    <r>
      <t xml:space="preserve">ουτε ως ανθρωπος δειλια ουτε ως γηγενης ασθενει η </t>
    </r>
    <r>
      <rPr>
        <b/>
        <sz val="11"/>
        <color theme="1"/>
        <rFont val="Calibri"/>
        <family val="2"/>
        <scheme val="minor"/>
      </rPr>
      <t>απωθειται</t>
    </r>
  </si>
  <si>
    <r>
      <t xml:space="preserve">ουδε ως υιος ανου δειλια ουδε ως γηγενης ασθενει η </t>
    </r>
    <r>
      <rPr>
        <b/>
        <sz val="11"/>
        <color theme="1"/>
        <rFont val="Calibri"/>
        <family val="2"/>
        <scheme val="minor"/>
      </rPr>
      <t>αποθειται</t>
    </r>
  </si>
  <si>
    <t>(6) επι πασι δε τοποις</t>
  </si>
  <si>
    <r>
      <t xml:space="preserve">(6) </t>
    </r>
    <r>
      <rPr>
        <b/>
        <sz val="11"/>
        <color theme="1"/>
        <rFont val="Calibri"/>
        <family val="2"/>
        <scheme val="minor"/>
      </rPr>
      <t>επι</t>
    </r>
    <r>
      <rPr>
        <sz val="11"/>
        <color theme="1"/>
        <rFont val="Calibri"/>
        <family val="2"/>
        <scheme val="minor"/>
      </rPr>
      <t xml:space="preserve"> πασι δε τοποις</t>
    </r>
  </si>
  <si>
    <r>
      <t xml:space="preserve">(6) </t>
    </r>
    <r>
      <rPr>
        <b/>
        <sz val="11"/>
        <color theme="1"/>
        <rFont val="Calibri"/>
        <family val="2"/>
        <scheme val="minor"/>
      </rPr>
      <t>εν</t>
    </r>
    <r>
      <rPr>
        <sz val="11"/>
        <color theme="1"/>
        <rFont val="Calibri"/>
        <family val="2"/>
        <scheme val="minor"/>
      </rPr>
      <t xml:space="preserve"> πασι δε δ τοποις</t>
    </r>
  </si>
  <si>
    <r>
      <t xml:space="preserve">(6) εν πασι δε </t>
    </r>
    <r>
      <rPr>
        <b/>
        <sz val="11"/>
        <color theme="1"/>
        <rFont val="Calibri"/>
        <family val="2"/>
        <scheme val="minor"/>
      </rPr>
      <t>δ</t>
    </r>
    <r>
      <rPr>
        <sz val="11"/>
        <color theme="1"/>
        <rFont val="Calibri"/>
        <family val="2"/>
        <scheme val="minor"/>
      </rPr>
      <t xml:space="preserve"> τοποις</t>
    </r>
  </si>
  <si>
    <t>επιδως εαυτον</t>
  </si>
  <si>
    <t>επιδως σεαυτον</t>
  </si>
  <si>
    <t>εμνησκομην λογους</t>
  </si>
  <si>
    <t>εμνησκομην λογων</t>
  </si>
  <si>
    <t>χαριν λαμβανουσιν</t>
  </si>
  <si>
    <t>χαριν προσλαμβανουσιν</t>
  </si>
  <si>
    <t>(5) ασθενουσιν (6) ωρθριζον</t>
  </si>
  <si>
    <r>
      <t xml:space="preserve">(5) </t>
    </r>
    <r>
      <rPr>
        <b/>
        <sz val="11"/>
        <color theme="1"/>
        <rFont val="Calibri"/>
        <family val="2"/>
        <scheme val="minor"/>
      </rPr>
      <t>ασθενουσι</t>
    </r>
    <r>
      <rPr>
        <sz val="11"/>
        <color theme="1"/>
        <rFont val="Calibri"/>
        <family val="2"/>
        <scheme val="minor"/>
      </rPr>
      <t xml:space="preserve"> (6) και ωρθριζον</t>
    </r>
  </si>
  <si>
    <r>
      <t xml:space="preserve">(5) </t>
    </r>
    <r>
      <rPr>
        <b/>
        <sz val="11"/>
        <color theme="1"/>
        <rFont val="Calibri"/>
        <family val="2"/>
        <scheme val="minor"/>
      </rPr>
      <t>ασθενουσιν</t>
    </r>
    <r>
      <rPr>
        <sz val="11"/>
        <color theme="1"/>
        <rFont val="Calibri"/>
        <family val="2"/>
        <scheme val="minor"/>
      </rPr>
      <t xml:space="preserve"> (6) ωρθριζον</t>
    </r>
  </si>
  <si>
    <r>
      <t xml:space="preserve">(5) ασθενουσι (6) </t>
    </r>
    <r>
      <rPr>
        <b/>
        <sz val="11"/>
        <color theme="1"/>
        <rFont val="Calibri"/>
        <family val="2"/>
        <scheme val="minor"/>
      </rPr>
      <t>και</t>
    </r>
    <r>
      <rPr>
        <sz val="11"/>
        <color theme="1"/>
        <rFont val="Calibri"/>
        <family val="2"/>
        <scheme val="minor"/>
      </rPr>
      <t xml:space="preserve"> ωρθριζον</t>
    </r>
  </si>
  <si>
    <r>
      <rPr>
        <b/>
        <sz val="11"/>
        <color theme="1"/>
        <rFont val="Calibri"/>
        <family val="2"/>
        <scheme val="minor"/>
      </rPr>
      <t>εισιει</t>
    </r>
    <r>
      <rPr>
        <sz val="11"/>
        <color theme="1"/>
        <rFont val="Calibri"/>
        <family val="2"/>
        <scheme val="minor"/>
      </rPr>
      <t xml:space="preserve"> λογω επισκεψεως προς με (7) και τα μεν</t>
    </r>
  </si>
  <si>
    <r>
      <rPr>
        <b/>
        <sz val="11"/>
        <color theme="1"/>
        <rFont val="Calibri"/>
        <family val="2"/>
        <scheme val="minor"/>
      </rPr>
      <t>εισηει</t>
    </r>
    <r>
      <rPr>
        <sz val="11"/>
        <color theme="1"/>
        <rFont val="Calibri"/>
        <family val="2"/>
        <scheme val="minor"/>
      </rPr>
      <t xml:space="preserve"> προς με λογω επισκεψεως (7) και τα μεν</t>
    </r>
  </si>
  <si>
    <r>
      <t xml:space="preserve">εισιει </t>
    </r>
    <r>
      <rPr>
        <b/>
        <sz val="11"/>
        <color theme="1"/>
        <rFont val="Calibri"/>
        <family val="2"/>
        <scheme val="minor"/>
      </rPr>
      <t>λογω επισκεψεως προς με</t>
    </r>
    <r>
      <rPr>
        <sz val="11"/>
        <color theme="1"/>
        <rFont val="Calibri"/>
        <family val="2"/>
        <scheme val="minor"/>
      </rPr>
      <t xml:space="preserve"> (7) και τα μεν</t>
    </r>
  </si>
  <si>
    <r>
      <t xml:space="preserve">εισηει </t>
    </r>
    <r>
      <rPr>
        <b/>
        <sz val="11"/>
        <color theme="1"/>
        <rFont val="Calibri"/>
        <family val="2"/>
        <scheme val="minor"/>
      </rPr>
      <t>προς με λογω επισκεψεως</t>
    </r>
    <r>
      <rPr>
        <sz val="11"/>
        <color theme="1"/>
        <rFont val="Calibri"/>
        <family val="2"/>
        <scheme val="minor"/>
      </rPr>
      <t xml:space="preserve"> (7) και τα μεν</t>
    </r>
  </si>
  <si>
    <r>
      <rPr>
        <b/>
        <sz val="11"/>
        <color theme="1"/>
        <rFont val="Calibri"/>
        <family val="2"/>
        <scheme val="minor"/>
      </rPr>
      <t>αρρενικον</t>
    </r>
    <r>
      <rPr>
        <sz val="11"/>
        <color theme="1"/>
        <rFont val="Calibri"/>
        <family val="2"/>
        <scheme val="minor"/>
      </rPr>
      <t xml:space="preserve"> ουκ ην</t>
    </r>
  </si>
  <si>
    <r>
      <rPr>
        <b/>
        <sz val="11"/>
        <color theme="1"/>
        <rFont val="Calibri"/>
        <family val="2"/>
        <scheme val="minor"/>
      </rPr>
      <t>αρσενικον</t>
    </r>
    <r>
      <rPr>
        <sz val="11"/>
        <color theme="1"/>
        <rFont val="Calibri"/>
        <family val="2"/>
        <scheme val="minor"/>
      </rPr>
      <t xml:space="preserve"> εκ ην</t>
    </r>
  </si>
  <si>
    <r>
      <t xml:space="preserve">αρρενικον </t>
    </r>
    <r>
      <rPr>
        <b/>
        <sz val="11"/>
        <color theme="1"/>
        <rFont val="Calibri"/>
        <family val="2"/>
        <scheme val="minor"/>
      </rPr>
      <t>ουκ</t>
    </r>
    <r>
      <rPr>
        <sz val="11"/>
        <color theme="1"/>
        <rFont val="Calibri"/>
        <family val="2"/>
        <scheme val="minor"/>
      </rPr>
      <t xml:space="preserve"> ην</t>
    </r>
  </si>
  <si>
    <r>
      <t xml:space="preserve">αρσενικον </t>
    </r>
    <r>
      <rPr>
        <b/>
        <sz val="11"/>
        <color theme="1"/>
        <rFont val="Calibri"/>
        <family val="2"/>
        <scheme val="minor"/>
      </rPr>
      <t>εκ</t>
    </r>
    <r>
      <rPr>
        <sz val="11"/>
        <color theme="1"/>
        <rFont val="Calibri"/>
        <family val="2"/>
        <scheme val="minor"/>
      </rPr>
      <t xml:space="preserve"> ην</t>
    </r>
  </si>
  <si>
    <t>αυτη προσεποιειτο εχειν με ως υιον</t>
  </si>
  <si>
    <r>
      <t xml:space="preserve">αυτη </t>
    </r>
    <r>
      <rPr>
        <b/>
        <sz val="11"/>
        <color theme="1"/>
        <rFont val="Calibri"/>
        <family val="2"/>
        <scheme val="minor"/>
      </rPr>
      <t>και</t>
    </r>
    <r>
      <rPr>
        <sz val="11"/>
        <color theme="1"/>
        <rFont val="Calibri"/>
        <family val="2"/>
        <scheme val="minor"/>
      </rPr>
      <t xml:space="preserve"> προσεποιειτο με εχειν ως υιον</t>
    </r>
  </si>
  <si>
    <r>
      <t xml:space="preserve">αυτη </t>
    </r>
    <r>
      <rPr>
        <b/>
        <sz val="11"/>
        <color theme="1"/>
        <rFont val="Calibri"/>
        <family val="2"/>
        <scheme val="minor"/>
      </rPr>
      <t>και</t>
    </r>
    <r>
      <rPr>
        <sz val="11"/>
        <color theme="1"/>
        <rFont val="Calibri"/>
        <family val="2"/>
        <scheme val="minor"/>
      </rPr>
      <t xml:space="preserve"> προσεποιειτο </t>
    </r>
    <r>
      <rPr>
        <b/>
        <sz val="11"/>
        <color theme="1"/>
        <rFont val="Calibri"/>
        <family val="2"/>
        <scheme val="minor"/>
      </rPr>
      <t>με εχειν</t>
    </r>
    <r>
      <rPr>
        <sz val="11"/>
        <color theme="1"/>
        <rFont val="Calibri"/>
        <family val="2"/>
        <scheme val="minor"/>
      </rPr>
      <t xml:space="preserve"> ως υιον</t>
    </r>
  </si>
  <si>
    <r>
      <t xml:space="preserve">αυτη προσεποιειτο </t>
    </r>
    <r>
      <rPr>
        <b/>
        <sz val="11"/>
        <color theme="1"/>
        <rFont val="Calibri"/>
        <family val="2"/>
        <scheme val="minor"/>
      </rPr>
      <t>εχειν με</t>
    </r>
    <r>
      <rPr>
        <sz val="11"/>
        <color theme="1"/>
        <rFont val="Calibri"/>
        <family val="2"/>
        <scheme val="minor"/>
      </rPr>
      <t xml:space="preserve"> ως υιον</t>
    </r>
  </si>
  <si>
    <t>εως χρονου</t>
  </si>
  <si>
    <t>εως ουν χρονου</t>
  </si>
  <si>
    <t xml:space="preserve">υιον με περιεπτυσσετο καγω </t>
  </si>
  <si>
    <t xml:space="preserve">υιον περιεπτυσσετο με καγω </t>
  </si>
  <si>
    <t>ημερας πολλας (10) και ελεγον</t>
  </si>
  <si>
    <t>ημερας πολλας οτι εγνων τον δολον αυτης και την πλανην (10) και ελεγον</t>
  </si>
  <si>
    <t>υποσκελισει με</t>
  </si>
  <si>
    <t>υποσκελισαι με</t>
  </si>
  <si>
    <t>ειπη τις</t>
  </si>
  <si>
    <t>ειπει τις</t>
  </si>
  <si>
    <t>Queens strikes out the initial ε</t>
  </si>
  <si>
    <t>ρυσηται με εκ της</t>
  </si>
  <si>
    <r>
      <rPr>
        <b/>
        <sz val="11"/>
        <color theme="1"/>
        <rFont val="Calibri"/>
        <family val="2"/>
        <scheme val="minor"/>
      </rPr>
      <t>ρυσεται</t>
    </r>
    <r>
      <rPr>
        <sz val="11"/>
        <color theme="1"/>
        <rFont val="Calibri"/>
        <family val="2"/>
        <scheme val="minor"/>
      </rPr>
      <t xml:space="preserve"> με ο κς εκ της</t>
    </r>
  </si>
  <si>
    <r>
      <rPr>
        <b/>
        <sz val="11"/>
        <color theme="1"/>
        <rFont val="Calibri"/>
        <family val="2"/>
        <scheme val="minor"/>
      </rPr>
      <t>ρυσηται</t>
    </r>
    <r>
      <rPr>
        <sz val="11"/>
        <color theme="1"/>
        <rFont val="Calibri"/>
        <family val="2"/>
        <scheme val="minor"/>
      </rPr>
      <t xml:space="preserve"> με εκ της</t>
    </r>
  </si>
  <si>
    <r>
      <t xml:space="preserve">ρυσεται με </t>
    </r>
    <r>
      <rPr>
        <b/>
        <sz val="11"/>
        <color theme="1"/>
        <rFont val="Calibri"/>
        <family val="2"/>
        <scheme val="minor"/>
      </rPr>
      <t>ο κς</t>
    </r>
    <r>
      <rPr>
        <sz val="11"/>
        <color theme="1"/>
        <rFont val="Calibri"/>
        <family val="2"/>
        <scheme val="minor"/>
      </rPr>
      <t xml:space="preserve"> εκ της</t>
    </r>
  </si>
  <si>
    <t>κς τους σεβομενους</t>
  </si>
  <si>
    <t>κυριος σεβομενους</t>
  </si>
  <si>
    <t>Queens corrects to ρυσηται</t>
  </si>
  <si>
    <t>με κς</t>
  </si>
  <si>
    <t>με ο κυριος</t>
  </si>
  <si>
    <t>πραξιν ταυτην την πονηραν ινα μη</t>
  </si>
  <si>
    <t>πραξιν την πονηραν ταυτην ινα μη</t>
  </si>
  <si>
    <t>μηδενι εξαγγειλω</t>
  </si>
  <si>
    <t>μηδενι αναγγειλω</t>
  </si>
  <si>
    <t>πασιν απολαυσιν</t>
  </si>
  <si>
    <t>πασαν απολαυσιν</t>
  </si>
  <si>
    <t>κομιζων μοι αυτο</t>
  </si>
  <si>
    <t>κομιζων αυτο</t>
  </si>
  <si>
    <r>
      <t xml:space="preserve">ειδον </t>
    </r>
    <r>
      <rPr>
        <b/>
        <sz val="11"/>
        <color theme="1"/>
        <rFont val="Calibri"/>
        <family val="2"/>
        <scheme val="minor"/>
      </rPr>
      <t>ανδρα φοβερον</t>
    </r>
    <r>
      <rPr>
        <sz val="11"/>
        <color theme="1"/>
        <rFont val="Calibri"/>
        <family val="2"/>
        <scheme val="minor"/>
      </rPr>
      <t xml:space="preserve"> επιδιδουντα</t>
    </r>
  </si>
  <si>
    <r>
      <t xml:space="preserve">ειδον </t>
    </r>
    <r>
      <rPr>
        <b/>
        <sz val="11"/>
        <color theme="1"/>
        <rFont val="Calibri"/>
        <family val="2"/>
        <scheme val="minor"/>
      </rPr>
      <t>φοβερον ανδρα</t>
    </r>
    <r>
      <rPr>
        <sz val="11"/>
        <color theme="1"/>
        <rFont val="Calibri"/>
        <family val="2"/>
        <scheme val="minor"/>
      </rPr>
      <t xml:space="preserve"> επιδιδοντα</t>
    </r>
  </si>
  <si>
    <r>
      <t xml:space="preserve">ειδον ανδρα φοβερον </t>
    </r>
    <r>
      <rPr>
        <b/>
        <sz val="11"/>
        <color theme="1"/>
        <rFont val="Calibri"/>
        <family val="2"/>
        <scheme val="minor"/>
      </rPr>
      <t>επιδιδουντα</t>
    </r>
  </si>
  <si>
    <r>
      <t xml:space="preserve">ειδον φοβερον ανδρα </t>
    </r>
    <r>
      <rPr>
        <b/>
        <sz val="11"/>
        <color theme="1"/>
        <rFont val="Calibri"/>
        <family val="2"/>
        <scheme val="minor"/>
      </rPr>
      <t>επιδιδοντα</t>
    </r>
  </si>
  <si>
    <t xml:space="preserve">οτι περιεργια αυτη εις </t>
  </si>
  <si>
    <r>
      <t xml:space="preserve">οτι </t>
    </r>
    <r>
      <rPr>
        <b/>
        <sz val="11"/>
        <color theme="1"/>
        <rFont val="Calibri"/>
        <family val="2"/>
        <scheme val="minor"/>
      </rPr>
      <t>η</t>
    </r>
    <r>
      <rPr>
        <sz val="11"/>
        <color theme="1"/>
        <rFont val="Calibri"/>
        <family val="2"/>
        <scheme val="minor"/>
      </rPr>
      <t xml:space="preserve"> περιεργεια αυτης εις </t>
    </r>
  </si>
  <si>
    <r>
      <t xml:space="preserve">οτι η </t>
    </r>
    <r>
      <rPr>
        <b/>
        <sz val="11"/>
        <color theme="1"/>
        <rFont val="Calibri"/>
        <family val="2"/>
        <scheme val="minor"/>
      </rPr>
      <t>περιεργεια</t>
    </r>
    <r>
      <rPr>
        <sz val="11"/>
        <color theme="1"/>
        <rFont val="Calibri"/>
        <family val="2"/>
        <scheme val="minor"/>
      </rPr>
      <t xml:space="preserve"> αυτης εις </t>
    </r>
  </si>
  <si>
    <r>
      <t xml:space="preserve">οτι </t>
    </r>
    <r>
      <rPr>
        <b/>
        <sz val="11"/>
        <color theme="1"/>
        <rFont val="Calibri"/>
        <family val="2"/>
        <scheme val="minor"/>
      </rPr>
      <t>περιεργια</t>
    </r>
    <r>
      <rPr>
        <sz val="11"/>
        <color theme="1"/>
        <rFont val="Calibri"/>
        <family val="2"/>
        <scheme val="minor"/>
      </rPr>
      <t xml:space="preserve"> αυτη εις </t>
    </r>
  </si>
  <si>
    <r>
      <t xml:space="preserve">οτι περιεργια </t>
    </r>
    <r>
      <rPr>
        <b/>
        <sz val="11"/>
        <color theme="1"/>
        <rFont val="Calibri"/>
        <family val="2"/>
        <scheme val="minor"/>
      </rPr>
      <t>αυτη</t>
    </r>
    <r>
      <rPr>
        <sz val="11"/>
        <color theme="1"/>
        <rFont val="Calibri"/>
        <family val="2"/>
        <scheme val="minor"/>
      </rPr>
      <t xml:space="preserve"> εις </t>
    </r>
  </si>
  <si>
    <r>
      <t xml:space="preserve">οτι η περιεργεια </t>
    </r>
    <r>
      <rPr>
        <b/>
        <sz val="11"/>
        <color theme="1"/>
        <rFont val="Calibri"/>
        <family val="2"/>
        <scheme val="minor"/>
      </rPr>
      <t>αυτης</t>
    </r>
    <r>
      <rPr>
        <sz val="11"/>
        <color theme="1"/>
        <rFont val="Calibri"/>
        <family val="2"/>
        <scheme val="minor"/>
      </rPr>
      <t xml:space="preserve"> εις </t>
    </r>
  </si>
  <si>
    <t>εξελθοντος αυτου εκλαιον</t>
  </si>
  <si>
    <t>εξελθοντος αυτης εκλαιον</t>
  </si>
  <si>
    <t>(3) μητε εκεινου μητε αλλου γευσαμενος εδεσματων αυτης (4) μετα δε μιαν</t>
  </si>
  <si>
    <r>
      <t xml:space="preserve">(3) μητε </t>
    </r>
    <r>
      <rPr>
        <b/>
        <sz val="11"/>
        <color theme="1"/>
        <rFont val="Calibri"/>
        <family val="2"/>
        <scheme val="minor"/>
      </rPr>
      <t>εκεινο</t>
    </r>
    <r>
      <rPr>
        <sz val="11"/>
        <color theme="1"/>
        <rFont val="Calibri"/>
        <family val="2"/>
        <scheme val="minor"/>
      </rPr>
      <t xml:space="preserve"> μητε αλλο τι των αιδεσματων αυτης γευσαμενος (4) μετα ουν μιαν</t>
    </r>
  </si>
  <si>
    <r>
      <t xml:space="preserve">(3) μητε </t>
    </r>
    <r>
      <rPr>
        <b/>
        <sz val="11"/>
        <color theme="1"/>
        <rFont val="Calibri"/>
        <family val="2"/>
        <scheme val="minor"/>
      </rPr>
      <t>εκεινου</t>
    </r>
    <r>
      <rPr>
        <sz val="11"/>
        <color theme="1"/>
        <rFont val="Calibri"/>
        <family val="2"/>
        <scheme val="minor"/>
      </rPr>
      <t xml:space="preserve"> μητε αλλου γευσαμενος εδεσματων αυτης (4) μετα δε μιαν</t>
    </r>
  </si>
  <si>
    <r>
      <t xml:space="preserve">(3) μητε εκεινου μητε </t>
    </r>
    <r>
      <rPr>
        <b/>
        <sz val="11"/>
        <color theme="1"/>
        <rFont val="Calibri"/>
        <family val="2"/>
        <scheme val="minor"/>
      </rPr>
      <t>αλλου</t>
    </r>
    <r>
      <rPr>
        <sz val="11"/>
        <color theme="1"/>
        <rFont val="Calibri"/>
        <family val="2"/>
        <scheme val="minor"/>
      </rPr>
      <t xml:space="preserve"> γευσαμενος εδεσματων αυτης (4) μετα δε μιαν</t>
    </r>
  </si>
  <si>
    <r>
      <t xml:space="preserve">(3) μητε εκεινο μητε </t>
    </r>
    <r>
      <rPr>
        <b/>
        <sz val="11"/>
        <color theme="1"/>
        <rFont val="Calibri"/>
        <family val="2"/>
        <scheme val="minor"/>
      </rPr>
      <t>αλλο</t>
    </r>
    <r>
      <rPr>
        <sz val="11"/>
        <color theme="1"/>
        <rFont val="Calibri"/>
        <family val="2"/>
        <scheme val="minor"/>
      </rPr>
      <t xml:space="preserve"> τι των αιδεσματων αυτης γευσαμενος (4) μετα ουν μιαν</t>
    </r>
  </si>
  <si>
    <r>
      <t xml:space="preserve">(3) μητε εκεινο μητε αλλο </t>
    </r>
    <r>
      <rPr>
        <b/>
        <sz val="11"/>
        <color theme="1"/>
        <rFont val="Calibri"/>
        <family val="2"/>
        <scheme val="minor"/>
      </rPr>
      <t>τι των</t>
    </r>
    <r>
      <rPr>
        <sz val="11"/>
        <color theme="1"/>
        <rFont val="Calibri"/>
        <family val="2"/>
        <scheme val="minor"/>
      </rPr>
      <t xml:space="preserve"> αιδεσματων αυτης γευσαμενος (4) μετα ουν μιαν</t>
    </r>
  </si>
  <si>
    <r>
      <t xml:space="preserve">(3) μητε εκεινο μητε αλλο τι των </t>
    </r>
    <r>
      <rPr>
        <b/>
        <sz val="11"/>
        <color theme="1"/>
        <rFont val="Calibri"/>
        <family val="2"/>
        <scheme val="minor"/>
      </rPr>
      <t>αιδεσματων αυτης γευσαμενος</t>
    </r>
    <r>
      <rPr>
        <sz val="11"/>
        <color theme="1"/>
        <rFont val="Calibri"/>
        <family val="2"/>
        <scheme val="minor"/>
      </rPr>
      <t xml:space="preserve"> (4) μετα ουν μιαν</t>
    </r>
  </si>
  <si>
    <r>
      <t xml:space="preserve">(3) μητε εκεινου μητε αλλου </t>
    </r>
    <r>
      <rPr>
        <b/>
        <sz val="11"/>
        <color theme="1"/>
        <rFont val="Calibri"/>
        <family val="2"/>
        <scheme val="minor"/>
      </rPr>
      <t>γευσαμενος εδεσματων αυτης</t>
    </r>
    <r>
      <rPr>
        <sz val="11"/>
        <color theme="1"/>
        <rFont val="Calibri"/>
        <family val="2"/>
        <scheme val="minor"/>
      </rPr>
      <t xml:space="preserve"> (4) μετα δε μιαν</t>
    </r>
  </si>
  <si>
    <r>
      <t xml:space="preserve">(3) μητε εκεινο μητε αλλο τι των </t>
    </r>
    <r>
      <rPr>
        <b/>
        <sz val="11"/>
        <color theme="1"/>
        <rFont val="Calibri"/>
        <family val="2"/>
        <scheme val="minor"/>
      </rPr>
      <t>αιδεσματων</t>
    </r>
    <r>
      <rPr>
        <sz val="11"/>
        <color theme="1"/>
        <rFont val="Calibri"/>
        <family val="2"/>
        <scheme val="minor"/>
      </rPr>
      <t xml:space="preserve"> αυτης γευσαμενος (4) μετα ουν μιαν</t>
    </r>
  </si>
  <si>
    <r>
      <t xml:space="preserve">(3) μητε εκεινου μητε αλλου γευσαμενος </t>
    </r>
    <r>
      <rPr>
        <b/>
        <sz val="11"/>
        <color theme="1"/>
        <rFont val="Calibri"/>
        <family val="2"/>
        <scheme val="minor"/>
      </rPr>
      <t>εδεσματων</t>
    </r>
    <r>
      <rPr>
        <sz val="11"/>
        <color theme="1"/>
        <rFont val="Calibri"/>
        <family val="2"/>
        <scheme val="minor"/>
      </rPr>
      <t xml:space="preserve"> αυτης (4) μετα δε μιαν</t>
    </r>
  </si>
  <si>
    <t>εγγιζω τοις ειδωλοις</t>
  </si>
  <si>
    <t>εγγιζω ειδωλοις</t>
  </si>
  <si>
    <t>θεον σεβοντων</t>
  </si>
  <si>
    <t>ακολασιαν και στεναζουσα</t>
  </si>
  <si>
    <t>ακολασιαν στεναζουσα</t>
  </si>
  <si>
    <t>ιδων δε ο αιγυπτιος</t>
  </si>
  <si>
    <t>ιδων δε αυτην ο αιγυπτιος</t>
  </si>
  <si>
    <t>καρδιας αλγω εγω και</t>
  </si>
  <si>
    <t>καρδιας εγω αλγω και</t>
  </si>
  <si>
    <t>ετι εξω οντος του ανδρος</t>
  </si>
  <si>
    <t>ετι οντος εξω του ανδρος</t>
  </si>
  <si>
    <t>ριπτω εμαυτην</t>
  </si>
  <si>
    <t>ριπτω εαυτην</t>
  </si>
  <si>
    <r>
      <t xml:space="preserve">εαν μη </t>
    </r>
    <r>
      <rPr>
        <b/>
        <sz val="11"/>
        <color theme="1"/>
        <rFont val="Calibri"/>
        <family val="2"/>
        <scheme val="minor"/>
      </rPr>
      <t>μοι συμπεισθεις</t>
    </r>
    <r>
      <rPr>
        <sz val="11"/>
        <color theme="1"/>
        <rFont val="Calibri"/>
        <family val="2"/>
        <scheme val="minor"/>
      </rPr>
      <t xml:space="preserve"> (4) και νοησας</t>
    </r>
  </si>
  <si>
    <r>
      <t xml:space="preserve">εαν μη </t>
    </r>
    <r>
      <rPr>
        <b/>
        <sz val="11"/>
        <color theme="1"/>
        <rFont val="Calibri"/>
        <family val="2"/>
        <scheme val="minor"/>
      </rPr>
      <t>συμπεισθης μοι</t>
    </r>
    <r>
      <rPr>
        <sz val="11"/>
        <color theme="1"/>
        <rFont val="Calibri"/>
        <family val="2"/>
        <scheme val="minor"/>
      </rPr>
      <t xml:space="preserve"> (4) και νοησας</t>
    </r>
  </si>
  <si>
    <r>
      <t xml:space="preserve">εαν μη μοι </t>
    </r>
    <r>
      <rPr>
        <b/>
        <sz val="11"/>
        <color theme="1"/>
        <rFont val="Calibri"/>
        <family val="2"/>
        <scheme val="minor"/>
      </rPr>
      <t>συμπεισθης</t>
    </r>
    <r>
      <rPr>
        <sz val="11"/>
        <color theme="1"/>
        <rFont val="Calibri"/>
        <family val="2"/>
        <scheme val="minor"/>
      </rPr>
      <t xml:space="preserve"> (4) και νοησας</t>
    </r>
  </si>
  <si>
    <r>
      <t xml:space="preserve">εαν μη μοι </t>
    </r>
    <r>
      <rPr>
        <b/>
        <sz val="11"/>
        <color theme="1"/>
        <rFont val="Calibri"/>
        <family val="2"/>
        <scheme val="minor"/>
      </rPr>
      <t>συμπεισθεις</t>
    </r>
    <r>
      <rPr>
        <sz val="11"/>
        <color theme="1"/>
        <rFont val="Calibri"/>
        <family val="2"/>
        <scheme val="minor"/>
      </rPr>
      <t xml:space="preserve"> (4) και νοησας</t>
    </r>
  </si>
  <si>
    <t>προς με ει ουν</t>
  </si>
  <si>
    <t>προς με ιδε ουν</t>
  </si>
  <si>
    <t>τεκνων μου και εχω</t>
  </si>
  <si>
    <t>τεκνων μου εχω</t>
  </si>
  <si>
    <t>δια κυριον μου</t>
  </si>
  <si>
    <r>
      <t xml:space="preserve">δια </t>
    </r>
    <r>
      <rPr>
        <b/>
        <sz val="11"/>
        <color theme="1"/>
        <rFont val="Calibri"/>
        <family val="2"/>
        <scheme val="minor"/>
      </rPr>
      <t>τον</t>
    </r>
    <r>
      <rPr>
        <sz val="11"/>
        <color theme="1"/>
        <rFont val="Calibri"/>
        <family val="2"/>
        <scheme val="minor"/>
      </rPr>
      <t xml:space="preserve"> θν μου</t>
    </r>
  </si>
  <si>
    <r>
      <t xml:space="preserve">δια τον </t>
    </r>
    <r>
      <rPr>
        <b/>
        <sz val="11"/>
        <color theme="1"/>
        <rFont val="Calibri"/>
        <family val="2"/>
        <scheme val="minor"/>
      </rPr>
      <t>θν</t>
    </r>
    <r>
      <rPr>
        <sz val="11"/>
        <color theme="1"/>
        <rFont val="Calibri"/>
        <family val="2"/>
        <scheme val="minor"/>
      </rPr>
      <t xml:space="preserve"> μου</t>
    </r>
  </si>
  <si>
    <r>
      <t xml:space="preserve">δια </t>
    </r>
    <r>
      <rPr>
        <b/>
        <sz val="11"/>
        <color theme="1"/>
        <rFont val="Calibri"/>
        <family val="2"/>
        <scheme val="minor"/>
      </rPr>
      <t>κυριον</t>
    </r>
    <r>
      <rPr>
        <sz val="11"/>
        <color theme="1"/>
        <rFont val="Calibri"/>
        <family val="2"/>
        <scheme val="minor"/>
      </rPr>
      <t xml:space="preserve"> μου</t>
    </r>
  </si>
  <si>
    <t>και ου δι αυτην</t>
  </si>
  <si>
    <t>και ουχι δι αυτην</t>
  </si>
  <si>
    <t>λεγω υμιν τεκνα οτι</t>
  </si>
  <si>
    <r>
      <t xml:space="preserve">λεγω </t>
    </r>
    <r>
      <rPr>
        <b/>
        <sz val="11"/>
        <color theme="1"/>
        <rFont val="Calibri"/>
        <family val="2"/>
        <scheme val="minor"/>
      </rPr>
      <t>ουν</t>
    </r>
    <r>
      <rPr>
        <sz val="11"/>
        <color theme="1"/>
        <rFont val="Calibri"/>
        <family val="2"/>
        <scheme val="minor"/>
      </rPr>
      <t xml:space="preserve"> υμιν τεκνα μου οτι</t>
    </r>
  </si>
  <si>
    <r>
      <t xml:space="preserve">λεγω ουν υμιν τεκνα </t>
    </r>
    <r>
      <rPr>
        <b/>
        <sz val="11"/>
        <color theme="1"/>
        <rFont val="Calibri"/>
        <family val="2"/>
        <scheme val="minor"/>
      </rPr>
      <t>μου</t>
    </r>
    <r>
      <rPr>
        <sz val="11"/>
        <color theme="1"/>
        <rFont val="Calibri"/>
        <family val="2"/>
        <scheme val="minor"/>
      </rPr>
      <t xml:space="preserve"> οτι</t>
    </r>
  </si>
  <si>
    <t>απ εμου καγω γονυ</t>
  </si>
  <si>
    <t>απ εμου και γονυ</t>
  </si>
  <si>
    <t>συναψας περι τον ορθρον</t>
  </si>
  <si>
    <t>συναψας προς τον ορθρον</t>
  </si>
  <si>
    <t>τελος ουν επιλαμβανεται</t>
  </si>
  <si>
    <t>τελος επιλαμβανεται</t>
  </si>
  <si>
    <t>μαινομενη κρατει</t>
  </si>
  <si>
    <t>μαινομενη βια κρατει</t>
  </si>
  <si>
    <t>ησθενει υπο της λυπης</t>
  </si>
  <si>
    <t>ησθενει απο της λυπης</t>
  </si>
  <si>
    <t>υμνουν τον κυριον εν οικω</t>
  </si>
  <si>
    <t>υμνουν κν ων εν οικω</t>
  </si>
  <si>
    <r>
      <t xml:space="preserve">υμνουν </t>
    </r>
    <r>
      <rPr>
        <b/>
        <sz val="11"/>
        <color theme="1"/>
        <rFont val="Calibri"/>
        <family val="2"/>
        <scheme val="minor"/>
      </rPr>
      <t>τον</t>
    </r>
    <r>
      <rPr>
        <sz val="11"/>
        <color theme="1"/>
        <rFont val="Calibri"/>
        <family val="2"/>
        <scheme val="minor"/>
      </rPr>
      <t xml:space="preserve"> κυριον εν οικω</t>
    </r>
  </si>
  <si>
    <r>
      <t xml:space="preserve">υμνουν κν </t>
    </r>
    <r>
      <rPr>
        <b/>
        <sz val="11"/>
        <color theme="1"/>
        <rFont val="Calibri"/>
        <family val="2"/>
        <scheme val="minor"/>
      </rPr>
      <t>ων</t>
    </r>
    <r>
      <rPr>
        <sz val="11"/>
        <color theme="1"/>
        <rFont val="Calibri"/>
        <family val="2"/>
        <scheme val="minor"/>
      </rPr>
      <t xml:space="preserve"> εν οικω</t>
    </r>
  </si>
  <si>
    <t>θεον μονον</t>
  </si>
  <si>
    <t>θν μου μονον</t>
  </si>
  <si>
    <t>επιθυμιαν μου και</t>
  </si>
  <si>
    <t>επιθυμιαν και</t>
  </si>
  <si>
    <t>εννοιων εκλινα</t>
  </si>
  <si>
    <t>εννοιων ποτε εκλινα</t>
  </si>
  <si>
    <t>και ει οιδεν</t>
  </si>
  <si>
    <t>και οιδεν</t>
  </si>
  <si>
    <t>δε τους</t>
  </si>
  <si>
    <t>δε εγω τους</t>
  </si>
  <si>
    <t>και η προσευχη</t>
  </si>
  <si>
    <t>και προσευχη</t>
  </si>
  <si>
    <t>υμεις ουν εαν</t>
  </si>
  <si>
    <t>υμεις εαν</t>
  </si>
  <si>
    <t>γαρ ο ανος</t>
  </si>
  <si>
    <t>γαρ ανθρωπος</t>
  </si>
  <si>
    <r>
      <t xml:space="preserve">εν </t>
    </r>
    <r>
      <rPr>
        <b/>
        <sz val="11"/>
        <color theme="1"/>
        <rFont val="Calibri"/>
        <family val="2"/>
        <scheme val="minor"/>
      </rPr>
      <t>διανοια</t>
    </r>
    <r>
      <rPr>
        <sz val="11"/>
        <color theme="1"/>
        <rFont val="Calibri"/>
        <family val="2"/>
        <scheme val="minor"/>
      </rPr>
      <t xml:space="preserve"> συνεχεται</t>
    </r>
  </si>
  <si>
    <r>
      <t xml:space="preserve">εν </t>
    </r>
    <r>
      <rPr>
        <b/>
        <sz val="11"/>
        <color theme="1"/>
        <rFont val="Calibri"/>
        <family val="2"/>
        <scheme val="minor"/>
      </rPr>
      <t>διαδιανοια</t>
    </r>
    <r>
      <rPr>
        <sz val="11"/>
        <color theme="1"/>
        <rFont val="Calibri"/>
        <family val="2"/>
        <scheme val="minor"/>
      </rPr>
      <t xml:space="preserve"> συνερχεται</t>
    </r>
  </si>
  <si>
    <r>
      <t xml:space="preserve">εν διαδιανοια </t>
    </r>
    <r>
      <rPr>
        <b/>
        <sz val="11"/>
        <color theme="1"/>
        <rFont val="Calibri"/>
        <family val="2"/>
        <scheme val="minor"/>
      </rPr>
      <t>συνερχεται</t>
    </r>
  </si>
  <si>
    <r>
      <t xml:space="preserve">εν διανοια </t>
    </r>
    <r>
      <rPr>
        <b/>
        <sz val="11"/>
        <color theme="1"/>
        <rFont val="Calibri"/>
        <family val="2"/>
        <scheme val="minor"/>
      </rPr>
      <t>συνεχεται</t>
    </r>
  </si>
  <si>
    <t>ουχ υψουμην</t>
  </si>
  <si>
    <t>ουκ υψουμην</t>
  </si>
  <si>
    <t>Queens corrects to ετιμων</t>
  </si>
  <si>
    <r>
      <t xml:space="preserve">ελθων </t>
    </r>
    <r>
      <rPr>
        <b/>
        <sz val="11"/>
        <color theme="1"/>
        <rFont val="Calibri"/>
        <family val="2"/>
        <scheme val="minor"/>
      </rPr>
      <t>δε</t>
    </r>
    <r>
      <rPr>
        <sz val="11"/>
        <color theme="1"/>
        <rFont val="Calibri"/>
        <family val="2"/>
        <scheme val="minor"/>
      </rPr>
      <t xml:space="preserve"> εις ινδοκολπιτας</t>
    </r>
  </si>
  <si>
    <r>
      <t xml:space="preserve">ελθων </t>
    </r>
    <r>
      <rPr>
        <b/>
        <sz val="11"/>
        <color theme="1"/>
        <rFont val="Calibri"/>
        <family val="2"/>
        <scheme val="minor"/>
      </rPr>
      <t>ουν</t>
    </r>
    <r>
      <rPr>
        <sz val="11"/>
        <color theme="1"/>
        <rFont val="Calibri"/>
        <family val="2"/>
        <scheme val="minor"/>
      </rPr>
      <t xml:space="preserve"> εις ικδοκολπιτας</t>
    </r>
  </si>
  <si>
    <r>
      <t xml:space="preserve">ελθων ουν εις </t>
    </r>
    <r>
      <rPr>
        <b/>
        <sz val="11"/>
        <color theme="1"/>
        <rFont val="Calibri"/>
        <family val="2"/>
        <scheme val="minor"/>
      </rPr>
      <t>ικδοκολπιτας</t>
    </r>
  </si>
  <si>
    <r>
      <t xml:space="preserve">ελθων δε εις </t>
    </r>
    <r>
      <rPr>
        <b/>
        <sz val="11"/>
        <color theme="1"/>
        <rFont val="Calibri"/>
        <family val="2"/>
        <scheme val="minor"/>
      </rPr>
      <t>ινδοκολπιτας</t>
    </r>
  </si>
  <si>
    <t xml:space="preserve">ηρωτουν με καγω ειπον </t>
  </si>
  <si>
    <t xml:space="preserve">ηρωτουν με και ειπον </t>
  </si>
  <si>
    <t>δουλος ειμι</t>
  </si>
  <si>
    <t>δουλος αυτων ειμι</t>
  </si>
  <si>
    <t>δουλος οτι</t>
  </si>
  <si>
    <t>δουλος συ οτι</t>
  </si>
  <si>
    <t>διοτι πασιν</t>
  </si>
  <si>
    <t>διο πασιν</t>
  </si>
  <si>
    <t>ευλογησεν αυτον κς εν χειρι</t>
  </si>
  <si>
    <r>
      <t xml:space="preserve">ευλογησεν αυτον </t>
    </r>
    <r>
      <rPr>
        <b/>
        <sz val="11"/>
        <color theme="1"/>
        <rFont val="Calibri"/>
        <family val="2"/>
        <scheme val="minor"/>
      </rPr>
      <t>ο</t>
    </r>
    <r>
      <rPr>
        <sz val="11"/>
        <color theme="1"/>
        <rFont val="Calibri"/>
        <family val="2"/>
        <scheme val="minor"/>
      </rPr>
      <t xml:space="preserve"> θεος εν χειρι</t>
    </r>
  </si>
  <si>
    <r>
      <t xml:space="preserve">ευλογησεν αυτον ο </t>
    </r>
    <r>
      <rPr>
        <b/>
        <sz val="11"/>
        <color theme="1"/>
        <rFont val="Calibri"/>
        <family val="2"/>
        <scheme val="minor"/>
      </rPr>
      <t>θεος</t>
    </r>
    <r>
      <rPr>
        <sz val="11"/>
        <color theme="1"/>
        <rFont val="Calibri"/>
        <family val="2"/>
        <scheme val="minor"/>
      </rPr>
      <t xml:space="preserve"> εν χειρι</t>
    </r>
  </si>
  <si>
    <r>
      <t xml:space="preserve">ευλογησεν αυτον </t>
    </r>
    <r>
      <rPr>
        <b/>
        <sz val="11"/>
        <color theme="1"/>
        <rFont val="Calibri"/>
        <family val="2"/>
        <scheme val="minor"/>
      </rPr>
      <t>κς</t>
    </r>
    <r>
      <rPr>
        <sz val="11"/>
        <color theme="1"/>
        <rFont val="Calibri"/>
        <family val="2"/>
        <scheme val="minor"/>
      </rPr>
      <t xml:space="preserve"> εν χειρι</t>
    </r>
  </si>
  <si>
    <t>εκεινον τον καιρον</t>
  </si>
  <si>
    <t>εκεινον δε τον καιρον</t>
  </si>
  <si>
    <t>οτι και κλοπη</t>
  </si>
  <si>
    <t>οτι κλοπη</t>
  </si>
  <si>
    <t>ο των εβραιων θεος οτι</t>
  </si>
  <si>
    <t>ο θς των εβραιων οτι</t>
  </si>
  <si>
    <t>λογοις αυτης εκελευσεν</t>
  </si>
  <si>
    <t>λογοις του τ[] εκελευσεν</t>
  </si>
  <si>
    <t>κλεπτεις τας ψυχας</t>
  </si>
  <si>
    <t>κλεπτεις ψυχας</t>
  </si>
  <si>
    <t>ποθεν ουν ο παις σοι ο εβραιος</t>
  </si>
  <si>
    <t>ποθεν ουν σοι ο παις ο εβραιος</t>
  </si>
  <si>
    <r>
      <rPr>
        <b/>
        <sz val="11"/>
        <color theme="1"/>
        <rFont val="Calibri"/>
        <family val="2"/>
        <scheme val="minor"/>
      </rPr>
      <t>γυναικα</t>
    </r>
    <r>
      <rPr>
        <sz val="11"/>
        <color theme="1"/>
        <rFont val="Calibri"/>
        <family val="2"/>
        <scheme val="minor"/>
      </rPr>
      <t xml:space="preserve"> και τεκνα και παλλακας (6) και διαχωρισας </t>
    </r>
  </si>
  <si>
    <r>
      <rPr>
        <b/>
        <sz val="11"/>
        <color theme="1"/>
        <rFont val="Calibri"/>
        <family val="2"/>
        <scheme val="minor"/>
      </rPr>
      <t>γυναικας</t>
    </r>
    <r>
      <rPr>
        <sz val="11"/>
        <color theme="1"/>
        <rFont val="Calibri"/>
        <family val="2"/>
        <scheme val="minor"/>
      </rPr>
      <t xml:space="preserve"> και παλλακας και τεκνα (6) και διαχωρισας </t>
    </r>
  </si>
  <si>
    <r>
      <t xml:space="preserve">γυναικας </t>
    </r>
    <r>
      <rPr>
        <b/>
        <sz val="11"/>
        <color theme="1"/>
        <rFont val="Calibri"/>
        <family val="2"/>
        <scheme val="minor"/>
      </rPr>
      <t>και παλλακας και τεκνα</t>
    </r>
    <r>
      <rPr>
        <sz val="11"/>
        <color theme="1"/>
        <rFont val="Calibri"/>
        <family val="2"/>
        <scheme val="minor"/>
      </rPr>
      <t xml:space="preserve"> (6) και διαχωρισας </t>
    </r>
  </si>
  <si>
    <r>
      <t xml:space="preserve">γυναικα </t>
    </r>
    <r>
      <rPr>
        <b/>
        <sz val="11"/>
        <color theme="1"/>
        <rFont val="Calibri"/>
        <family val="2"/>
        <scheme val="minor"/>
      </rPr>
      <t>και τεκνα και παλλακας</t>
    </r>
    <r>
      <rPr>
        <sz val="11"/>
        <color theme="1"/>
        <rFont val="Calibri"/>
        <family val="2"/>
        <scheme val="minor"/>
      </rPr>
      <t xml:space="preserve"> (6) και διαχωρισας </t>
    </r>
  </si>
  <si>
    <t>ειπε δουλος</t>
  </si>
  <si>
    <t>ειπε μοι δουλος</t>
  </si>
  <si>
    <t>εκ της χανααν</t>
  </si>
  <si>
    <t>εκ γης χανααν</t>
  </si>
  <si>
    <t>γυμνον εκελευσε με τυπτεσθαι</t>
  </si>
  <si>
    <t>γυμνον με εκελευσε τυπτεσθαι</t>
  </si>
  <si>
    <t>ανδρα αυτης λεγουσα</t>
  </si>
  <si>
    <t>ανδρα λεγουσα</t>
  </si>
  <si>
    <t>αδικος η κρισις οτι</t>
  </si>
  <si>
    <r>
      <t xml:space="preserve">αδικος </t>
    </r>
    <r>
      <rPr>
        <b/>
        <sz val="11"/>
        <color theme="1"/>
        <rFont val="Calibri"/>
        <family val="2"/>
        <scheme val="minor"/>
      </rPr>
      <t>εστιν</t>
    </r>
    <r>
      <rPr>
        <sz val="11"/>
        <color theme="1"/>
        <rFont val="Calibri"/>
        <family val="2"/>
        <scheme val="minor"/>
      </rPr>
      <t xml:space="preserve"> η κρισις σου οτι</t>
    </r>
  </si>
  <si>
    <r>
      <t xml:space="preserve">αδικος εστιν η κρισις </t>
    </r>
    <r>
      <rPr>
        <b/>
        <sz val="11"/>
        <color theme="1"/>
        <rFont val="Calibri"/>
        <family val="2"/>
        <scheme val="minor"/>
      </rPr>
      <t>σου</t>
    </r>
    <r>
      <rPr>
        <sz val="11"/>
        <color theme="1"/>
        <rFont val="Calibri"/>
        <family val="2"/>
        <scheme val="minor"/>
      </rPr>
      <t xml:space="preserve"> οτι</t>
    </r>
  </si>
  <si>
    <t>ηλλαξα τον λογον</t>
  </si>
  <si>
    <t>ηλλαξα λογον</t>
  </si>
  <si>
    <t>Speech part add/omitted</t>
  </si>
  <si>
    <t>Visual Cues</t>
  </si>
  <si>
    <t>Duplicate Material</t>
  </si>
  <si>
    <t>Singularity</t>
  </si>
  <si>
    <t>Secondary</t>
  </si>
  <si>
    <t>Minutiae</t>
  </si>
  <si>
    <t>Nonsense</t>
  </si>
  <si>
    <t>Adjective</t>
  </si>
  <si>
    <t>Present</t>
  </si>
  <si>
    <t>Dittography</t>
  </si>
  <si>
    <t>Singular</t>
  </si>
  <si>
    <t>Itacism</t>
  </si>
  <si>
    <t>Generated - strict</t>
  </si>
  <si>
    <t>Article</t>
  </si>
  <si>
    <t>Absent</t>
  </si>
  <si>
    <t>Repetition</t>
  </si>
  <si>
    <t>Non-singular</t>
  </si>
  <si>
    <t>Movable ν</t>
  </si>
  <si>
    <t>Generated - contextual</t>
  </si>
  <si>
    <t>Adverb</t>
  </si>
  <si>
    <t>Dual</t>
  </si>
  <si>
    <t>Iota Adscript</t>
  </si>
  <si>
    <t>Removed - strict</t>
  </si>
  <si>
    <t>Conjunction</t>
  </si>
  <si>
    <t>Iota Subscript</t>
  </si>
  <si>
    <t>Removed - contextual</t>
  </si>
  <si>
    <t>Compound word</t>
  </si>
  <si>
    <t>Abbreviation</t>
  </si>
  <si>
    <t>Noun</t>
  </si>
  <si>
    <t>Breathings</t>
  </si>
  <si>
    <t>Pronoun</t>
  </si>
  <si>
    <t>Accents</t>
  </si>
  <si>
    <t>Preposition</t>
  </si>
  <si>
    <t>Punctuation</t>
  </si>
  <si>
    <t>Participle</t>
  </si>
  <si>
    <t>Vocative</t>
  </si>
  <si>
    <t>Exclusion Grounds</t>
  </si>
  <si>
    <t>Corrector Followed</t>
  </si>
  <si>
    <t>Apograph Corrected</t>
  </si>
  <si>
    <t>Phrase Length</t>
  </si>
  <si>
    <t>Words Length</t>
  </si>
  <si>
    <t>Letters Length</t>
  </si>
  <si>
    <t>Speech Part Add/Omitted</t>
  </si>
  <si>
    <t>Cue Regions</t>
  </si>
  <si>
    <t>Cue Length</t>
  </si>
  <si>
    <t>AO Word Frequency</t>
  </si>
  <si>
    <t>SUB Frequency Difference</t>
  </si>
  <si>
    <t>Orthographic - General</t>
  </si>
  <si>
    <t>Review</t>
  </si>
  <si>
    <t>Harmonization - Context</t>
  </si>
  <si>
    <t>Parallel Present</t>
  </si>
  <si>
    <t>Harmonization - Parallel</t>
  </si>
  <si>
    <t>Mere Minutiae</t>
  </si>
  <si>
    <t>Disharmonizing</t>
  </si>
  <si>
    <t>Substitution - Word</t>
  </si>
  <si>
    <t>NA</t>
  </si>
  <si>
    <t>Substitution - Form</t>
  </si>
  <si>
    <t>Substitution - Both</t>
  </si>
  <si>
    <t>Below word level</t>
  </si>
  <si>
    <t>Particle</t>
  </si>
  <si>
    <t>Unfiltered variants:</t>
  </si>
  <si>
    <t>Total variants:</t>
  </si>
  <si>
    <t>Barocci</t>
  </si>
  <si>
    <t>Smith</t>
  </si>
  <si>
    <t>Oo.VI.9.8</t>
  </si>
  <si>
    <t>Verb</t>
  </si>
  <si>
    <t>ΝΑ</t>
  </si>
  <si>
    <t>ει-ι</t>
  </si>
  <si>
    <t>ι-ει</t>
  </si>
  <si>
    <t>ω-ο</t>
  </si>
  <si>
    <t>η-ε</t>
  </si>
  <si>
    <t>AB:AC</t>
  </si>
  <si>
    <t>3:3</t>
  </si>
  <si>
    <t>BD:CD</t>
  </si>
  <si>
    <t>5:5</t>
  </si>
  <si>
    <t>ι-η</t>
  </si>
  <si>
    <t>Name Spelling</t>
  </si>
  <si>
    <t>2.0.1 transposition</t>
  </si>
  <si>
    <t>AC</t>
  </si>
  <si>
    <t>1.0.1 transposition</t>
  </si>
  <si>
    <t>ο-ω</t>
  </si>
  <si>
    <t>ε-η</t>
  </si>
  <si>
    <t>1.0.2 transposition</t>
  </si>
  <si>
    <t>1.1.1 transposition</t>
  </si>
  <si>
    <t>1.0.3 transposition</t>
  </si>
  <si>
    <t>2.0.2 transposition</t>
  </si>
  <si>
    <t>autogaph matches pattern in 6:3 (λεγει ημιν ο πηρ ημων); apograph disharmonizes</t>
  </si>
  <si>
    <t>autograph does not match pattern in 8:6, which includes the article before θς; apograph harmonizes</t>
  </si>
  <si>
    <r>
      <t xml:space="preserve">καταρασσονται </t>
    </r>
    <r>
      <rPr>
        <b/>
        <sz val="11"/>
        <color theme="1"/>
        <rFont val="Calibri"/>
        <family val="2"/>
        <scheme val="minor"/>
      </rPr>
      <t>και</t>
    </r>
    <r>
      <rPr>
        <sz val="11"/>
        <color theme="1"/>
        <rFont val="Calibri"/>
        <family val="2"/>
        <scheme val="minor"/>
      </rPr>
      <t xml:space="preserve"> οι αγγελοι και οι ανθρωποι και ο θεος</t>
    </r>
  </si>
  <si>
    <r>
      <t>καταρασσονται και</t>
    </r>
    <r>
      <rPr>
        <b/>
        <sz val="11"/>
        <color theme="1"/>
        <rFont val="Calibri"/>
        <family val="2"/>
        <scheme val="minor"/>
      </rPr>
      <t xml:space="preserve"> οι αγγελοι και οι ανθρωποι</t>
    </r>
    <r>
      <rPr>
        <sz val="11"/>
        <color theme="1"/>
        <rFont val="Calibri"/>
        <family val="2"/>
        <scheme val="minor"/>
      </rPr>
      <t xml:space="preserve"> και ο θεος</t>
    </r>
  </si>
  <si>
    <t>2.1.2 transposition; autograph retains order from 8:4 of και οι ανοι και οι αγγελοι και (ο) θς; apograph disharmonizes</t>
  </si>
  <si>
    <t>(7) εντολαι του νομου διπλαι εισι και μετα τεχνης πληρουνται (8) ... (9) και δυο εντολαι εισι και ει μη γενωνται εν ταξει αυτων αμαρτιαν παρεχουσιν ουτως εστι και επι των λοιπων εντολων (10) γινεσθε ουν</t>
  </si>
  <si>
    <t>(7) εντολαι του νομου διπλαι εισι και ει μη γενωνται εν ταξει αυτων αμαρτιαν παρεχουσιν ουτως εστι και επι των λοιπων εντολων αλλα και μετα τεχνης πληρουνται (8) ... (9) (10) γινεσθε ουν</t>
  </si>
  <si>
    <t>frequency = εντολη</t>
  </si>
  <si>
    <r>
      <t xml:space="preserve">(7) εντολαι του νομου διπλαι εισι και μετα τεχνης πληρουνται (8) ... (9) και δυο εντολαι εισι και </t>
    </r>
    <r>
      <rPr>
        <b/>
        <sz val="11"/>
        <color theme="1"/>
        <rFont val="Calibri"/>
        <family val="2"/>
        <scheme val="minor"/>
      </rPr>
      <t>ει μη γενωνται εν ταξει αυτων αμαρτιαν παρεχουσιν ουτως εστι και επι των λοιπων εντολων</t>
    </r>
    <r>
      <rPr>
        <sz val="11"/>
        <color theme="1"/>
        <rFont val="Calibri"/>
        <family val="2"/>
        <scheme val="minor"/>
      </rPr>
      <t xml:space="preserve"> (10) γινεσθε ουν</t>
    </r>
  </si>
  <si>
    <r>
      <t xml:space="preserve">(7) εντολαι του νομου διπλαι εισι και </t>
    </r>
    <r>
      <rPr>
        <b/>
        <sz val="11"/>
        <color theme="1"/>
        <rFont val="Calibri"/>
        <family val="2"/>
        <scheme val="minor"/>
      </rPr>
      <t>ει μη γενωνται εν ταξει αυτων αμαρτιαν παρεχουσιν ουτως εστι και επι των λοιπων εντολων</t>
    </r>
    <r>
      <rPr>
        <sz val="11"/>
        <color theme="1"/>
        <rFont val="Calibri"/>
        <family val="2"/>
        <scheme val="minor"/>
      </rPr>
      <t xml:space="preserve"> αλλα και μετα τεχνης πληρουνται (8) ... (9) (10) γινεσθε ουν</t>
    </r>
  </si>
  <si>
    <r>
      <t xml:space="preserve">(7) εντολαι του νομου διπλαι εισι και ει μη γενωνται εν ταξει αυτων αμαρτιαν παρεχουσιν ουτως εστι και επι των λοιπων εντολων </t>
    </r>
    <r>
      <rPr>
        <b/>
        <sz val="11"/>
        <color theme="1"/>
        <rFont val="Calibri"/>
        <family val="2"/>
        <scheme val="minor"/>
      </rPr>
      <t>αλλα</t>
    </r>
    <r>
      <rPr>
        <sz val="11"/>
        <color theme="1"/>
        <rFont val="Calibri"/>
        <family val="2"/>
        <scheme val="minor"/>
      </rPr>
      <t xml:space="preserve"> και μετα τεχνης πληρουνται (8) ... (9) (10) γινεσθε ουν</t>
    </r>
  </si>
  <si>
    <r>
      <t xml:space="preserve">(7) εντολαι του νομου διπλαι εισι και μετα τεχνης πληρουνται (8) ... (9) </t>
    </r>
    <r>
      <rPr>
        <b/>
        <sz val="11"/>
        <color theme="1"/>
        <rFont val="Calibri"/>
        <family val="2"/>
        <scheme val="minor"/>
      </rPr>
      <t>και δυο εντολαι εισι και</t>
    </r>
    <r>
      <rPr>
        <sz val="11"/>
        <color theme="1"/>
        <rFont val="Calibri"/>
        <family val="2"/>
        <scheme val="minor"/>
      </rPr>
      <t xml:space="preserve"> ει μη γενωνται εν ταξει αυτων αμαρτιαν παρεχουσιν ουτως εστι και επι των λοιπων εντολων (10) γινεσθε ουν</t>
    </r>
  </si>
  <si>
    <t>frequency = πεμπτος - εβδομος</t>
  </si>
  <si>
    <t>3</t>
  </si>
  <si>
    <t>7</t>
  </si>
  <si>
    <t>frequency = εκτοσ</t>
  </si>
  <si>
    <t>frequency = rel. pron.</t>
  </si>
  <si>
    <t>Apparent transposition due to inclusion or exclusion of το (see above); 1.0.1 transposition</t>
  </si>
  <si>
    <t>autograph does not match pattern at 2:8 which excludes μεν; apograph harmonizes</t>
  </si>
  <si>
    <t>skips 1 line (248v.1.12; visual cues present)</t>
  </si>
  <si>
    <t>skips 1.5 lines (251r.1.9-10; visual cues ambiguous); frequency = δολος</t>
  </si>
  <si>
    <r>
      <t xml:space="preserve">τουτοις </t>
    </r>
    <r>
      <rPr>
        <b/>
        <sz val="11"/>
        <color theme="1"/>
        <rFont val="Calibri"/>
        <family val="2"/>
        <scheme val="minor"/>
      </rPr>
      <t>πασιν</t>
    </r>
    <r>
      <rPr>
        <sz val="11"/>
        <color theme="1"/>
        <rFont val="Calibri"/>
        <family val="2"/>
        <scheme val="minor"/>
      </rPr>
      <t xml:space="preserve"> εχαμοκοιτων εγω εν σακκω και εδεομην του θυ</t>
    </r>
  </si>
  <si>
    <r>
      <t xml:space="preserve">τουτοις πασιν </t>
    </r>
    <r>
      <rPr>
        <b/>
        <sz val="11"/>
        <color theme="1"/>
        <rFont val="Calibri"/>
        <family val="2"/>
        <scheme val="minor"/>
      </rPr>
      <t>εχαμοκοιτων</t>
    </r>
    <r>
      <rPr>
        <sz val="11"/>
        <color theme="1"/>
        <rFont val="Calibri"/>
        <family val="2"/>
        <scheme val="minor"/>
      </rPr>
      <t xml:space="preserve"> εγω εν σακκω και εδεομην του θυ</t>
    </r>
  </si>
  <si>
    <t>τουτοις εχαμοκοιτων  εδεομην του θεου</t>
  </si>
  <si>
    <r>
      <t xml:space="preserve">τουτοις </t>
    </r>
    <r>
      <rPr>
        <b/>
        <sz val="11"/>
        <color theme="1"/>
        <rFont val="Calibri"/>
        <family val="2"/>
        <scheme val="minor"/>
      </rPr>
      <t>εχαμοκοιτων</t>
    </r>
    <r>
      <rPr>
        <sz val="11"/>
        <color theme="1"/>
        <rFont val="Calibri"/>
        <family val="2"/>
        <scheme val="minor"/>
      </rPr>
      <t xml:space="preserve">  εδεομην του θεου</t>
    </r>
  </si>
  <si>
    <r>
      <t xml:space="preserve">τουτοις πασιν εχαμοκοιτων </t>
    </r>
    <r>
      <rPr>
        <b/>
        <sz val="11"/>
        <color theme="1"/>
        <rFont val="Calibri"/>
        <family val="2"/>
        <scheme val="minor"/>
      </rPr>
      <t>εγω</t>
    </r>
    <r>
      <rPr>
        <sz val="11"/>
        <color theme="1"/>
        <rFont val="Calibri"/>
        <family val="2"/>
        <scheme val="minor"/>
      </rPr>
      <t xml:space="preserve"> </t>
    </r>
    <r>
      <rPr>
        <b/>
        <sz val="11"/>
        <color theme="1"/>
        <rFont val="Calibri"/>
        <family val="2"/>
        <scheme val="minor"/>
      </rPr>
      <t xml:space="preserve">εν σακκω και </t>
    </r>
    <r>
      <rPr>
        <sz val="11"/>
        <color theme="1"/>
        <rFont val="Calibri"/>
        <family val="2"/>
        <scheme val="minor"/>
      </rPr>
      <t>εδεομην του θυ</t>
    </r>
  </si>
  <si>
    <t>frequency = σακκος</t>
  </si>
  <si>
    <t>autograph matches pattern in 4:8 (οπως ρυσεται με ο κς); apograph disharmonizes</t>
  </si>
  <si>
    <t>autograph deviates from pattern in 4:3 (οπως ρυσεται με ο κς); apograph harmonizes</t>
  </si>
  <si>
    <t>εν τη καρδια μου... εν τη διανοια μου</t>
  </si>
  <si>
    <t>εν τη διανοια μου... εν τη καρδια μου</t>
  </si>
  <si>
    <t>autograph matches pattern from 11:3 (ελεγον οτι δουλος αυτων ειμι); apograph disharmonizes</t>
  </si>
  <si>
    <t>since second word is obscured, freq = ο - αυτος</t>
  </si>
  <si>
    <t>N</t>
  </si>
  <si>
    <t>Var Type</t>
  </si>
  <si>
    <t>Indpendent</t>
  </si>
  <si>
    <t>% Dual:</t>
  </si>
  <si>
    <t>W/ Nons</t>
  </si>
  <si>
    <t>W/o Nons</t>
  </si>
  <si>
    <t>Adds:</t>
  </si>
  <si>
    <t>Omits:</t>
  </si>
  <si>
    <t>W/ ditt.</t>
  </si>
  <si>
    <t>W/o ditt.</t>
  </si>
  <si>
    <t>Non-Duals</t>
  </si>
  <si>
    <t>SimGem</t>
  </si>
  <si>
    <t>AspChan</t>
  </si>
  <si>
    <t>SibOm</t>
  </si>
  <si>
    <t>AltForm</t>
  </si>
  <si>
    <t>Contraction</t>
  </si>
  <si>
    <t>SimGem; ι-η</t>
  </si>
  <si>
    <t>Dependent variant</t>
  </si>
  <si>
    <t>adds:</t>
  </si>
  <si>
    <t>omits:</t>
  </si>
  <si>
    <t>Add rate:</t>
  </si>
  <si>
    <t>LM-adds:</t>
  </si>
  <si>
    <t>LM-omits:</t>
  </si>
  <si>
    <t>LM-add rate:</t>
  </si>
  <si>
    <t>LM</t>
  </si>
  <si>
    <t>HM</t>
  </si>
  <si>
    <t>Length</t>
  </si>
  <si>
    <t>Adds</t>
  </si>
  <si>
    <t>Omits</t>
  </si>
  <si>
    <t>AddRate</t>
  </si>
  <si>
    <t>HM-adds:</t>
  </si>
  <si>
    <t>HM-omits:</t>
  </si>
  <si>
    <t>HM-add rate:</t>
  </si>
  <si>
    <t>Cues</t>
  </si>
  <si>
    <t>Not</t>
  </si>
  <si>
    <t>% present</t>
  </si>
  <si>
    <t>Total</t>
  </si>
  <si>
    <t>Add ratio diff.</t>
  </si>
  <si>
    <t>Add Ratio</t>
  </si>
  <si>
    <t>Cues Abs.</t>
  </si>
  <si>
    <t>Cues Pres.</t>
  </si>
  <si>
    <t>Non-ditt.</t>
  </si>
  <si>
    <t>Ditt.</t>
  </si>
  <si>
    <t>2-3</t>
  </si>
  <si>
    <t>4+</t>
  </si>
  <si>
    <t>&gt;=5</t>
  </si>
  <si>
    <t>Words in corpus (Genesis - Deuteronomy)</t>
  </si>
  <si>
    <t>SUB_Aut_Freq</t>
  </si>
  <si>
    <t>SUB_Apog_Freq</t>
  </si>
  <si>
    <t/>
  </si>
  <si>
    <t>Freq-per-10000</t>
  </si>
  <si>
    <t>Med-word-freq</t>
  </si>
  <si>
    <t>HF-adds</t>
  </si>
  <si>
    <t>HF-omits</t>
  </si>
  <si>
    <t>HF-add-ratio</t>
  </si>
  <si>
    <t>LF-adds</t>
  </si>
  <si>
    <t>LF-omits</t>
  </si>
  <si>
    <t>LF-add-ratio</t>
  </si>
  <si>
    <t>art-adds</t>
  </si>
  <si>
    <t>art-omits</t>
  </si>
  <si>
    <t>art-add-rate</t>
  </si>
  <si>
    <t>Aut_P10K_Freq</t>
  </si>
  <si>
    <t>Apog_P10K_Freq</t>
  </si>
  <si>
    <t>P10K_Freq_Diff</t>
  </si>
  <si>
    <t>pos</t>
  </si>
  <si>
    <t>neg</t>
  </si>
  <si>
    <t>p =</t>
  </si>
  <si>
    <t>avg_diff</t>
  </si>
  <si>
    <t>stdv</t>
  </si>
  <si>
    <t>avg_P10K_diff</t>
  </si>
  <si>
    <t>P10K_stdv</t>
  </si>
  <si>
    <t>AddRatioDiff</t>
  </si>
  <si>
    <t>total_subs</t>
  </si>
  <si>
    <t>std_dev</t>
  </si>
  <si>
    <t>Harmonizations</t>
  </si>
  <si>
    <t>Disharmonizations</t>
  </si>
  <si>
    <t>Harm_Ratio</t>
  </si>
  <si>
    <t>Words copied</t>
  </si>
  <si>
    <t>Raw Errors</t>
  </si>
  <si>
    <t>Variants</t>
  </si>
  <si>
    <t>Raw PKW Error Rate</t>
  </si>
  <si>
    <t>PKW Meaningful Error Rate</t>
  </si>
  <si>
    <t>Pseudo-singular</t>
  </si>
  <si>
    <t>Correction Readings Followed</t>
  </si>
  <si>
    <t>% Yes</t>
  </si>
  <si>
    <t>Variant Corrected</t>
  </si>
  <si>
    <t>Count</t>
  </si>
  <si>
    <t>% of Variants</t>
  </si>
  <si>
    <t>Proportion of "Corrections"</t>
  </si>
  <si>
    <t>Partially</t>
  </si>
  <si>
    <t>To Other Variant</t>
  </si>
  <si>
    <t>Diff.:</t>
  </si>
  <si>
    <r>
      <t xml:space="preserve">οπως </t>
    </r>
    <r>
      <rPr>
        <b/>
        <sz val="11"/>
        <color theme="1"/>
        <rFont val="Calibri"/>
        <family val="2"/>
        <scheme val="minor"/>
      </rPr>
      <t>ο κς</t>
    </r>
    <r>
      <rPr>
        <sz val="11"/>
        <color theme="1"/>
        <rFont val="Calibri"/>
        <family val="2"/>
        <scheme val="minor"/>
      </rPr>
      <t xml:space="preserve"> αγαπησει υμας  (9:1) και πολλα</t>
    </r>
  </si>
  <si>
    <r>
      <t xml:space="preserve">οπως αγαπηση υμας </t>
    </r>
    <r>
      <rPr>
        <b/>
        <sz val="11"/>
        <color theme="1"/>
        <rFont val="Calibri"/>
        <family val="2"/>
        <scheme val="minor"/>
      </rPr>
      <t>ο κυριος</t>
    </r>
    <r>
      <rPr>
        <sz val="11"/>
        <color theme="1"/>
        <rFont val="Calibri"/>
        <family val="2"/>
        <scheme val="minor"/>
      </rPr>
      <t xml:space="preserve"> (9:1) και πολλα</t>
    </r>
  </si>
  <si>
    <r>
      <t xml:space="preserve">οπως ο κς </t>
    </r>
    <r>
      <rPr>
        <b/>
        <sz val="11"/>
        <color theme="1"/>
        <rFont val="Calibri"/>
        <family val="2"/>
        <scheme val="minor"/>
      </rPr>
      <t>αγαπησει</t>
    </r>
    <r>
      <rPr>
        <sz val="11"/>
        <color theme="1"/>
        <rFont val="Calibri"/>
        <family val="2"/>
        <scheme val="minor"/>
      </rPr>
      <t xml:space="preserve"> υμας  (9:1) και πολλα</t>
    </r>
  </si>
  <si>
    <r>
      <t xml:space="preserve">οπως </t>
    </r>
    <r>
      <rPr>
        <b/>
        <sz val="11"/>
        <color theme="1"/>
        <rFont val="Calibri"/>
        <family val="2"/>
        <scheme val="minor"/>
      </rPr>
      <t>αγαπηση</t>
    </r>
    <r>
      <rPr>
        <sz val="11"/>
        <color theme="1"/>
        <rFont val="Calibri"/>
        <family val="2"/>
        <scheme val="minor"/>
      </rPr>
      <t xml:space="preserve"> υμας ο κυριος (9:1) και πολλα</t>
    </r>
  </si>
  <si>
    <r>
      <rPr>
        <b/>
        <sz val="11"/>
        <color theme="1"/>
        <rFont val="Calibri"/>
        <family val="2"/>
        <scheme val="minor"/>
      </rPr>
      <t>ποιει</t>
    </r>
    <r>
      <rPr>
        <sz val="11"/>
        <color theme="1"/>
        <rFont val="Calibri"/>
        <family val="2"/>
        <scheme val="minor"/>
      </rPr>
      <t xml:space="preserve"> νομον κυριου ουκ επαινει τουτον εαν φοβηται</t>
    </r>
  </si>
  <si>
    <t xml:space="preserve">εν πασιν εν κατεναντι του ενος και εν υπο του ενος </t>
  </si>
  <si>
    <r>
      <t xml:space="preserve">ουδε ως </t>
    </r>
    <r>
      <rPr>
        <b/>
        <sz val="11"/>
        <color theme="1"/>
        <rFont val="Calibri"/>
        <family val="2"/>
        <scheme val="minor"/>
      </rPr>
      <t xml:space="preserve">υιος </t>
    </r>
    <r>
      <rPr>
        <sz val="11"/>
        <color theme="1"/>
        <rFont val="Calibri"/>
        <family val="2"/>
        <scheme val="minor"/>
      </rPr>
      <t>ανου δειλια ουδε ως γηγενης ασθενει η αποθειται</t>
    </r>
  </si>
  <si>
    <t>ουτε ως ανθρωπος δειλια ουτε ως γηγενης ασθενει η απωθειται</t>
  </si>
  <si>
    <t>Harmonization_Direction</t>
  </si>
  <si>
    <t>Forward</t>
  </si>
  <si>
    <t>Backward</t>
  </si>
  <si>
    <t>Both</t>
  </si>
  <si>
    <t>Directionality</t>
  </si>
  <si>
    <t>harmonizes in relation to phrase at 2:8 (ολον δε κακον εστιν) but disharmonizes relative to 4:4 (ֹολον δε καλον εστιν)</t>
  </si>
  <si>
    <t>Forward (Exclusive)</t>
  </si>
  <si>
    <t>Forward (Inclusive)</t>
  </si>
  <si>
    <t>Backward (Exclusive)</t>
  </si>
  <si>
    <t>Backward (Inclusive)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</si>
</sst>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color theme="1"/>
      <name val="Arial Unicode MS"/>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2" borderId="0" xfId="0" applyFill="1"/>
    <xf numFmtId="49" fontId="1" fillId="0" borderId="0" xfId="0" applyNumberFormat="1" applyFont="1"/>
    <xf numFmtId="0" fontId="0" fillId="3" borderId="1" xfId="0" applyFill="1" applyBorder="1"/>
    <xf numFmtId="49" fontId="0" fillId="3" borderId="1" xfId="0" applyNumberFormat="1" applyFill="1" applyBorder="1"/>
    <xf numFmtId="49" fontId="0" fillId="0" borderId="0" xfId="0" applyNumberFormat="1"/>
    <xf numFmtId="0" fontId="4" fillId="0" borderId="0" xfId="0" applyFont="1" applyAlignment="1">
      <alignment vertical="center"/>
    </xf>
    <xf numFmtId="0" fontId="0" fillId="0" borderId="0" xfId="0" applyAlignment="1">
      <alignment horizontal="center"/>
    </xf>
  </cellXfs>
  <cellStyles count="1">
    <cellStyle name="Normal" xfId="0" builtinId="0"/>
  </cellStyles>
  <dxfs count="343">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onathan Wilken" id="{5D048A0C-9405-47F1-A020-6E53793B23CD}" userId="186593bc330ab85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 dT="2024-01-16T10:00:06.98" personId="{5D048A0C-9405-47F1-A020-6E53793B23CD}" id="{11C45E5E-AC65-4BCD-9D62-1AA8D1FC384F}">
    <text>For substitutions, the word frequency of the apograph reading</text>
  </threadedComment>
  <threadedComment ref="V1" dT="2024-01-16T09:59:48.08" personId="{5D048A0C-9405-47F1-A020-6E53793B23CD}" id="{3E3A7306-08C6-49A9-8D1B-32D16EFDEDA4}">
    <text>For substitutions, the word frequency of the autograph reading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R1" dT="2024-01-16T10:00:06.98" personId="{5D048A0C-9405-47F1-A020-6E53793B23CD}" id="{C797F4AB-38A6-48E2-8A90-3523997B327C}">
    <text>For substitutions, the word frequency of the apograph reading</text>
  </threadedComment>
  <threadedComment ref="S1" dT="2024-01-16T09:59:48.08" personId="{5D048A0C-9405-47F1-A020-6E53793B23CD}" id="{42A57B8F-6C7C-433F-B9C8-CAC2C63B6102}">
    <text>For substitutions, the word frequency of the autograph reading</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1-15T15:51:08.85" personId="{5D048A0C-9405-47F1-A020-6E53793B23CD}" id="{F4CD470D-D381-4518-B83F-CA8CD3878F3C}">
    <text>Derived variable indicating the number of times per 1000 words the added or omitted word occurs. Thus, Freq-per-10,000 = (AO Word Frequency / Words in Corpus) * 10,000</text>
  </threadedComment>
  <threadedComment ref="S1" dT="2024-01-16T10:00:06.98" personId="{5D048A0C-9405-47F1-A020-6E53793B23CD}" id="{C88838FA-4A49-4795-BD17-7459821CC203}">
    <text>For substitutions, the word frequency of the apograph reading</text>
  </threadedComment>
  <threadedComment ref="T1" dT="2024-01-16T09:59:48.08" personId="{5D048A0C-9405-47F1-A020-6E53793B23CD}" id="{BF7B4448-14E0-4B2D-ADC1-F8B284433F03}">
    <text>For substitutions, the word frequency of the autograph reading</text>
  </threadedComment>
  <threadedComment ref="F109" dT="2023-09-09T16:20:24.92" personId="{5D048A0C-9405-47F1-A020-6E53793B23CD}" id="{AAA361B9-165A-4331-A5E8-6ACDF8009FB9}">
    <text>Raw number of additions</text>
  </threadedComment>
  <threadedComment ref="B110" dT="2023-09-09T13:15:24.43" personId="{5D048A0C-9405-47F1-A020-6E53793B23CD}" id="{A854D587-AB6E-48DE-8E14-1893471222E1}">
    <text>"Low Meaning" words</text>
  </threadedComment>
  <threadedComment ref="C110" dT="2023-09-09T13:15:40.92" personId="{5D048A0C-9405-47F1-A020-6E53793B23CD}" id="{151C8778-B154-4B7B-A611-00428684F532}">
    <text>"High Meaning" words</text>
  </threadedComment>
  <threadedComment ref="F110" dT="2023-09-09T16:20:41.93" personId="{5D048A0C-9405-47F1-A020-6E53793B23CD}" id="{3D7B3443-2755-4D50-B02D-B2088E6719F2}">
    <text>Raw number of omissions</text>
  </threadedComment>
  <threadedComment ref="F111" dT="2023-09-09T16:21:30.82" personId="{5D048A0C-9405-47F1-A020-6E53793B23CD}" id="{D6B94900-D7A6-47BA-AC4D-80EA4E6C167D}">
    <text>% of add-omits that are additions</text>
  </threadedComment>
  <threadedComment ref="F114" dT="2023-09-09T16:22:43.13" personId="{5D048A0C-9405-47F1-A020-6E53793B23CD}" id="{6A065C90-FD5E-4F61-B622-BB31619B22CF}">
    <text>Raw number of additions of "low meaning" words. See LM column for included word types (and adjust equation as necessary)</text>
  </threadedComment>
  <threadedComment ref="F115" dT="2023-09-09T16:23:00.73" personId="{5D048A0C-9405-47F1-A020-6E53793B23CD}" id="{13FDB31E-649A-46D9-9716-72A4A901D475}">
    <text>Raw number of omissions of "low meaning" words. See LM column for included word types (and adjust equation as necessary)</text>
  </threadedComment>
  <threadedComment ref="F116" dT="2023-09-09T16:23:25.50" personId="{5D048A0C-9405-47F1-A020-6E53793B23CD}" id="{6D30D556-EBFD-48AE-A60E-D191BE926DA7}">
    <text>Addition rate for "low meaning" words. See LM column for included word types (and adjust equation as necessary)</text>
  </threadedComment>
  <threadedComment ref="F119" dT="2023-09-09T16:26:23.57" personId="{5D048A0C-9405-47F1-A020-6E53793B23CD}" id="{0F7A5482-1E18-49BE-9321-35C0B3DEC905}">
    <text>Raw number of additions of "high meaning" words. See HM column for included word types (and adjust equation as necessary)</text>
  </threadedComment>
  <threadedComment ref="F120" dT="2023-09-09T16:26:53.68" personId="{5D048A0C-9405-47F1-A020-6E53793B23CD}" id="{587BB1F2-FC1B-45CC-928B-4DBE9AF38BE3}">
    <text>Raw number of omissions of "high meaning" words. See HM column for included word types (and adjust equation as necessary)</text>
  </threadedComment>
  <threadedComment ref="F121" dT="2023-09-09T16:27:24.75" personId="{5D048A0C-9405-47F1-A020-6E53793B23CD}" id="{839B3D80-07ED-4000-ADFA-FB0BDC93E1CA}">
    <text>Addition rate for "high meaning" words. See HM column for included word types (and adjust equation as necessary)</text>
  </threadedComment>
  <threadedComment ref="D127" dT="2023-09-09T16:31:02.72" personId="{5D048A0C-9405-47F1-A020-6E53793B23CD}" id="{173B0ED9-2A36-44BA-B6D7-A98F0F8BB3F9}">
    <text>The number of add-omits where visual cues are present that are, in fact, additions. I.e., the number of additions that result in the presence of visual cues</text>
  </threadedComment>
  <threadedComment ref="E127" dT="2023-09-09T16:31:50.60" personId="{5D048A0C-9405-47F1-A020-6E53793B23CD}" id="{93F21761-62BE-46EA-96F0-9069B4A7BD8A}">
    <text>The number of add-omits where visual cues are NOT present that are, in fact, additions. I.e., the number of additions that generate no visual cues</text>
  </threadedComment>
  <threadedComment ref="F127" dT="2023-09-09T16:33:25.83" personId="{5D048A0C-9405-47F1-A020-6E53793B23CD}" id="{546AE8A1-0C00-44FB-991D-00FEF396A25D}">
    <text>The percentage of add-omits where visual cues are present that are, in fact, additions. I.e., a percent frequency indicating how often an addition generates visual cues</text>
  </threadedComment>
  <threadedComment ref="D128" dT="2023-09-09T16:34:19.48" personId="{5D048A0C-9405-47F1-A020-6E53793B23CD}" id="{A074CE99-6161-482C-858A-C1B666CD74A1}">
    <text>The number of add-omits where visual cues are present that are, in fact, omissions. I.e., the number of times that omissions occurred in the presence of visual cues</text>
  </threadedComment>
  <threadedComment ref="E128" dT="2023-09-09T16:34:51.06" personId="{5D048A0C-9405-47F1-A020-6E53793B23CD}" id="{15DA898F-0C83-4B4D-A2AB-DAE605CF0DDA}">
    <text>The number of add-omits where visual cues are NOT present that are, in fact, omissions. I.e., the number of times that omissions occurred in the absence of visual cues</text>
  </threadedComment>
  <threadedComment ref="F128" dT="2023-09-09T16:35:41.16" personId="{5D048A0C-9405-47F1-A020-6E53793B23CD}" id="{CD8EE802-E595-486E-9DFF-51D9928A2201}">
    <text>The percentage of add-omits where visual cues are present that are, in fact, omissions. I.e., the percentage of omissions that could plausibly be due to visual cues</text>
  </threadedComment>
  <threadedComment ref="D129" dT="2023-09-09T16:36:05.81" personId="{5D048A0C-9405-47F1-A020-6E53793B23CD}" id="{E429EFD9-9DE9-468C-A5B2-0360B2222890}">
    <text>The total number of add-omits that involve visual cues</text>
  </threadedComment>
  <threadedComment ref="E129" dT="2023-09-09T16:38:54.43" personId="{5D048A0C-9405-47F1-A020-6E53793B23CD}" id="{026A3C47-73C1-4EF6-B13E-C324C8E60856}">
    <text>The total number of add-omits that involve NO visual cues (given the definition of this project, i.e., 3-character minimum similarity in critical regions)</text>
  </threadedComment>
  <threadedComment ref="F129" dT="2023-09-09T16:39:12.76" personId="{5D048A0C-9405-47F1-A020-6E53793B23CD}" id="{298C8F0A-E447-4641-90B3-46C514BF1989}">
    <text>The percentage of all add-omits that involve visual cues</text>
  </threadedComment>
  <threadedComment ref="D133" dT="2023-09-09T16:31:50.60" personId="{5D048A0C-9405-47F1-A020-6E53793B23CD}" id="{FCB4D91D-6334-4D32-8B91-B00D8C135731}">
    <text>The number of add-omits where visual cues are NOT present that are, in fact, additions. I.e., the number of additions that generate no visual cues</text>
  </threadedComment>
  <threadedComment ref="E133" dT="2023-09-09T16:34:51.06" personId="{5D048A0C-9405-47F1-A020-6E53793B23CD}" id="{46CDFA74-5C92-46B8-B246-2C23B4FF228C}">
    <text>The number of add-omits where visual cues are NOT present that are, in fact, omissions. I.e., the number of times that omissions occurred in the absence of visual cues</text>
  </threadedComment>
  <threadedComment ref="D134" dT="2023-09-09T16:31:02.72" personId="{5D048A0C-9405-47F1-A020-6E53793B23CD}" id="{23C78B75-7346-449E-B938-2D6C4FACA328}">
    <text>The number of add-omits where visual cues are present that are, in fact, additions. I.e., the number of additions that result in the presence of visual cues</text>
  </threadedComment>
  <threadedComment ref="E134" dT="2023-09-09T16:34:19.48" personId="{5D048A0C-9405-47F1-A020-6E53793B23CD}" id="{CA50FF0F-6928-4773-BBE8-EDB10E23EBC3}">
    <text>The number of add-omits where visual cues are present that are, in fact, omissions. I.e., the number of times that omissions occurred in the presence of visual cues</text>
  </threadedComment>
  <threadedComment ref="D139" dT="2023-09-09T16:31:50.60" personId="{5D048A0C-9405-47F1-A020-6E53793B23CD}" id="{C899ED03-0B8F-4F19-8AD8-41151375E060}">
    <text>The number of non-dittographic add-omits that are, in fact, additions. I.e., the number of additions that do not result in dittography</text>
  </threadedComment>
  <threadedComment ref="E139" dT="2023-09-09T16:34:51.06" personId="{5D048A0C-9405-47F1-A020-6E53793B23CD}" id="{7512EDF2-9114-48F5-A3BB-9E4B2322C561}">
    <text>The number of non-dittographic add-omits that are, in fact, omissions. I.e., the number of omissions that did not undo a dittographic reading</text>
  </threadedComment>
  <threadedComment ref="D140" dT="2023-09-09T16:31:02.72" personId="{5D048A0C-9405-47F1-A020-6E53793B23CD}" id="{8C2626BE-B6AB-43E4-9246-D02CBECFC34A}">
    <text>The number of dittographic add-omits that are, in fact, additions. I.e., the number of additions that result in dittography</text>
  </threadedComment>
  <threadedComment ref="E140" dT="2023-09-09T16:34:19.48" personId="{5D048A0C-9405-47F1-A020-6E53793B23CD}" id="{4B36A439-9D21-460F-95E8-115889ACAD41}">
    <text>The number of dittographic add-omits that are, in fact, omissions. I.e., the number omissions where the omitted word(s) is/are dittographies</text>
  </threadedComment>
  <threadedComment ref="D145" dT="2024-01-06T19:48:13.17" personId="{5D048A0C-9405-47F1-A020-6E53793B23CD}" id="{33C14EE9-012F-4E34-8061-B01F43212379}">
    <text>Additions of one word</text>
  </threadedComment>
  <threadedComment ref="E145" dT="2024-01-06T19:48:24.08" personId="{5D048A0C-9405-47F1-A020-6E53793B23CD}" id="{A3A59832-E821-48D8-ABD4-D92AB4282A40}">
    <text>Omissions of one word</text>
  </threadedComment>
  <threadedComment ref="F145" dT="2024-01-06T19:49:49.67" personId="{5D048A0C-9405-47F1-A020-6E53793B23CD}" id="{E4B9448A-4735-4DC4-B11D-49400BA19528}">
    <text>Add ratio for single-word variants</text>
  </threadedComment>
  <threadedComment ref="D146" dT="2024-01-06T19:48:46.30" personId="{5D048A0C-9405-47F1-A020-6E53793B23CD}" id="{4AF80A91-EB35-4000-B81F-CDC4C7B10556}">
    <text>Additions of 2-3 words</text>
  </threadedComment>
  <threadedComment ref="E146" dT="2024-01-06T19:49:11.26" personId="{5D048A0C-9405-47F1-A020-6E53793B23CD}" id="{1329C0E8-F4F4-4402-AC63-A164A1049588}">
    <text>Omissions of 2-3 words</text>
  </threadedComment>
  <threadedComment ref="F146" dT="2024-01-06T19:50:08.15" personId="{5D048A0C-9405-47F1-A020-6E53793B23CD}" id="{FD89AE2F-BC65-42FF-AC15-93D1AD99DAA9}">
    <text>Add ratio for variants of 2-3 words</text>
  </threadedComment>
  <threadedComment ref="D147" dT="2024-01-06T19:48:58.81" personId="{5D048A0C-9405-47F1-A020-6E53793B23CD}" id="{A58F5164-576D-4099-9C33-922DEA8675AC}">
    <text>Additions of 4 or more words</text>
  </threadedComment>
  <threadedComment ref="E147" dT="2024-01-06T19:49:22.83" personId="{5D048A0C-9405-47F1-A020-6E53793B23CD}" id="{A41BFAC3-D9AD-4231-AAC4-E981351498CC}">
    <text>Omissions of 4 or more words</text>
  </threadedComment>
  <threadedComment ref="F147" dT="2024-01-06T19:50:20.70" personId="{5D048A0C-9405-47F1-A020-6E53793B23CD}" id="{EFB2BB1D-C23E-4046-B9EE-7E3924A50994}">
    <text>Add ratio for variants of 4 or more words</text>
  </threadedComment>
  <threadedComment ref="C150" dT="2023-09-09T16:27:49.68" personId="{5D048A0C-9405-47F1-A020-6E53793B23CD}" id="{B8489477-6099-4245-9415-AA2F0DD5C04E}">
    <text>Number of words added or omitted</text>
  </threadedComment>
  <threadedComment ref="D150" dT="2023-09-09T16:28:21.63" personId="{5D048A0C-9405-47F1-A020-6E53793B23CD}" id="{89534CEE-E44C-49F0-BD9E-21745286DD55}">
    <text>Number of additions involving the number of words specified in the "Length" column</text>
  </threadedComment>
  <threadedComment ref="E150" dT="2023-09-09T16:28:41.21" personId="{5D048A0C-9405-47F1-A020-6E53793B23CD}" id="{AB3E5EE1-EE48-4BE0-BB76-463C145678A1}">
    <text>Number of omissions involving the number of words specified in the "Length" column</text>
  </threadedComment>
  <threadedComment ref="F150" dT="2023-09-09T16:29:25.88" personId="{5D048A0C-9405-47F1-A020-6E53793B23CD}" id="{78228090-CC6D-4EC3-8EE4-0C81FDA4774A}">
    <text>The addition rate for add-omits involving the number of words indicated in the "Length" column</text>
  </threadedComment>
  <threadedComment ref="E158" dT="2024-01-15T11:53:38.99" personId="{5D048A0C-9405-47F1-A020-6E53793B23CD}" id="{7B2F6684-E883-4E3A-9A74-A5A4849995C3}">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4.xml><?xml version="1.0" encoding="utf-8"?>
<ThreadedComments xmlns="http://schemas.microsoft.com/office/spreadsheetml/2018/threadedcomments" xmlns:x="http://schemas.openxmlformats.org/spreadsheetml/2006/main">
  <threadedComment ref="Q1" dT="2024-01-15T15:51:08.85" personId="{5D048A0C-9405-47F1-A020-6E53793B23CD}" id="{011E0E3A-8255-4908-BE6B-E330E6A4B48F}">
    <text>Derived variable indicating the number of times per 1000 words the added or omitted word occurs. Thus, Freq-per-10,000 = (AO Word Frequency / Words in Corpus) * 10,000</text>
  </threadedComment>
  <threadedComment ref="S1" dT="2024-01-16T10:00:06.98" personId="{5D048A0C-9405-47F1-A020-6E53793B23CD}" id="{57BF1BAF-63CA-4138-8C2E-7B956FDDC02B}">
    <text>For substitutions, the word frequency of the apograph reading</text>
  </threadedComment>
  <threadedComment ref="T1" dT="2024-01-16T09:59:48.08" personId="{5D048A0C-9405-47F1-A020-6E53793B23CD}" id="{13EF569E-07FB-48B9-87E0-A642C7FB11F0}">
    <text>For substitutions, the word frequency of the autograph reading</text>
  </threadedComment>
  <threadedComment ref="D84" dT="2024-01-15T11:53:38.99" personId="{5D048A0C-9405-47F1-A020-6E53793B23CD}" id="{A3C6A0AF-A27C-4512-AC0E-EE6C212BC4D3}">
    <text>Total word count for corpus. Figure taken from Accordance "Word Count Totals" analysis. Search for word "*" specifying [RANGE &lt;CONTENT&gt;]. E.g., for 1 Samuel - 2 Kings in Alexandrinus, search for "* [RANGE 1 Sam - 2 Kings]" in LXX Rahlfs.</text>
  </threadedComment>
  <threadedComment ref="D85" dT="2024-01-15T16:09:47.97" personId="{5D048A0C-9405-47F1-A020-6E53793B23CD}" id="{1B31A28A-9931-496C-9E35-08B3CD64117E}">
    <text>Median word frequency</text>
  </threadedComment>
  <threadedComment ref="D88" dT="2024-01-16T15:49:15.06" personId="{5D048A0C-9405-47F1-A020-6E53793B23CD}" id="{48D09DCE-89C9-44B2-BF6B-BF03AEB5C398}">
    <text>Higher-frequency additions: the number of additions among variants whose word frequency was equal to or above the median</text>
  </threadedComment>
  <threadedComment ref="D89" dT="2024-01-16T15:49:42.55" personId="{5D048A0C-9405-47F1-A020-6E53793B23CD}" id="{9435A053-5EBB-452F-8251-558AC7D51085}">
    <text xml:space="preserve">Higher-frequency omissions: the number of omissions among variants whose word frequency was equal to or above the median
</text>
  </threadedComment>
  <threadedComment ref="D90" dT="2024-01-16T15:50:17.80" personId="{5D048A0C-9405-47F1-A020-6E53793B23CD}" id="{D5BF6FB1-3368-477B-B4AF-C4AE0A5E9F19}">
    <text>Higher-frequency add ratio: the add ratio among variants whose word frequency was equal to or above the median</text>
  </threadedComment>
  <threadedComment ref="D91" dT="2024-01-16T15:50:43.11" personId="{5D048A0C-9405-47F1-A020-6E53793B23CD}" id="{87DD1AB2-BBEC-49FE-9638-61D052DE535F}">
    <text xml:space="preserve">Lower-frequency additions: the number of additions among variants whose word frequency was below the median
</text>
  </threadedComment>
  <threadedComment ref="D92" dT="2024-01-16T15:52:18.36" personId="{5D048A0C-9405-47F1-A020-6E53793B23CD}" id="{57FA1CE8-2568-4745-A4BE-A5C13341359A}">
    <text>Higher-frequency omissions: the number of omissions among variants whose word frequency was below  the median</text>
  </threadedComment>
  <threadedComment ref="D93" dT="2024-01-16T15:51:50.24" personId="{5D048A0C-9405-47F1-A020-6E53793B23CD}" id="{20503263-E465-437A-A875-E6419ED016A9}">
    <text xml:space="preserve">Lower-frequency add ratio: the add ratio among variants whose word frequency was below the median
</text>
  </threadedComment>
  <threadedComment ref="D96" dT="2024-01-16T15:56:55.41" personId="{5D048A0C-9405-47F1-A020-6E53793B23CD}" id="{4BCC899B-3CCB-4D0B-B85C-C48BD96492CB}">
    <text>Articular additions: the number of additions of an article</text>
  </threadedComment>
  <threadedComment ref="D97" dT="2024-01-16T16:01:25.48" personId="{5D048A0C-9405-47F1-A020-6E53793B23CD}" id="{0ADBAF1C-B28C-4D11-9925-0148EE7C565F}">
    <text>Articular omissions: the number of omissions of an article</text>
  </threadedComment>
  <threadedComment ref="D98" dT="2024-01-16T16:01:49.04" personId="{5D048A0C-9405-47F1-A020-6E53793B23CD}" id="{FFD8DDD7-AD8F-42E1-8DF8-5C4304651C7D}">
    <text>Articular add ratio: the add ratio for the definite article</text>
  </threadedComment>
</ThreadedComments>
</file>

<file path=xl/threadedComments/threadedComment5.xml><?xml version="1.0" encoding="utf-8"?>
<ThreadedComments xmlns="http://schemas.microsoft.com/office/spreadsheetml/2018/threadedcomments" xmlns:x="http://schemas.openxmlformats.org/spreadsheetml/2006/main">
  <threadedComment ref="Q1" dT="2024-01-15T15:51:08.85" personId="{5D048A0C-9405-47F1-A020-6E53793B23CD}" id="{170491A0-1F15-4D70-9F11-A2076F4DA891}">
    <text>Derived variable indicating the number of times per 1000 words the added or omitted word occurs. Thus, Freq-per-10,000 = (AO Word Frequency / Words in Corpus) * 10,000</text>
  </threadedComment>
  <threadedComment ref="S1" dT="2024-01-16T10:00:06.98" personId="{5D048A0C-9405-47F1-A020-6E53793B23CD}" id="{D644D20C-3ECC-4171-A82C-7E761695704B}">
    <text>For substitutions, the word frequency of the apograph reading</text>
  </threadedComment>
  <threadedComment ref="T1" dT="2024-01-16T09:59:48.08" personId="{5D048A0C-9405-47F1-A020-6E53793B23CD}" id="{553B44B1-4356-4AF5-8507-6F40A18E0A21}">
    <text>For substitutions, the word frequency of the autograph reading</text>
  </threadedComment>
  <threadedComment ref="D17" dT="2024-01-15T11:53:38.99" personId="{5D048A0C-9405-47F1-A020-6E53793B23CD}" id="{EB5DD003-796C-467D-B6AB-446261F3C619}">
    <text>Total word count for corpus. Figure taken from Accordance "Word Count Totals" analysis. Search for word "*" specifying [RANGE &lt;CONTENT&gt;]. E.g., for 1 Samuel - 2 Kings in Alexandrinus, search for "* [RANGE 1 Sam - 2 Kings]" in LXX Rahlfs.</text>
  </threadedComment>
  <threadedComment ref="D18" dT="2024-01-15T16:09:47.97" personId="{5D048A0C-9405-47F1-A020-6E53793B23CD}" id="{C0405869-1251-4D0E-B658-187A2B6B6F9E}">
    <text>Median word frequency</text>
  </threadedComment>
  <threadedComment ref="D21" dT="2024-01-16T15:49:15.06" personId="{5D048A0C-9405-47F1-A020-6E53793B23CD}" id="{9B5E1E98-208D-4B36-937C-0BFB921FFB46}">
    <text>Higher-frequency additions: the number of additions among variants whose word frequency was equal to or above the median</text>
  </threadedComment>
  <threadedComment ref="D22" dT="2024-01-16T15:49:42.55" personId="{5D048A0C-9405-47F1-A020-6E53793B23CD}" id="{95BD72BD-A5AE-4CB9-9C48-505B6F8AB747}">
    <text xml:space="preserve">Higher-frequency omissions: the number of omissions among variants whose word frequency was equal to or above the median
</text>
  </threadedComment>
  <threadedComment ref="D23" dT="2024-01-16T15:50:17.80" personId="{5D048A0C-9405-47F1-A020-6E53793B23CD}" id="{5182DAA6-6356-4735-BCCD-3A33FE91E055}">
    <text>Higher-frequency add ratio: the add ratio among variants whose word frequency was equal to or above the median</text>
  </threadedComment>
  <threadedComment ref="D24" dT="2024-01-16T15:50:43.11" personId="{5D048A0C-9405-47F1-A020-6E53793B23CD}" id="{FFB63586-73EC-44A6-AE0F-4B6A3550B0BB}">
    <text xml:space="preserve">Lower-frequency additions: the number of additions among variants whose word frequency was below the median
</text>
  </threadedComment>
  <threadedComment ref="D25" dT="2024-01-16T15:52:18.36" personId="{5D048A0C-9405-47F1-A020-6E53793B23CD}" id="{5F525D7D-56B7-4A6B-96D0-DA9547C5A863}">
    <text>Higher-frequency omissions: the number of omissions among variants whose word frequency was below  the median</text>
  </threadedComment>
  <threadedComment ref="D26" dT="2024-01-16T15:51:50.24" personId="{5D048A0C-9405-47F1-A020-6E53793B23CD}" id="{85F7F0B5-84A1-4310-9F57-A44A8F8A2DFB}">
    <text xml:space="preserve">Lower-frequency add ratio: the add ratio among variants whose word frequency was below the median
</text>
  </threadedComment>
  <threadedComment ref="D27" dT="2024-01-22T14:15:25.14" personId="{5D048A0C-9405-47F1-A020-6E53793B23CD}" id="{F69055C1-1FB0-465B-82C8-276F8CCB3C1B}">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6.xml><?xml version="1.0" encoding="utf-8"?>
<ThreadedComments xmlns="http://schemas.microsoft.com/office/spreadsheetml/2018/threadedcomments" xmlns:x="http://schemas.openxmlformats.org/spreadsheetml/2006/main">
  <threadedComment ref="R1" dT="2024-01-16T10:00:06.98" personId="{5D048A0C-9405-47F1-A020-6E53793B23CD}" id="{D3D876BB-FE7B-4507-AB33-E02F4E6CE3A7}">
    <text>For substitutions, the word frequency of the apograph reading</text>
  </threadedComment>
  <threadedComment ref="S1" dT="2024-01-16T09:59:48.08" personId="{5D048A0C-9405-47F1-A020-6E53793B23CD}" id="{EF932C60-81DE-49C8-B5DD-0C80FBA9270C}">
    <text>For substitutions, the word frequency of the autograph reading</text>
  </threadedComment>
  <threadedComment ref="T1" dT="2024-01-16T12:04:07.25" personId="{5D048A0C-9405-47F1-A020-6E53793B23CD}" id="{7F7C073F-DEB6-458C-A544-875635F793DC}">
    <text>Frequency occurrence of autograph reading per 10,000 words of text</text>
  </threadedComment>
  <threadedComment ref="U1" dT="2024-01-16T12:04:21.22" personId="{5D048A0C-9405-47F1-A020-6E53793B23CD}" id="{2FAE73CA-1AAB-4ECC-9D58-5412D10615B1}">
    <text>Frequency occurrence of apograph reading per 10,000 words of text</text>
  </threadedComment>
  <threadedComment ref="V1" dT="2024-01-16T12:05:32.46" personId="{5D048A0C-9405-47F1-A020-6E53793B23CD}" id="{448876B3-04BF-4355-B230-3CBDEFE4877B}">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47" dT="2024-01-15T11:53:38.99" personId="{5D048A0C-9405-47F1-A020-6E53793B23CD}" id="{F07E9AE1-8519-4801-A5FE-A697BBEB152B}">
    <text>Total word count for corpus. Figure taken from Accordance "Word Count Totals" analysis. Search for word "*" specifying [RANGE &lt;CONTENT&gt;]. E.g., for 1 Samuel - 2 Kings in Alexandrinus, search for "* [RANGE 1 Sam - 2 Kings]" in LXX Rahlfs.</text>
  </threadedComment>
  <threadedComment ref="D50" dT="2024-01-16T16:24:54.84" personId="{5D048A0C-9405-47F1-A020-6E53793B23CD}" id="{29A74703-016E-4CFC-B92E-F07673EC1D82}">
    <text>Number of variants where the scribe used a more common/frequent word in place of a less common/frequent word</text>
  </threadedComment>
  <threadedComment ref="D51" dT="2024-01-16T16:25:18.29" personId="{5D048A0C-9405-47F1-A020-6E53793B23CD}" id="{39FB509D-9BA6-4302-A8CF-5C81DEAD4512}">
    <text>Number of variants where the scribe used a less common/frequent word in place of a more  common/frequent word</text>
  </threadedComment>
  <threadedComment ref="D52" dT="2024-01-16T16:26:16.57" personId="{5D048A0C-9405-47F1-A020-6E53793B23CD}" id="{11BF7480-9A11-40C5-AEEB-D6734371103C}">
    <text>Probability based on 2-tailed sign test: probability of obtaining a result as extreme as or more extreme than that shown above</text>
  </threadedComment>
  <threadedComment ref="D54" dT="2024-01-16T16:28:22.68" personId="{5D048A0C-9405-47F1-A020-6E53793B23CD}" id="{B5AA0E27-9780-4598-8A32-1A7F2906C7B4}">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55" dT="2024-01-16T16:28:51.78" personId="{5D048A0C-9405-47F1-A020-6E53793B23CD}" id="{27D7FE53-4D77-47DC-AD69-F7893C79DECD}">
    <text>Standard deviation of the word frequency difference for substitutions</text>
  </threadedComment>
  <threadedComment ref="D58" dT="2024-01-16T16:30:57.18" personId="{5D048A0C-9405-47F1-A020-6E53793B23CD}" id="{A4A4EC7D-67FF-4D19-A29E-CB776119497A}">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59" dT="2024-01-16T16:31:30.62" personId="{5D048A0C-9405-47F1-A020-6E53793B23CD}" id="{1899E584-79CD-4B97-B753-5BA64543D75A}">
    <text>Standard deviation of the change in word frequency, using the frequency measure of "occurrences per 10,000 words"</text>
  </threadedComment>
  <threadedComment ref="D62" dT="2024-01-22T16:14:41.99" personId="{5D048A0C-9405-47F1-A020-6E53793B23CD}" id="{AD150F21-F59A-4934-880C-72B0F3E437A0}">
    <text>Total number of substitutions for which a word frequency difference could be calculated</text>
  </threadedComment>
  <threadedComment ref="D63" dT="2024-01-22T17:13:39.02" personId="{5D048A0C-9405-47F1-A020-6E53793B23CD}" id="{7AA6584E-B67C-4ADD-B92D-1D7FBD6E0132}">
    <text>The standard deviation of word frequency difference scores</text>
  </threadedComment>
</ThreadedComments>
</file>

<file path=xl/threadedComments/threadedComment7.xml><?xml version="1.0" encoding="utf-8"?>
<ThreadedComments xmlns="http://schemas.microsoft.com/office/spreadsheetml/2018/threadedcomments" xmlns:x="http://schemas.openxmlformats.org/spreadsheetml/2006/main">
  <threadedComment ref="S1" dT="2024-01-16T10:00:06.98" personId="{5D048A0C-9405-47F1-A020-6E53793B23CD}" id="{15EAEB4B-473C-4B73-95B4-58147F2B84C1}">
    <text>For substitutions, the word frequency of the apograph reading</text>
  </threadedComment>
  <threadedComment ref="T1" dT="2024-01-16T09:59:48.08" personId="{5D048A0C-9405-47F1-A020-6E53793B23CD}" id="{71669841-C90F-40A8-8F4B-78D3C8A09DFD}">
    <text>For substitutions, the word frequency of the autograph reading</text>
  </threadedComment>
  <threadedComment ref="D11" dT="2024-01-24T17:15:11.25" personId="{5D048A0C-9405-47F1-A020-6E53793B23CD}" id="{0D18027D-D054-4AC3-BAE7-B4A99D94C0F0}">
    <text>The number of variants that harmonized to parallel phrases in the near context</text>
  </threadedComment>
  <threadedComment ref="D12" dT="2024-01-24T17:15:35.01" personId="{5D048A0C-9405-47F1-A020-6E53793B23CD}" id="{49EFB3FC-62E5-403C-B2C0-54EDD3596E07}">
    <text>The number of variants that disharmonized from  parallel phrases in the near context</text>
  </threadedComment>
  <threadedComment ref="D13" dT="2024-01-24T17:16:15.06" personId="{5D048A0C-9405-47F1-A020-6E53793B23CD}" id="{EE9C6689-578E-4889-8372-38C9E9BCE407}">
    <text>The ratio of harmonizations to disharmonizations; = harmonizations / (harmonizations + disharmonizations)</text>
  </threadedComment>
  <threadedComment ref="E17" dT="2026-03-27T21:09:00.40" personId="{5D048A0C-9405-47F1-A020-6E53793B23CD}" id="{76F51042-9711-4953-AB04-A20858CFC720}">
    <text>ONLY those cases where influence from preceding material was possible and EXCLUDING cases where influence from following material was possible.</text>
  </threadedComment>
  <threadedComment ref="F17" dT="2026-03-26T18:54:36.97" personId="{5D048A0C-9405-47F1-A020-6E53793B23CD}" id="{A135EC53-0464-453A-86F4-47881F057890}">
    <text>All cases where influence from preceding material was possible.</text>
  </threadedComment>
  <threadedComment ref="G17" dT="2026-03-27T21:09:12.56" personId="{5D048A0C-9405-47F1-A020-6E53793B23CD}" id="{5098A3F9-E3A1-4231-A7D8-977A54B0A79B}">
    <text>ONLY those cases where influence from following material was possible and EXCLUDING cases where influence from preceding material was possible.</text>
  </threadedComment>
  <threadedComment ref="H17" dT="2026-03-26T18:55:05.59" personId="{5D048A0C-9405-47F1-A020-6E53793B23CD}" id="{E4CFDDC4-6FA3-4024-9163-FE2B6691707D}">
    <text>All cases where influence from following material was possible.</text>
  </threadedComment>
  <threadedComment ref="I17" dT="2026-03-26T18:56:11.72" personId="{5D048A0C-9405-47F1-A020-6E53793B23CD}" id="{9E7603AE-C18D-481B-94B2-B48F0B27BD2F}">
    <text>Only cases where verbal parallels existed both behind and after the variant in question and the direction of change in verbal similarity was the same.</text>
  </threadedComment>
  <threadedComment ref="J17" dT="2026-03-26T18:56:36.44" personId="{5D048A0C-9405-47F1-A020-6E53793B23CD}" id="{0D03D6FF-BC2F-48A2-A2BE-93F02B02F282}">
    <text>All potential cases of verbal harmonization/disharmonization, forward and backward.</text>
  </threadedComment>
  <threadedComment ref="D18" dT="2024-01-24T17:15:11.25" personId="{5D048A0C-9405-47F1-A020-6E53793B23CD}" id="{03B6D285-AE31-460B-8FB6-3CC65BE0FB1C}">
    <text>The number of variants that harmonized to parallel phrases in the near context</text>
  </threadedComment>
  <threadedComment ref="D19" dT="2024-01-24T17:15:35.01" personId="{5D048A0C-9405-47F1-A020-6E53793B23CD}" id="{87457865-A1B6-41EE-A792-F3E27CEC8034}">
    <text>The number of variants that disharmonized from  parallel phrases in the near context</text>
  </threadedComment>
  <threadedComment ref="D20" dT="2024-01-24T17:16:15.06" personId="{5D048A0C-9405-47F1-A020-6E53793B23CD}" id="{BC7EABE2-E308-4A9E-B435-2DA34FE2660B}">
    <text>The ratio of harmonizations to disharmonizations; = harmonizations / (harmonizations + disharmonizations)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R1" dT="2024-01-16T10:00:06.98" personId="{5D048A0C-9405-47F1-A020-6E53793B23CD}" id="{143F3946-4DAF-4E74-AB64-D6EFBAAFF9D0}">
    <text>For substitutions, the word frequency of the apograph reading</text>
  </threadedComment>
  <threadedComment ref="S1" dT="2024-01-16T09:59:48.08" personId="{5D048A0C-9405-47F1-A020-6E53793B23CD}" id="{25AC859F-1FC9-4560-BD30-D596AA7DF11B}">
    <text>For substitutions, the word frequency of the autograph reading</text>
  </threadedComment>
</ThreadedComments>
</file>

<file path=xl/threadedComments/threadedComment9.xml><?xml version="1.0" encoding="utf-8"?>
<ThreadedComments xmlns="http://schemas.microsoft.com/office/spreadsheetml/2018/threadedcomments" xmlns:x="http://schemas.openxmlformats.org/spreadsheetml/2006/main">
  <threadedComment ref="Q1" dT="2024-01-15T15:51:08.85" personId="{5D048A0C-9405-47F1-A020-6E53793B23CD}" id="{6E879E5A-1D84-4E71-A066-38882273141B}">
    <text>Derived variable indicating the number of times per 1000 words the added or omitted word occurs. Thus, Freq-per-10,000 = (AO Word Frequency / Words in Corpus) * 10,000</text>
  </threadedComment>
  <threadedComment ref="S1" dT="2024-01-16T10:00:06.98" personId="{5D048A0C-9405-47F1-A020-6E53793B23CD}" id="{78428332-A6E5-43F7-AF5A-F0F4710F2C4A}">
    <text>For substitutions, the word frequency of the apograph reading</text>
  </threadedComment>
  <threadedComment ref="T1" dT="2024-01-16T09:59:48.08" personId="{5D048A0C-9405-47F1-A020-6E53793B23CD}" id="{CA3F116F-D6D3-44EE-85F8-6B5C9FEBE435}">
    <text>For substitutions, the word frequency of the autograph reading</text>
  </threadedComment>
  <threadedComment ref="F29" dT="2023-09-09T16:20:24.92" personId="{5D048A0C-9405-47F1-A020-6E53793B23CD}" id="{A44F5EDA-BDEF-4603-B8D6-3A219046E9CA}">
    <text>Raw number of additions</text>
  </threadedComment>
  <threadedComment ref="B30" dT="2023-09-09T13:15:24.43" personId="{5D048A0C-9405-47F1-A020-6E53793B23CD}" id="{1C8D527B-4A63-480B-B5FA-73568763E5BD}">
    <text>"Low Meaning" words</text>
  </threadedComment>
  <threadedComment ref="C30" dT="2023-09-09T13:15:40.92" personId="{5D048A0C-9405-47F1-A020-6E53793B23CD}" id="{04917DA1-FAE3-4C14-B6FD-BF74B98F3F2B}">
    <text>"High Meaning" words</text>
  </threadedComment>
  <threadedComment ref="F30" dT="2023-09-09T16:20:41.93" personId="{5D048A0C-9405-47F1-A020-6E53793B23CD}" id="{9BA896FB-A380-4E32-AB56-3F44CA5568D9}">
    <text>Raw number of omissions</text>
  </threadedComment>
  <threadedComment ref="F31" dT="2023-09-09T16:21:30.82" personId="{5D048A0C-9405-47F1-A020-6E53793B23CD}" id="{91BCCE6C-15F3-4380-8BDE-B3EA3DEC95FF}">
    <text>% of add-omits that are additions</text>
  </threadedComment>
  <threadedComment ref="F34" dT="2023-09-09T16:22:43.13" personId="{5D048A0C-9405-47F1-A020-6E53793B23CD}" id="{A979B574-2BDF-41E6-80D2-F998F3CCCA3B}">
    <text>Raw number of additions of "low meaning" words. See LM column for included word types (and adjust equation as necessary)</text>
  </threadedComment>
  <threadedComment ref="F35" dT="2023-09-09T16:23:00.73" personId="{5D048A0C-9405-47F1-A020-6E53793B23CD}" id="{721892DC-07DC-4342-9AA0-08447D791387}">
    <text>Raw number of omissions of "low meaning" words. See LM column for included word types (and adjust equation as necessary)</text>
  </threadedComment>
  <threadedComment ref="F36" dT="2023-09-09T16:23:25.50" personId="{5D048A0C-9405-47F1-A020-6E53793B23CD}" id="{898B9714-6CA6-44B4-94B3-21C157C7E073}">
    <text>Addition rate for "low meaning" words. See LM column for included word types (and adjust equation as necessary)</text>
  </threadedComment>
  <threadedComment ref="F39" dT="2023-09-09T16:26:23.57" personId="{5D048A0C-9405-47F1-A020-6E53793B23CD}" id="{4D4ABAD3-5F4C-4964-8B58-AC50D09EA8CD}">
    <text>Raw number of additions of "high meaning" words. See HM column for included word types (and adjust equation as necessary)</text>
  </threadedComment>
  <threadedComment ref="F40" dT="2023-09-09T16:26:53.68" personId="{5D048A0C-9405-47F1-A020-6E53793B23CD}" id="{15E44A9C-5043-4D15-9550-CCB3837CF335}">
    <text>Raw number of omissions of "high meaning" words. See HM column for included word types (and adjust equation as necessary)</text>
  </threadedComment>
  <threadedComment ref="F41" dT="2023-09-09T16:27:24.75" personId="{5D048A0C-9405-47F1-A020-6E53793B23CD}" id="{4E6BB0E9-7587-4111-AF40-C2224E5C1920}">
    <text>Addition rate for "high meaning" words. See HM column for included word types (and adjust equation as necessary)</text>
  </threadedComment>
  <threadedComment ref="D47" dT="2023-09-09T16:31:02.72" personId="{5D048A0C-9405-47F1-A020-6E53793B23CD}" id="{CB6DA7E5-E33E-4389-B4C3-6BBDE4385FF0}">
    <text>The number of add-omits where visual cues are present that are, in fact, additions. I.e., the number of additions that result in the presence of visual cues</text>
  </threadedComment>
  <threadedComment ref="E47" dT="2023-09-09T16:31:50.60" personId="{5D048A0C-9405-47F1-A020-6E53793B23CD}" id="{DE97E0AC-D556-4A10-A3C4-DCB63341D630}">
    <text>The number of add-omits where visual cues are NOT present that are, in fact, additions. I.e., the number of additions that generate no visual cues</text>
  </threadedComment>
  <threadedComment ref="F47" dT="2023-09-09T16:33:25.83" personId="{5D048A0C-9405-47F1-A020-6E53793B23CD}" id="{A81877A2-563A-421C-9CAD-96A7025FD14A}">
    <text>The percentage of add-omits where visual cues are present that are, in fact, additions. I.e., a percent frequency indicating how often an addition generates visual cues</text>
  </threadedComment>
  <threadedComment ref="D48" dT="2023-09-09T16:34:19.48" personId="{5D048A0C-9405-47F1-A020-6E53793B23CD}" id="{A0D4D01A-03A2-46E5-9B0E-6E30ADB78834}">
    <text>The number of add-omits where visual cues are present that are, in fact, omissions. I.e., the number of times that omissions occurred in the presence of visual cues</text>
  </threadedComment>
  <threadedComment ref="E48" dT="2023-09-09T16:34:51.06" personId="{5D048A0C-9405-47F1-A020-6E53793B23CD}" id="{8CB124B0-FD46-445B-9302-E763F3D9C946}">
    <text>The number of add-omits where visual cues are NOT present that are, in fact, omissions. I.e., the number of times that omissions occurred in the absence of visual cues</text>
  </threadedComment>
  <threadedComment ref="F48" dT="2023-09-09T16:35:41.16" personId="{5D048A0C-9405-47F1-A020-6E53793B23CD}" id="{C913507B-A116-4369-A7DA-460CF9BFAA36}">
    <text>The percentage of add-omits where visual cues are present that are, in fact, omissions. I.e., the percentage of omissions that could plausibly be due to visual cues</text>
  </threadedComment>
  <threadedComment ref="D49" dT="2023-09-09T16:36:05.81" personId="{5D048A0C-9405-47F1-A020-6E53793B23CD}" id="{8B4560E4-95B9-4900-B35C-B35A646B8821}">
    <text>The total number of add-omits that involve visual cues</text>
  </threadedComment>
  <threadedComment ref="E49" dT="2023-09-09T16:38:54.43" personId="{5D048A0C-9405-47F1-A020-6E53793B23CD}" id="{AF03E3AE-3AB6-40BF-88C4-8370E08EE46A}">
    <text>The total number of add-omits that involve NO visual cues (given the definition of this project, i.e., 3-character minimum similarity in critical regions)</text>
  </threadedComment>
  <threadedComment ref="F49" dT="2023-09-09T16:39:12.76" personId="{5D048A0C-9405-47F1-A020-6E53793B23CD}" id="{9D39B02E-E760-4091-87F4-EDA78D69BF30}">
    <text>The percentage of all add-omits that involve visual cues</text>
  </threadedComment>
  <threadedComment ref="D53" dT="2023-09-09T16:31:50.60" personId="{5D048A0C-9405-47F1-A020-6E53793B23CD}" id="{9B992ECA-4F49-4B60-9BFB-FF2AC9E9B584}">
    <text>The number of add-omits where visual cues are NOT present that are, in fact, additions. I.e., the number of additions that generate no visual cues</text>
  </threadedComment>
  <threadedComment ref="E53" dT="2023-09-09T16:34:51.06" personId="{5D048A0C-9405-47F1-A020-6E53793B23CD}" id="{136B5656-08C8-4EA0-A5B5-7AFF497B37C0}">
    <text>The number of add-omits where visual cues are NOT present that are, in fact, omissions. I.e., the number of times that omissions occurred in the absence of visual cues</text>
  </threadedComment>
  <threadedComment ref="D54" dT="2023-09-09T16:31:02.72" personId="{5D048A0C-9405-47F1-A020-6E53793B23CD}" id="{AF932AEB-3F60-44F6-A5CA-246043C4233A}">
    <text>The number of add-omits where visual cues are present that are, in fact, additions. I.e., the number of additions that result in the presence of visual cues</text>
  </threadedComment>
  <threadedComment ref="E54" dT="2023-09-09T16:34:19.48" personId="{5D048A0C-9405-47F1-A020-6E53793B23CD}" id="{510E2DAC-EDDC-41AA-9B44-C5481BACE1D3}">
    <text>The number of add-omits where visual cues are present that are, in fact, omissions. I.e., the number of times that omissions occurred in the presence of visual cues</text>
  </threadedComment>
  <threadedComment ref="D59" dT="2023-09-09T16:31:50.60" personId="{5D048A0C-9405-47F1-A020-6E53793B23CD}" id="{08C5E1C6-DBF9-45B7-9048-2D6AA393DFB5}">
    <text>The number of non-dittographic add-omits that are, in fact, additions. I.e., the number of additions that do not result in dittography</text>
  </threadedComment>
  <threadedComment ref="E59" dT="2023-09-09T16:34:51.06" personId="{5D048A0C-9405-47F1-A020-6E53793B23CD}" id="{D3C4C2B8-15F0-4BC5-AF3B-A88EC813CF6D}">
    <text>The number of non-dittographic add-omits that are, in fact, omissions. I.e., the number of omissions that did not undo a dittographic reading</text>
  </threadedComment>
  <threadedComment ref="D60" dT="2023-09-09T16:31:02.72" personId="{5D048A0C-9405-47F1-A020-6E53793B23CD}" id="{3B49321E-5DAD-42A2-AC8B-1A13379A7D56}">
    <text>The number of dittographic add-omits that are, in fact, additions. I.e., the number of additions that result in dittography</text>
  </threadedComment>
  <threadedComment ref="E60" dT="2023-09-09T16:34:19.48" personId="{5D048A0C-9405-47F1-A020-6E53793B23CD}" id="{136D93EC-1ABC-4D4F-BDC9-ACEC6EFA4320}">
    <text>The number of dittographic add-omits that are, in fact, omissions. I.e., the number omissions where the omitted word(s) is/are dittographies</text>
  </threadedComment>
  <threadedComment ref="D65" dT="2024-01-06T19:48:13.17" personId="{5D048A0C-9405-47F1-A020-6E53793B23CD}" id="{22899B8D-B6BA-4774-B443-3C4CE7058923}">
    <text>Additions of one word</text>
  </threadedComment>
  <threadedComment ref="E65" dT="2024-01-06T19:48:24.08" personId="{5D048A0C-9405-47F1-A020-6E53793B23CD}" id="{03FAD016-37BC-4072-A1D2-D356371481EF}">
    <text>Omissions of one word</text>
  </threadedComment>
  <threadedComment ref="F65" dT="2024-01-06T19:49:49.67" personId="{5D048A0C-9405-47F1-A020-6E53793B23CD}" id="{AEE5BCDA-FD12-4663-B7F1-E29BC62759C4}">
    <text>Add ratio for single-word variants</text>
  </threadedComment>
  <threadedComment ref="D66" dT="2024-01-06T19:48:46.30" personId="{5D048A0C-9405-47F1-A020-6E53793B23CD}" id="{13DE9C82-502D-4D0C-AAAF-03385E139328}">
    <text>Additions of 2-3 words</text>
  </threadedComment>
  <threadedComment ref="E66" dT="2024-01-06T19:49:11.26" personId="{5D048A0C-9405-47F1-A020-6E53793B23CD}" id="{F383FAAE-7894-414E-8BA2-E82C6110DE89}">
    <text>Omissions of 2-3 words</text>
  </threadedComment>
  <threadedComment ref="F66" dT="2024-01-06T19:50:08.15" personId="{5D048A0C-9405-47F1-A020-6E53793B23CD}" id="{9C13C2CA-C612-490D-BC05-E399C10DC5E3}">
    <text>Add ratio for variants of 2-3 words</text>
  </threadedComment>
  <threadedComment ref="D67" dT="2024-01-06T19:48:58.81" personId="{5D048A0C-9405-47F1-A020-6E53793B23CD}" id="{F416BF82-FE4E-4590-9107-7F48BC3A2D68}">
    <text>Additions of 4 or more words</text>
  </threadedComment>
  <threadedComment ref="E67" dT="2024-01-06T19:49:22.83" personId="{5D048A0C-9405-47F1-A020-6E53793B23CD}" id="{99BC4E4C-8F5D-4479-8B2F-77F8FD653923}">
    <text>Omissions of 4 or more words</text>
  </threadedComment>
  <threadedComment ref="F67" dT="2024-01-06T19:50:20.70" personId="{5D048A0C-9405-47F1-A020-6E53793B23CD}" id="{CB31E416-FC6B-44F0-866C-AD279AF60058}">
    <text>Add ratio for variants of 4 or more words</text>
  </threadedComment>
  <threadedComment ref="C70" dT="2023-09-09T16:27:49.68" personId="{5D048A0C-9405-47F1-A020-6E53793B23CD}" id="{331B19FC-41E3-4BB6-BA5A-6927ACE85C2C}">
    <text>Number of words added or omitted</text>
  </threadedComment>
  <threadedComment ref="D70" dT="2023-09-09T16:28:21.63" personId="{5D048A0C-9405-47F1-A020-6E53793B23CD}" id="{F7937CE7-38A3-4BCA-8856-E520AD81811F}">
    <text>Number of additions involving the number of words specified in the "Length" column</text>
  </threadedComment>
  <threadedComment ref="E70" dT="2023-09-09T16:28:41.21" personId="{5D048A0C-9405-47F1-A020-6E53793B23CD}" id="{9C5EDACF-B33C-4DFF-8FD7-8606D5E57C5A}">
    <text>Number of omissions involving the number of words specified in the "Length" column</text>
  </threadedComment>
  <threadedComment ref="F70" dT="2023-09-09T16:29:25.88" personId="{5D048A0C-9405-47F1-A020-6E53793B23CD}" id="{B7E98012-C818-41A1-92E7-C5771658B57B}">
    <text>The addition rate for add-omits involving the number of words indicated in the "Length" column</text>
  </threadedComment>
  <threadedComment ref="E78" dT="2024-01-15T11:53:38.99" personId="{5D048A0C-9405-47F1-A020-6E53793B23CD}" id="{6DFE91F7-D799-42BC-B090-03556E128839}">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10.xml><?xml version="1.0" encoding="utf-8"?>
<ThreadedComments xmlns="http://schemas.microsoft.com/office/spreadsheetml/2018/threadedcomments" xmlns:x="http://schemas.openxmlformats.org/spreadsheetml/2006/main">
  <threadedComment ref="Q1" dT="2024-01-15T15:51:08.85" personId="{5D048A0C-9405-47F1-A020-6E53793B23CD}" id="{155D98FD-3021-4C83-AE76-99B1008D0A94}">
    <text>Derived variable indicating the number of times per 1000 words the added or omitted word occurs. Thus, Freq-per-10,000 = (AO Word Frequency / Words in Corpus) * 10,000</text>
  </threadedComment>
  <threadedComment ref="S1" dT="2024-01-16T10:00:06.98" personId="{5D048A0C-9405-47F1-A020-6E53793B23CD}" id="{6F18ADB8-3A57-441D-9595-61FFDAB1A74A}">
    <text>For substitutions, the word frequency of the apograph reading</text>
  </threadedComment>
  <threadedComment ref="T1" dT="2024-01-16T09:59:48.08" personId="{5D048A0C-9405-47F1-A020-6E53793B23CD}" id="{F8436B7D-306A-4420-8D8C-B3087C4763D5}">
    <text>For substitutions, the word frequency of the autograph reading</text>
  </threadedComment>
  <threadedComment ref="D20" dT="2024-01-15T11:53:38.99" personId="{5D048A0C-9405-47F1-A020-6E53793B23CD}" id="{A27F08B1-CB56-4065-AFDD-61169B22EE77}">
    <text>Total word count for corpus. Figure taken from Accordance "Word Count Totals" analysis. Search for word "*" specifying [RANGE &lt;CONTENT&gt;]. E.g., for 1 Samuel - 2 Kings in Alexandrinus, search for "* [RANGE 1 Sam - 2 Kings]" in LXX Rahlfs.</text>
  </threadedComment>
  <threadedComment ref="D21" dT="2024-01-15T16:09:47.97" personId="{5D048A0C-9405-47F1-A020-6E53793B23CD}" id="{4539DAA4-4162-439A-9F64-3B7EF75170EA}">
    <text>Median word frequency</text>
  </threadedComment>
  <threadedComment ref="D24" dT="2024-01-16T15:49:15.06" personId="{5D048A0C-9405-47F1-A020-6E53793B23CD}" id="{8843CEA8-4DAC-4C7D-AB0D-3313727DE48A}">
    <text>Higher-frequency additions: the number of additions among variants whose word frequency was equal to or above the median</text>
  </threadedComment>
  <threadedComment ref="D25" dT="2024-01-16T15:49:42.55" personId="{5D048A0C-9405-47F1-A020-6E53793B23CD}" id="{06810358-BE6F-48E5-B4AE-6177968D8A99}">
    <text xml:space="preserve">Higher-frequency omissions: the number of omissions among variants whose word frequency was equal to or above the median
</text>
  </threadedComment>
  <threadedComment ref="D26" dT="2024-01-16T15:50:17.80" personId="{5D048A0C-9405-47F1-A020-6E53793B23CD}" id="{B8B0404D-FC48-4216-804D-60AE5FECD83E}">
    <text>Higher-frequency add ratio: the add ratio among variants whose word frequency was equal to or above the median</text>
  </threadedComment>
  <threadedComment ref="D27" dT="2024-01-16T15:50:43.11" personId="{5D048A0C-9405-47F1-A020-6E53793B23CD}" id="{83655260-7EF3-4CAA-9D1D-841AB1BAD663}">
    <text xml:space="preserve">Lower-frequency additions: the number of additions among variants whose word frequency was below the median
</text>
  </threadedComment>
  <threadedComment ref="D28" dT="2024-01-16T15:52:18.36" personId="{5D048A0C-9405-47F1-A020-6E53793B23CD}" id="{AA1D5965-35B4-4777-982F-E12380E1DA61}">
    <text>Higher-frequency omissions: the number of omissions among variants whose word frequency was below  the median</text>
  </threadedComment>
  <threadedComment ref="D29" dT="2024-01-16T15:51:50.24" personId="{5D048A0C-9405-47F1-A020-6E53793B23CD}" id="{946C0C61-1D14-4149-B3FA-CF75706E5794}">
    <text xml:space="preserve">Lower-frequency add ratio: the add ratio among variants whose word frequency was below the median
</text>
  </threadedComment>
  <threadedComment ref="D32" dT="2024-01-16T15:56:55.41" personId="{5D048A0C-9405-47F1-A020-6E53793B23CD}" id="{C6758262-6E2C-4D97-A982-74F84E465E05}">
    <text>Articular additions: the number of additions of an article</text>
  </threadedComment>
  <threadedComment ref="D33" dT="2024-01-16T16:01:25.48" personId="{5D048A0C-9405-47F1-A020-6E53793B23CD}" id="{16AF493A-457E-446B-B720-342492B24AC3}">
    <text>Articular omissions: the number of omissions of an article</text>
  </threadedComment>
  <threadedComment ref="D34" dT="2024-01-16T16:01:49.04" personId="{5D048A0C-9405-47F1-A020-6E53793B23CD}" id="{81BD981E-E402-4207-8AE7-2464190699E0}">
    <text>Articular add ratio: the add ratio for the definite article</text>
  </threadedComment>
</ThreadedComments>
</file>

<file path=xl/threadedComments/threadedComment11.xml><?xml version="1.0" encoding="utf-8"?>
<ThreadedComments xmlns="http://schemas.microsoft.com/office/spreadsheetml/2018/threadedcomments" xmlns:x="http://schemas.openxmlformats.org/spreadsheetml/2006/main">
  <threadedComment ref="Q1" dT="2024-01-15T15:51:08.85" personId="{5D048A0C-9405-47F1-A020-6E53793B23CD}" id="{61C76FDC-A235-4BF4-989E-700B7950A4FF}">
    <text>Derived variable indicating the number of times per 1000 words the added or omitted word occurs. Thus, Freq-per-10,000 = (AO Word Frequency / Words in Corpus) * 10,000</text>
  </threadedComment>
  <threadedComment ref="S1" dT="2024-01-16T10:00:06.98" personId="{5D048A0C-9405-47F1-A020-6E53793B23CD}" id="{82C898D4-CFF6-474A-A034-A10397D322D0}">
    <text>For substitutions, the word frequency of the apograph reading</text>
  </threadedComment>
  <threadedComment ref="T1" dT="2024-01-16T09:59:48.08" personId="{5D048A0C-9405-47F1-A020-6E53793B23CD}" id="{93898867-0ACF-4057-B892-0B1CBCD42C40}">
    <text>For substitutions, the word frequency of the autograph reading</text>
  </threadedComment>
  <threadedComment ref="D9" dT="2024-01-15T11:53:38.99" personId="{5D048A0C-9405-47F1-A020-6E53793B23CD}" id="{5AA8B83B-F319-41B9-AEE7-B76A93AA7EDF}">
    <text>Total word count for corpus. Figure taken from Accordance "Word Count Totals" analysis. Search for word "*" specifying [RANGE &lt;CONTENT&gt;]. E.g., for 1 Samuel - 2 Kings in Alexandrinus, search for "* [RANGE 1 Sam - 2 Kings]" in LXX Rahlfs.</text>
  </threadedComment>
  <threadedComment ref="D10" dT="2024-01-15T16:09:47.97" personId="{5D048A0C-9405-47F1-A020-6E53793B23CD}" id="{6CF4DAA7-A51C-4B8A-975A-1AEB0C71196D}">
    <text>Median word frequency</text>
  </threadedComment>
  <threadedComment ref="D13" dT="2024-01-16T15:49:15.06" personId="{5D048A0C-9405-47F1-A020-6E53793B23CD}" id="{986B5E31-CBCE-466A-9659-705C008400B2}">
    <text>Higher-frequency additions: the number of additions among variants whose word frequency was equal to or above the median</text>
  </threadedComment>
  <threadedComment ref="D14" dT="2024-01-16T15:49:42.55" personId="{5D048A0C-9405-47F1-A020-6E53793B23CD}" id="{6971C682-9367-46AC-9E4B-75D1E4B6CD64}">
    <text xml:space="preserve">Higher-frequency omissions: the number of omissions among variants whose word frequency was equal to or above the median
</text>
  </threadedComment>
  <threadedComment ref="D15" dT="2024-01-16T15:50:17.80" personId="{5D048A0C-9405-47F1-A020-6E53793B23CD}" id="{9F2A69FA-7435-405E-BDE1-EAFEA9E6B6A2}">
    <text>Higher-frequency add ratio: the add ratio among variants whose word frequency was equal to or above the median</text>
  </threadedComment>
  <threadedComment ref="D16" dT="2024-01-16T15:50:43.11" personId="{5D048A0C-9405-47F1-A020-6E53793B23CD}" id="{9F575387-B2A6-4E18-AA3F-77613D2F1772}">
    <text xml:space="preserve">Lower-frequency additions: the number of additions among variants whose word frequency was below the median
</text>
  </threadedComment>
  <threadedComment ref="D17" dT="2024-01-16T15:52:18.36" personId="{5D048A0C-9405-47F1-A020-6E53793B23CD}" id="{1AB106C3-ACF6-4D26-8380-4CDEC2BA35E1}">
    <text>Higher-frequency omissions: the number of omissions among variants whose word frequency was below  the median</text>
  </threadedComment>
  <threadedComment ref="D18" dT="2024-01-16T15:51:50.24" personId="{5D048A0C-9405-47F1-A020-6E53793B23CD}" id="{1A7AC34D-BC51-4316-8E45-94B5DE32DFC8}">
    <text xml:space="preserve">Lower-frequency add ratio: the add ratio among variants whose word frequency was below the median
</text>
  </threadedComment>
  <threadedComment ref="D19" dT="2024-01-22T14:15:25.14" personId="{5D048A0C-9405-47F1-A020-6E53793B23CD}" id="{EB167329-4D2A-4FC8-90CC-1BACC9CEAB17}">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12.xml><?xml version="1.0" encoding="utf-8"?>
<ThreadedComments xmlns="http://schemas.microsoft.com/office/spreadsheetml/2018/threadedcomments" xmlns:x="http://schemas.openxmlformats.org/spreadsheetml/2006/main">
  <threadedComment ref="R1" dT="2024-01-16T10:00:06.98" personId="{5D048A0C-9405-47F1-A020-6E53793B23CD}" id="{A08788F3-C0D1-47FB-89AB-0D33C05E1729}">
    <text>For substitutions, the word frequency of the apograph reading</text>
  </threadedComment>
  <threadedComment ref="S1" dT="2024-01-16T09:59:48.08" personId="{5D048A0C-9405-47F1-A020-6E53793B23CD}" id="{0880F06A-AC02-4FD4-8D03-CDA000BEBE76}">
    <text>For substitutions, the word frequency of the autograph reading</text>
  </threadedComment>
  <threadedComment ref="T1" dT="2024-01-16T12:04:07.25" personId="{5D048A0C-9405-47F1-A020-6E53793B23CD}" id="{07C77F2D-4F1A-4B5D-8BD8-57C89A1F3437}">
    <text>Frequency occurrence of autograph reading per 10,000 words of text</text>
  </threadedComment>
  <threadedComment ref="U1" dT="2024-01-16T12:04:21.22" personId="{5D048A0C-9405-47F1-A020-6E53793B23CD}" id="{E9D6EEF9-0FC5-4532-85D6-CFFFF3768DB8}">
    <text>Frequency occurrence of apograph reading per 10,000 words of text</text>
  </threadedComment>
  <threadedComment ref="V1" dT="2024-01-16T12:05:32.46" personId="{5D048A0C-9405-47F1-A020-6E53793B23CD}" id="{13EE558B-03C2-4AB6-B7CE-4075A78961B3}">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18" dT="2024-01-15T11:53:38.99" personId="{5D048A0C-9405-47F1-A020-6E53793B23CD}" id="{38F2BB77-C7E5-4B48-B3A3-EACEE667638B}">
    <text>Total word count for corpus. Figure taken from Accordance "Word Count Totals" analysis. Search for word "*" specifying [RANGE &lt;CONTENT&gt;]. E.g., for 1 Samuel - 2 Kings in Alexandrinus, search for "* [RANGE 1 Sam - 2 Kings]" in LXX Rahlfs.</text>
  </threadedComment>
  <threadedComment ref="D21" dT="2024-01-16T16:24:54.84" personId="{5D048A0C-9405-47F1-A020-6E53793B23CD}" id="{CBA0DC0D-D92A-4823-91B8-509C23D2CBD6}">
    <text>Number of variants where the scribe used a more common/frequent word in place of a less common/frequent word</text>
  </threadedComment>
  <threadedComment ref="D22" dT="2024-01-16T16:25:18.29" personId="{5D048A0C-9405-47F1-A020-6E53793B23CD}" id="{02850F84-D14F-4933-99C3-04E349B4F2E2}">
    <text>Number of variants where the scribe used a less common/frequent word in place of a more  common/frequent word</text>
  </threadedComment>
  <threadedComment ref="D23" dT="2024-01-16T16:26:16.57" personId="{5D048A0C-9405-47F1-A020-6E53793B23CD}" id="{3CDA3166-3E4A-4A3A-AB01-182EB99AE347}">
    <text>Probability based on 2-tailed sign test: probability of obtaining a result as extreme as or more extreme than that shown above</text>
  </threadedComment>
  <threadedComment ref="D25" dT="2024-01-16T16:28:22.68" personId="{5D048A0C-9405-47F1-A020-6E53793B23CD}" id="{9E11BED6-AD10-43B4-B778-966376DA2271}">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26" dT="2024-01-16T16:28:51.78" personId="{5D048A0C-9405-47F1-A020-6E53793B23CD}" id="{5793AF60-9ED1-4C1D-BA60-2E1DC25CFFAD}">
    <text>Standard deviation of the word frequency difference for substitutions</text>
  </threadedComment>
  <threadedComment ref="D29" dT="2024-01-16T16:30:57.18" personId="{5D048A0C-9405-47F1-A020-6E53793B23CD}" id="{CBF9310C-AC54-4AB5-A76D-FEA82DD0AED3}">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30" dT="2024-01-16T16:31:30.62" personId="{5D048A0C-9405-47F1-A020-6E53793B23CD}" id="{4FEA324B-9245-4F4D-9366-A0D0F0006DFA}">
    <text>Standard deviation of the change in word frequency, using the frequency measure of "occurrences per 10,000 words"</text>
  </threadedComment>
  <threadedComment ref="D33" dT="2024-01-22T16:14:41.99" personId="{5D048A0C-9405-47F1-A020-6E53793B23CD}" id="{DA9372FD-8D22-4689-A533-4972AAD90871}">
    <text>Total number of substitutions for which a word frequency difference could be calculated</text>
  </threadedComment>
  <threadedComment ref="D34" dT="2024-01-22T17:13:39.02" personId="{5D048A0C-9405-47F1-A020-6E53793B23CD}" id="{4F8D7D0B-DB8A-4246-960A-C8886D681839}">
    <text>The standard deviation of word frequency difference scores</text>
  </threadedComment>
</ThreadedComments>
</file>

<file path=xl/threadedComments/threadedComment13.xml><?xml version="1.0" encoding="utf-8"?>
<ThreadedComments xmlns="http://schemas.microsoft.com/office/spreadsheetml/2018/threadedcomments" xmlns:x="http://schemas.openxmlformats.org/spreadsheetml/2006/main">
  <threadedComment ref="S1" dT="2024-01-16T10:00:06.98" personId="{5D048A0C-9405-47F1-A020-6E53793B23CD}" id="{FA5E55A7-A505-4D11-912A-6CF07AD2BB39}">
    <text>For substitutions, the word frequency of the apograph reading</text>
  </threadedComment>
  <threadedComment ref="T1" dT="2024-01-16T09:59:48.08" personId="{5D048A0C-9405-47F1-A020-6E53793B23CD}" id="{2A2F6122-A2C5-41EC-AB05-7820A9F0055D}">
    <text>For substitutions, the word frequency of the autograph reading</text>
  </threadedComment>
  <threadedComment ref="D5" dT="2024-01-24T17:15:11.25" personId="{5D048A0C-9405-47F1-A020-6E53793B23CD}" id="{8338F56D-D610-4F17-903C-A2ECE6EED2F0}">
    <text>The number of variants that harmonized to parallel phrases in the near context</text>
  </threadedComment>
  <threadedComment ref="D6" dT="2024-01-24T17:15:35.01" personId="{5D048A0C-9405-47F1-A020-6E53793B23CD}" id="{8A240D90-89AC-4D4B-9DB7-D34B60F01251}">
    <text>The number of variants that disharmonized from  parallel phrases in the near context</text>
  </threadedComment>
  <threadedComment ref="D7" dT="2024-01-24T17:16:15.06" personId="{5D048A0C-9405-47F1-A020-6E53793B23CD}" id="{9930AED6-643A-4B1A-BFCC-DC8C9DA94175}">
    <text>The ratio of harmonizations to disharmonizations; = harmonizations / (harmonizations + disharmonizations)</text>
  </threadedComment>
  <threadedComment ref="E11" dT="2026-03-27T21:09:00.40" personId="{5D048A0C-9405-47F1-A020-6E53793B23CD}" id="{6DE769AC-0F42-481E-968D-5AC291FE124B}">
    <text>ONLY those cases where influence from preceding material was possible and EXCLUDING cases where influence from following material was possible.</text>
  </threadedComment>
  <threadedComment ref="F11" dT="2026-03-26T18:54:36.97" personId="{5D048A0C-9405-47F1-A020-6E53793B23CD}" id="{338017DB-1FC0-4A06-841C-22D9F7BD6E0B}">
    <text>All cases where influence from preceding material was possible.</text>
  </threadedComment>
  <threadedComment ref="G11" dT="2026-03-27T21:09:12.56" personId="{5D048A0C-9405-47F1-A020-6E53793B23CD}" id="{296F1BA0-5226-47A7-BAFE-87D25EB7DC04}">
    <text>ONLY those cases where influence from following material was possible and EXCLUDING cases where influence from preceding material was possible.</text>
  </threadedComment>
  <threadedComment ref="H11" dT="2026-03-26T18:55:05.59" personId="{5D048A0C-9405-47F1-A020-6E53793B23CD}" id="{28E27575-CA76-4E5C-8A3D-AEE252FFF8A9}">
    <text>All cases where influence from following material was possible.</text>
  </threadedComment>
  <threadedComment ref="I11" dT="2026-03-26T18:56:11.72" personId="{5D048A0C-9405-47F1-A020-6E53793B23CD}" id="{D4556F5E-5AE9-4124-99B8-0E17C3353AF2}">
    <text>Only cases where verbal parallels existed both behind and after the variant in question and the direction of change in verbal similarity was the same.</text>
  </threadedComment>
  <threadedComment ref="J11" dT="2026-03-26T18:56:36.44" personId="{5D048A0C-9405-47F1-A020-6E53793B23CD}" id="{58C6837B-9EC6-4ABB-AA60-926C2C3C15CD}">
    <text>All potential cases of verbal harmonization/disharmonization, forward and backward.</text>
  </threadedComment>
  <threadedComment ref="D12" dT="2024-01-24T17:15:11.25" personId="{5D048A0C-9405-47F1-A020-6E53793B23CD}" id="{2E7B344D-9AB0-4906-A50F-72C72529D2E8}">
    <text>The number of variants that harmonized to parallel phrases in the near context</text>
  </threadedComment>
  <threadedComment ref="D13" dT="2024-01-24T17:15:35.01" personId="{5D048A0C-9405-47F1-A020-6E53793B23CD}" id="{C22DC7C1-1330-4EFE-B744-E98BE62337E7}">
    <text>The number of variants that disharmonized from  parallel phrases in the near context</text>
  </threadedComment>
  <threadedComment ref="D14" dT="2024-01-24T17:16:15.06" personId="{5D048A0C-9405-47F1-A020-6E53793B23CD}" id="{06505F78-E000-497A-828C-222C825F32FC}">
    <text>The ratio of harmonizations to disharmonizations; = harmonizations / (harmonizations + disharmonizations)</text>
  </threadedComment>
</ThreadedComments>
</file>

<file path=xl/threadedComments/threadedComment14.xml><?xml version="1.0" encoding="utf-8"?>
<ThreadedComments xmlns="http://schemas.microsoft.com/office/spreadsheetml/2018/threadedcomments" xmlns:x="http://schemas.openxmlformats.org/spreadsheetml/2006/main">
  <threadedComment ref="A1" dT="2024-01-30T16:42:58.97" personId="{5D048A0C-9405-47F1-A020-6E53793B23CD}" id="{12457FC7-0A9A-46D0-BE5D-06338A82F0AB}">
    <text>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ext>
  </threadedComment>
  <threadedComment ref="A2" dT="2024-01-30T16:43:29.06" personId="{5D048A0C-9405-47F1-A020-6E53793B23CD}" id="{9E228A31-D8D9-4D5A-B997-FDB28ACAD15B}">
    <text>The number of total deviations from the exemplar. Includes itacisms, orthographic changes, nonsense readings etc.</text>
  </threadedComment>
  <threadedComment ref="A3" dT="2024-01-30T16:44:34.54" personId="{5D048A0C-9405-47F1-A020-6E53793B23CD}" id="{FB2D5FDD-E396-4E1C-8834-3BE7399D74B8}">
    <text>The number of "meaningful" variants produced by the scribe. Should be based on the "general filters" page, with those readings excluded that have not been deemed fit for analysis (e.g., nonsense readings and corrections thereof, itacisms etc.)</text>
  </threadedComment>
  <threadedComment ref="A5" dT="2024-01-31T15:17:30.66" personId="{5D048A0C-9405-47F1-A020-6E53793B23CD}" id="{A3579185-6790-4408-9A29-37A0DA3D07E9}">
    <text>The rate of error generation per 1000 words in the apograph. Figure includes itacisms, orthographic changes, nonsense readings etc.</text>
  </threadedComment>
  <threadedComment ref="A6" dT="2024-01-31T15:18:45.83" personId="{5D048A0C-9405-47F1-A020-6E53793B23CD}" id="{53F889B6-4E7C-46B5-B64C-8365A3E367BC}">
    <text>Frequency of "meaningful" errors per 1000 words in the apograph. "Meaningful" errors are defined by the general filters applied to the raw data. (Here, this means the exclusion of such readings as itacisms, orthographic changes, variants involving nonsense readings etc.)</text>
  </threadedComment>
</ThreadedComments>
</file>

<file path=xl/threadedComments/threadedComment15.xml><?xml version="1.0" encoding="utf-8"?>
<ThreadedComments xmlns="http://schemas.microsoft.com/office/spreadsheetml/2018/threadedcomments" xmlns:x="http://schemas.openxmlformats.org/spreadsheetml/2006/main">
  <threadedComment ref="L3" dT="2023-08-03T13:34:30.53" personId="{5D048A0C-9405-47F1-A020-6E53793B23CD}" id="{9F8FA015-943D-4E69-B8E8-90F249A40330}">
    <text>The apograph reading is singular and the autograph reading is not. The singular readings method would detect this variant</text>
  </threadedComment>
  <threadedComment ref="L4" dT="2023-08-03T13:33:28.57" personId="{5D048A0C-9405-47F1-A020-6E53793B23CD}" id="{C09A08B5-BEC8-4C29-98C5-F48E6A991F47}">
    <text>That is, the autograph contains a singular reading and the apograph followed it</text>
  </threadedComment>
  <threadedComment ref="L5" dT="2023-08-03T13:35:10.13" personId="{5D048A0C-9405-47F1-A020-6E53793B23CD}" id="{E53F9ABF-15DF-411C-A449-F709A05F6F26}">
    <text>The apograph reading is not singular: other witnesses contain the same reading. These are real variants produced by the apograph scribe, but the singular readings method would not detect them</text>
  </threadedComment>
  <threadedComment ref="N13" dT="2023-08-14T14:21:11.11" personId="{5D048A0C-9405-47F1-A020-6E53793B23CD}" id="{CA332D3B-255C-4BFE-A327-192CC1243DCB}">
    <text>For words which have multiple common forms not impacting their inflection (e.g., ουκ-ουχ-ου, επι-επ-εφ)</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 Id="rId4" Type="http://schemas.microsoft.com/office/2017/10/relationships/threadedComment" Target="../threadedComments/threadedComment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 Id="rId4" Type="http://schemas.microsoft.com/office/2017/10/relationships/threadedComment" Target="../threadedComments/threadedComment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bin"/><Relationship Id="rId4" Type="http://schemas.microsoft.com/office/2017/10/relationships/threadedComment" Target="../threadedComments/threadedComment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1.bin"/><Relationship Id="rId4" Type="http://schemas.microsoft.com/office/2017/10/relationships/threadedComment" Target="../threadedComments/threadedComment1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2.bin"/><Relationship Id="rId4" Type="http://schemas.microsoft.com/office/2017/10/relationships/threadedComment" Target="../threadedComments/threadedComment14.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498E-60FE-47CE-98CB-DF81F2BD960C}">
  <dimension ref="A1:AL334"/>
  <sheetViews>
    <sheetView tabSelected="1" workbookViewId="0">
      <pane xSplit="5" ySplit="1" topLeftCell="F311" activePane="bottomRight" state="frozen"/>
      <selection pane="topRight" activeCell="F1" sqref="F1"/>
      <selection pane="bottomLeft" activeCell="A2" sqref="A2"/>
      <selection pane="bottomRight" activeCell="E334" sqref="E334"/>
    </sheetView>
  </sheetViews>
  <sheetFormatPr defaultRowHeight="14.5"/>
  <cols>
    <col min="1" max="1" width="10.81640625" customWidth="1"/>
    <col min="2" max="3" width="8.90625" hidden="1" customWidth="1"/>
    <col min="4" max="4" width="20.81640625" customWidth="1"/>
    <col min="5" max="5" width="16.36328125" style="3" customWidth="1"/>
    <col min="6" max="6" width="10.81640625" customWidth="1"/>
    <col min="7" max="8" width="16.36328125" customWidth="1"/>
    <col min="9" max="9" width="10.81640625" customWidth="1"/>
    <col min="10" max="10" width="16.90625" style="6" bestFit="1" customWidth="1"/>
    <col min="11" max="16" width="8.90625" style="6"/>
    <col min="17" max="17" width="8.90625" style="7"/>
    <col min="18" max="18" width="8.90625" style="6"/>
    <col min="19" max="19" width="8.81640625" style="6" customWidth="1"/>
    <col min="20" max="22" width="8.90625" style="6"/>
    <col min="23" max="27" width="5.81640625" style="6" customWidth="1"/>
    <col min="28" max="32" width="8.90625" style="6"/>
    <col min="36" max="36" width="11.08984375" bestFit="1" customWidth="1"/>
  </cols>
  <sheetData>
    <row r="1" spans="1:36" s="1" customFormat="1">
      <c r="A1" s="1" t="s">
        <v>0</v>
      </c>
      <c r="B1" s="1" t="s">
        <v>1</v>
      </c>
      <c r="C1" s="1" t="s">
        <v>2</v>
      </c>
      <c r="D1" s="1" t="s">
        <v>5</v>
      </c>
      <c r="E1" s="2" t="s">
        <v>6</v>
      </c>
      <c r="F1" s="1" t="s">
        <v>831</v>
      </c>
      <c r="G1" s="1" t="s">
        <v>832</v>
      </c>
      <c r="H1" s="1" t="s">
        <v>833</v>
      </c>
      <c r="I1" s="1" t="s">
        <v>7</v>
      </c>
      <c r="J1" s="1" t="s">
        <v>3</v>
      </c>
      <c r="K1" s="1" t="s">
        <v>834</v>
      </c>
      <c r="L1" s="1" t="s">
        <v>835</v>
      </c>
      <c r="M1" s="1" t="s">
        <v>836</v>
      </c>
      <c r="N1" s="1" t="s">
        <v>837</v>
      </c>
      <c r="O1" s="1" t="s">
        <v>796</v>
      </c>
      <c r="P1" s="1" t="s">
        <v>838</v>
      </c>
      <c r="Q1" s="5" t="s">
        <v>839</v>
      </c>
      <c r="R1" s="1" t="s">
        <v>797</v>
      </c>
      <c r="S1" s="1" t="s">
        <v>840</v>
      </c>
      <c r="T1" s="1" t="s">
        <v>841</v>
      </c>
      <c r="U1" s="1" t="s">
        <v>961</v>
      </c>
      <c r="V1" s="1" t="s">
        <v>962</v>
      </c>
      <c r="W1" s="1" t="s">
        <v>844</v>
      </c>
      <c r="X1" s="1" t="s">
        <v>845</v>
      </c>
      <c r="Y1" s="1" t="s">
        <v>846</v>
      </c>
      <c r="Z1" s="1" t="s">
        <v>798</v>
      </c>
      <c r="AA1" s="1" t="s">
        <v>799</v>
      </c>
      <c r="AB1" s="1" t="s">
        <v>800</v>
      </c>
      <c r="AC1" s="1" t="s">
        <v>842</v>
      </c>
      <c r="AD1" s="1" t="s">
        <v>847</v>
      </c>
      <c r="AE1" s="1" t="s">
        <v>801</v>
      </c>
      <c r="AF1" s="1" t="s">
        <v>843</v>
      </c>
      <c r="AG1" s="1" t="s">
        <v>859</v>
      </c>
      <c r="AH1" s="1" t="s">
        <v>857</v>
      </c>
      <c r="AI1" s="1" t="s">
        <v>858</v>
      </c>
    </row>
    <row r="2" spans="1:36" ht="29">
      <c r="A2" t="s">
        <v>41</v>
      </c>
      <c r="D2" s="3" t="s">
        <v>317</v>
      </c>
      <c r="E2" s="3" t="s">
        <v>318</v>
      </c>
      <c r="J2" s="6" t="s">
        <v>24</v>
      </c>
      <c r="L2" s="6">
        <v>1</v>
      </c>
      <c r="M2" s="6">
        <v>5</v>
      </c>
      <c r="N2" s="6" t="s">
        <v>829</v>
      </c>
      <c r="O2" s="6" t="s">
        <v>809</v>
      </c>
      <c r="S2" s="6">
        <v>3</v>
      </c>
      <c r="U2" s="6" t="str">
        <f t="shared" ref="U2:U63" ca="1" si="0">IF(ISNUMBER(T2),VALUE(MID(_xlfn.FORMULATEXT(T2),SEARCH("-",_xlfn.FORMULATEXT(T2))+1,LEN(_xlfn.FORMULATEXT(T2))-SEARCH("-",_xlfn.FORMULATEXT(T2)))), "")</f>
        <v/>
      </c>
      <c r="V2" s="6" t="str">
        <f t="shared" ref="V2:V63" ca="1" si="1">IF(ISNUMBER(T2), VALUE(MID(_xlfn.FORMULATEXT(T2), 2, SEARCH("-", _xlfn.FORMULATEXT(T2)) - 2)), "")</f>
        <v/>
      </c>
      <c r="AG2" t="s">
        <v>19</v>
      </c>
      <c r="AJ2" cm="1">
        <f t="array" ref="AJ2">_xlfn.IFS(AG2="Yes",1,AG2="No",0,AG2="","")</f>
        <v>1</v>
      </c>
    </row>
    <row r="3" spans="1:36" ht="29">
      <c r="A3" t="s">
        <v>41</v>
      </c>
      <c r="D3" s="3" t="s">
        <v>319</v>
      </c>
      <c r="E3" s="3" t="s">
        <v>316</v>
      </c>
      <c r="J3" s="6" t="s">
        <v>25</v>
      </c>
      <c r="L3" s="6">
        <v>1</v>
      </c>
      <c r="M3" s="6">
        <v>3</v>
      </c>
      <c r="N3" s="6" t="s">
        <v>854</v>
      </c>
      <c r="O3" s="6" t="s">
        <v>809</v>
      </c>
      <c r="S3" s="6">
        <v>0</v>
      </c>
      <c r="U3" s="6" t="str">
        <f t="shared" ca="1" si="0"/>
        <v/>
      </c>
      <c r="V3" s="6" t="str">
        <f t="shared" ca="1" si="1"/>
        <v/>
      </c>
      <c r="AG3" t="s">
        <v>19</v>
      </c>
      <c r="AJ3" cm="1">
        <f t="array" ref="AJ3">_xlfn.IFS(AG3="Yes",1,AG3="No",0,AG3="","")</f>
        <v>1</v>
      </c>
    </row>
    <row r="4" spans="1:36">
      <c r="A4" t="s">
        <v>41</v>
      </c>
      <c r="D4" s="3" t="s">
        <v>42</v>
      </c>
      <c r="E4" s="3" t="s">
        <v>43</v>
      </c>
      <c r="J4" s="6" t="s">
        <v>849</v>
      </c>
      <c r="T4" s="6" t="s">
        <v>861</v>
      </c>
      <c r="U4" s="6" t="str">
        <f t="shared" ca="1" si="0"/>
        <v/>
      </c>
      <c r="V4" s="6" t="str">
        <f t="shared" ca="1" si="1"/>
        <v/>
      </c>
      <c r="AB4" s="6" t="s">
        <v>871</v>
      </c>
      <c r="AC4" s="6" t="s">
        <v>926</v>
      </c>
      <c r="AD4" s="6" t="s">
        <v>19</v>
      </c>
      <c r="AG4" t="s">
        <v>19</v>
      </c>
      <c r="AJ4" cm="1">
        <f t="array" ref="AJ4">_xlfn.IFS(AG4="Yes",1,AG4="No",0,AG4="","")</f>
        <v>1</v>
      </c>
    </row>
    <row r="5" spans="1:36" ht="29">
      <c r="A5" t="s">
        <v>41</v>
      </c>
      <c r="D5" s="3" t="s">
        <v>321</v>
      </c>
      <c r="E5" s="3" t="s">
        <v>320</v>
      </c>
      <c r="J5" s="6" t="s">
        <v>25</v>
      </c>
      <c r="L5" s="6">
        <v>1</v>
      </c>
      <c r="M5" s="6">
        <v>2</v>
      </c>
      <c r="N5" s="6" t="s">
        <v>827</v>
      </c>
      <c r="O5" s="6" t="s">
        <v>850</v>
      </c>
      <c r="S5" s="6">
        <v>613</v>
      </c>
      <c r="U5" s="6" t="str">
        <f t="shared" ca="1" si="0"/>
        <v/>
      </c>
      <c r="V5" s="6" t="str">
        <f t="shared" ca="1" si="1"/>
        <v/>
      </c>
      <c r="AG5" t="s">
        <v>19</v>
      </c>
      <c r="AJ5" cm="1">
        <f t="array" ref="AJ5">_xlfn.IFS(AG5="Yes",1,AG5="No",0,AG5="","")</f>
        <v>1</v>
      </c>
    </row>
    <row r="6" spans="1:36" ht="29">
      <c r="A6" t="s">
        <v>44</v>
      </c>
      <c r="D6" s="3" t="s">
        <v>322</v>
      </c>
      <c r="E6" s="3" t="s">
        <v>323</v>
      </c>
      <c r="J6" s="6" t="s">
        <v>25</v>
      </c>
      <c r="L6" s="6">
        <v>1</v>
      </c>
      <c r="M6" s="6">
        <v>3</v>
      </c>
      <c r="N6" s="6" t="s">
        <v>818</v>
      </c>
      <c r="O6" s="6" t="s">
        <v>809</v>
      </c>
      <c r="S6" s="6">
        <v>1701</v>
      </c>
      <c r="U6" s="6" t="str">
        <f t="shared" ca="1" si="0"/>
        <v/>
      </c>
      <c r="V6" s="6" t="str">
        <f t="shared" ca="1" si="1"/>
        <v/>
      </c>
      <c r="AG6" t="s">
        <v>19</v>
      </c>
      <c r="AJ6" cm="1">
        <f t="array" ref="AJ6">_xlfn.IFS(AG6="Yes",1,AG6="No",0,AG6="","")</f>
        <v>1</v>
      </c>
    </row>
    <row r="7" spans="1:36">
      <c r="A7" t="s">
        <v>44</v>
      </c>
      <c r="D7" s="3" t="s">
        <v>324</v>
      </c>
      <c r="E7" s="3" t="s">
        <v>325</v>
      </c>
      <c r="H7" t="s">
        <v>23</v>
      </c>
      <c r="I7" t="s">
        <v>326</v>
      </c>
      <c r="J7" s="6" t="s">
        <v>849</v>
      </c>
      <c r="T7" s="6" t="s">
        <v>861</v>
      </c>
      <c r="U7" s="6" t="str">
        <f t="shared" ca="1" si="0"/>
        <v/>
      </c>
      <c r="V7" s="6" t="str">
        <f t="shared" ca="1" si="1"/>
        <v/>
      </c>
      <c r="AB7" s="6" t="s">
        <v>871</v>
      </c>
      <c r="AD7" s="6" t="s">
        <v>19</v>
      </c>
      <c r="AG7" t="s">
        <v>20</v>
      </c>
      <c r="AJ7" cm="1">
        <f t="array" ref="AJ7">_xlfn.IFS(AG7="Yes",1,AG7="No",0,AG7="","")</f>
        <v>0</v>
      </c>
    </row>
    <row r="8" spans="1:36">
      <c r="A8" t="s">
        <v>45</v>
      </c>
      <c r="D8" s="3" t="s">
        <v>46</v>
      </c>
      <c r="E8" s="3" t="s">
        <v>47</v>
      </c>
      <c r="H8" t="s">
        <v>19</v>
      </c>
      <c r="J8" s="6" t="s">
        <v>849</v>
      </c>
      <c r="T8" s="6">
        <f>0-2</f>
        <v>-2</v>
      </c>
      <c r="U8" s="6">
        <f t="shared" ca="1" si="0"/>
        <v>2</v>
      </c>
      <c r="V8" s="6">
        <f t="shared" ca="1" si="1"/>
        <v>0</v>
      </c>
      <c r="AG8" t="s">
        <v>20</v>
      </c>
      <c r="AJ8" cm="1">
        <f t="array" ref="AJ8">_xlfn.IFS(AG8="Yes",1,AG8="No",0,AG8="","")</f>
        <v>0</v>
      </c>
    </row>
    <row r="9" spans="1:36">
      <c r="A9" t="s">
        <v>45</v>
      </c>
      <c r="D9" s="3" t="s">
        <v>328</v>
      </c>
      <c r="E9" s="3" t="s">
        <v>327</v>
      </c>
      <c r="G9" t="s">
        <v>19</v>
      </c>
      <c r="I9" s="4"/>
      <c r="J9" s="6" t="s">
        <v>849</v>
      </c>
      <c r="T9" s="6">
        <f>1-830</f>
        <v>-829</v>
      </c>
      <c r="U9" s="6">
        <f t="shared" ca="1" si="0"/>
        <v>830</v>
      </c>
      <c r="V9" s="6">
        <f t="shared" ca="1" si="1"/>
        <v>1</v>
      </c>
      <c r="AG9" t="s">
        <v>19</v>
      </c>
      <c r="AJ9" cm="1">
        <f t="array" ref="AJ9">_xlfn.IFS(AG9="Yes",1,AG9="No",0,AG9="","")</f>
        <v>1</v>
      </c>
    </row>
    <row r="10" spans="1:36">
      <c r="A10" t="s">
        <v>45</v>
      </c>
      <c r="D10" s="3" t="s">
        <v>48</v>
      </c>
      <c r="E10" s="3" t="s">
        <v>49</v>
      </c>
      <c r="H10" t="s">
        <v>19</v>
      </c>
      <c r="J10" s="6" t="s">
        <v>849</v>
      </c>
      <c r="U10" s="6" t="str">
        <f t="shared" ca="1" si="0"/>
        <v/>
      </c>
      <c r="V10" s="6" t="str">
        <f t="shared" ca="1" si="1"/>
        <v/>
      </c>
      <c r="AE10" s="6" t="s">
        <v>807</v>
      </c>
      <c r="AG10" t="s">
        <v>20</v>
      </c>
      <c r="AJ10" cm="1">
        <f t="array" ref="AJ10">_xlfn.IFS(AG10="Yes",1,AG10="No",0,AG10="","")</f>
        <v>0</v>
      </c>
    </row>
    <row r="11" spans="1:36" ht="29">
      <c r="A11" t="s">
        <v>45</v>
      </c>
      <c r="D11" s="3" t="s">
        <v>329</v>
      </c>
      <c r="E11" s="3" t="s">
        <v>330</v>
      </c>
      <c r="J11" s="6" t="s">
        <v>24</v>
      </c>
      <c r="L11" s="6">
        <v>1</v>
      </c>
      <c r="M11" s="6">
        <v>5</v>
      </c>
      <c r="N11" s="6" t="s">
        <v>823</v>
      </c>
      <c r="O11" s="6" t="s">
        <v>803</v>
      </c>
      <c r="P11" s="6" t="s">
        <v>866</v>
      </c>
      <c r="Q11" s="7" t="s">
        <v>869</v>
      </c>
      <c r="R11" s="6" t="s">
        <v>804</v>
      </c>
      <c r="S11" s="6">
        <v>5</v>
      </c>
      <c r="U11" s="6" t="str">
        <f t="shared" ca="1" si="0"/>
        <v/>
      </c>
      <c r="V11" s="6" t="str">
        <f t="shared" ca="1" si="1"/>
        <v/>
      </c>
      <c r="AG11" t="s">
        <v>19</v>
      </c>
      <c r="AJ11" cm="1">
        <f t="array" ref="AJ11">_xlfn.IFS(AG11="Yes",1,AG11="No",0,AG11="","")</f>
        <v>1</v>
      </c>
    </row>
    <row r="12" spans="1:36">
      <c r="A12" t="s">
        <v>50</v>
      </c>
      <c r="D12" s="3" t="s">
        <v>332</v>
      </c>
      <c r="E12" s="3" t="s">
        <v>331</v>
      </c>
      <c r="J12" s="6" t="s">
        <v>25</v>
      </c>
      <c r="L12" s="6">
        <v>1</v>
      </c>
      <c r="M12" s="6">
        <v>4</v>
      </c>
      <c r="N12" s="6" t="s">
        <v>825</v>
      </c>
      <c r="O12" s="6" t="s">
        <v>809</v>
      </c>
      <c r="S12" s="6">
        <v>743</v>
      </c>
      <c r="U12" s="6" t="str">
        <f t="shared" ca="1" si="0"/>
        <v/>
      </c>
      <c r="V12" s="6" t="str">
        <f t="shared" ca="1" si="1"/>
        <v/>
      </c>
      <c r="AG12" t="s">
        <v>19</v>
      </c>
      <c r="AJ12" cm="1">
        <f t="array" ref="AJ12">_xlfn.IFS(AG12="Yes",1,AG12="No",0,AG12="","")</f>
        <v>1</v>
      </c>
    </row>
    <row r="13" spans="1:36">
      <c r="A13" t="s">
        <v>51</v>
      </c>
      <c r="D13" s="3" t="s">
        <v>52</v>
      </c>
      <c r="E13" s="3" t="s">
        <v>53</v>
      </c>
      <c r="H13" t="s">
        <v>22</v>
      </c>
      <c r="I13" t="s">
        <v>333</v>
      </c>
      <c r="J13" s="6" t="s">
        <v>851</v>
      </c>
      <c r="U13" s="6" t="str">
        <f t="shared" ca="1" si="0"/>
        <v/>
      </c>
      <c r="V13" s="6" t="str">
        <f t="shared" ca="1" si="1"/>
        <v/>
      </c>
      <c r="AC13" s="6" t="s">
        <v>865</v>
      </c>
      <c r="AD13" s="6" t="s">
        <v>19</v>
      </c>
      <c r="AG13" t="s">
        <v>19</v>
      </c>
      <c r="AJ13" cm="1">
        <f t="array" ref="AJ13">_xlfn.IFS(AG13="Yes",1,AG13="No",0,AG13="","")</f>
        <v>1</v>
      </c>
    </row>
    <row r="14" spans="1:36">
      <c r="A14" t="s">
        <v>54</v>
      </c>
      <c r="D14" s="3" t="s">
        <v>55</v>
      </c>
      <c r="E14" s="3" t="s">
        <v>56</v>
      </c>
      <c r="J14" s="6" t="s">
        <v>851</v>
      </c>
      <c r="U14" s="6" t="str">
        <f t="shared" ca="1" si="0"/>
        <v/>
      </c>
      <c r="V14" s="6" t="str">
        <f t="shared" ca="1" si="1"/>
        <v/>
      </c>
      <c r="AC14" s="6" t="s">
        <v>864</v>
      </c>
      <c r="AD14" s="6" t="s">
        <v>19</v>
      </c>
      <c r="AE14" s="6" t="s">
        <v>817</v>
      </c>
      <c r="AG14" t="s">
        <v>19</v>
      </c>
      <c r="AJ14" cm="1">
        <f t="array" ref="AJ14">_xlfn.IFS(AG14="Yes",1,AG14="No",0,AG14="","")</f>
        <v>1</v>
      </c>
    </row>
    <row r="15" spans="1:36" ht="43.5">
      <c r="A15" t="s">
        <v>54</v>
      </c>
      <c r="D15" s="3" t="s">
        <v>334</v>
      </c>
      <c r="E15" s="3" t="s">
        <v>335</v>
      </c>
      <c r="J15" s="6" t="s">
        <v>24</v>
      </c>
      <c r="L15" s="6">
        <v>1</v>
      </c>
      <c r="M15" s="6">
        <v>2</v>
      </c>
      <c r="N15" s="6" t="s">
        <v>827</v>
      </c>
      <c r="O15" s="6" t="s">
        <v>850</v>
      </c>
      <c r="S15" s="6">
        <v>613</v>
      </c>
      <c r="U15" s="6" t="str">
        <f t="shared" ca="1" si="0"/>
        <v/>
      </c>
      <c r="V15" s="6" t="str">
        <f t="shared" ca="1" si="1"/>
        <v/>
      </c>
      <c r="AG15" t="s">
        <v>19</v>
      </c>
      <c r="AJ15" cm="1">
        <f t="array" ref="AJ15">_xlfn.IFS(AG15="Yes",1,AG15="No",0,AG15="","")</f>
        <v>1</v>
      </c>
    </row>
    <row r="16" spans="1:36" ht="43.5">
      <c r="A16" t="s">
        <v>54</v>
      </c>
      <c r="D16" s="3" t="s">
        <v>337</v>
      </c>
      <c r="E16" s="3" t="s">
        <v>336</v>
      </c>
      <c r="F16" t="s">
        <v>931</v>
      </c>
      <c r="J16" s="6" t="s">
        <v>851</v>
      </c>
      <c r="U16" s="6" t="str">
        <f t="shared" ca="1" si="0"/>
        <v/>
      </c>
      <c r="V16" s="6" t="str">
        <f t="shared" ca="1" si="1"/>
        <v/>
      </c>
      <c r="AG16" t="s">
        <v>19</v>
      </c>
      <c r="AJ16" cm="1">
        <f t="array" ref="AJ16">_xlfn.IFS(AG16="Yes",1,AG16="No",0,AG16="","")</f>
        <v>1</v>
      </c>
    </row>
    <row r="17" spans="1:36" ht="43.5">
      <c r="A17" t="s">
        <v>54</v>
      </c>
      <c r="D17" s="3" t="s">
        <v>338</v>
      </c>
      <c r="E17" s="3" t="s">
        <v>339</v>
      </c>
      <c r="J17" s="6" t="s">
        <v>851</v>
      </c>
      <c r="U17" s="6" t="str">
        <f t="shared" ca="1" si="0"/>
        <v/>
      </c>
      <c r="V17" s="6" t="str">
        <f t="shared" ca="1" si="1"/>
        <v/>
      </c>
      <c r="AC17" s="6" t="s">
        <v>930</v>
      </c>
      <c r="AD17" s="6" t="s">
        <v>19</v>
      </c>
      <c r="AE17" s="6" t="s">
        <v>817</v>
      </c>
      <c r="AG17" t="s">
        <v>19</v>
      </c>
      <c r="AJ17" cm="1">
        <f t="array" ref="AJ17">_xlfn.IFS(AG17="Yes",1,AG17="No",0,AG17="","")</f>
        <v>1</v>
      </c>
    </row>
    <row r="18" spans="1:36">
      <c r="A18" t="s">
        <v>57</v>
      </c>
      <c r="D18" s="3" t="s">
        <v>340</v>
      </c>
      <c r="E18" s="3" t="s">
        <v>341</v>
      </c>
      <c r="J18" s="6" t="s">
        <v>25</v>
      </c>
      <c r="L18" s="6">
        <v>1</v>
      </c>
      <c r="M18" s="6">
        <v>2</v>
      </c>
      <c r="N18" s="6" t="s">
        <v>808</v>
      </c>
      <c r="O18" s="6" t="s">
        <v>850</v>
      </c>
      <c r="S18" s="6">
        <v>2475</v>
      </c>
      <c r="U18" s="6" t="str">
        <f t="shared" ca="1" si="0"/>
        <v/>
      </c>
      <c r="V18" s="6" t="str">
        <f t="shared" ca="1" si="1"/>
        <v/>
      </c>
      <c r="AG18" t="s">
        <v>19</v>
      </c>
      <c r="AJ18" cm="1">
        <f t="array" ref="AJ18">_xlfn.IFS(AG18="Yes",1,AG18="No",0,AG18="","")</f>
        <v>1</v>
      </c>
    </row>
    <row r="19" spans="1:36">
      <c r="A19" t="s">
        <v>58</v>
      </c>
      <c r="D19" s="3" t="s">
        <v>59</v>
      </c>
      <c r="E19" s="3" t="s">
        <v>60</v>
      </c>
      <c r="J19" s="6" t="s">
        <v>851</v>
      </c>
      <c r="U19" s="6" t="str">
        <f t="shared" ca="1" si="0"/>
        <v/>
      </c>
      <c r="V19" s="6" t="str">
        <f t="shared" ca="1" si="1"/>
        <v/>
      </c>
      <c r="AC19" s="6" t="s">
        <v>925</v>
      </c>
      <c r="AD19" s="6" t="s">
        <v>19</v>
      </c>
      <c r="AG19" t="s">
        <v>19</v>
      </c>
      <c r="AJ19" cm="1">
        <f t="array" ref="AJ19">_xlfn.IFS(AG19="Yes",1,AG19="No",0,AG19="","")</f>
        <v>1</v>
      </c>
    </row>
    <row r="20" spans="1:36">
      <c r="A20" t="s">
        <v>61</v>
      </c>
      <c r="D20" s="3" t="s">
        <v>343</v>
      </c>
      <c r="E20" s="3" t="s">
        <v>342</v>
      </c>
      <c r="J20" s="6" t="s">
        <v>849</v>
      </c>
      <c r="T20" s="6">
        <f>129-8</f>
        <v>121</v>
      </c>
      <c r="U20" s="6">
        <f t="shared" ca="1" si="0"/>
        <v>8</v>
      </c>
      <c r="V20" s="6">
        <f t="shared" ca="1" si="1"/>
        <v>129</v>
      </c>
      <c r="AG20" t="s">
        <v>19</v>
      </c>
      <c r="AJ20" cm="1">
        <f t="array" ref="AJ20">_xlfn.IFS(AG20="Yes",1,AG20="No",0,AG20="","")</f>
        <v>1</v>
      </c>
    </row>
    <row r="21" spans="1:36" ht="29">
      <c r="A21" t="s">
        <v>62</v>
      </c>
      <c r="D21" s="3" t="s">
        <v>344</v>
      </c>
      <c r="E21" s="3" t="s">
        <v>345</v>
      </c>
      <c r="H21" t="s">
        <v>22</v>
      </c>
      <c r="I21" t="s">
        <v>346</v>
      </c>
      <c r="J21" s="6" t="s">
        <v>849</v>
      </c>
      <c r="T21" s="6">
        <f>830-150</f>
        <v>680</v>
      </c>
      <c r="U21" s="6">
        <f t="shared" ca="1" si="0"/>
        <v>150</v>
      </c>
      <c r="V21" s="6">
        <f t="shared" ca="1" si="1"/>
        <v>830</v>
      </c>
      <c r="AG21" t="s">
        <v>19</v>
      </c>
      <c r="AJ21" cm="1">
        <f t="array" ref="AJ21">_xlfn.IFS(AG21="Yes",1,AG21="No",0,AG21="","")</f>
        <v>1</v>
      </c>
    </row>
    <row r="22" spans="1:36">
      <c r="A22" t="s">
        <v>62</v>
      </c>
      <c r="D22" s="3" t="s">
        <v>347</v>
      </c>
      <c r="E22" s="3" t="s">
        <v>348</v>
      </c>
      <c r="J22" s="6" t="s">
        <v>851</v>
      </c>
      <c r="U22" s="6" t="str">
        <f t="shared" ca="1" si="0"/>
        <v/>
      </c>
      <c r="V22" s="6" t="str">
        <f t="shared" ca="1" si="1"/>
        <v/>
      </c>
      <c r="AG22" t="s">
        <v>19</v>
      </c>
      <c r="AJ22" cm="1">
        <f t="array" ref="AJ22">_xlfn.IFS(AG22="Yes",1,AG22="No",0,AG22="","")</f>
        <v>1</v>
      </c>
    </row>
    <row r="23" spans="1:36">
      <c r="A23" t="s">
        <v>63</v>
      </c>
      <c r="D23" s="3" t="s">
        <v>349</v>
      </c>
      <c r="E23" s="3" t="s">
        <v>350</v>
      </c>
      <c r="I23" t="s">
        <v>881</v>
      </c>
      <c r="J23" s="6" t="s">
        <v>25</v>
      </c>
      <c r="L23" s="6">
        <v>1</v>
      </c>
      <c r="M23" s="6">
        <v>3</v>
      </c>
      <c r="N23" s="6" t="s">
        <v>825</v>
      </c>
      <c r="O23" s="6" t="s">
        <v>809</v>
      </c>
      <c r="S23" s="6">
        <v>2475</v>
      </c>
      <c r="U23" s="6" t="str">
        <f t="shared" ca="1" si="0"/>
        <v/>
      </c>
      <c r="V23" s="6" t="str">
        <f t="shared" ca="1" si="1"/>
        <v/>
      </c>
      <c r="W23" s="6" t="s">
        <v>848</v>
      </c>
      <c r="AG23" t="s">
        <v>19</v>
      </c>
      <c r="AJ23" cm="1">
        <f t="array" ref="AJ23">_xlfn.IFS(AG23="Yes",1,AG23="No",0,AG23="","")</f>
        <v>1</v>
      </c>
    </row>
    <row r="24" spans="1:36">
      <c r="A24" t="s">
        <v>63</v>
      </c>
      <c r="D24" s="3" t="s">
        <v>352</v>
      </c>
      <c r="E24" s="3" t="s">
        <v>351</v>
      </c>
      <c r="J24" s="6" t="s">
        <v>24</v>
      </c>
      <c r="L24" s="6">
        <v>1</v>
      </c>
      <c r="M24" s="6">
        <v>1</v>
      </c>
      <c r="N24" s="6" t="s">
        <v>808</v>
      </c>
      <c r="O24" s="6" t="s">
        <v>850</v>
      </c>
      <c r="S24" s="6">
        <v>2475</v>
      </c>
      <c r="U24" s="6" t="str">
        <f t="shared" ca="1" si="0"/>
        <v/>
      </c>
      <c r="V24" s="6" t="str">
        <f t="shared" ca="1" si="1"/>
        <v/>
      </c>
      <c r="AG24" t="s">
        <v>19</v>
      </c>
      <c r="AJ24" cm="1">
        <f t="array" ref="AJ24">_xlfn.IFS(AG24="Yes",1,AG24="No",0,AG24="","")</f>
        <v>1</v>
      </c>
    </row>
    <row r="25" spans="1:36" ht="29">
      <c r="A25" t="s">
        <v>64</v>
      </c>
      <c r="D25" s="3" t="s">
        <v>354</v>
      </c>
      <c r="E25" s="3" t="s">
        <v>353</v>
      </c>
      <c r="I25" t="s">
        <v>877</v>
      </c>
      <c r="J25" s="6" t="s">
        <v>26</v>
      </c>
      <c r="U25" s="6" t="str">
        <f t="shared" ca="1" si="0"/>
        <v/>
      </c>
      <c r="V25" s="6" t="str">
        <f t="shared" ca="1" si="1"/>
        <v/>
      </c>
      <c r="AG25" t="s">
        <v>19</v>
      </c>
      <c r="AJ25" cm="1">
        <f t="array" ref="AJ25">_xlfn.IFS(AG25="Yes",1,AG25="No",0,AG25="","")</f>
        <v>1</v>
      </c>
    </row>
    <row r="26" spans="1:36">
      <c r="A26" t="s">
        <v>64</v>
      </c>
      <c r="D26" s="3" t="s">
        <v>356</v>
      </c>
      <c r="E26" s="3" t="s">
        <v>355</v>
      </c>
      <c r="J26" s="6" t="s">
        <v>25</v>
      </c>
      <c r="L26" s="6">
        <v>1</v>
      </c>
      <c r="M26" s="6">
        <v>2</v>
      </c>
      <c r="N26" s="6" t="s">
        <v>825</v>
      </c>
      <c r="O26" s="6" t="s">
        <v>850</v>
      </c>
      <c r="S26" s="6">
        <v>312</v>
      </c>
      <c r="U26" s="6" t="str">
        <f t="shared" ca="1" si="0"/>
        <v/>
      </c>
      <c r="V26" s="6" t="str">
        <f t="shared" ca="1" si="1"/>
        <v/>
      </c>
      <c r="AG26" t="s">
        <v>19</v>
      </c>
      <c r="AJ26" cm="1">
        <f t="array" ref="AJ26">_xlfn.IFS(AG26="Yes",1,AG26="No",0,AG26="","")</f>
        <v>1</v>
      </c>
    </row>
    <row r="27" spans="1:36">
      <c r="A27" t="s">
        <v>64</v>
      </c>
      <c r="D27" s="3" t="s">
        <v>65</v>
      </c>
      <c r="E27" s="3" t="s">
        <v>66</v>
      </c>
      <c r="H27" t="s">
        <v>19</v>
      </c>
      <c r="J27" s="6" t="s">
        <v>849</v>
      </c>
      <c r="T27" s="6">
        <f>49-9</f>
        <v>40</v>
      </c>
      <c r="U27" s="6">
        <f t="shared" ca="1" si="0"/>
        <v>9</v>
      </c>
      <c r="V27" s="6">
        <f t="shared" ca="1" si="1"/>
        <v>49</v>
      </c>
      <c r="AC27" s="6" t="s">
        <v>925</v>
      </c>
      <c r="AD27" s="6" t="s">
        <v>19</v>
      </c>
      <c r="AE27" s="6" t="s">
        <v>807</v>
      </c>
      <c r="AG27" t="s">
        <v>19</v>
      </c>
      <c r="AJ27" cm="1">
        <f t="array" ref="AJ27">_xlfn.IFS(AG27="Yes",1,AG27="No",0,AG27="","")</f>
        <v>1</v>
      </c>
    </row>
    <row r="28" spans="1:36" ht="29">
      <c r="A28" t="s">
        <v>67</v>
      </c>
      <c r="D28" s="3" t="s">
        <v>357</v>
      </c>
      <c r="E28" s="3" t="s">
        <v>358</v>
      </c>
      <c r="J28" s="6" t="s">
        <v>849</v>
      </c>
      <c r="T28" s="6">
        <f>1701-171</f>
        <v>1530</v>
      </c>
      <c r="U28" s="6">
        <f t="shared" ca="1" si="0"/>
        <v>171</v>
      </c>
      <c r="V28" s="6">
        <f t="shared" ca="1" si="1"/>
        <v>1701</v>
      </c>
      <c r="AG28" t="s">
        <v>19</v>
      </c>
      <c r="AJ28" cm="1">
        <f t="array" ref="AJ28">_xlfn.IFS(AG28="Yes",1,AG28="No",0,AG28="","")</f>
        <v>1</v>
      </c>
    </row>
    <row r="29" spans="1:36" ht="29">
      <c r="A29" t="s">
        <v>67</v>
      </c>
      <c r="D29" s="3" t="s">
        <v>360</v>
      </c>
      <c r="E29" s="3" t="s">
        <v>361</v>
      </c>
      <c r="J29" s="6" t="s">
        <v>849</v>
      </c>
      <c r="T29" s="6">
        <f>613-166</f>
        <v>447</v>
      </c>
      <c r="U29" s="6">
        <f t="shared" ca="1" si="0"/>
        <v>166</v>
      </c>
      <c r="V29" s="6">
        <f t="shared" ca="1" si="1"/>
        <v>613</v>
      </c>
      <c r="AG29" t="s">
        <v>19</v>
      </c>
      <c r="AJ29" cm="1">
        <f t="array" ref="AJ29">_xlfn.IFS(AG29="Yes",1,AG29="No",0,AG29="","")</f>
        <v>1</v>
      </c>
    </row>
    <row r="30" spans="1:36" ht="29">
      <c r="A30" t="s">
        <v>67</v>
      </c>
      <c r="D30" s="3" t="s">
        <v>362</v>
      </c>
      <c r="E30" s="3" t="s">
        <v>359</v>
      </c>
      <c r="J30" s="6" t="s">
        <v>25</v>
      </c>
      <c r="L30" s="6">
        <v>1</v>
      </c>
      <c r="M30" s="6">
        <v>5</v>
      </c>
      <c r="N30" s="6" t="s">
        <v>825</v>
      </c>
      <c r="O30" s="6" t="s">
        <v>803</v>
      </c>
      <c r="P30" s="6" t="s">
        <v>868</v>
      </c>
      <c r="Q30" s="7" t="s">
        <v>867</v>
      </c>
      <c r="S30" s="6">
        <v>830</v>
      </c>
      <c r="U30" s="6" t="str">
        <f t="shared" ca="1" si="0"/>
        <v/>
      </c>
      <c r="V30" s="6" t="str">
        <f t="shared" ca="1" si="1"/>
        <v/>
      </c>
      <c r="AG30" t="s">
        <v>19</v>
      </c>
      <c r="AJ30" cm="1">
        <f t="array" ref="AJ30">_xlfn.IFS(AG30="Yes",1,AG30="No",0,AG30="","")</f>
        <v>1</v>
      </c>
    </row>
    <row r="31" spans="1:36">
      <c r="A31" t="s">
        <v>67</v>
      </c>
      <c r="D31" s="3" t="s">
        <v>68</v>
      </c>
      <c r="E31" s="3" t="s">
        <v>69</v>
      </c>
      <c r="H31" t="s">
        <v>19</v>
      </c>
      <c r="J31" s="6" t="s">
        <v>849</v>
      </c>
      <c r="T31" s="6" t="s">
        <v>850</v>
      </c>
      <c r="U31" s="6" t="str">
        <f t="shared" ca="1" si="0"/>
        <v/>
      </c>
      <c r="V31" s="6" t="str">
        <f t="shared" ca="1" si="1"/>
        <v/>
      </c>
      <c r="AE31" s="6" t="s">
        <v>807</v>
      </c>
      <c r="AG31" t="s">
        <v>20</v>
      </c>
      <c r="AJ31" cm="1">
        <f t="array" ref="AJ31">_xlfn.IFS(AG31="Yes",1,AG31="No",0,AG31="","")</f>
        <v>0</v>
      </c>
    </row>
    <row r="32" spans="1:36">
      <c r="A32" t="s">
        <v>70</v>
      </c>
      <c r="D32" s="3" t="s">
        <v>71</v>
      </c>
      <c r="E32" s="3" t="s">
        <v>72</v>
      </c>
      <c r="J32" s="6" t="s">
        <v>851</v>
      </c>
      <c r="U32" s="6" t="str">
        <f t="shared" ca="1" si="0"/>
        <v/>
      </c>
      <c r="V32" s="6" t="str">
        <f t="shared" ca="1" si="1"/>
        <v/>
      </c>
      <c r="AG32" t="s">
        <v>19</v>
      </c>
      <c r="AJ32" cm="1">
        <f t="array" ref="AJ32">_xlfn.IFS(AG32="Yes",1,AG32="No",0,AG32="","")</f>
        <v>1</v>
      </c>
    </row>
    <row r="33" spans="1:36">
      <c r="A33" t="s">
        <v>70</v>
      </c>
      <c r="D33" s="3" t="s">
        <v>73</v>
      </c>
      <c r="E33" s="3" t="s">
        <v>74</v>
      </c>
      <c r="J33" s="6" t="s">
        <v>849</v>
      </c>
      <c r="T33" s="6" t="s">
        <v>850</v>
      </c>
      <c r="U33" s="6" t="str">
        <f t="shared" ca="1" si="0"/>
        <v/>
      </c>
      <c r="V33" s="6" t="str">
        <f t="shared" ca="1" si="1"/>
        <v/>
      </c>
      <c r="AE33" s="6" t="s">
        <v>807</v>
      </c>
      <c r="AG33" t="s">
        <v>20</v>
      </c>
      <c r="AJ33" cm="1">
        <f t="array" ref="AJ33">_xlfn.IFS(AG33="Yes",1,AG33="No",0,AG33="","")</f>
        <v>0</v>
      </c>
    </row>
    <row r="34" spans="1:36" ht="29">
      <c r="A34" t="s">
        <v>75</v>
      </c>
      <c r="D34" s="3" t="s">
        <v>363</v>
      </c>
      <c r="E34" s="3" t="s">
        <v>364</v>
      </c>
      <c r="J34" s="6" t="s">
        <v>24</v>
      </c>
      <c r="L34" s="6">
        <v>1</v>
      </c>
      <c r="M34" s="6">
        <v>3</v>
      </c>
      <c r="N34" s="6" t="s">
        <v>818</v>
      </c>
      <c r="O34" s="6" t="s">
        <v>809</v>
      </c>
      <c r="S34" s="6">
        <v>186</v>
      </c>
      <c r="U34" s="6" t="str">
        <f t="shared" ca="1" si="0"/>
        <v/>
      </c>
      <c r="V34" s="6" t="str">
        <f t="shared" ca="1" si="1"/>
        <v/>
      </c>
      <c r="AG34" t="s">
        <v>19</v>
      </c>
      <c r="AJ34" cm="1">
        <f t="array" ref="AJ34">_xlfn.IFS(AG34="Yes",1,AG34="No",0,AG34="","")</f>
        <v>1</v>
      </c>
    </row>
    <row r="35" spans="1:36" ht="29">
      <c r="A35" t="s">
        <v>75</v>
      </c>
      <c r="D35" s="3" t="s">
        <v>366</v>
      </c>
      <c r="E35" s="3" t="s">
        <v>365</v>
      </c>
      <c r="J35" s="6" t="s">
        <v>851</v>
      </c>
      <c r="U35" s="6" t="str">
        <f t="shared" ca="1" si="0"/>
        <v/>
      </c>
      <c r="V35" s="6" t="str">
        <f t="shared" ca="1" si="1"/>
        <v/>
      </c>
      <c r="AG35" t="s">
        <v>20</v>
      </c>
      <c r="AJ35" cm="1">
        <f t="array" ref="AJ35">_xlfn.IFS(AG35="Yes",1,AG35="No",0,AG35="","")</f>
        <v>0</v>
      </c>
    </row>
    <row r="36" spans="1:36">
      <c r="A36" t="s">
        <v>75</v>
      </c>
      <c r="D36" s="3" t="s">
        <v>368</v>
      </c>
      <c r="E36" s="3" t="s">
        <v>367</v>
      </c>
      <c r="I36" t="s">
        <v>882</v>
      </c>
      <c r="J36" s="6" t="s">
        <v>24</v>
      </c>
      <c r="L36" s="6">
        <v>1</v>
      </c>
      <c r="M36" s="6">
        <v>1</v>
      </c>
      <c r="N36" s="6" t="s">
        <v>808</v>
      </c>
      <c r="O36" s="6" t="s">
        <v>850</v>
      </c>
      <c r="S36" s="6">
        <v>2475</v>
      </c>
      <c r="U36" s="6" t="str">
        <f t="shared" ca="1" si="0"/>
        <v/>
      </c>
      <c r="V36" s="6" t="str">
        <f t="shared" ca="1" si="1"/>
        <v/>
      </c>
      <c r="W36" s="6" t="s">
        <v>4</v>
      </c>
      <c r="AG36" t="s">
        <v>19</v>
      </c>
      <c r="AJ36" cm="1">
        <f t="array" ref="AJ36">_xlfn.IFS(AG36="Yes",1,AG36="No",0,AG36="","")</f>
        <v>1</v>
      </c>
    </row>
    <row r="37" spans="1:36" ht="43.5">
      <c r="A37" t="s">
        <v>75</v>
      </c>
      <c r="D37" s="3" t="s">
        <v>370</v>
      </c>
      <c r="E37" s="3" t="s">
        <v>369</v>
      </c>
      <c r="J37" s="6" t="s">
        <v>26</v>
      </c>
      <c r="L37" s="6">
        <v>2</v>
      </c>
      <c r="M37" s="6">
        <v>6</v>
      </c>
      <c r="O37" s="6" t="s">
        <v>809</v>
      </c>
      <c r="S37" s="6">
        <v>112</v>
      </c>
      <c r="U37" s="6" t="str">
        <f t="shared" ca="1" si="0"/>
        <v/>
      </c>
      <c r="V37" s="6" t="str">
        <f t="shared" ca="1" si="1"/>
        <v/>
      </c>
      <c r="AG37" t="s">
        <v>19</v>
      </c>
      <c r="AJ37" cm="1">
        <f t="array" ref="AJ37">_xlfn.IFS(AG37="Yes",1,AG37="No",0,AG37="","")</f>
        <v>1</v>
      </c>
    </row>
    <row r="38" spans="1:36">
      <c r="A38" t="s">
        <v>76</v>
      </c>
      <c r="D38" s="3" t="s">
        <v>371</v>
      </c>
      <c r="E38" s="3" t="s">
        <v>372</v>
      </c>
      <c r="J38" s="6" t="s">
        <v>25</v>
      </c>
      <c r="L38" s="6">
        <v>1</v>
      </c>
      <c r="M38" s="6">
        <v>3</v>
      </c>
      <c r="N38" s="6" t="s">
        <v>818</v>
      </c>
      <c r="O38" s="6" t="s">
        <v>809</v>
      </c>
      <c r="S38" s="6">
        <v>186</v>
      </c>
      <c r="U38" s="6" t="str">
        <f t="shared" ca="1" si="0"/>
        <v/>
      </c>
      <c r="V38" s="6" t="str">
        <f t="shared" ca="1" si="1"/>
        <v/>
      </c>
      <c r="AG38" t="s">
        <v>19</v>
      </c>
      <c r="AJ38" cm="1">
        <f t="array" ref="AJ38">_xlfn.IFS(AG38="Yes",1,AG38="No",0,AG38="","")</f>
        <v>1</v>
      </c>
    </row>
    <row r="39" spans="1:36">
      <c r="A39" t="s">
        <v>76</v>
      </c>
      <c r="D39" s="3" t="s">
        <v>77</v>
      </c>
      <c r="E39" s="3" t="s">
        <v>78</v>
      </c>
      <c r="H39" t="s">
        <v>19</v>
      </c>
      <c r="J39" s="6" t="s">
        <v>852</v>
      </c>
      <c r="T39" s="6">
        <f>0-24</f>
        <v>-24</v>
      </c>
      <c r="U39" s="6">
        <f t="shared" ca="1" si="0"/>
        <v>24</v>
      </c>
      <c r="V39" s="6">
        <f t="shared" ca="1" si="1"/>
        <v>0</v>
      </c>
      <c r="AE39" s="6" t="s">
        <v>813</v>
      </c>
      <c r="AG39" t="s">
        <v>20</v>
      </c>
      <c r="AJ39" cm="1">
        <f t="array" ref="AJ39">_xlfn.IFS(AG39="Yes",1,AG39="No",0,AG39="","")</f>
        <v>0</v>
      </c>
    </row>
    <row r="40" spans="1:36">
      <c r="A40" t="s">
        <v>76</v>
      </c>
      <c r="D40" s="3" t="s">
        <v>374</v>
      </c>
      <c r="E40" s="3" t="s">
        <v>373</v>
      </c>
      <c r="J40" s="6" t="s">
        <v>851</v>
      </c>
      <c r="U40" s="6" t="str">
        <f t="shared" ca="1" si="0"/>
        <v/>
      </c>
      <c r="V40" s="6" t="str">
        <f t="shared" ca="1" si="1"/>
        <v/>
      </c>
      <c r="AG40" t="s">
        <v>19</v>
      </c>
      <c r="AJ40" cm="1">
        <f t="array" ref="AJ40">_xlfn.IFS(AG40="Yes",1,AG40="No",0,AG40="","")</f>
        <v>1</v>
      </c>
    </row>
    <row r="41" spans="1:36" ht="58">
      <c r="A41" t="s">
        <v>79</v>
      </c>
      <c r="D41" s="3" t="s">
        <v>376</v>
      </c>
      <c r="E41" s="3" t="s">
        <v>884</v>
      </c>
      <c r="I41" t="s">
        <v>885</v>
      </c>
      <c r="J41" s="6" t="s">
        <v>26</v>
      </c>
      <c r="U41" s="6" t="str">
        <f t="shared" ca="1" si="0"/>
        <v/>
      </c>
      <c r="V41" s="6" t="str">
        <f t="shared" ca="1" si="1"/>
        <v/>
      </c>
      <c r="W41" s="6" t="s">
        <v>848</v>
      </c>
      <c r="AG41" t="s">
        <v>19</v>
      </c>
      <c r="AJ41" cm="1">
        <f t="array" ref="AJ41">_xlfn.IFS(AG41="Yes",1,AG41="No",0,AG41="","")</f>
        <v>1</v>
      </c>
    </row>
    <row r="42" spans="1:36" ht="58">
      <c r="A42" t="s">
        <v>79</v>
      </c>
      <c r="D42" s="3" t="s">
        <v>375</v>
      </c>
      <c r="E42" s="3" t="s">
        <v>883</v>
      </c>
      <c r="J42" s="6" t="s">
        <v>24</v>
      </c>
      <c r="L42" s="6">
        <v>1</v>
      </c>
      <c r="M42" s="6">
        <v>3</v>
      </c>
      <c r="N42" s="6" t="s">
        <v>818</v>
      </c>
      <c r="O42" s="6" t="s">
        <v>803</v>
      </c>
      <c r="P42" s="6" t="s">
        <v>866</v>
      </c>
      <c r="Q42" s="7" t="s">
        <v>867</v>
      </c>
      <c r="S42" s="6">
        <v>1701</v>
      </c>
      <c r="U42" s="6" t="str">
        <f t="shared" ca="1" si="0"/>
        <v/>
      </c>
      <c r="V42" s="6" t="str">
        <f t="shared" ca="1" si="1"/>
        <v/>
      </c>
      <c r="AG42" t="s">
        <v>19</v>
      </c>
      <c r="AJ42" cm="1">
        <f t="array" ref="AJ42">_xlfn.IFS(AG42="Yes",1,AG42="No",0,AG42="","")</f>
        <v>1</v>
      </c>
    </row>
    <row r="43" spans="1:36">
      <c r="A43" t="s">
        <v>79</v>
      </c>
      <c r="D43" s="3" t="s">
        <v>378</v>
      </c>
      <c r="E43" s="3" t="s">
        <v>377</v>
      </c>
      <c r="J43" s="6" t="s">
        <v>851</v>
      </c>
      <c r="U43" s="6" t="str">
        <f t="shared" ca="1" si="0"/>
        <v/>
      </c>
      <c r="V43" s="6" t="str">
        <f t="shared" ca="1" si="1"/>
        <v/>
      </c>
      <c r="AE43" s="6" t="s">
        <v>817</v>
      </c>
      <c r="AG43" t="s">
        <v>19</v>
      </c>
      <c r="AJ43" cm="1">
        <f t="array" ref="AJ43">_xlfn.IFS(AG43="Yes",1,AG43="No",0,AG43="","")</f>
        <v>1</v>
      </c>
    </row>
    <row r="44" spans="1:36" ht="188.5">
      <c r="A44" t="s">
        <v>80</v>
      </c>
      <c r="D44" s="3" t="s">
        <v>889</v>
      </c>
      <c r="E44" s="3" t="s">
        <v>890</v>
      </c>
      <c r="I44" s="4"/>
      <c r="J44" s="6" t="s">
        <v>26</v>
      </c>
      <c r="U44" s="6" t="str">
        <f t="shared" ca="1" si="0"/>
        <v/>
      </c>
      <c r="V44" s="6" t="str">
        <f t="shared" ca="1" si="1"/>
        <v/>
      </c>
      <c r="AF44" s="6" t="s">
        <v>19</v>
      </c>
      <c r="AG44" t="s">
        <v>19</v>
      </c>
      <c r="AJ44" cm="1">
        <f t="array" ref="AJ44">_xlfn.IFS(AG44="Yes",1,AG44="No",0,AG44="","")</f>
        <v>1</v>
      </c>
    </row>
    <row r="45" spans="1:36" ht="188.5">
      <c r="A45" t="s">
        <v>80</v>
      </c>
      <c r="D45" s="3" t="s">
        <v>886</v>
      </c>
      <c r="E45" s="3" t="s">
        <v>891</v>
      </c>
      <c r="I45" s="4"/>
      <c r="J45" s="6" t="s">
        <v>24</v>
      </c>
      <c r="L45" s="6">
        <v>1</v>
      </c>
      <c r="M45" s="6">
        <v>4</v>
      </c>
      <c r="N45" s="6" t="s">
        <v>818</v>
      </c>
      <c r="O45" s="6" t="s">
        <v>809</v>
      </c>
      <c r="S45" s="6">
        <v>55</v>
      </c>
      <c r="U45" s="6" t="str">
        <f t="shared" ca="1" si="0"/>
        <v/>
      </c>
      <c r="V45" s="6" t="str">
        <f t="shared" ca="1" si="1"/>
        <v/>
      </c>
      <c r="AG45" t="s">
        <v>19</v>
      </c>
      <c r="AJ45" cm="1">
        <f t="array" ref="AJ45">_xlfn.IFS(AG45="Yes",1,AG45="No",0,AG45="","")</f>
        <v>1</v>
      </c>
    </row>
    <row r="46" spans="1:36" ht="188.5">
      <c r="A46" t="s">
        <v>81</v>
      </c>
      <c r="D46" s="3" t="s">
        <v>892</v>
      </c>
      <c r="E46" s="3" t="s">
        <v>887</v>
      </c>
      <c r="I46" s="4" t="s">
        <v>888</v>
      </c>
      <c r="J46" s="6" t="s">
        <v>25</v>
      </c>
      <c r="L46" s="6">
        <v>5</v>
      </c>
      <c r="M46" s="6">
        <v>20</v>
      </c>
      <c r="O46" s="6" t="s">
        <v>809</v>
      </c>
      <c r="S46" s="6">
        <v>34</v>
      </c>
      <c r="U46" s="6" t="str">
        <f t="shared" ca="1" si="0"/>
        <v/>
      </c>
      <c r="V46" s="6" t="str">
        <f t="shared" ca="1" si="1"/>
        <v/>
      </c>
      <c r="AG46" t="s">
        <v>19</v>
      </c>
      <c r="AJ46" cm="1">
        <f t="array" ref="AJ46">_xlfn.IFS(AG46="Yes",1,AG46="No",0,AG46="","")</f>
        <v>1</v>
      </c>
    </row>
    <row r="47" spans="1:36" ht="43.5">
      <c r="A47" t="s">
        <v>83</v>
      </c>
      <c r="D47" s="3" t="s">
        <v>1006</v>
      </c>
      <c r="E47" s="3" t="s">
        <v>1007</v>
      </c>
      <c r="I47" t="s">
        <v>880</v>
      </c>
      <c r="J47" s="6" t="s">
        <v>26</v>
      </c>
      <c r="U47" s="6" t="str">
        <f t="shared" ca="1" si="0"/>
        <v/>
      </c>
      <c r="V47" s="6" t="str">
        <f t="shared" ca="1" si="1"/>
        <v/>
      </c>
      <c r="AG47" t="s">
        <v>19</v>
      </c>
      <c r="AJ47" cm="1">
        <f t="array" ref="AJ47">_xlfn.IFS(AG47="Yes",1,AG47="No",0,AG47="","")</f>
        <v>1</v>
      </c>
    </row>
    <row r="48" spans="1:36" ht="43.5">
      <c r="A48" t="s">
        <v>83</v>
      </c>
      <c r="D48" s="3" t="s">
        <v>1008</v>
      </c>
      <c r="E48" s="3" t="s">
        <v>1009</v>
      </c>
      <c r="J48" s="6" t="s">
        <v>851</v>
      </c>
      <c r="U48" s="6" t="str">
        <f t="shared" ref="U48" ca="1" si="2">IF(ISNUMBER(T48),VALUE(MID(_xlfn.FORMULATEXT(T48),SEARCH("-",_xlfn.FORMULATEXT(T48))+1,LEN(_xlfn.FORMULATEXT(T48))-SEARCH("-",_xlfn.FORMULATEXT(T48)))), "")</f>
        <v/>
      </c>
      <c r="V48" s="6" t="str">
        <f t="shared" ref="V48" ca="1" si="3">IF(ISNUMBER(T48), VALUE(MID(_xlfn.FORMULATEXT(T48), 2, SEARCH("-", _xlfn.FORMULATEXT(T48)) - 2)), "")</f>
        <v/>
      </c>
      <c r="AG48" t="s">
        <v>19</v>
      </c>
      <c r="AJ48" cm="1">
        <f t="array" ref="AJ48">_xlfn.IFS(AG48="Yes",1,AG48="No",0,AG48="","")</f>
        <v>1</v>
      </c>
    </row>
    <row r="49" spans="1:36">
      <c r="A49" t="s">
        <v>84</v>
      </c>
      <c r="D49" s="3" t="s">
        <v>85</v>
      </c>
      <c r="E49" s="3" t="s">
        <v>86</v>
      </c>
      <c r="G49" t="s">
        <v>19</v>
      </c>
      <c r="J49" s="6" t="s">
        <v>849</v>
      </c>
      <c r="T49" s="6" t="s">
        <v>861</v>
      </c>
      <c r="U49" s="6" t="str">
        <f t="shared" ca="1" si="0"/>
        <v/>
      </c>
      <c r="V49" s="6" t="str">
        <f t="shared" ca="1" si="1"/>
        <v/>
      </c>
      <c r="AC49" s="6" t="s">
        <v>864</v>
      </c>
      <c r="AD49" s="6" t="s">
        <v>19</v>
      </c>
      <c r="AE49" s="6" t="s">
        <v>817</v>
      </c>
      <c r="AG49" t="s">
        <v>19</v>
      </c>
      <c r="AJ49" cm="1">
        <f t="array" ref="AJ49">_xlfn.IFS(AG49="Yes",1,AG49="No",0,AG49="","")</f>
        <v>1</v>
      </c>
    </row>
    <row r="50" spans="1:36" ht="29">
      <c r="A50" t="s">
        <v>84</v>
      </c>
      <c r="D50" s="3" t="s">
        <v>380</v>
      </c>
      <c r="E50" s="3" t="s">
        <v>379</v>
      </c>
      <c r="I50" s="4" t="s">
        <v>381</v>
      </c>
      <c r="J50" s="6" t="s">
        <v>25</v>
      </c>
      <c r="L50" s="6">
        <v>1</v>
      </c>
      <c r="M50" s="6">
        <v>5</v>
      </c>
      <c r="N50" s="6" t="s">
        <v>825</v>
      </c>
      <c r="O50" s="6" t="s">
        <v>809</v>
      </c>
      <c r="S50" s="6">
        <v>830</v>
      </c>
      <c r="U50" s="6" t="str">
        <f t="shared" ca="1" si="0"/>
        <v/>
      </c>
      <c r="V50" s="6" t="str">
        <f t="shared" ca="1" si="1"/>
        <v/>
      </c>
      <c r="AG50" t="s">
        <v>19</v>
      </c>
      <c r="AJ50" cm="1">
        <f t="array" ref="AJ50">_xlfn.IFS(AG50="Yes",1,AG50="No",0,AG50="","")</f>
        <v>1</v>
      </c>
    </row>
    <row r="51" spans="1:36" ht="29">
      <c r="A51" t="s">
        <v>84</v>
      </c>
      <c r="D51" s="3" t="s">
        <v>383</v>
      </c>
      <c r="E51" s="3" t="s">
        <v>384</v>
      </c>
      <c r="J51" s="6" t="s">
        <v>851</v>
      </c>
      <c r="U51" s="6" t="str">
        <f t="shared" ca="1" si="0"/>
        <v/>
      </c>
      <c r="V51" s="6" t="str">
        <f t="shared" ca="1" si="1"/>
        <v/>
      </c>
      <c r="AB51" s="6" t="s">
        <v>812</v>
      </c>
      <c r="AD51" s="6" t="s">
        <v>19</v>
      </c>
      <c r="AG51" t="s">
        <v>19</v>
      </c>
      <c r="AJ51" cm="1">
        <f t="array" ref="AJ51">_xlfn.IFS(AG51="Yes",1,AG51="No",0,AG51="","")</f>
        <v>1</v>
      </c>
    </row>
    <row r="52" spans="1:36" ht="29">
      <c r="A52" t="s">
        <v>84</v>
      </c>
      <c r="D52" s="3" t="s">
        <v>382</v>
      </c>
      <c r="E52" s="3" t="s">
        <v>385</v>
      </c>
      <c r="J52" s="6" t="s">
        <v>24</v>
      </c>
      <c r="L52" s="6">
        <v>1</v>
      </c>
      <c r="M52" s="6">
        <v>5</v>
      </c>
      <c r="N52" s="6" t="s">
        <v>825</v>
      </c>
      <c r="O52" s="6" t="s">
        <v>809</v>
      </c>
      <c r="S52" s="6">
        <v>830</v>
      </c>
      <c r="U52" s="6" t="str">
        <f t="shared" ca="1" si="0"/>
        <v/>
      </c>
      <c r="V52" s="6" t="str">
        <f t="shared" ca="1" si="1"/>
        <v/>
      </c>
      <c r="AG52" t="s">
        <v>19</v>
      </c>
      <c r="AJ52" cm="1">
        <f t="array" ref="AJ52">_xlfn.IFS(AG52="Yes",1,AG52="No",0,AG52="","")</f>
        <v>1</v>
      </c>
    </row>
    <row r="53" spans="1:36" ht="29">
      <c r="A53" t="s">
        <v>87</v>
      </c>
      <c r="D53" s="3" t="s">
        <v>387</v>
      </c>
      <c r="E53" s="3" t="s">
        <v>388</v>
      </c>
      <c r="J53" s="6" t="s">
        <v>851</v>
      </c>
      <c r="U53" s="6" t="str">
        <f t="shared" ca="1" si="0"/>
        <v/>
      </c>
      <c r="V53" s="6" t="str">
        <f t="shared" ca="1" si="1"/>
        <v/>
      </c>
      <c r="AB53" s="6" t="s">
        <v>812</v>
      </c>
      <c r="AD53" s="6" t="s">
        <v>19</v>
      </c>
      <c r="AG53" t="s">
        <v>19</v>
      </c>
      <c r="AJ53" cm="1">
        <f t="array" ref="AJ53">_xlfn.IFS(AG53="Yes",1,AG53="No",0,AG53="","")</f>
        <v>1</v>
      </c>
    </row>
    <row r="54" spans="1:36" ht="29">
      <c r="A54" t="s">
        <v>87</v>
      </c>
      <c r="D54" s="3" t="s">
        <v>389</v>
      </c>
      <c r="E54" s="3" t="s">
        <v>386</v>
      </c>
      <c r="J54" s="6" t="s">
        <v>25</v>
      </c>
      <c r="L54" s="6">
        <v>1</v>
      </c>
      <c r="M54" s="6">
        <v>5</v>
      </c>
      <c r="N54" s="6" t="s">
        <v>825</v>
      </c>
      <c r="O54" s="6" t="s">
        <v>803</v>
      </c>
      <c r="P54" s="6" t="s">
        <v>868</v>
      </c>
      <c r="Q54" s="7" t="s">
        <v>867</v>
      </c>
      <c r="S54" s="6">
        <v>830</v>
      </c>
      <c r="U54" s="6" t="str">
        <f t="shared" ca="1" si="0"/>
        <v/>
      </c>
      <c r="V54" s="6" t="str">
        <f t="shared" ca="1" si="1"/>
        <v/>
      </c>
      <c r="AG54" t="s">
        <v>19</v>
      </c>
      <c r="AJ54" cm="1">
        <f t="array" ref="AJ54">_xlfn.IFS(AG54="Yes",1,AG54="No",0,AG54="","")</f>
        <v>1</v>
      </c>
    </row>
    <row r="55" spans="1:36" ht="58">
      <c r="A55" t="s">
        <v>87</v>
      </c>
      <c r="D55" s="3" t="s">
        <v>392</v>
      </c>
      <c r="E55" s="3" t="s">
        <v>393</v>
      </c>
      <c r="I55" t="s">
        <v>893</v>
      </c>
      <c r="J55" s="6" t="s">
        <v>849</v>
      </c>
      <c r="T55" s="6">
        <f>15-10</f>
        <v>5</v>
      </c>
      <c r="U55" s="6">
        <f t="shared" ca="1" si="0"/>
        <v>10</v>
      </c>
      <c r="V55" s="6">
        <f t="shared" ca="1" si="1"/>
        <v>15</v>
      </c>
      <c r="AG55" t="s">
        <v>19</v>
      </c>
      <c r="AJ55" cm="1">
        <f t="array" ref="AJ55">_xlfn.IFS(AG55="Yes",1,AG55="No",0,AG55="","")</f>
        <v>1</v>
      </c>
    </row>
    <row r="56" spans="1:36" ht="58">
      <c r="A56" t="s">
        <v>87</v>
      </c>
      <c r="D56" s="3" t="s">
        <v>390</v>
      </c>
      <c r="E56" s="3" t="s">
        <v>394</v>
      </c>
      <c r="J56" s="6" t="s">
        <v>24</v>
      </c>
      <c r="L56" s="6">
        <v>1</v>
      </c>
      <c r="M56" s="6">
        <v>3</v>
      </c>
      <c r="N56" s="6" t="s">
        <v>808</v>
      </c>
      <c r="O56" s="6" t="s">
        <v>809</v>
      </c>
      <c r="S56" s="6">
        <v>2475</v>
      </c>
      <c r="U56" s="6" t="str">
        <f t="shared" ca="1" si="0"/>
        <v/>
      </c>
      <c r="V56" s="6" t="str">
        <f t="shared" ca="1" si="1"/>
        <v/>
      </c>
      <c r="AG56" t="s">
        <v>19</v>
      </c>
      <c r="AJ56" cm="1">
        <f t="array" ref="AJ56">_xlfn.IFS(AG56="Yes",1,AG56="No",0,AG56="","")</f>
        <v>1</v>
      </c>
    </row>
    <row r="57" spans="1:36" ht="58">
      <c r="A57" t="s">
        <v>87</v>
      </c>
      <c r="D57" s="3" t="s">
        <v>395</v>
      </c>
      <c r="E57" s="3" t="s">
        <v>391</v>
      </c>
      <c r="J57" s="6" t="s">
        <v>25</v>
      </c>
      <c r="L57" s="6">
        <v>1</v>
      </c>
      <c r="M57" s="6">
        <v>5</v>
      </c>
      <c r="N57" s="6" t="s">
        <v>829</v>
      </c>
      <c r="O57" s="6" t="s">
        <v>809</v>
      </c>
      <c r="S57" s="6">
        <v>168</v>
      </c>
      <c r="U57" s="6" t="str">
        <f t="shared" ca="1" si="0"/>
        <v/>
      </c>
      <c r="V57" s="6" t="str">
        <f t="shared" ca="1" si="1"/>
        <v/>
      </c>
      <c r="AG57" t="s">
        <v>19</v>
      </c>
      <c r="AJ57" cm="1">
        <f t="array" ref="AJ57">_xlfn.IFS(AG57="Yes",1,AG57="No",0,AG57="","")</f>
        <v>1</v>
      </c>
    </row>
    <row r="58" spans="1:36" ht="29">
      <c r="A58" t="s">
        <v>88</v>
      </c>
      <c r="D58" s="3" t="s">
        <v>396</v>
      </c>
      <c r="E58" s="3" t="s">
        <v>397</v>
      </c>
      <c r="I58" s="4" t="s">
        <v>878</v>
      </c>
      <c r="J58" s="6" t="s">
        <v>26</v>
      </c>
      <c r="U58" s="6" t="str">
        <f t="shared" ca="1" si="0"/>
        <v/>
      </c>
      <c r="V58" s="6" t="str">
        <f t="shared" ca="1" si="1"/>
        <v/>
      </c>
      <c r="AG58" t="s">
        <v>19</v>
      </c>
      <c r="AJ58" cm="1">
        <f t="array" ref="AJ58">_xlfn.IFS(AG58="Yes",1,AG58="No",0,AG58="","")</f>
        <v>1</v>
      </c>
    </row>
    <row r="59" spans="1:36" ht="29">
      <c r="A59" t="s">
        <v>88</v>
      </c>
      <c r="D59" s="3" t="s">
        <v>399</v>
      </c>
      <c r="E59" s="3" t="s">
        <v>400</v>
      </c>
      <c r="H59" t="s">
        <v>19</v>
      </c>
      <c r="I59" s="4"/>
      <c r="J59" s="6" t="s">
        <v>849</v>
      </c>
      <c r="T59" s="6" t="s">
        <v>850</v>
      </c>
      <c r="U59" s="6" t="str">
        <f t="shared" ca="1" si="0"/>
        <v/>
      </c>
      <c r="V59" s="6" t="str">
        <f t="shared" ca="1" si="1"/>
        <v/>
      </c>
      <c r="AE59" s="6" t="s">
        <v>807</v>
      </c>
      <c r="AG59" t="s">
        <v>20</v>
      </c>
      <c r="AJ59" cm="1">
        <f t="array" ref="AJ59">_xlfn.IFS(AG59="Yes",1,AG59="No",0,AG59="","")</f>
        <v>0</v>
      </c>
    </row>
    <row r="60" spans="1:36" ht="29">
      <c r="A60" t="s">
        <v>88</v>
      </c>
      <c r="D60" s="3" t="s">
        <v>401</v>
      </c>
      <c r="E60" s="3" t="s">
        <v>398</v>
      </c>
      <c r="I60" s="4"/>
      <c r="J60" s="6" t="s">
        <v>25</v>
      </c>
      <c r="L60" s="6">
        <v>3</v>
      </c>
      <c r="M60" s="6">
        <v>10</v>
      </c>
      <c r="O60" s="6" t="s">
        <v>809</v>
      </c>
      <c r="S60" s="6">
        <v>7</v>
      </c>
      <c r="U60" s="6" t="str">
        <f t="shared" ca="1" si="0"/>
        <v/>
      </c>
      <c r="V60" s="6" t="str">
        <f t="shared" ca="1" si="1"/>
        <v/>
      </c>
      <c r="AG60" t="s">
        <v>19</v>
      </c>
      <c r="AJ60" cm="1">
        <f t="array" ref="AJ60">_xlfn.IFS(AG60="Yes",1,AG60="No",0,AG60="","")</f>
        <v>1</v>
      </c>
    </row>
    <row r="61" spans="1:36" ht="29">
      <c r="A61" t="s">
        <v>88</v>
      </c>
      <c r="D61" s="3" t="s">
        <v>403</v>
      </c>
      <c r="E61" s="3" t="s">
        <v>402</v>
      </c>
      <c r="J61" s="6" t="s">
        <v>851</v>
      </c>
      <c r="U61" s="6" t="str">
        <f t="shared" ca="1" si="0"/>
        <v/>
      </c>
      <c r="V61" s="6" t="str">
        <f t="shared" ca="1" si="1"/>
        <v/>
      </c>
      <c r="AE61" s="6" t="s">
        <v>813</v>
      </c>
      <c r="AG61" t="s">
        <v>19</v>
      </c>
      <c r="AJ61" cm="1">
        <f t="array" ref="AJ61">_xlfn.IFS(AG61="Yes",1,AG61="No",0,AG61="","")</f>
        <v>1</v>
      </c>
    </row>
    <row r="62" spans="1:36" ht="29">
      <c r="A62" t="s">
        <v>88</v>
      </c>
      <c r="D62" s="3" t="s">
        <v>404</v>
      </c>
      <c r="E62" s="3" t="s">
        <v>405</v>
      </c>
      <c r="J62" s="6" t="s">
        <v>851</v>
      </c>
      <c r="U62" s="6" t="str">
        <f t="shared" ca="1" si="0"/>
        <v/>
      </c>
      <c r="V62" s="6" t="str">
        <f t="shared" ca="1" si="1"/>
        <v/>
      </c>
      <c r="AC62" s="6" t="s">
        <v>875</v>
      </c>
      <c r="AD62" s="6" t="s">
        <v>19</v>
      </c>
      <c r="AG62" t="s">
        <v>19</v>
      </c>
      <c r="AJ62" cm="1">
        <f t="array" ref="AJ62">_xlfn.IFS(AG62="Yes",1,AG62="No",0,AG62="","")</f>
        <v>1</v>
      </c>
    </row>
    <row r="63" spans="1:36" ht="29">
      <c r="A63" t="s">
        <v>88</v>
      </c>
      <c r="D63" s="3" t="s">
        <v>406</v>
      </c>
      <c r="E63" s="3" t="s">
        <v>407</v>
      </c>
      <c r="J63" s="6" t="s">
        <v>851</v>
      </c>
      <c r="U63" s="6" t="str">
        <f t="shared" ca="1" si="0"/>
        <v/>
      </c>
      <c r="V63" s="6" t="str">
        <f t="shared" ca="1" si="1"/>
        <v/>
      </c>
      <c r="AG63" t="s">
        <v>19</v>
      </c>
      <c r="AJ63" cm="1">
        <f t="array" ref="AJ63">_xlfn.IFS(AG63="Yes",1,AG63="No",0,AG63="","")</f>
        <v>1</v>
      </c>
    </row>
    <row r="64" spans="1:36">
      <c r="A64" t="s">
        <v>88</v>
      </c>
      <c r="D64" s="3" t="s">
        <v>408</v>
      </c>
      <c r="E64" s="3" t="s">
        <v>409</v>
      </c>
      <c r="J64" s="6" t="s">
        <v>25</v>
      </c>
      <c r="L64" s="6">
        <v>1</v>
      </c>
      <c r="M64" s="6">
        <v>3</v>
      </c>
      <c r="N64" s="6" t="s">
        <v>818</v>
      </c>
      <c r="O64" s="6" t="s">
        <v>809</v>
      </c>
      <c r="S64" s="6">
        <v>1701</v>
      </c>
      <c r="U64" s="6" t="str">
        <f t="shared" ref="U64:U127" ca="1" si="4">IF(ISNUMBER(T64),VALUE(MID(_xlfn.FORMULATEXT(T64),SEARCH("-",_xlfn.FORMULATEXT(T64))+1,LEN(_xlfn.FORMULATEXT(T64))-SEARCH("-",_xlfn.FORMULATEXT(T64)))), "")</f>
        <v/>
      </c>
      <c r="V64" s="6" t="str">
        <f t="shared" ref="V64:V127" ca="1" si="5">IF(ISNUMBER(T64), VALUE(MID(_xlfn.FORMULATEXT(T64), 2, SEARCH("-", _xlfn.FORMULATEXT(T64)) - 2)), "")</f>
        <v/>
      </c>
      <c r="AG64" t="s">
        <v>19</v>
      </c>
      <c r="AJ64" cm="1">
        <f t="array" ref="AJ64">_xlfn.IFS(AG64="Yes",1,AG64="No",0,AG64="","")</f>
        <v>1</v>
      </c>
    </row>
    <row r="65" spans="1:36">
      <c r="A65" t="s">
        <v>89</v>
      </c>
      <c r="D65" s="3" t="s">
        <v>312</v>
      </c>
      <c r="E65" s="3" t="s">
        <v>90</v>
      </c>
      <c r="J65" s="6" t="s">
        <v>851</v>
      </c>
      <c r="U65" s="6" t="str">
        <f t="shared" ca="1" si="4"/>
        <v/>
      </c>
      <c r="V65" s="6" t="str">
        <f t="shared" ca="1" si="5"/>
        <v/>
      </c>
      <c r="AG65" t="s">
        <v>19</v>
      </c>
      <c r="AJ65" cm="1">
        <f t="array" ref="AJ65">_xlfn.IFS(AG65="Yes",1,AG65="No",0,AG65="","")</f>
        <v>1</v>
      </c>
    </row>
    <row r="66" spans="1:36">
      <c r="A66" t="s">
        <v>89</v>
      </c>
      <c r="D66" s="3" t="s">
        <v>411</v>
      </c>
      <c r="E66" s="3" t="s">
        <v>410</v>
      </c>
      <c r="J66" s="6" t="s">
        <v>851</v>
      </c>
      <c r="U66" s="6" t="str">
        <f t="shared" ca="1" si="4"/>
        <v/>
      </c>
      <c r="V66" s="6" t="str">
        <f t="shared" ca="1" si="5"/>
        <v/>
      </c>
      <c r="AG66" t="s">
        <v>19</v>
      </c>
      <c r="AJ66" cm="1">
        <f t="array" ref="AJ66">_xlfn.IFS(AG66="Yes",1,AG66="No",0,AG66="","")</f>
        <v>1</v>
      </c>
    </row>
    <row r="67" spans="1:36">
      <c r="A67" t="s">
        <v>89</v>
      </c>
      <c r="D67" s="3" t="s">
        <v>313</v>
      </c>
      <c r="E67" s="3" t="s">
        <v>91</v>
      </c>
      <c r="H67" t="s">
        <v>19</v>
      </c>
      <c r="J67" s="6" t="s">
        <v>849</v>
      </c>
      <c r="T67" s="6">
        <f>0-1</f>
        <v>-1</v>
      </c>
      <c r="U67" s="6">
        <f t="shared" ca="1" si="4"/>
        <v>1</v>
      </c>
      <c r="V67" s="6">
        <f t="shared" ca="1" si="5"/>
        <v>0</v>
      </c>
      <c r="AG67" t="s">
        <v>20</v>
      </c>
      <c r="AJ67" cm="1">
        <f t="array" ref="AJ67">_xlfn.IFS(AG67="Yes",1,AG67="No",0,AG67="","")</f>
        <v>0</v>
      </c>
    </row>
    <row r="68" spans="1:36">
      <c r="A68" t="s">
        <v>92</v>
      </c>
      <c r="D68" s="3" t="s">
        <v>412</v>
      </c>
      <c r="E68" s="3" t="s">
        <v>413</v>
      </c>
      <c r="J68" s="6" t="s">
        <v>24</v>
      </c>
      <c r="L68" s="6">
        <v>1</v>
      </c>
      <c r="M68" s="6">
        <v>2</v>
      </c>
      <c r="N68" s="6" t="s">
        <v>808</v>
      </c>
      <c r="O68" s="6" t="s">
        <v>850</v>
      </c>
      <c r="S68" s="6">
        <v>2475</v>
      </c>
      <c r="U68" s="6" t="str">
        <f t="shared" ca="1" si="4"/>
        <v/>
      </c>
      <c r="V68" s="6" t="str">
        <f t="shared" ca="1" si="5"/>
        <v/>
      </c>
      <c r="AG68" t="s">
        <v>20</v>
      </c>
      <c r="AJ68" cm="1">
        <f t="array" ref="AJ68">_xlfn.IFS(AG68="Yes",1,AG68="No",0,AG68="","")</f>
        <v>0</v>
      </c>
    </row>
    <row r="69" spans="1:36">
      <c r="A69" t="s">
        <v>92</v>
      </c>
      <c r="D69" s="3" t="s">
        <v>415</v>
      </c>
      <c r="E69" s="3" t="s">
        <v>414</v>
      </c>
      <c r="H69" t="s">
        <v>19</v>
      </c>
      <c r="J69" s="6" t="s">
        <v>849</v>
      </c>
      <c r="T69" s="6" t="s">
        <v>861</v>
      </c>
      <c r="U69" s="6" t="str">
        <f t="shared" ca="1" si="4"/>
        <v/>
      </c>
      <c r="V69" s="6" t="str">
        <f t="shared" ca="1" si="5"/>
        <v/>
      </c>
      <c r="AB69" s="6" t="s">
        <v>871</v>
      </c>
      <c r="AD69" s="6" t="s">
        <v>19</v>
      </c>
      <c r="AE69" s="6" t="s">
        <v>807</v>
      </c>
      <c r="AG69" t="s">
        <v>20</v>
      </c>
      <c r="AJ69" cm="1">
        <f t="array" ref="AJ69">_xlfn.IFS(AG69="Yes",1,AG69="No",0,AG69="","")</f>
        <v>0</v>
      </c>
    </row>
    <row r="70" spans="1:36">
      <c r="A70" t="s">
        <v>92</v>
      </c>
      <c r="D70" s="3" t="s">
        <v>314</v>
      </c>
      <c r="E70" s="3" t="s">
        <v>93</v>
      </c>
      <c r="J70" s="6" t="s">
        <v>849</v>
      </c>
      <c r="T70" s="6" t="s">
        <v>861</v>
      </c>
      <c r="U70" s="6" t="str">
        <f t="shared" ca="1" si="4"/>
        <v/>
      </c>
      <c r="V70" s="6" t="str">
        <f t="shared" ca="1" si="5"/>
        <v/>
      </c>
      <c r="AB70" s="6" t="s">
        <v>871</v>
      </c>
      <c r="AC70" s="6" t="s">
        <v>925</v>
      </c>
      <c r="AD70" s="6" t="s">
        <v>19</v>
      </c>
      <c r="AG70" t="s">
        <v>19</v>
      </c>
      <c r="AJ70" cm="1">
        <f t="array" ref="AJ70">_xlfn.IFS(AG70="Yes",1,AG70="No",0,AG70="","")</f>
        <v>1</v>
      </c>
    </row>
    <row r="71" spans="1:36">
      <c r="A71" t="s">
        <v>92</v>
      </c>
      <c r="D71" s="3" t="s">
        <v>417</v>
      </c>
      <c r="E71" s="3" t="s">
        <v>416</v>
      </c>
      <c r="J71" s="6" t="s">
        <v>24</v>
      </c>
      <c r="L71" s="6">
        <v>1</v>
      </c>
      <c r="M71" s="6">
        <v>2</v>
      </c>
      <c r="N71" s="6" t="s">
        <v>854</v>
      </c>
      <c r="O71" s="6" t="s">
        <v>850</v>
      </c>
      <c r="S71" s="6">
        <v>0</v>
      </c>
      <c r="U71" s="6" t="str">
        <f t="shared" ca="1" si="4"/>
        <v/>
      </c>
      <c r="V71" s="6" t="str">
        <f t="shared" ca="1" si="5"/>
        <v/>
      </c>
      <c r="AG71" t="s">
        <v>19</v>
      </c>
      <c r="AJ71" cm="1">
        <f t="array" ref="AJ71">_xlfn.IFS(AG71="Yes",1,AG71="No",0,AG71="","")</f>
        <v>1</v>
      </c>
    </row>
    <row r="72" spans="1:36">
      <c r="A72" t="s">
        <v>94</v>
      </c>
      <c r="D72" s="3" t="s">
        <v>95</v>
      </c>
      <c r="E72" s="3" t="s">
        <v>96</v>
      </c>
      <c r="J72" s="6" t="s">
        <v>851</v>
      </c>
      <c r="U72" s="6" t="str">
        <f t="shared" ca="1" si="4"/>
        <v/>
      </c>
      <c r="V72" s="6" t="str">
        <f t="shared" ca="1" si="5"/>
        <v/>
      </c>
      <c r="AC72" s="6" t="s">
        <v>865</v>
      </c>
      <c r="AD72" s="6" t="s">
        <v>19</v>
      </c>
      <c r="AG72" t="s">
        <v>20</v>
      </c>
      <c r="AJ72" cm="1">
        <f t="array" ref="AJ72">_xlfn.IFS(AG72="Yes",1,AG72="No",0,AG72="","")</f>
        <v>0</v>
      </c>
    </row>
    <row r="73" spans="1:36">
      <c r="A73" t="s">
        <v>94</v>
      </c>
      <c r="D73" s="3" t="s">
        <v>418</v>
      </c>
      <c r="E73" s="3" t="s">
        <v>419</v>
      </c>
      <c r="H73" t="s">
        <v>19</v>
      </c>
      <c r="J73" s="6" t="s">
        <v>25</v>
      </c>
      <c r="L73" s="6">
        <v>1</v>
      </c>
      <c r="M73" s="6">
        <v>5</v>
      </c>
      <c r="N73" s="6" t="s">
        <v>860</v>
      </c>
      <c r="O73" s="6" t="s">
        <v>809</v>
      </c>
      <c r="S73" s="6">
        <v>4</v>
      </c>
      <c r="U73" s="6" t="str">
        <f t="shared" ca="1" si="4"/>
        <v/>
      </c>
      <c r="V73" s="6" t="str">
        <f t="shared" ca="1" si="5"/>
        <v/>
      </c>
      <c r="AG73" t="s">
        <v>20</v>
      </c>
      <c r="AJ73" cm="1">
        <f t="array" ref="AJ73">_xlfn.IFS(AG73="Yes",1,AG73="No",0,AG73="","")</f>
        <v>0</v>
      </c>
    </row>
    <row r="74" spans="1:36">
      <c r="A74" t="s">
        <v>94</v>
      </c>
      <c r="D74" s="3" t="s">
        <v>420</v>
      </c>
      <c r="E74" s="3" t="s">
        <v>421</v>
      </c>
      <c r="H74" t="s">
        <v>19</v>
      </c>
      <c r="J74" s="6" t="s">
        <v>851</v>
      </c>
      <c r="U74" s="6" t="str">
        <f t="shared" ca="1" si="4"/>
        <v/>
      </c>
      <c r="V74" s="6" t="str">
        <f t="shared" ca="1" si="5"/>
        <v/>
      </c>
      <c r="AE74" s="6" t="s">
        <v>807</v>
      </c>
      <c r="AG74" t="s">
        <v>20</v>
      </c>
      <c r="AJ74" cm="1">
        <f t="array" ref="AJ74">_xlfn.IFS(AG74="Yes",1,AG74="No",0,AG74="","")</f>
        <v>0</v>
      </c>
    </row>
    <row r="75" spans="1:36">
      <c r="A75" t="s">
        <v>97</v>
      </c>
      <c r="D75" s="3" t="s">
        <v>37</v>
      </c>
      <c r="E75" s="3" t="s">
        <v>98</v>
      </c>
      <c r="H75" t="s">
        <v>19</v>
      </c>
      <c r="J75" s="6" t="s">
        <v>849</v>
      </c>
      <c r="T75" s="6" t="s">
        <v>861</v>
      </c>
      <c r="U75" s="6" t="str">
        <f t="shared" ca="1" si="4"/>
        <v/>
      </c>
      <c r="V75" s="6" t="str">
        <f t="shared" ca="1" si="5"/>
        <v/>
      </c>
      <c r="AE75" s="6" t="s">
        <v>807</v>
      </c>
      <c r="AG75" t="s">
        <v>20</v>
      </c>
      <c r="AJ75" cm="1">
        <f t="array" ref="AJ75">_xlfn.IFS(AG75="Yes",1,AG75="No",0,AG75="","")</f>
        <v>0</v>
      </c>
    </row>
    <row r="76" spans="1:36">
      <c r="A76" t="s">
        <v>97</v>
      </c>
      <c r="D76" s="3" t="s">
        <v>423</v>
      </c>
      <c r="E76" s="3" t="s">
        <v>422</v>
      </c>
      <c r="J76" s="6" t="s">
        <v>851</v>
      </c>
      <c r="U76" s="6" t="str">
        <f t="shared" ca="1" si="4"/>
        <v/>
      </c>
      <c r="V76" s="6" t="str">
        <f t="shared" ca="1" si="5"/>
        <v/>
      </c>
      <c r="AC76" s="6" t="s">
        <v>865</v>
      </c>
      <c r="AD76" s="6" t="s">
        <v>19</v>
      </c>
      <c r="AG76" t="s">
        <v>19</v>
      </c>
      <c r="AJ76" cm="1">
        <f t="array" ref="AJ76">_xlfn.IFS(AG76="Yes",1,AG76="No",0,AG76="","")</f>
        <v>1</v>
      </c>
    </row>
    <row r="77" spans="1:36">
      <c r="A77" t="s">
        <v>97</v>
      </c>
      <c r="D77" s="3" t="s">
        <v>99</v>
      </c>
      <c r="E77" s="3" t="s">
        <v>100</v>
      </c>
      <c r="J77" s="6" t="s">
        <v>849</v>
      </c>
      <c r="R77" s="6" t="s">
        <v>804</v>
      </c>
      <c r="T77" s="6" t="s">
        <v>861</v>
      </c>
      <c r="U77" s="6" t="str">
        <f t="shared" ca="1" si="4"/>
        <v/>
      </c>
      <c r="V77" s="6" t="str">
        <f t="shared" ca="1" si="5"/>
        <v/>
      </c>
      <c r="AE77" s="6" t="s">
        <v>817</v>
      </c>
      <c r="AG77" t="s">
        <v>19</v>
      </c>
      <c r="AJ77" cm="1">
        <f t="array" ref="AJ77">_xlfn.IFS(AG77="Yes",1,AG77="No",0,AG77="","")</f>
        <v>1</v>
      </c>
    </row>
    <row r="78" spans="1:36">
      <c r="A78" t="s">
        <v>101</v>
      </c>
      <c r="D78" s="3" t="s">
        <v>424</v>
      </c>
      <c r="E78" s="3" t="s">
        <v>425</v>
      </c>
      <c r="H78" t="s">
        <v>19</v>
      </c>
      <c r="J78" s="6" t="s">
        <v>24</v>
      </c>
      <c r="L78" s="6">
        <v>1</v>
      </c>
      <c r="M78" s="6">
        <v>2</v>
      </c>
      <c r="N78" s="6" t="s">
        <v>818</v>
      </c>
      <c r="O78" s="6" t="s">
        <v>850</v>
      </c>
      <c r="S78" s="6">
        <v>171</v>
      </c>
      <c r="U78" s="6" t="str">
        <f t="shared" ca="1" si="4"/>
        <v/>
      </c>
      <c r="V78" s="6" t="str">
        <f t="shared" ca="1" si="5"/>
        <v/>
      </c>
      <c r="AG78" t="s">
        <v>20</v>
      </c>
      <c r="AJ78" cm="1">
        <f t="array" ref="AJ78">_xlfn.IFS(AG78="Yes",1,AG78="No",0,AG78="","")</f>
        <v>0</v>
      </c>
    </row>
    <row r="79" spans="1:36" ht="29">
      <c r="A79" t="s">
        <v>101</v>
      </c>
      <c r="D79" s="3" t="s">
        <v>426</v>
      </c>
      <c r="E79" s="3" t="s">
        <v>427</v>
      </c>
      <c r="H79" t="s">
        <v>19</v>
      </c>
      <c r="J79" s="6" t="s">
        <v>849</v>
      </c>
      <c r="T79" s="6" t="s">
        <v>861</v>
      </c>
      <c r="U79" s="6" t="str">
        <f t="shared" ca="1" si="4"/>
        <v/>
      </c>
      <c r="V79" s="6" t="str">
        <f t="shared" ca="1" si="5"/>
        <v/>
      </c>
      <c r="AE79" s="6" t="s">
        <v>807</v>
      </c>
      <c r="AG79" t="s">
        <v>20</v>
      </c>
      <c r="AJ79" cm="1">
        <f t="array" ref="AJ79">_xlfn.IFS(AG79="Yes",1,AG79="No",0,AG79="","")</f>
        <v>0</v>
      </c>
    </row>
    <row r="80" spans="1:36">
      <c r="A80" t="s">
        <v>101</v>
      </c>
      <c r="D80" s="3" t="s">
        <v>102</v>
      </c>
      <c r="E80" s="3" t="s">
        <v>103</v>
      </c>
      <c r="H80" t="s">
        <v>19</v>
      </c>
      <c r="J80" s="6" t="s">
        <v>851</v>
      </c>
      <c r="U80" s="6" t="str">
        <f t="shared" ca="1" si="4"/>
        <v/>
      </c>
      <c r="V80" s="6" t="str">
        <f t="shared" ca="1" si="5"/>
        <v/>
      </c>
      <c r="AE80" s="6" t="s">
        <v>807</v>
      </c>
      <c r="AG80" t="s">
        <v>20</v>
      </c>
      <c r="AJ80" cm="1">
        <f t="array" ref="AJ80">_xlfn.IFS(AG80="Yes",1,AG80="No",0,AG80="","")</f>
        <v>0</v>
      </c>
    </row>
    <row r="81" spans="1:36">
      <c r="A81" t="s">
        <v>104</v>
      </c>
      <c r="D81" s="3" t="s">
        <v>105</v>
      </c>
      <c r="E81" s="3" t="s">
        <v>106</v>
      </c>
      <c r="J81" s="6" t="s">
        <v>849</v>
      </c>
      <c r="T81" s="6">
        <f>5-2</f>
        <v>3</v>
      </c>
      <c r="U81" s="6">
        <f t="shared" ca="1" si="4"/>
        <v>2</v>
      </c>
      <c r="V81" s="6">
        <f t="shared" ca="1" si="5"/>
        <v>5</v>
      </c>
      <c r="AG81" t="s">
        <v>19</v>
      </c>
      <c r="AJ81" cm="1">
        <f t="array" ref="AJ81">_xlfn.IFS(AG81="Yes",1,AG81="No",0,AG81="","")</f>
        <v>1</v>
      </c>
    </row>
    <row r="82" spans="1:36">
      <c r="A82" t="s">
        <v>107</v>
      </c>
      <c r="D82" s="3" t="s">
        <v>108</v>
      </c>
      <c r="E82" s="3" t="s">
        <v>109</v>
      </c>
      <c r="J82" s="6" t="s">
        <v>849</v>
      </c>
      <c r="T82" s="6">
        <f>7-4</f>
        <v>3</v>
      </c>
      <c r="U82" s="6">
        <f t="shared" ca="1" si="4"/>
        <v>4</v>
      </c>
      <c r="V82" s="6">
        <f t="shared" ca="1" si="5"/>
        <v>7</v>
      </c>
      <c r="AG82" t="s">
        <v>19</v>
      </c>
      <c r="AJ82" cm="1">
        <f t="array" ref="AJ82">_xlfn.IFS(AG82="Yes",1,AG82="No",0,AG82="","")</f>
        <v>1</v>
      </c>
    </row>
    <row r="83" spans="1:36" ht="29">
      <c r="A83" t="s">
        <v>110</v>
      </c>
      <c r="D83" s="3" t="s">
        <v>428</v>
      </c>
      <c r="E83" s="3" t="s">
        <v>429</v>
      </c>
      <c r="J83" s="6" t="s">
        <v>25</v>
      </c>
      <c r="L83" s="6">
        <v>2</v>
      </c>
      <c r="M83" s="6">
        <v>8</v>
      </c>
      <c r="O83" s="6" t="s">
        <v>809</v>
      </c>
      <c r="S83" s="6">
        <v>115</v>
      </c>
      <c r="U83" s="6" t="str">
        <f t="shared" ca="1" si="4"/>
        <v/>
      </c>
      <c r="V83" s="6" t="str">
        <f t="shared" ca="1" si="5"/>
        <v/>
      </c>
      <c r="AG83" t="s">
        <v>19</v>
      </c>
      <c r="AJ83" cm="1">
        <f t="array" ref="AJ83">_xlfn.IFS(AG83="Yes",1,AG83="No",0,AG83="","")</f>
        <v>1</v>
      </c>
    </row>
    <row r="84" spans="1:36" ht="29">
      <c r="A84" t="s">
        <v>110</v>
      </c>
      <c r="D84" s="3" t="s">
        <v>430</v>
      </c>
      <c r="E84" s="3" t="s">
        <v>431</v>
      </c>
      <c r="J84" s="6" t="s">
        <v>851</v>
      </c>
      <c r="U84" s="6" t="str">
        <f t="shared" ca="1" si="4"/>
        <v/>
      </c>
      <c r="V84" s="6" t="str">
        <f t="shared" ca="1" si="5"/>
        <v/>
      </c>
      <c r="AG84" t="s">
        <v>19</v>
      </c>
      <c r="AJ84" cm="1">
        <f t="array" ref="AJ84">_xlfn.IFS(AG84="Yes",1,AG84="No",0,AG84="","")</f>
        <v>1</v>
      </c>
    </row>
    <row r="85" spans="1:36" ht="29">
      <c r="A85" t="s">
        <v>110</v>
      </c>
      <c r="D85" s="3" t="s">
        <v>433</v>
      </c>
      <c r="E85" s="3" t="s">
        <v>432</v>
      </c>
      <c r="H85" t="s">
        <v>19</v>
      </c>
      <c r="J85" s="6" t="s">
        <v>851</v>
      </c>
      <c r="U85" s="6" t="str">
        <f t="shared" ca="1" si="4"/>
        <v/>
      </c>
      <c r="V85" s="6" t="str">
        <f t="shared" ca="1" si="5"/>
        <v/>
      </c>
      <c r="AE85" s="6" t="s">
        <v>813</v>
      </c>
      <c r="AG85" t="s">
        <v>20</v>
      </c>
      <c r="AJ85" cm="1">
        <f t="array" ref="AJ85">_xlfn.IFS(AG85="Yes",1,AG85="No",0,AG85="","")</f>
        <v>0</v>
      </c>
    </row>
    <row r="86" spans="1:36" ht="58">
      <c r="A86" t="s">
        <v>111</v>
      </c>
      <c r="D86" s="3" t="s">
        <v>434</v>
      </c>
      <c r="E86" s="3" t="s">
        <v>1010</v>
      </c>
      <c r="J86" s="6" t="s">
        <v>851</v>
      </c>
      <c r="Q86" s="6"/>
      <c r="U86" s="6" t="str">
        <f t="shared" ca="1" si="4"/>
        <v/>
      </c>
      <c r="V86" s="6" t="str">
        <f t="shared" ca="1" si="5"/>
        <v/>
      </c>
      <c r="AG86" t="s">
        <v>19</v>
      </c>
      <c r="AJ86" cm="1">
        <f t="array" ref="AJ86">_xlfn.IFS(AG86="Yes",1,AG86="No",0,AG86="","")</f>
        <v>1</v>
      </c>
    </row>
    <row r="87" spans="1:36" ht="58">
      <c r="A87" t="s">
        <v>111</v>
      </c>
      <c r="D87" s="3" t="s">
        <v>435</v>
      </c>
      <c r="E87" s="3" t="s">
        <v>436</v>
      </c>
      <c r="I87" t="s">
        <v>877</v>
      </c>
      <c r="J87" s="6" t="s">
        <v>26</v>
      </c>
      <c r="U87" s="6" t="str">
        <f t="shared" ca="1" si="4"/>
        <v/>
      </c>
      <c r="V87" s="6" t="str">
        <f t="shared" ca="1" si="5"/>
        <v/>
      </c>
      <c r="AG87" t="s">
        <v>19</v>
      </c>
      <c r="AJ87" cm="1">
        <f t="array" ref="AJ87">_xlfn.IFS(AG87="Yes",1,AG87="No",0,AG87="","")</f>
        <v>1</v>
      </c>
    </row>
    <row r="88" spans="1:36">
      <c r="A88" t="s">
        <v>111</v>
      </c>
      <c r="D88" s="3" t="s">
        <v>437</v>
      </c>
      <c r="E88" s="3" t="s">
        <v>438</v>
      </c>
      <c r="J88" s="6" t="s">
        <v>851</v>
      </c>
      <c r="U88" s="6" t="str">
        <f t="shared" ca="1" si="4"/>
        <v/>
      </c>
      <c r="V88" s="6" t="str">
        <f t="shared" ca="1" si="5"/>
        <v/>
      </c>
      <c r="AG88" t="s">
        <v>19</v>
      </c>
      <c r="AJ88" cm="1">
        <f t="array" ref="AJ88">_xlfn.IFS(AG88="Yes",1,AG88="No",0,AG88="","")</f>
        <v>1</v>
      </c>
    </row>
    <row r="89" spans="1:36" ht="29">
      <c r="A89" t="s">
        <v>112</v>
      </c>
      <c r="D89" s="3" t="s">
        <v>439</v>
      </c>
      <c r="E89" s="3" t="s">
        <v>440</v>
      </c>
      <c r="J89" s="6" t="s">
        <v>851</v>
      </c>
      <c r="U89" s="6" t="str">
        <f t="shared" ca="1" si="4"/>
        <v/>
      </c>
      <c r="V89" s="6" t="str">
        <f t="shared" ca="1" si="5"/>
        <v/>
      </c>
      <c r="AG89" t="s">
        <v>19</v>
      </c>
      <c r="AJ89" cm="1">
        <f t="array" ref="AJ89">_xlfn.IFS(AG89="Yes",1,AG89="No",0,AG89="","")</f>
        <v>1</v>
      </c>
    </row>
    <row r="90" spans="1:36">
      <c r="A90" t="s">
        <v>113</v>
      </c>
      <c r="D90" s="3" t="s">
        <v>441</v>
      </c>
      <c r="E90" s="3" t="s">
        <v>442</v>
      </c>
      <c r="J90" s="6" t="s">
        <v>849</v>
      </c>
      <c r="T90" s="6">
        <f>166-210</f>
        <v>-44</v>
      </c>
      <c r="U90" s="6">
        <f t="shared" ca="1" si="4"/>
        <v>210</v>
      </c>
      <c r="V90" s="6">
        <f t="shared" ca="1" si="5"/>
        <v>166</v>
      </c>
      <c r="AG90" t="s">
        <v>19</v>
      </c>
      <c r="AJ90" cm="1">
        <f t="array" ref="AJ90">_xlfn.IFS(AG90="Yes",1,AG90="No",0,AG90="","")</f>
        <v>1</v>
      </c>
    </row>
    <row r="91" spans="1:36" ht="29">
      <c r="A91" t="s">
        <v>114</v>
      </c>
      <c r="D91" s="3" t="s">
        <v>444</v>
      </c>
      <c r="E91" s="3" t="s">
        <v>443</v>
      </c>
      <c r="J91" s="6" t="s">
        <v>24</v>
      </c>
      <c r="L91" s="6">
        <v>1</v>
      </c>
      <c r="M91" s="6">
        <v>5</v>
      </c>
      <c r="N91" s="6" t="s">
        <v>825</v>
      </c>
      <c r="O91" s="6" t="s">
        <v>809</v>
      </c>
      <c r="S91" s="6">
        <v>830</v>
      </c>
      <c r="U91" s="6" t="str">
        <f t="shared" ca="1" si="4"/>
        <v/>
      </c>
      <c r="V91" s="6" t="str">
        <f t="shared" ca="1" si="5"/>
        <v/>
      </c>
      <c r="AG91" t="s">
        <v>19</v>
      </c>
      <c r="AJ91" cm="1">
        <f t="array" ref="AJ91">_xlfn.IFS(AG91="Yes",1,AG91="No",0,AG91="","")</f>
        <v>1</v>
      </c>
    </row>
    <row r="92" spans="1:36">
      <c r="A92" t="s">
        <v>114</v>
      </c>
      <c r="D92" s="3" t="s">
        <v>115</v>
      </c>
      <c r="E92" s="3" t="s">
        <v>116</v>
      </c>
      <c r="H92" t="s">
        <v>19</v>
      </c>
      <c r="J92" s="6" t="s">
        <v>849</v>
      </c>
      <c r="T92" s="6" t="s">
        <v>861</v>
      </c>
      <c r="U92" s="6" t="str">
        <f t="shared" ca="1" si="4"/>
        <v/>
      </c>
      <c r="V92" s="6" t="str">
        <f t="shared" ca="1" si="5"/>
        <v/>
      </c>
      <c r="AE92" s="6" t="s">
        <v>807</v>
      </c>
      <c r="AG92" t="s">
        <v>20</v>
      </c>
      <c r="AJ92" cm="1">
        <f t="array" ref="AJ92">_xlfn.IFS(AG92="Yes",1,AG92="No",0,AG92="","")</f>
        <v>0</v>
      </c>
    </row>
    <row r="93" spans="1:36" ht="29">
      <c r="A93" t="s">
        <v>117</v>
      </c>
      <c r="D93" s="3" t="s">
        <v>446</v>
      </c>
      <c r="E93" s="3" t="s">
        <v>445</v>
      </c>
      <c r="I93" t="s">
        <v>874</v>
      </c>
      <c r="J93" s="6" t="s">
        <v>26</v>
      </c>
      <c r="U93" s="6" t="str">
        <f t="shared" ca="1" si="4"/>
        <v/>
      </c>
      <c r="V93" s="6" t="str">
        <f t="shared" ca="1" si="5"/>
        <v/>
      </c>
      <c r="AG93" t="s">
        <v>19</v>
      </c>
      <c r="AJ93" cm="1">
        <f t="array" ref="AJ93">_xlfn.IFS(AG93="Yes",1,AG93="No",0,AG93="","")</f>
        <v>1</v>
      </c>
    </row>
    <row r="94" spans="1:36">
      <c r="A94" t="s">
        <v>117</v>
      </c>
      <c r="D94" s="3" t="s">
        <v>118</v>
      </c>
      <c r="E94" s="3" t="s">
        <v>119</v>
      </c>
      <c r="J94" s="6" t="s">
        <v>849</v>
      </c>
      <c r="T94" s="6">
        <f>0-1</f>
        <v>-1</v>
      </c>
      <c r="U94" s="6">
        <f t="shared" ca="1" si="4"/>
        <v>1</v>
      </c>
      <c r="V94" s="6">
        <f t="shared" ca="1" si="5"/>
        <v>0</v>
      </c>
      <c r="AG94" t="s">
        <v>19</v>
      </c>
      <c r="AJ94" cm="1">
        <f t="array" ref="AJ94">_xlfn.IFS(AG94="Yes",1,AG94="No",0,AG94="","")</f>
        <v>1</v>
      </c>
    </row>
    <row r="95" spans="1:36" ht="29">
      <c r="A95" t="s">
        <v>117</v>
      </c>
      <c r="D95" s="3" t="s">
        <v>447</v>
      </c>
      <c r="E95" s="3" t="s">
        <v>448</v>
      </c>
      <c r="H95" t="s">
        <v>19</v>
      </c>
      <c r="J95" s="6" t="s">
        <v>849</v>
      </c>
      <c r="T95" s="6" t="s">
        <v>861</v>
      </c>
      <c r="U95" s="6" t="str">
        <f t="shared" ca="1" si="4"/>
        <v/>
      </c>
      <c r="V95" s="6" t="str">
        <f t="shared" ca="1" si="5"/>
        <v/>
      </c>
      <c r="AE95" s="6" t="s">
        <v>807</v>
      </c>
      <c r="AG95" t="s">
        <v>20</v>
      </c>
      <c r="AJ95" cm="1">
        <f t="array" ref="AJ95">_xlfn.IFS(AG95="Yes",1,AG95="No",0,AG95="","")</f>
        <v>0</v>
      </c>
    </row>
    <row r="96" spans="1:36">
      <c r="A96" t="s">
        <v>120</v>
      </c>
      <c r="D96" s="3" t="s">
        <v>449</v>
      </c>
      <c r="E96" s="3" t="s">
        <v>450</v>
      </c>
      <c r="J96" s="6" t="s">
        <v>849</v>
      </c>
      <c r="T96" s="6">
        <f>6-3</f>
        <v>3</v>
      </c>
      <c r="U96" s="6">
        <f t="shared" ca="1" si="4"/>
        <v>3</v>
      </c>
      <c r="V96" s="6">
        <f t="shared" ca="1" si="5"/>
        <v>6</v>
      </c>
      <c r="AG96" t="s">
        <v>19</v>
      </c>
      <c r="AJ96" cm="1">
        <f t="array" ref="AJ96">_xlfn.IFS(AG96="Yes",1,AG96="No",0,AG96="","")</f>
        <v>1</v>
      </c>
    </row>
    <row r="97" spans="1:36" ht="29">
      <c r="A97" t="s">
        <v>120</v>
      </c>
      <c r="D97" s="3" t="s">
        <v>451</v>
      </c>
      <c r="E97" s="3" t="s">
        <v>452</v>
      </c>
      <c r="J97" s="6" t="s">
        <v>851</v>
      </c>
      <c r="U97" s="6" t="str">
        <f t="shared" ca="1" si="4"/>
        <v/>
      </c>
      <c r="V97" s="6" t="str">
        <f t="shared" ca="1" si="5"/>
        <v/>
      </c>
      <c r="AG97" t="s">
        <v>19</v>
      </c>
      <c r="AJ97" cm="1">
        <f t="array" ref="AJ97">_xlfn.IFS(AG97="Yes",1,AG97="No",0,AG97="","")</f>
        <v>1</v>
      </c>
    </row>
    <row r="98" spans="1:36" ht="29">
      <c r="A98" t="s">
        <v>121</v>
      </c>
      <c r="D98" s="3" t="s">
        <v>453</v>
      </c>
      <c r="E98" s="3" t="s">
        <v>454</v>
      </c>
      <c r="J98" s="6" t="s">
        <v>851</v>
      </c>
      <c r="U98" s="6" t="str">
        <f t="shared" ca="1" si="4"/>
        <v/>
      </c>
      <c r="V98" s="6" t="str">
        <f t="shared" ca="1" si="5"/>
        <v/>
      </c>
      <c r="AG98" t="s">
        <v>19</v>
      </c>
      <c r="AJ98" cm="1">
        <f t="array" ref="AJ98">_xlfn.IFS(AG98="Yes",1,AG98="No",0,AG98="","")</f>
        <v>1</v>
      </c>
    </row>
    <row r="99" spans="1:36" ht="29">
      <c r="A99" t="s">
        <v>122</v>
      </c>
      <c r="D99" s="3" t="s">
        <v>456</v>
      </c>
      <c r="E99" s="3" t="s">
        <v>455</v>
      </c>
      <c r="J99" s="6" t="s">
        <v>24</v>
      </c>
      <c r="L99" s="6">
        <v>1</v>
      </c>
      <c r="M99" s="6">
        <v>3</v>
      </c>
      <c r="N99" s="6" t="s">
        <v>808</v>
      </c>
      <c r="O99" s="6" t="s">
        <v>809</v>
      </c>
      <c r="S99" s="6">
        <v>2475</v>
      </c>
      <c r="U99" s="6" t="str">
        <f t="shared" ca="1" si="4"/>
        <v/>
      </c>
      <c r="V99" s="6" t="str">
        <f t="shared" ca="1" si="5"/>
        <v/>
      </c>
      <c r="AG99" t="s">
        <v>19</v>
      </c>
      <c r="AJ99" cm="1">
        <f t="array" ref="AJ99">_xlfn.IFS(AG99="Yes",1,AG99="No",0,AG99="","")</f>
        <v>1</v>
      </c>
    </row>
    <row r="100" spans="1:36" ht="29">
      <c r="A100" t="s">
        <v>123</v>
      </c>
      <c r="D100" s="3" t="s">
        <v>458</v>
      </c>
      <c r="E100" s="3" t="s">
        <v>457</v>
      </c>
      <c r="J100" s="6" t="s">
        <v>24</v>
      </c>
      <c r="L100" s="6">
        <v>1</v>
      </c>
      <c r="M100" s="6">
        <v>3</v>
      </c>
      <c r="N100" s="6" t="s">
        <v>818</v>
      </c>
      <c r="O100" s="6" t="s">
        <v>809</v>
      </c>
      <c r="S100" s="6">
        <v>86</v>
      </c>
      <c r="U100" s="6" t="str">
        <f t="shared" ca="1" si="4"/>
        <v/>
      </c>
      <c r="V100" s="6" t="str">
        <f t="shared" ca="1" si="5"/>
        <v/>
      </c>
      <c r="AG100" t="s">
        <v>19</v>
      </c>
      <c r="AJ100" cm="1">
        <f t="array" ref="AJ100">_xlfn.IFS(AG100="Yes",1,AG100="No",0,AG100="","")</f>
        <v>1</v>
      </c>
    </row>
    <row r="101" spans="1:36">
      <c r="A101" t="s">
        <v>123</v>
      </c>
      <c r="D101" s="3" t="s">
        <v>124</v>
      </c>
      <c r="E101" s="3" t="s">
        <v>124</v>
      </c>
      <c r="F101" t="s">
        <v>35</v>
      </c>
      <c r="I101" t="s">
        <v>459</v>
      </c>
      <c r="U101" s="6" t="str">
        <f t="shared" ca="1" si="4"/>
        <v/>
      </c>
      <c r="V101" s="6" t="str">
        <f t="shared" ca="1" si="5"/>
        <v/>
      </c>
      <c r="AJ101" t="str" cm="1">
        <f t="array" ref="AJ101">_xlfn.IFS(AG101="Yes",1,AG101="No",0,AG101="","")</f>
        <v/>
      </c>
    </row>
    <row r="102" spans="1:36" ht="29">
      <c r="A102" t="s">
        <v>125</v>
      </c>
      <c r="D102" s="3" t="s">
        <v>460</v>
      </c>
      <c r="E102" s="3" t="s">
        <v>461</v>
      </c>
      <c r="J102" s="6" t="s">
        <v>25</v>
      </c>
      <c r="L102" s="6">
        <v>1</v>
      </c>
      <c r="M102" s="6">
        <v>3</v>
      </c>
      <c r="N102" s="6" t="s">
        <v>818</v>
      </c>
      <c r="O102" s="6" t="s">
        <v>809</v>
      </c>
      <c r="S102" s="6">
        <v>1701</v>
      </c>
      <c r="U102" s="6" t="str">
        <f t="shared" ca="1" si="4"/>
        <v/>
      </c>
      <c r="V102" s="6" t="str">
        <f t="shared" ca="1" si="5"/>
        <v/>
      </c>
      <c r="AG102" t="s">
        <v>19</v>
      </c>
      <c r="AJ102" cm="1">
        <f t="array" ref="AJ102">_xlfn.IFS(AG102="Yes",1,AG102="No",0,AG102="","")</f>
        <v>1</v>
      </c>
    </row>
    <row r="103" spans="1:36" ht="29">
      <c r="A103" t="s">
        <v>125</v>
      </c>
      <c r="D103" s="3" t="s">
        <v>463</v>
      </c>
      <c r="E103" s="3" t="s">
        <v>462</v>
      </c>
      <c r="J103" s="6" t="s">
        <v>25</v>
      </c>
      <c r="L103" s="6">
        <v>2</v>
      </c>
      <c r="M103" s="6">
        <v>8</v>
      </c>
      <c r="O103" s="6" t="s">
        <v>809</v>
      </c>
      <c r="S103" s="6">
        <v>115</v>
      </c>
      <c r="U103" s="6" t="str">
        <f t="shared" ca="1" si="4"/>
        <v/>
      </c>
      <c r="V103" s="6" t="str">
        <f t="shared" ca="1" si="5"/>
        <v/>
      </c>
      <c r="AG103" t="s">
        <v>19</v>
      </c>
      <c r="AJ103" cm="1">
        <f t="array" ref="AJ103">_xlfn.IFS(AG103="Yes",1,AG103="No",0,AG103="","")</f>
        <v>1</v>
      </c>
    </row>
    <row r="104" spans="1:36" ht="29">
      <c r="A104" t="s">
        <v>126</v>
      </c>
      <c r="D104" s="3" t="s">
        <v>464</v>
      </c>
      <c r="E104" s="3" t="s">
        <v>464</v>
      </c>
      <c r="F104" t="s">
        <v>35</v>
      </c>
      <c r="I104" t="s">
        <v>465</v>
      </c>
      <c r="U104" s="6" t="str">
        <f t="shared" ca="1" si="4"/>
        <v/>
      </c>
      <c r="V104" s="6" t="str">
        <f t="shared" ca="1" si="5"/>
        <v/>
      </c>
      <c r="AJ104" t="str" cm="1">
        <f t="array" ref="AJ104">_xlfn.IFS(AG104="Yes",1,AG104="No",0,AG104="","")</f>
        <v/>
      </c>
    </row>
    <row r="105" spans="1:36">
      <c r="A105" t="s">
        <v>126</v>
      </c>
      <c r="D105" s="3" t="s">
        <v>466</v>
      </c>
      <c r="E105" s="3" t="s">
        <v>467</v>
      </c>
      <c r="J105" s="6" t="s">
        <v>851</v>
      </c>
      <c r="U105" s="6" t="str">
        <f t="shared" ca="1" si="4"/>
        <v/>
      </c>
      <c r="V105" s="6" t="str">
        <f t="shared" ca="1" si="5"/>
        <v/>
      </c>
      <c r="AG105" t="s">
        <v>20</v>
      </c>
      <c r="AJ105" cm="1">
        <f t="array" ref="AJ105">_xlfn.IFS(AG105="Yes",1,AG105="No",0,AG105="","")</f>
        <v>0</v>
      </c>
    </row>
    <row r="106" spans="1:36">
      <c r="A106" t="s">
        <v>126</v>
      </c>
      <c r="D106" s="3" t="s">
        <v>468</v>
      </c>
      <c r="E106" s="3" t="s">
        <v>469</v>
      </c>
      <c r="J106" s="6" t="s">
        <v>851</v>
      </c>
      <c r="U106" s="6" t="str">
        <f t="shared" ca="1" si="4"/>
        <v/>
      </c>
      <c r="V106" s="6" t="str">
        <f t="shared" ca="1" si="5"/>
        <v/>
      </c>
      <c r="AB106" s="6" t="s">
        <v>929</v>
      </c>
      <c r="AD106" s="6" t="s">
        <v>19</v>
      </c>
      <c r="AG106" t="s">
        <v>19</v>
      </c>
      <c r="AJ106" cm="1">
        <f t="array" ref="AJ106">_xlfn.IFS(AG106="Yes",1,AG106="No",0,AG106="","")</f>
        <v>1</v>
      </c>
    </row>
    <row r="107" spans="1:36">
      <c r="A107" t="s">
        <v>127</v>
      </c>
      <c r="D107" s="3" t="s">
        <v>470</v>
      </c>
      <c r="E107" s="3" t="s">
        <v>471</v>
      </c>
      <c r="I107" s="4"/>
      <c r="J107" s="6" t="s">
        <v>849</v>
      </c>
      <c r="T107" s="6">
        <f>132-24</f>
        <v>108</v>
      </c>
      <c r="U107" s="6">
        <f t="shared" ca="1" si="4"/>
        <v>24</v>
      </c>
      <c r="V107" s="6">
        <f t="shared" ca="1" si="5"/>
        <v>132</v>
      </c>
      <c r="AG107" t="s">
        <v>19</v>
      </c>
      <c r="AJ107" cm="1">
        <f t="array" ref="AJ107">_xlfn.IFS(AG107="Yes",1,AG107="No",0,AG107="","")</f>
        <v>1</v>
      </c>
    </row>
    <row r="108" spans="1:36">
      <c r="A108" t="s">
        <v>128</v>
      </c>
      <c r="D108" s="3" t="s">
        <v>472</v>
      </c>
      <c r="E108" s="3" t="s">
        <v>473</v>
      </c>
      <c r="J108" s="6" t="s">
        <v>851</v>
      </c>
      <c r="U108" s="6" t="str">
        <f t="shared" ca="1" si="4"/>
        <v/>
      </c>
      <c r="V108" s="6" t="str">
        <f t="shared" ca="1" si="5"/>
        <v/>
      </c>
      <c r="AG108" t="s">
        <v>19</v>
      </c>
      <c r="AJ108" cm="1">
        <f t="array" ref="AJ108">_xlfn.IFS(AG108="Yes",1,AG108="No",0,AG108="","")</f>
        <v>1</v>
      </c>
    </row>
    <row r="109" spans="1:36">
      <c r="A109" t="s">
        <v>129</v>
      </c>
      <c r="D109" s="3" t="s">
        <v>474</v>
      </c>
      <c r="E109" s="3" t="s">
        <v>475</v>
      </c>
      <c r="J109" s="6" t="s">
        <v>25</v>
      </c>
      <c r="L109" s="6">
        <v>1</v>
      </c>
      <c r="M109" s="6">
        <v>3</v>
      </c>
      <c r="N109" s="6" t="s">
        <v>808</v>
      </c>
      <c r="O109" s="6" t="s">
        <v>809</v>
      </c>
      <c r="S109" s="6">
        <v>2475</v>
      </c>
      <c r="U109" s="6" t="str">
        <f t="shared" ca="1" si="4"/>
        <v/>
      </c>
      <c r="V109" s="6" t="str">
        <f t="shared" ca="1" si="5"/>
        <v/>
      </c>
      <c r="AG109" t="s">
        <v>19</v>
      </c>
      <c r="AJ109" cm="1">
        <f t="array" ref="AJ109">_xlfn.IFS(AG109="Yes",1,AG109="No",0,AG109="","")</f>
        <v>1</v>
      </c>
    </row>
    <row r="110" spans="1:36" ht="29">
      <c r="A110" t="s">
        <v>130</v>
      </c>
      <c r="D110" s="3" t="s">
        <v>477</v>
      </c>
      <c r="E110" s="3" t="s">
        <v>476</v>
      </c>
      <c r="J110" s="6" t="s">
        <v>25</v>
      </c>
      <c r="L110" s="6">
        <v>2</v>
      </c>
      <c r="M110" s="6">
        <v>4</v>
      </c>
      <c r="O110" s="6" t="s">
        <v>809</v>
      </c>
      <c r="S110" s="6">
        <v>99</v>
      </c>
      <c r="U110" s="6" t="str">
        <f t="shared" ca="1" si="4"/>
        <v/>
      </c>
      <c r="V110" s="6" t="str">
        <f t="shared" ca="1" si="5"/>
        <v/>
      </c>
      <c r="AG110" t="s">
        <v>19</v>
      </c>
      <c r="AJ110" cm="1">
        <f t="array" ref="AJ110">_xlfn.IFS(AG110="Yes",1,AG110="No",0,AG110="","")</f>
        <v>1</v>
      </c>
    </row>
    <row r="111" spans="1:36" ht="29">
      <c r="A111" t="s">
        <v>131</v>
      </c>
      <c r="D111" s="3" t="s">
        <v>478</v>
      </c>
      <c r="E111" s="3" t="s">
        <v>479</v>
      </c>
      <c r="H111" t="s">
        <v>19</v>
      </c>
      <c r="J111" s="6" t="s">
        <v>849</v>
      </c>
      <c r="T111" s="6">
        <f>8-1</f>
        <v>7</v>
      </c>
      <c r="U111" s="6">
        <f t="shared" ca="1" si="4"/>
        <v>1</v>
      </c>
      <c r="V111" s="6">
        <f t="shared" ca="1" si="5"/>
        <v>8</v>
      </c>
      <c r="AG111" t="s">
        <v>20</v>
      </c>
      <c r="AJ111" cm="1">
        <f t="array" ref="AJ111">_xlfn.IFS(AG111="Yes",1,AG111="No",0,AG111="","")</f>
        <v>0</v>
      </c>
    </row>
    <row r="112" spans="1:36" ht="43.5">
      <c r="A112" t="s">
        <v>131</v>
      </c>
      <c r="D112" s="3" t="s">
        <v>481</v>
      </c>
      <c r="E112" s="3" t="s">
        <v>480</v>
      </c>
      <c r="J112" s="6" t="s">
        <v>25</v>
      </c>
      <c r="L112" s="6">
        <v>1</v>
      </c>
      <c r="M112" s="6">
        <v>2</v>
      </c>
      <c r="N112" s="6" t="s">
        <v>808</v>
      </c>
      <c r="O112" s="6" t="s">
        <v>850</v>
      </c>
      <c r="S112" s="6">
        <v>2475</v>
      </c>
      <c r="U112" s="6" t="str">
        <f t="shared" ca="1" si="4"/>
        <v/>
      </c>
      <c r="V112" s="6" t="str">
        <f t="shared" ca="1" si="5"/>
        <v/>
      </c>
      <c r="AG112" t="s">
        <v>19</v>
      </c>
      <c r="AJ112" cm="1">
        <f t="array" ref="AJ112">_xlfn.IFS(AG112="Yes",1,AG112="No",0,AG112="","")</f>
        <v>1</v>
      </c>
    </row>
    <row r="113" spans="1:36" ht="43.5">
      <c r="A113" t="s">
        <v>131</v>
      </c>
      <c r="D113" s="3" t="s">
        <v>482</v>
      </c>
      <c r="E113" s="3" t="s">
        <v>483</v>
      </c>
      <c r="I113" t="s">
        <v>879</v>
      </c>
      <c r="J113" s="6" t="s">
        <v>26</v>
      </c>
      <c r="U113" s="6" t="str">
        <f t="shared" ca="1" si="4"/>
        <v/>
      </c>
      <c r="V113" s="6" t="str">
        <f t="shared" ca="1" si="5"/>
        <v/>
      </c>
      <c r="AG113" t="s">
        <v>19</v>
      </c>
      <c r="AJ113" cm="1">
        <f t="array" ref="AJ113">_xlfn.IFS(AG113="Yes",1,AG113="No",0,AG113="","")</f>
        <v>1</v>
      </c>
    </row>
    <row r="114" spans="1:36" ht="29">
      <c r="A114" t="s">
        <v>131</v>
      </c>
      <c r="D114" s="3" t="s">
        <v>484</v>
      </c>
      <c r="E114" s="3" t="s">
        <v>485</v>
      </c>
      <c r="J114" s="6" t="s">
        <v>25</v>
      </c>
      <c r="L114" s="6">
        <v>3</v>
      </c>
      <c r="M114" s="6">
        <v>8</v>
      </c>
      <c r="O114" s="6" t="s">
        <v>803</v>
      </c>
      <c r="P114" s="6" t="s">
        <v>873</v>
      </c>
      <c r="Q114" s="7" t="s">
        <v>894</v>
      </c>
      <c r="S114" s="6">
        <v>86</v>
      </c>
      <c r="U114" s="6" t="str">
        <f t="shared" ca="1" si="4"/>
        <v/>
      </c>
      <c r="V114" s="6" t="str">
        <f t="shared" ca="1" si="5"/>
        <v/>
      </c>
      <c r="AG114" t="s">
        <v>19</v>
      </c>
      <c r="AJ114" cm="1">
        <f t="array" ref="AJ114">_xlfn.IFS(AG114="Yes",1,AG114="No",0,AG114="","")</f>
        <v>1</v>
      </c>
    </row>
    <row r="115" spans="1:36">
      <c r="A115" t="s">
        <v>132</v>
      </c>
      <c r="D115" s="3" t="s">
        <v>486</v>
      </c>
      <c r="E115" s="3" t="s">
        <v>488</v>
      </c>
      <c r="J115" s="6" t="s">
        <v>851</v>
      </c>
      <c r="U115" s="6" t="str">
        <f t="shared" ca="1" si="4"/>
        <v/>
      </c>
      <c r="V115" s="6" t="str">
        <f t="shared" ca="1" si="5"/>
        <v/>
      </c>
      <c r="AC115" s="6" t="s">
        <v>870</v>
      </c>
      <c r="AD115" s="6" t="s">
        <v>19</v>
      </c>
      <c r="AG115" t="s">
        <v>20</v>
      </c>
      <c r="AJ115" cm="1">
        <f t="array" ref="AJ115">_xlfn.IFS(AG115="Yes",1,AG115="No",0,AG115="","")</f>
        <v>0</v>
      </c>
    </row>
    <row r="116" spans="1:36" ht="29">
      <c r="A116" t="s">
        <v>132</v>
      </c>
      <c r="D116" s="3" t="s">
        <v>487</v>
      </c>
      <c r="E116" s="3" t="s">
        <v>489</v>
      </c>
      <c r="J116" s="6" t="s">
        <v>851</v>
      </c>
      <c r="U116" s="6" t="str">
        <f t="shared" ca="1" si="4"/>
        <v/>
      </c>
      <c r="V116" s="6" t="str">
        <f t="shared" ca="1" si="5"/>
        <v/>
      </c>
      <c r="AC116" s="6" t="s">
        <v>870</v>
      </c>
      <c r="AD116" s="6" t="s">
        <v>19</v>
      </c>
      <c r="AG116" t="s">
        <v>19</v>
      </c>
      <c r="AJ116" cm="1">
        <f t="array" ref="AJ116">_xlfn.IFS(AG116="Yes",1,AG116="No",0,AG116="","")</f>
        <v>1</v>
      </c>
    </row>
    <row r="117" spans="1:36" ht="29">
      <c r="A117" t="s">
        <v>133</v>
      </c>
      <c r="D117" s="3" t="s">
        <v>490</v>
      </c>
      <c r="E117" s="3" t="s">
        <v>491</v>
      </c>
      <c r="G117" t="s">
        <v>19</v>
      </c>
      <c r="J117" s="6" t="s">
        <v>849</v>
      </c>
      <c r="Q117" s="6"/>
      <c r="T117" s="6">
        <f>743-312</f>
        <v>431</v>
      </c>
      <c r="U117" s="6">
        <f t="shared" ca="1" si="4"/>
        <v>312</v>
      </c>
      <c r="V117" s="6">
        <f t="shared" ca="1" si="5"/>
        <v>743</v>
      </c>
      <c r="AG117" t="s">
        <v>19</v>
      </c>
      <c r="AJ117" cm="1">
        <f t="array" ref="AJ117">_xlfn.IFS(AG117="Yes",1,AG117="No",0,AG117="","")</f>
        <v>1</v>
      </c>
    </row>
    <row r="118" spans="1:36" ht="29">
      <c r="A118" t="s">
        <v>133</v>
      </c>
      <c r="D118" s="3" t="s">
        <v>493</v>
      </c>
      <c r="E118" s="3" t="s">
        <v>492</v>
      </c>
      <c r="I118" t="s">
        <v>872</v>
      </c>
      <c r="J118" s="6" t="s">
        <v>26</v>
      </c>
      <c r="U118" s="6" t="str">
        <f t="shared" ca="1" si="4"/>
        <v/>
      </c>
      <c r="V118" s="6" t="str">
        <f t="shared" ca="1" si="5"/>
        <v/>
      </c>
      <c r="AG118" t="s">
        <v>19</v>
      </c>
      <c r="AJ118" cm="1">
        <f t="array" ref="AJ118">_xlfn.IFS(AG118="Yes",1,AG118="No",0,AG118="","")</f>
        <v>1</v>
      </c>
    </row>
    <row r="119" spans="1:36">
      <c r="A119" t="s">
        <v>134</v>
      </c>
      <c r="D119" s="3" t="s">
        <v>135</v>
      </c>
      <c r="E119" s="3" t="s">
        <v>136</v>
      </c>
      <c r="J119" s="6" t="s">
        <v>849</v>
      </c>
      <c r="T119" s="6" t="s">
        <v>861</v>
      </c>
      <c r="U119" s="6" t="str">
        <f t="shared" ca="1" si="4"/>
        <v/>
      </c>
      <c r="V119" s="6" t="str">
        <f t="shared" ca="1" si="5"/>
        <v/>
      </c>
      <c r="AC119" s="6" t="s">
        <v>864</v>
      </c>
      <c r="AD119" s="6" t="s">
        <v>19</v>
      </c>
      <c r="AE119" s="6" t="s">
        <v>817</v>
      </c>
      <c r="AG119" t="s">
        <v>19</v>
      </c>
      <c r="AJ119" cm="1">
        <f t="array" ref="AJ119">_xlfn.IFS(AG119="Yes",1,AG119="No",0,AG119="","")</f>
        <v>1</v>
      </c>
    </row>
    <row r="120" spans="1:36">
      <c r="A120" t="s">
        <v>137</v>
      </c>
      <c r="D120" s="3" t="s">
        <v>495</v>
      </c>
      <c r="E120" s="3" t="s">
        <v>494</v>
      </c>
      <c r="G120" t="s">
        <v>19</v>
      </c>
      <c r="J120" s="6" t="s">
        <v>851</v>
      </c>
      <c r="U120" s="6" t="str">
        <f t="shared" ca="1" si="4"/>
        <v/>
      </c>
      <c r="V120" s="6" t="str">
        <f t="shared" ca="1" si="5"/>
        <v/>
      </c>
      <c r="AE120" s="6" t="s">
        <v>817</v>
      </c>
      <c r="AG120" t="s">
        <v>19</v>
      </c>
      <c r="AJ120" cm="1">
        <f t="array" ref="AJ120">_xlfn.IFS(AG120="Yes",1,AG120="No",0,AG120="","")</f>
        <v>1</v>
      </c>
    </row>
    <row r="121" spans="1:36">
      <c r="A121" t="s">
        <v>137</v>
      </c>
      <c r="D121" s="3" t="s">
        <v>138</v>
      </c>
      <c r="E121" s="3" t="s">
        <v>139</v>
      </c>
      <c r="H121" t="s">
        <v>19</v>
      </c>
      <c r="J121" s="6" t="s">
        <v>849</v>
      </c>
      <c r="U121" s="6" t="str">
        <f t="shared" ca="1" si="4"/>
        <v/>
      </c>
      <c r="V121" s="6" t="str">
        <f t="shared" ca="1" si="5"/>
        <v/>
      </c>
      <c r="AC121" s="6" t="s">
        <v>875</v>
      </c>
      <c r="AD121" s="6" t="s">
        <v>19</v>
      </c>
      <c r="AE121" s="6" t="s">
        <v>807</v>
      </c>
      <c r="AG121" t="s">
        <v>20</v>
      </c>
      <c r="AJ121" cm="1">
        <f t="array" ref="AJ121">_xlfn.IFS(AG121="Yes",1,AG121="No",0,AG121="","")</f>
        <v>0</v>
      </c>
    </row>
    <row r="122" spans="1:36">
      <c r="A122" t="s">
        <v>137</v>
      </c>
      <c r="D122" s="3" t="s">
        <v>140</v>
      </c>
      <c r="E122" s="3" t="s">
        <v>141</v>
      </c>
      <c r="J122" s="6" t="s">
        <v>851</v>
      </c>
      <c r="U122" s="6" t="str">
        <f t="shared" ca="1" si="4"/>
        <v/>
      </c>
      <c r="V122" s="6" t="str">
        <f t="shared" ca="1" si="5"/>
        <v/>
      </c>
      <c r="AG122" t="s">
        <v>20</v>
      </c>
      <c r="AJ122" cm="1">
        <f t="array" ref="AJ122">_xlfn.IFS(AG122="Yes",1,AG122="No",0,AG122="","")</f>
        <v>0</v>
      </c>
    </row>
    <row r="123" spans="1:36">
      <c r="A123" t="s">
        <v>142</v>
      </c>
      <c r="D123" s="3" t="s">
        <v>143</v>
      </c>
      <c r="E123" s="3" t="s">
        <v>144</v>
      </c>
      <c r="H123" t="s">
        <v>19</v>
      </c>
      <c r="J123" s="6" t="s">
        <v>851</v>
      </c>
      <c r="U123" s="6" t="str">
        <f t="shared" ca="1" si="4"/>
        <v/>
      </c>
      <c r="V123" s="6" t="str">
        <f t="shared" ca="1" si="5"/>
        <v/>
      </c>
      <c r="AG123" t="s">
        <v>20</v>
      </c>
      <c r="AJ123" cm="1">
        <f t="array" ref="AJ123">_xlfn.IFS(AG123="Yes",1,AG123="No",0,AG123="","")</f>
        <v>0</v>
      </c>
    </row>
    <row r="124" spans="1:36">
      <c r="A124" t="s">
        <v>145</v>
      </c>
      <c r="D124" s="3" t="s">
        <v>146</v>
      </c>
      <c r="E124" s="3" t="s">
        <v>147</v>
      </c>
      <c r="H124" t="s">
        <v>19</v>
      </c>
      <c r="J124" s="6" t="s">
        <v>851</v>
      </c>
      <c r="U124" s="6" t="str">
        <f t="shared" ca="1" si="4"/>
        <v/>
      </c>
      <c r="V124" s="6" t="str">
        <f t="shared" ca="1" si="5"/>
        <v/>
      </c>
      <c r="AE124" s="6" t="s">
        <v>807</v>
      </c>
      <c r="AG124" t="s">
        <v>20</v>
      </c>
      <c r="AJ124" cm="1">
        <f t="array" ref="AJ124">_xlfn.IFS(AG124="Yes",1,AG124="No",0,AG124="","")</f>
        <v>0</v>
      </c>
    </row>
    <row r="125" spans="1:36" ht="29">
      <c r="A125" t="s">
        <v>145</v>
      </c>
      <c r="D125" s="3" t="s">
        <v>496</v>
      </c>
      <c r="E125" s="3" t="s">
        <v>497</v>
      </c>
      <c r="H125" t="s">
        <v>19</v>
      </c>
      <c r="J125" s="6" t="s">
        <v>851</v>
      </c>
      <c r="U125" s="6" t="str">
        <f t="shared" ca="1" si="4"/>
        <v/>
      </c>
      <c r="V125" s="6" t="str">
        <f t="shared" ca="1" si="5"/>
        <v/>
      </c>
      <c r="AE125" s="6" t="s">
        <v>813</v>
      </c>
      <c r="AG125" t="s">
        <v>20</v>
      </c>
      <c r="AJ125" cm="1">
        <f t="array" ref="AJ125">_xlfn.IFS(AG125="Yes",1,AG125="No",0,AG125="","")</f>
        <v>0</v>
      </c>
    </row>
    <row r="126" spans="1:36">
      <c r="A126" t="s">
        <v>148</v>
      </c>
      <c r="D126" s="3" t="s">
        <v>149</v>
      </c>
      <c r="E126" s="3" t="s">
        <v>150</v>
      </c>
      <c r="J126" s="6" t="s">
        <v>851</v>
      </c>
      <c r="U126" s="6" t="str">
        <f t="shared" ca="1" si="4"/>
        <v/>
      </c>
      <c r="V126" s="6" t="str">
        <f t="shared" ca="1" si="5"/>
        <v/>
      </c>
      <c r="AG126" t="s">
        <v>19</v>
      </c>
      <c r="AJ126" cm="1">
        <f t="array" ref="AJ126">_xlfn.IFS(AG126="Yes",1,AG126="No",0,AG126="","")</f>
        <v>1</v>
      </c>
    </row>
    <row r="127" spans="1:36" ht="29">
      <c r="A127" t="s">
        <v>151</v>
      </c>
      <c r="D127" s="3" t="s">
        <v>498</v>
      </c>
      <c r="E127" s="3" t="s">
        <v>499</v>
      </c>
      <c r="J127" s="6" t="s">
        <v>851</v>
      </c>
      <c r="U127" s="6" t="str">
        <f t="shared" ca="1" si="4"/>
        <v/>
      </c>
      <c r="V127" s="6" t="str">
        <f t="shared" ca="1" si="5"/>
        <v/>
      </c>
      <c r="AG127" t="s">
        <v>19</v>
      </c>
      <c r="AJ127" cm="1">
        <f t="array" ref="AJ127">_xlfn.IFS(AG127="Yes",1,AG127="No",0,AG127="","")</f>
        <v>1</v>
      </c>
    </row>
    <row r="128" spans="1:36" ht="29">
      <c r="A128" t="s">
        <v>151</v>
      </c>
      <c r="D128" s="3" t="s">
        <v>500</v>
      </c>
      <c r="E128" s="3" t="s">
        <v>501</v>
      </c>
      <c r="J128" s="6" t="s">
        <v>24</v>
      </c>
      <c r="L128" s="6">
        <v>1</v>
      </c>
      <c r="M128" s="6">
        <v>3</v>
      </c>
      <c r="N128" s="6" t="s">
        <v>808</v>
      </c>
      <c r="O128" s="6" t="s">
        <v>809</v>
      </c>
      <c r="S128" s="6">
        <v>2475</v>
      </c>
      <c r="U128" s="6" t="str">
        <f t="shared" ref="U128:U189" ca="1" si="6">IF(ISNUMBER(T128),VALUE(MID(_xlfn.FORMULATEXT(T128),SEARCH("-",_xlfn.FORMULATEXT(T128))+1,LEN(_xlfn.FORMULATEXT(T128))-SEARCH("-",_xlfn.FORMULATEXT(T128)))), "")</f>
        <v/>
      </c>
      <c r="V128" s="6" t="str">
        <f t="shared" ref="V128:V189" ca="1" si="7">IF(ISNUMBER(T128), VALUE(MID(_xlfn.FORMULATEXT(T128), 2, SEARCH("-", _xlfn.FORMULATEXT(T128)) - 2)), "")</f>
        <v/>
      </c>
      <c r="AG128" t="s">
        <v>19</v>
      </c>
      <c r="AJ128" cm="1">
        <f t="array" ref="AJ128">_xlfn.IFS(AG128="Yes",1,AG128="No",0,AG128="","")</f>
        <v>1</v>
      </c>
    </row>
    <row r="129" spans="1:36">
      <c r="A129" t="s">
        <v>152</v>
      </c>
      <c r="D129" s="3" t="s">
        <v>153</v>
      </c>
      <c r="E129" s="3" t="s">
        <v>154</v>
      </c>
      <c r="H129" t="s">
        <v>19</v>
      </c>
      <c r="J129" s="6" t="s">
        <v>851</v>
      </c>
      <c r="U129" s="6" t="str">
        <f t="shared" ca="1" si="6"/>
        <v/>
      </c>
      <c r="V129" s="6" t="str">
        <f t="shared" ca="1" si="7"/>
        <v/>
      </c>
      <c r="AE129" s="6" t="s">
        <v>807</v>
      </c>
      <c r="AG129" t="s">
        <v>20</v>
      </c>
      <c r="AJ129" cm="1">
        <f t="array" ref="AJ129">_xlfn.IFS(AG129="Yes",1,AG129="No",0,AG129="","")</f>
        <v>0</v>
      </c>
    </row>
    <row r="130" spans="1:36">
      <c r="A130" t="s">
        <v>152</v>
      </c>
      <c r="D130" s="3" t="s">
        <v>502</v>
      </c>
      <c r="E130" s="3" t="s">
        <v>315</v>
      </c>
      <c r="J130" s="6" t="s">
        <v>25</v>
      </c>
      <c r="L130" s="6">
        <v>1</v>
      </c>
      <c r="M130" s="6">
        <v>3</v>
      </c>
      <c r="N130" s="6" t="s">
        <v>808</v>
      </c>
      <c r="O130" s="6" t="s">
        <v>809</v>
      </c>
      <c r="S130" s="6">
        <v>2475</v>
      </c>
      <c r="U130" s="6" t="str">
        <f t="shared" ca="1" si="6"/>
        <v/>
      </c>
      <c r="V130" s="6" t="str">
        <f t="shared" ca="1" si="7"/>
        <v/>
      </c>
      <c r="AG130" t="s">
        <v>19</v>
      </c>
      <c r="AJ130" cm="1">
        <f t="array" ref="AJ130">_xlfn.IFS(AG130="Yes",1,AG130="No",0,AG130="","")</f>
        <v>1</v>
      </c>
    </row>
    <row r="131" spans="1:36" ht="43.5">
      <c r="A131" t="s">
        <v>152</v>
      </c>
      <c r="D131" s="3" t="s">
        <v>503</v>
      </c>
      <c r="E131" s="3" t="s">
        <v>504</v>
      </c>
      <c r="J131" s="6" t="s">
        <v>24</v>
      </c>
      <c r="L131" s="6">
        <v>1</v>
      </c>
      <c r="M131" s="6">
        <v>4</v>
      </c>
      <c r="N131" s="6" t="s">
        <v>825</v>
      </c>
      <c r="O131" s="6" t="s">
        <v>809</v>
      </c>
      <c r="S131" s="6">
        <v>312</v>
      </c>
      <c r="U131" s="6" t="str">
        <f t="shared" ca="1" si="6"/>
        <v/>
      </c>
      <c r="V131" s="6" t="str">
        <f t="shared" ca="1" si="7"/>
        <v/>
      </c>
      <c r="AG131" t="s">
        <v>19</v>
      </c>
      <c r="AJ131" cm="1">
        <f t="array" ref="AJ131">_xlfn.IFS(AG131="Yes",1,AG131="No",0,AG131="","")</f>
        <v>1</v>
      </c>
    </row>
    <row r="132" spans="1:36" ht="43.5">
      <c r="A132" t="s">
        <v>152</v>
      </c>
      <c r="D132" s="3" t="s">
        <v>505</v>
      </c>
      <c r="E132" s="3" t="s">
        <v>506</v>
      </c>
      <c r="J132" s="6" t="s">
        <v>851</v>
      </c>
      <c r="U132" s="6" t="str">
        <f t="shared" ca="1" si="6"/>
        <v/>
      </c>
      <c r="V132" s="6" t="str">
        <f t="shared" ca="1" si="7"/>
        <v/>
      </c>
      <c r="AG132" t="s">
        <v>20</v>
      </c>
      <c r="AJ132" cm="1">
        <f t="array" ref="AJ132">_xlfn.IFS(AG132="Yes",1,AG132="No",0,AG132="","")</f>
        <v>0</v>
      </c>
    </row>
    <row r="133" spans="1:36" ht="43.5">
      <c r="A133" t="s">
        <v>152</v>
      </c>
      <c r="D133" s="3" t="s">
        <v>507</v>
      </c>
      <c r="E133" s="3" t="s">
        <v>508</v>
      </c>
      <c r="H133" t="s">
        <v>19</v>
      </c>
      <c r="J133" s="6" t="s">
        <v>851</v>
      </c>
      <c r="U133" s="6" t="str">
        <f t="shared" ca="1" si="6"/>
        <v/>
      </c>
      <c r="V133" s="6" t="str">
        <f t="shared" ca="1" si="7"/>
        <v/>
      </c>
      <c r="AG133" t="s">
        <v>20</v>
      </c>
      <c r="AJ133" cm="1">
        <f t="array" ref="AJ133">_xlfn.IFS(AG133="Yes",1,AG133="No",0,AG133="","")</f>
        <v>0</v>
      </c>
    </row>
    <row r="134" spans="1:36">
      <c r="A134" t="s">
        <v>155</v>
      </c>
      <c r="D134" s="3" t="s">
        <v>156</v>
      </c>
      <c r="E134" s="3" t="s">
        <v>157</v>
      </c>
      <c r="H134" t="s">
        <v>19</v>
      </c>
      <c r="J134" s="6" t="s">
        <v>849</v>
      </c>
      <c r="T134" s="6">
        <f>2-1</f>
        <v>1</v>
      </c>
      <c r="U134" s="6">
        <f t="shared" ca="1" si="6"/>
        <v>1</v>
      </c>
      <c r="V134" s="6">
        <f t="shared" ca="1" si="7"/>
        <v>2</v>
      </c>
      <c r="AG134" t="s">
        <v>19</v>
      </c>
      <c r="AJ134" cm="1">
        <f t="array" ref="AJ134">_xlfn.IFS(AG134="Yes",1,AG134="No",0,AG134="","")</f>
        <v>1</v>
      </c>
    </row>
    <row r="135" spans="1:36" ht="29">
      <c r="A135" t="s">
        <v>158</v>
      </c>
      <c r="D135" s="3" t="s">
        <v>510</v>
      </c>
      <c r="E135" s="3" t="s">
        <v>509</v>
      </c>
      <c r="J135" s="6" t="s">
        <v>25</v>
      </c>
      <c r="L135" s="6">
        <v>3</v>
      </c>
      <c r="M135" s="6">
        <v>14</v>
      </c>
      <c r="O135" s="6" t="s">
        <v>803</v>
      </c>
      <c r="P135" s="6" t="s">
        <v>873</v>
      </c>
      <c r="Q135" s="7" t="s">
        <v>895</v>
      </c>
      <c r="S135" s="6">
        <v>7</v>
      </c>
      <c r="U135" s="6" t="str">
        <f t="shared" ca="1" si="6"/>
        <v/>
      </c>
      <c r="V135" s="6" t="str">
        <f t="shared" ca="1" si="7"/>
        <v/>
      </c>
      <c r="AG135" t="s">
        <v>19</v>
      </c>
      <c r="AJ135" cm="1">
        <f t="array" ref="AJ135">_xlfn.IFS(AG135="Yes",1,AG135="No",0,AG135="","")</f>
        <v>1</v>
      </c>
    </row>
    <row r="136" spans="1:36" ht="29">
      <c r="A136" t="s">
        <v>159</v>
      </c>
      <c r="D136" s="3" t="s">
        <v>511</v>
      </c>
      <c r="E136" s="3" t="s">
        <v>512</v>
      </c>
      <c r="J136" s="6" t="s">
        <v>24</v>
      </c>
      <c r="L136" s="6">
        <v>1</v>
      </c>
      <c r="M136" s="6">
        <v>2</v>
      </c>
      <c r="N136" s="6" t="s">
        <v>827</v>
      </c>
      <c r="O136" s="6" t="s">
        <v>850</v>
      </c>
      <c r="S136" s="6">
        <v>613</v>
      </c>
      <c r="U136" s="6" t="str">
        <f t="shared" ca="1" si="6"/>
        <v/>
      </c>
      <c r="V136" s="6" t="str">
        <f t="shared" ca="1" si="7"/>
        <v/>
      </c>
      <c r="AG136" t="s">
        <v>19</v>
      </c>
      <c r="AJ136" cm="1">
        <f t="array" ref="AJ136">_xlfn.IFS(AG136="Yes",1,AG136="No",0,AG136="","")</f>
        <v>1</v>
      </c>
    </row>
    <row r="137" spans="1:36" ht="29">
      <c r="A137" t="s">
        <v>159</v>
      </c>
      <c r="D137" s="3" t="s">
        <v>511</v>
      </c>
      <c r="E137" s="3" t="s">
        <v>513</v>
      </c>
      <c r="I137" t="s">
        <v>896</v>
      </c>
      <c r="J137" s="6" t="s">
        <v>24</v>
      </c>
      <c r="L137" s="6">
        <v>1</v>
      </c>
      <c r="M137" s="6">
        <v>1</v>
      </c>
      <c r="N137" s="6" t="s">
        <v>802</v>
      </c>
      <c r="O137" s="6" t="s">
        <v>850</v>
      </c>
      <c r="S137" s="6">
        <v>9</v>
      </c>
      <c r="U137" s="6" t="str">
        <f t="shared" ca="1" si="6"/>
        <v/>
      </c>
      <c r="V137" s="6" t="str">
        <f t="shared" ca="1" si="7"/>
        <v/>
      </c>
      <c r="AG137" t="s">
        <v>19</v>
      </c>
      <c r="AJ137" cm="1">
        <f t="array" ref="AJ137">_xlfn.IFS(AG137="Yes",1,AG137="No",0,AG137="","")</f>
        <v>1</v>
      </c>
    </row>
    <row r="138" spans="1:36" ht="29">
      <c r="A138" t="s">
        <v>159</v>
      </c>
      <c r="D138" s="3" t="s">
        <v>511</v>
      </c>
      <c r="E138" s="3" t="s">
        <v>514</v>
      </c>
      <c r="J138" s="6" t="s">
        <v>24</v>
      </c>
      <c r="L138" s="6">
        <v>1</v>
      </c>
      <c r="M138" s="6">
        <v>3</v>
      </c>
      <c r="N138" s="6" t="s">
        <v>808</v>
      </c>
      <c r="O138" s="6" t="s">
        <v>809</v>
      </c>
      <c r="S138" s="6">
        <v>2475</v>
      </c>
      <c r="U138" s="6" t="str">
        <f t="shared" ca="1" si="6"/>
        <v/>
      </c>
      <c r="V138" s="6" t="str">
        <f t="shared" ca="1" si="7"/>
        <v/>
      </c>
      <c r="AG138" t="s">
        <v>19</v>
      </c>
      <c r="AJ138" cm="1">
        <f t="array" ref="AJ138">_xlfn.IFS(AG138="Yes",1,AG138="No",0,AG138="","")</f>
        <v>1</v>
      </c>
    </row>
    <row r="139" spans="1:36">
      <c r="A139" t="s">
        <v>160</v>
      </c>
      <c r="D139" s="3" t="s">
        <v>38</v>
      </c>
      <c r="E139" s="3" t="s">
        <v>161</v>
      </c>
      <c r="H139" t="s">
        <v>19</v>
      </c>
      <c r="J139" s="6" t="s">
        <v>849</v>
      </c>
      <c r="U139" s="6" t="str">
        <f t="shared" ca="1" si="6"/>
        <v/>
      </c>
      <c r="V139" s="6" t="str">
        <f t="shared" ca="1" si="7"/>
        <v/>
      </c>
      <c r="AC139" s="6" t="s">
        <v>875</v>
      </c>
      <c r="AD139" s="6" t="s">
        <v>19</v>
      </c>
      <c r="AE139" s="6" t="s">
        <v>807</v>
      </c>
      <c r="AG139" t="s">
        <v>20</v>
      </c>
      <c r="AJ139" cm="1">
        <f t="array" ref="AJ139">_xlfn.IFS(AG139="Yes",1,AG139="No",0,AG139="","")</f>
        <v>0</v>
      </c>
    </row>
    <row r="140" spans="1:36">
      <c r="A140" t="s">
        <v>162</v>
      </c>
      <c r="D140" s="3" t="s">
        <v>163</v>
      </c>
      <c r="E140" s="3" t="s">
        <v>164</v>
      </c>
      <c r="H140" t="s">
        <v>19</v>
      </c>
      <c r="J140" s="6" t="s">
        <v>849</v>
      </c>
      <c r="T140" s="6">
        <f>0-2</f>
        <v>-2</v>
      </c>
      <c r="U140" s="6">
        <f t="shared" ca="1" si="6"/>
        <v>2</v>
      </c>
      <c r="V140" s="6">
        <f t="shared" ca="1" si="7"/>
        <v>0</v>
      </c>
      <c r="AC140" s="6" t="s">
        <v>864</v>
      </c>
      <c r="AD140" s="6" t="s">
        <v>19</v>
      </c>
      <c r="AG140" t="s">
        <v>20</v>
      </c>
      <c r="AJ140" cm="1">
        <f t="array" ref="AJ140">_xlfn.IFS(AG140="Yes",1,AG140="No",0,AG140="","")</f>
        <v>0</v>
      </c>
    </row>
    <row r="141" spans="1:36" ht="43.5">
      <c r="A141" t="s">
        <v>162</v>
      </c>
      <c r="D141" s="3" t="s">
        <v>515</v>
      </c>
      <c r="E141" s="3" t="s">
        <v>516</v>
      </c>
      <c r="I141" t="s">
        <v>897</v>
      </c>
      <c r="J141" s="6" t="s">
        <v>24</v>
      </c>
      <c r="L141" s="6">
        <v>1</v>
      </c>
      <c r="M141" s="6">
        <v>2</v>
      </c>
      <c r="N141" s="6" t="s">
        <v>825</v>
      </c>
      <c r="O141" s="6" t="s">
        <v>850</v>
      </c>
      <c r="S141" s="6">
        <v>35</v>
      </c>
      <c r="U141" s="6" t="str">
        <f t="shared" ca="1" si="6"/>
        <v/>
      </c>
      <c r="V141" s="6" t="str">
        <f t="shared" ca="1" si="7"/>
        <v/>
      </c>
      <c r="AG141" t="s">
        <v>19</v>
      </c>
      <c r="AJ141" cm="1">
        <f t="array" ref="AJ141">_xlfn.IFS(AG141="Yes",1,AG141="No",0,AG141="","")</f>
        <v>1</v>
      </c>
    </row>
    <row r="142" spans="1:36" ht="43.5">
      <c r="A142" t="s">
        <v>162</v>
      </c>
      <c r="D142" s="3" t="s">
        <v>518</v>
      </c>
      <c r="E142" s="3" t="s">
        <v>517</v>
      </c>
      <c r="J142" s="6" t="s">
        <v>851</v>
      </c>
      <c r="U142" s="6" t="str">
        <f t="shared" ca="1" si="6"/>
        <v/>
      </c>
      <c r="V142" s="6" t="str">
        <f t="shared" ca="1" si="7"/>
        <v/>
      </c>
      <c r="AG142" t="s">
        <v>20</v>
      </c>
      <c r="AJ142" cm="1">
        <f t="array" ref="AJ142">_xlfn.IFS(AG142="Yes",1,AG142="No",0,AG142="","")</f>
        <v>0</v>
      </c>
    </row>
    <row r="143" spans="1:36" ht="43.5">
      <c r="A143" t="s">
        <v>162</v>
      </c>
      <c r="D143" s="3" t="s">
        <v>519</v>
      </c>
      <c r="E143" s="3" t="s">
        <v>520</v>
      </c>
      <c r="H143" t="s">
        <v>19</v>
      </c>
      <c r="J143" s="6" t="s">
        <v>851</v>
      </c>
      <c r="U143" s="6" t="str">
        <f t="shared" ca="1" si="6"/>
        <v/>
      </c>
      <c r="V143" s="6" t="str">
        <f t="shared" ca="1" si="7"/>
        <v/>
      </c>
      <c r="AC143" s="6" t="s">
        <v>875</v>
      </c>
      <c r="AD143" s="6" t="s">
        <v>19</v>
      </c>
      <c r="AG143" t="s">
        <v>19</v>
      </c>
      <c r="AJ143" cm="1">
        <f t="array" ref="AJ143">_xlfn.IFS(AG143="Yes",1,AG143="No",0,AG143="","")</f>
        <v>1</v>
      </c>
    </row>
    <row r="144" spans="1:36">
      <c r="A144" t="s">
        <v>165</v>
      </c>
      <c r="D144" s="3" t="s">
        <v>522</v>
      </c>
      <c r="E144" s="3" t="s">
        <v>521</v>
      </c>
      <c r="J144" s="6" t="s">
        <v>849</v>
      </c>
      <c r="T144" s="6">
        <f>31-5</f>
        <v>26</v>
      </c>
      <c r="U144" s="6">
        <f t="shared" ca="1" si="6"/>
        <v>5</v>
      </c>
      <c r="V144" s="6">
        <f t="shared" ca="1" si="7"/>
        <v>31</v>
      </c>
      <c r="AG144" t="s">
        <v>19</v>
      </c>
      <c r="AJ144" cm="1">
        <f t="array" ref="AJ144">_xlfn.IFS(AG144="Yes",1,AG144="No",0,AG144="","")</f>
        <v>1</v>
      </c>
    </row>
    <row r="145" spans="1:36" ht="29">
      <c r="A145" t="s">
        <v>165</v>
      </c>
      <c r="D145" s="3" t="s">
        <v>524</v>
      </c>
      <c r="E145" s="3" t="s">
        <v>523</v>
      </c>
      <c r="J145" s="6" t="s">
        <v>25</v>
      </c>
      <c r="L145" s="6">
        <v>1</v>
      </c>
      <c r="M145" s="6">
        <v>3</v>
      </c>
      <c r="N145" s="6" t="s">
        <v>808</v>
      </c>
      <c r="O145" s="6" t="s">
        <v>809</v>
      </c>
      <c r="S145" s="6">
        <v>2475</v>
      </c>
      <c r="U145" s="6" t="str">
        <f t="shared" ca="1" si="6"/>
        <v/>
      </c>
      <c r="V145" s="6" t="str">
        <f t="shared" ca="1" si="7"/>
        <v/>
      </c>
      <c r="AG145" t="s">
        <v>19</v>
      </c>
      <c r="AJ145" cm="1">
        <f t="array" ref="AJ145">_xlfn.IFS(AG145="Yes",1,AG145="No",0,AG145="","")</f>
        <v>1</v>
      </c>
    </row>
    <row r="146" spans="1:36" ht="58">
      <c r="A146" t="s">
        <v>165</v>
      </c>
      <c r="D146" s="3" t="s">
        <v>525</v>
      </c>
      <c r="E146" s="3" t="s">
        <v>526</v>
      </c>
      <c r="I146" t="s">
        <v>874</v>
      </c>
      <c r="J146" s="6" t="s">
        <v>26</v>
      </c>
      <c r="U146" s="6" t="str">
        <f t="shared" ca="1" si="6"/>
        <v/>
      </c>
      <c r="V146" s="6" t="str">
        <f t="shared" ca="1" si="7"/>
        <v/>
      </c>
      <c r="AG146" t="s">
        <v>19</v>
      </c>
      <c r="AJ146" cm="1">
        <f t="array" ref="AJ146">_xlfn.IFS(AG146="Yes",1,AG146="No",0,AG146="","")</f>
        <v>1</v>
      </c>
    </row>
    <row r="147" spans="1:36">
      <c r="A147" t="s">
        <v>166</v>
      </c>
      <c r="D147" s="3" t="s">
        <v>527</v>
      </c>
      <c r="E147" s="3" t="s">
        <v>528</v>
      </c>
      <c r="H147" t="s">
        <v>19</v>
      </c>
      <c r="J147" s="6" t="s">
        <v>849</v>
      </c>
      <c r="T147" s="6" t="s">
        <v>861</v>
      </c>
      <c r="U147" s="6" t="str">
        <f t="shared" ca="1" si="6"/>
        <v/>
      </c>
      <c r="V147" s="6" t="str">
        <f t="shared" ca="1" si="7"/>
        <v/>
      </c>
      <c r="AE147" s="6" t="s">
        <v>807</v>
      </c>
      <c r="AG147" t="s">
        <v>20</v>
      </c>
      <c r="AJ147" cm="1">
        <f t="array" ref="AJ147">_xlfn.IFS(AG147="Yes",1,AG147="No",0,AG147="","")</f>
        <v>0</v>
      </c>
    </row>
    <row r="148" spans="1:36">
      <c r="A148" t="s">
        <v>167</v>
      </c>
      <c r="D148" s="3" t="s">
        <v>168</v>
      </c>
      <c r="E148" s="3" t="s">
        <v>169</v>
      </c>
      <c r="H148" t="s">
        <v>19</v>
      </c>
      <c r="J148" s="6" t="s">
        <v>849</v>
      </c>
      <c r="T148" s="6" t="s">
        <v>850</v>
      </c>
      <c r="U148" s="6" t="str">
        <f t="shared" ca="1" si="6"/>
        <v/>
      </c>
      <c r="V148" s="6" t="str">
        <f t="shared" ca="1" si="7"/>
        <v/>
      </c>
      <c r="AC148" s="6" t="s">
        <v>875</v>
      </c>
      <c r="AD148" s="6" t="s">
        <v>19</v>
      </c>
      <c r="AE148" s="6" t="s">
        <v>807</v>
      </c>
      <c r="AG148" t="s">
        <v>20</v>
      </c>
      <c r="AJ148" cm="1">
        <f t="array" ref="AJ148">_xlfn.IFS(AG148="Yes",1,AG148="No",0,AG148="","")</f>
        <v>0</v>
      </c>
    </row>
    <row r="149" spans="1:36" ht="29">
      <c r="A149" t="s">
        <v>167</v>
      </c>
      <c r="D149" s="3" t="s">
        <v>529</v>
      </c>
      <c r="E149" s="3" t="s">
        <v>530</v>
      </c>
      <c r="J149" s="6" t="s">
        <v>24</v>
      </c>
      <c r="L149" s="6">
        <v>1</v>
      </c>
      <c r="M149" s="6">
        <v>2</v>
      </c>
      <c r="N149" s="6" t="s">
        <v>808</v>
      </c>
      <c r="O149" s="6" t="s">
        <v>850</v>
      </c>
      <c r="R149" s="6" t="s">
        <v>804</v>
      </c>
      <c r="S149" s="6">
        <v>2475</v>
      </c>
      <c r="U149" s="6" t="str">
        <f t="shared" ca="1" si="6"/>
        <v/>
      </c>
      <c r="V149" s="6" t="str">
        <f t="shared" ca="1" si="7"/>
        <v/>
      </c>
      <c r="AG149" t="s">
        <v>19</v>
      </c>
      <c r="AJ149" cm="1">
        <f t="array" ref="AJ149">_xlfn.IFS(AG149="Yes",1,AG149="No",0,AG149="","")</f>
        <v>1</v>
      </c>
    </row>
    <row r="150" spans="1:36" ht="29">
      <c r="A150" t="s">
        <v>167</v>
      </c>
      <c r="D150" s="3" t="s">
        <v>531</v>
      </c>
      <c r="E150" s="3" t="s">
        <v>532</v>
      </c>
      <c r="F150" t="s">
        <v>931</v>
      </c>
      <c r="I150" t="s">
        <v>898</v>
      </c>
      <c r="J150" s="6" t="s">
        <v>26</v>
      </c>
      <c r="U150" s="6" t="str">
        <f t="shared" ca="1" si="6"/>
        <v/>
      </c>
      <c r="V150" s="6" t="str">
        <f t="shared" ca="1" si="7"/>
        <v/>
      </c>
      <c r="AG150" t="s">
        <v>19</v>
      </c>
      <c r="AJ150" cm="1">
        <f t="array" ref="AJ150">_xlfn.IFS(AG150="Yes",1,AG150="No",0,AG150="","")</f>
        <v>1</v>
      </c>
    </row>
    <row r="151" spans="1:36" ht="29">
      <c r="A151" t="s">
        <v>167</v>
      </c>
      <c r="D151" s="3" t="s">
        <v>534</v>
      </c>
      <c r="E151" s="3" t="s">
        <v>535</v>
      </c>
      <c r="I151" s="4"/>
      <c r="J151" s="6" t="s">
        <v>851</v>
      </c>
      <c r="U151" s="6" t="str">
        <f t="shared" ca="1" si="6"/>
        <v/>
      </c>
      <c r="V151" s="6" t="str">
        <f t="shared" ca="1" si="7"/>
        <v/>
      </c>
      <c r="AB151" s="6" t="s">
        <v>812</v>
      </c>
      <c r="AD151" s="6" t="s">
        <v>19</v>
      </c>
      <c r="AG151" t="s">
        <v>19</v>
      </c>
      <c r="AJ151" cm="1">
        <f t="array" ref="AJ151">_xlfn.IFS(AG151="Yes",1,AG151="No",0,AG151="","")</f>
        <v>1</v>
      </c>
    </row>
    <row r="152" spans="1:36" ht="29">
      <c r="A152" t="s">
        <v>170</v>
      </c>
      <c r="D152" s="3" t="s">
        <v>533</v>
      </c>
      <c r="E152" s="3" t="s">
        <v>536</v>
      </c>
      <c r="J152" s="6" t="s">
        <v>24</v>
      </c>
      <c r="L152" s="6">
        <v>1</v>
      </c>
      <c r="M152" s="6">
        <v>1</v>
      </c>
      <c r="N152" s="6" t="s">
        <v>808</v>
      </c>
      <c r="O152" s="6" t="s">
        <v>850</v>
      </c>
      <c r="S152" s="6">
        <v>2475</v>
      </c>
      <c r="U152" s="6" t="str">
        <f t="shared" ca="1" si="6"/>
        <v/>
      </c>
      <c r="V152" s="6" t="str">
        <f t="shared" ca="1" si="7"/>
        <v/>
      </c>
      <c r="AG152" t="s">
        <v>19</v>
      </c>
      <c r="AJ152" cm="1">
        <f t="array" ref="AJ152">_xlfn.IFS(AG152="Yes",1,AG152="No",0,AG152="","")</f>
        <v>1</v>
      </c>
    </row>
    <row r="153" spans="1:36">
      <c r="A153" t="s">
        <v>170</v>
      </c>
      <c r="D153" s="3" t="s">
        <v>538</v>
      </c>
      <c r="E153" s="3" t="s">
        <v>537</v>
      </c>
      <c r="J153" s="6" t="s">
        <v>851</v>
      </c>
      <c r="U153" s="6" t="str">
        <f t="shared" ca="1" si="6"/>
        <v/>
      </c>
      <c r="V153" s="6" t="str">
        <f t="shared" ca="1" si="7"/>
        <v/>
      </c>
      <c r="AE153" s="6" t="s">
        <v>807</v>
      </c>
      <c r="AG153" t="s">
        <v>19</v>
      </c>
      <c r="AJ153" cm="1">
        <f t="array" ref="AJ153">_xlfn.IFS(AG153="Yes",1,AG153="No",0,AG153="","")</f>
        <v>1</v>
      </c>
    </row>
    <row r="154" spans="1:36" ht="29">
      <c r="A154" t="s">
        <v>170</v>
      </c>
      <c r="D154" s="3" t="s">
        <v>539</v>
      </c>
      <c r="E154" s="3" t="s">
        <v>540</v>
      </c>
      <c r="J154" s="6" t="s">
        <v>851</v>
      </c>
      <c r="U154" s="6" t="str">
        <f t="shared" ca="1" si="6"/>
        <v/>
      </c>
      <c r="V154" s="6" t="str">
        <f t="shared" ca="1" si="7"/>
        <v/>
      </c>
      <c r="AE154" s="6" t="s">
        <v>820</v>
      </c>
      <c r="AG154" t="s">
        <v>19</v>
      </c>
      <c r="AJ154" cm="1">
        <f t="array" ref="AJ154">_xlfn.IFS(AG154="Yes",1,AG154="No",0,AG154="","")</f>
        <v>1</v>
      </c>
    </row>
    <row r="155" spans="1:36" ht="29">
      <c r="A155" t="s">
        <v>170</v>
      </c>
      <c r="D155" s="3" t="s">
        <v>542</v>
      </c>
      <c r="E155" s="3" t="s">
        <v>541</v>
      </c>
      <c r="J155" s="6" t="s">
        <v>851</v>
      </c>
      <c r="U155" s="6" t="str">
        <f t="shared" ca="1" si="6"/>
        <v/>
      </c>
      <c r="V155" s="6" t="str">
        <f t="shared" ca="1" si="7"/>
        <v/>
      </c>
      <c r="AG155" t="s">
        <v>19</v>
      </c>
      <c r="AJ155" cm="1">
        <f t="array" ref="AJ155">_xlfn.IFS(AG155="Yes",1,AG155="No",0,AG155="","")</f>
        <v>1</v>
      </c>
    </row>
    <row r="156" spans="1:36">
      <c r="A156" t="s">
        <v>171</v>
      </c>
      <c r="D156" s="3" t="s">
        <v>543</v>
      </c>
      <c r="E156" s="3" t="s">
        <v>544</v>
      </c>
      <c r="H156" t="s">
        <v>19</v>
      </c>
      <c r="J156" s="6" t="s">
        <v>849</v>
      </c>
      <c r="T156" s="6">
        <f>0-1</f>
        <v>-1</v>
      </c>
      <c r="U156" s="6">
        <f t="shared" ca="1" si="6"/>
        <v>1</v>
      </c>
      <c r="V156" s="6">
        <f t="shared" ca="1" si="7"/>
        <v>0</v>
      </c>
      <c r="AG156" t="s">
        <v>20</v>
      </c>
      <c r="AJ156" cm="1">
        <f t="array" ref="AJ156">_xlfn.IFS(AG156="Yes",1,AG156="No",0,AG156="","")</f>
        <v>0</v>
      </c>
    </row>
    <row r="157" spans="1:36" ht="29">
      <c r="A157" t="s">
        <v>171</v>
      </c>
      <c r="D157" s="3" t="s">
        <v>546</v>
      </c>
      <c r="E157" s="3" t="s">
        <v>545</v>
      </c>
      <c r="I157" t="s">
        <v>899</v>
      </c>
      <c r="J157" s="6" t="s">
        <v>25</v>
      </c>
      <c r="L157" s="6">
        <v>1</v>
      </c>
      <c r="M157" s="6">
        <v>3</v>
      </c>
      <c r="N157" s="6" t="s">
        <v>854</v>
      </c>
      <c r="O157" s="6" t="s">
        <v>809</v>
      </c>
      <c r="S157" s="6">
        <v>14</v>
      </c>
      <c r="U157" s="6" t="str">
        <f t="shared" ca="1" si="6"/>
        <v/>
      </c>
      <c r="V157" s="6" t="str">
        <f t="shared" ca="1" si="7"/>
        <v/>
      </c>
      <c r="W157" s="6" t="s">
        <v>4</v>
      </c>
      <c r="AG157" t="s">
        <v>19</v>
      </c>
      <c r="AJ157" cm="1">
        <f t="array" ref="AJ157">_xlfn.IFS(AG157="Yes",1,AG157="No",0,AG157="","")</f>
        <v>1</v>
      </c>
    </row>
    <row r="158" spans="1:36" ht="29">
      <c r="A158" t="s">
        <v>172</v>
      </c>
      <c r="D158" s="3" t="s">
        <v>547</v>
      </c>
      <c r="E158" s="3" t="s">
        <v>548</v>
      </c>
      <c r="J158" s="6" t="s">
        <v>849</v>
      </c>
      <c r="T158" s="6" t="s">
        <v>850</v>
      </c>
      <c r="U158" s="6" t="str">
        <f t="shared" ca="1" si="6"/>
        <v/>
      </c>
      <c r="V158" s="6" t="str">
        <f t="shared" ca="1" si="7"/>
        <v/>
      </c>
      <c r="AE158" s="6" t="s">
        <v>817</v>
      </c>
      <c r="AG158" t="s">
        <v>19</v>
      </c>
      <c r="AJ158" cm="1">
        <f t="array" ref="AJ158">_xlfn.IFS(AG158="Yes",1,AG158="No",0,AG158="","")</f>
        <v>1</v>
      </c>
    </row>
    <row r="159" spans="1:36" ht="29">
      <c r="A159" t="s">
        <v>172</v>
      </c>
      <c r="D159" s="3" t="s">
        <v>549</v>
      </c>
      <c r="E159" s="3" t="s">
        <v>550</v>
      </c>
      <c r="J159" s="6" t="s">
        <v>25</v>
      </c>
      <c r="L159" s="6">
        <v>1</v>
      </c>
      <c r="M159" s="6">
        <v>3</v>
      </c>
      <c r="N159" s="6" t="s">
        <v>818</v>
      </c>
      <c r="O159" s="6" t="s">
        <v>809</v>
      </c>
      <c r="S159" s="6">
        <v>1701</v>
      </c>
      <c r="U159" s="6" t="str">
        <f t="shared" ca="1" si="6"/>
        <v/>
      </c>
      <c r="V159" s="6" t="str">
        <f t="shared" ca="1" si="7"/>
        <v/>
      </c>
      <c r="AG159" t="s">
        <v>19</v>
      </c>
      <c r="AJ159" cm="1">
        <f t="array" ref="AJ159">_xlfn.IFS(AG159="Yes",1,AG159="No",0,AG159="","")</f>
        <v>1</v>
      </c>
    </row>
    <row r="160" spans="1:36">
      <c r="A160" t="s">
        <v>172</v>
      </c>
      <c r="D160" s="3" t="s">
        <v>173</v>
      </c>
      <c r="E160" s="3" t="s">
        <v>174</v>
      </c>
      <c r="H160" t="s">
        <v>19</v>
      </c>
      <c r="J160" s="6" t="s">
        <v>849</v>
      </c>
      <c r="T160" s="6" t="s">
        <v>861</v>
      </c>
      <c r="U160" s="6" t="str">
        <f t="shared" ca="1" si="6"/>
        <v/>
      </c>
      <c r="V160" s="6" t="str">
        <f t="shared" ca="1" si="7"/>
        <v/>
      </c>
      <c r="AE160" s="6" t="s">
        <v>807</v>
      </c>
      <c r="AG160" t="s">
        <v>20</v>
      </c>
      <c r="AJ160" cm="1">
        <f t="array" ref="AJ160">_xlfn.IFS(AG160="Yes",1,AG160="No",0,AG160="","")</f>
        <v>0</v>
      </c>
    </row>
    <row r="161" spans="1:36" ht="43.5">
      <c r="A161" t="s">
        <v>172</v>
      </c>
      <c r="D161" s="3" t="s">
        <v>553</v>
      </c>
      <c r="E161" s="3" t="s">
        <v>554</v>
      </c>
      <c r="I161" s="4"/>
      <c r="J161" s="6" t="s">
        <v>851</v>
      </c>
      <c r="U161" s="6" t="str">
        <f t="shared" ca="1" si="6"/>
        <v/>
      </c>
      <c r="V161" s="6" t="str">
        <f t="shared" ca="1" si="7"/>
        <v/>
      </c>
      <c r="AB161" s="6" t="s">
        <v>812</v>
      </c>
      <c r="AD161" s="6" t="s">
        <v>19</v>
      </c>
      <c r="AF161" s="6" t="s">
        <v>19</v>
      </c>
      <c r="AG161" t="s">
        <v>19</v>
      </c>
      <c r="AJ161" cm="1">
        <f t="array" ref="AJ161">_xlfn.IFS(AG161="Yes",1,AG161="No",0,AG161="","")</f>
        <v>1</v>
      </c>
    </row>
    <row r="162" spans="1:36" ht="43.5">
      <c r="A162" t="s">
        <v>172</v>
      </c>
      <c r="D162" s="3" t="s">
        <v>552</v>
      </c>
      <c r="E162" s="3" t="s">
        <v>555</v>
      </c>
      <c r="J162" s="6" t="s">
        <v>24</v>
      </c>
      <c r="L162" s="6">
        <v>1</v>
      </c>
      <c r="M162" s="6">
        <v>2</v>
      </c>
      <c r="N162" s="6" t="s">
        <v>808</v>
      </c>
      <c r="O162" s="6" t="s">
        <v>850</v>
      </c>
      <c r="S162" s="6">
        <v>2475</v>
      </c>
      <c r="U162" s="6" t="str">
        <f t="shared" ca="1" si="6"/>
        <v/>
      </c>
      <c r="V162" s="6" t="str">
        <f t="shared" ca="1" si="7"/>
        <v/>
      </c>
      <c r="AG162" t="s">
        <v>19</v>
      </c>
      <c r="AJ162" cm="1">
        <f t="array" ref="AJ162">_xlfn.IFS(AG162="Yes",1,AG162="No",0,AG162="","")</f>
        <v>1</v>
      </c>
    </row>
    <row r="163" spans="1:36" ht="43.5">
      <c r="A163" t="s">
        <v>172</v>
      </c>
      <c r="D163" s="3" t="s">
        <v>551</v>
      </c>
      <c r="E163" s="3" t="s">
        <v>556</v>
      </c>
      <c r="I163" t="s">
        <v>898</v>
      </c>
      <c r="J163" s="6" t="s">
        <v>26</v>
      </c>
      <c r="U163" s="6" t="str">
        <f t="shared" ca="1" si="6"/>
        <v/>
      </c>
      <c r="V163" s="6" t="str">
        <f t="shared" ca="1" si="7"/>
        <v/>
      </c>
      <c r="AG163" t="s">
        <v>19</v>
      </c>
      <c r="AJ163" cm="1">
        <f t="array" ref="AJ163">_xlfn.IFS(AG163="Yes",1,AG163="No",0,AG163="","")</f>
        <v>1</v>
      </c>
    </row>
    <row r="164" spans="1:36" ht="43.5">
      <c r="A164" t="s">
        <v>172</v>
      </c>
      <c r="D164" s="3" t="s">
        <v>557</v>
      </c>
      <c r="E164" s="3" t="s">
        <v>558</v>
      </c>
      <c r="I164" s="4"/>
      <c r="J164" s="6" t="s">
        <v>851</v>
      </c>
      <c r="U164" s="6" t="str">
        <f t="shared" ca="1" si="6"/>
        <v/>
      </c>
      <c r="V164" s="6" t="str">
        <f t="shared" ca="1" si="7"/>
        <v/>
      </c>
      <c r="AB164" s="6" t="s">
        <v>812</v>
      </c>
      <c r="AD164" s="6" t="s">
        <v>19</v>
      </c>
      <c r="AG164" t="s">
        <v>20</v>
      </c>
      <c r="AJ164" cm="1">
        <f t="array" ref="AJ164">_xlfn.IFS(AG164="Yes",1,AG164="No",0,AG164="","")</f>
        <v>0</v>
      </c>
    </row>
    <row r="165" spans="1:36" ht="29">
      <c r="A165" t="s">
        <v>175</v>
      </c>
      <c r="D165" s="3" t="s">
        <v>559</v>
      </c>
      <c r="E165" s="3" t="s">
        <v>560</v>
      </c>
      <c r="J165" s="6" t="s">
        <v>849</v>
      </c>
      <c r="T165" s="6">
        <f>3-1</f>
        <v>2</v>
      </c>
      <c r="U165" s="6">
        <f t="shared" ca="1" si="6"/>
        <v>1</v>
      </c>
      <c r="V165" s="6">
        <f t="shared" ca="1" si="7"/>
        <v>3</v>
      </c>
      <c r="AG165" t="s">
        <v>19</v>
      </c>
      <c r="AJ165" cm="1">
        <f t="array" ref="AJ165">_xlfn.IFS(AG165="Yes",1,AG165="No",0,AG165="","")</f>
        <v>1</v>
      </c>
    </row>
    <row r="166" spans="1:36" ht="29">
      <c r="A166" t="s">
        <v>175</v>
      </c>
      <c r="D166" s="3" t="s">
        <v>561</v>
      </c>
      <c r="E166" s="3" t="s">
        <v>562</v>
      </c>
      <c r="H166" t="s">
        <v>19</v>
      </c>
      <c r="J166" s="6" t="s">
        <v>851</v>
      </c>
      <c r="U166" s="6" t="str">
        <f t="shared" ca="1" si="6"/>
        <v/>
      </c>
      <c r="V166" s="6" t="str">
        <f t="shared" ca="1" si="7"/>
        <v/>
      </c>
      <c r="AE166" s="6" t="s">
        <v>807</v>
      </c>
      <c r="AG166" t="s">
        <v>20</v>
      </c>
      <c r="AJ166" cm="1">
        <f t="array" ref="AJ166">_xlfn.IFS(AG166="Yes",1,AG166="No",0,AG166="","")</f>
        <v>0</v>
      </c>
    </row>
    <row r="167" spans="1:36">
      <c r="A167" t="s">
        <v>177</v>
      </c>
      <c r="D167" s="3" t="s">
        <v>564</v>
      </c>
      <c r="E167" s="3" t="s">
        <v>563</v>
      </c>
      <c r="J167" s="6" t="s">
        <v>25</v>
      </c>
      <c r="L167" s="6">
        <v>1</v>
      </c>
      <c r="M167" s="6">
        <v>1</v>
      </c>
      <c r="N167" s="6" t="s">
        <v>808</v>
      </c>
      <c r="O167" s="6" t="s">
        <v>850</v>
      </c>
      <c r="S167" s="6">
        <v>2475</v>
      </c>
      <c r="U167" s="6" t="str">
        <f t="shared" ca="1" si="6"/>
        <v/>
      </c>
      <c r="V167" s="6" t="str">
        <f t="shared" ca="1" si="7"/>
        <v/>
      </c>
      <c r="AG167" t="s">
        <v>19</v>
      </c>
      <c r="AJ167" cm="1">
        <f t="array" ref="AJ167">_xlfn.IFS(AG167="Yes",1,AG167="No",0,AG167="","")</f>
        <v>1</v>
      </c>
    </row>
    <row r="168" spans="1:36" ht="29">
      <c r="A168" t="s">
        <v>177</v>
      </c>
      <c r="D168" s="3" t="s">
        <v>566</v>
      </c>
      <c r="E168" s="3" t="s">
        <v>565</v>
      </c>
      <c r="I168" t="s">
        <v>874</v>
      </c>
      <c r="J168" s="6" t="s">
        <v>26</v>
      </c>
      <c r="U168" s="6" t="str">
        <f t="shared" ca="1" si="6"/>
        <v/>
      </c>
      <c r="V168" s="6" t="str">
        <f t="shared" ca="1" si="7"/>
        <v/>
      </c>
      <c r="AG168" t="s">
        <v>19</v>
      </c>
      <c r="AJ168" cm="1">
        <f t="array" ref="AJ168">_xlfn.IFS(AG168="Yes",1,AG168="No",0,AG168="","")</f>
        <v>1</v>
      </c>
    </row>
    <row r="169" spans="1:36">
      <c r="A169" t="s">
        <v>178</v>
      </c>
      <c r="D169" s="3" t="s">
        <v>567</v>
      </c>
      <c r="E169" s="3" t="s">
        <v>568</v>
      </c>
      <c r="J169" s="6" t="s">
        <v>24</v>
      </c>
      <c r="L169" s="6">
        <v>1</v>
      </c>
      <c r="M169" s="6">
        <v>2</v>
      </c>
      <c r="N169" s="6" t="s">
        <v>818</v>
      </c>
      <c r="O169" s="6" t="s">
        <v>850</v>
      </c>
      <c r="S169" s="6">
        <v>171</v>
      </c>
      <c r="U169" s="6" t="str">
        <f t="shared" ca="1" si="6"/>
        <v/>
      </c>
      <c r="V169" s="6" t="str">
        <f t="shared" ca="1" si="7"/>
        <v/>
      </c>
      <c r="AG169" t="s">
        <v>19</v>
      </c>
      <c r="AJ169" cm="1">
        <f t="array" ref="AJ169">_xlfn.IFS(AG169="Yes",1,AG169="No",0,AG169="","")</f>
        <v>1</v>
      </c>
    </row>
    <row r="170" spans="1:36" ht="29">
      <c r="A170" t="s">
        <v>179</v>
      </c>
      <c r="D170" s="3" t="s">
        <v>569</v>
      </c>
      <c r="E170" s="3" t="s">
        <v>570</v>
      </c>
      <c r="I170" s="4"/>
      <c r="J170" s="6" t="s">
        <v>849</v>
      </c>
      <c r="T170" s="6">
        <f>98-37</f>
        <v>61</v>
      </c>
      <c r="U170" s="6">
        <f t="shared" ca="1" si="6"/>
        <v>37</v>
      </c>
      <c r="V170" s="6">
        <f t="shared" ca="1" si="7"/>
        <v>98</v>
      </c>
      <c r="AG170" t="s">
        <v>19</v>
      </c>
      <c r="AJ170" cm="1">
        <f t="array" ref="AJ170">_xlfn.IFS(AG170="Yes",1,AG170="No",0,AG170="","")</f>
        <v>1</v>
      </c>
    </row>
    <row r="171" spans="1:36">
      <c r="A171" t="s">
        <v>179</v>
      </c>
      <c r="D171" s="3" t="s">
        <v>571</v>
      </c>
      <c r="E171" s="3" t="s">
        <v>572</v>
      </c>
      <c r="H171" t="s">
        <v>19</v>
      </c>
      <c r="J171" s="6" t="s">
        <v>849</v>
      </c>
      <c r="T171" s="6" t="s">
        <v>861</v>
      </c>
      <c r="U171" s="6" t="str">
        <f t="shared" ca="1" si="6"/>
        <v/>
      </c>
      <c r="V171" s="6" t="str">
        <f t="shared" ca="1" si="7"/>
        <v/>
      </c>
      <c r="AE171" s="6" t="s">
        <v>807</v>
      </c>
      <c r="AG171" t="s">
        <v>20</v>
      </c>
      <c r="AJ171" cm="1">
        <f t="array" ref="AJ171">_xlfn.IFS(AG171="Yes",1,AG171="No",0,AG171="","")</f>
        <v>0</v>
      </c>
    </row>
    <row r="172" spans="1:36">
      <c r="A172" t="s">
        <v>179</v>
      </c>
      <c r="D172" s="3" t="s">
        <v>82</v>
      </c>
      <c r="E172" s="3" t="s">
        <v>176</v>
      </c>
      <c r="H172" t="s">
        <v>19</v>
      </c>
      <c r="J172" s="6" t="s">
        <v>851</v>
      </c>
      <c r="U172" s="6" t="str">
        <f t="shared" ca="1" si="6"/>
        <v/>
      </c>
      <c r="V172" s="6" t="str">
        <f t="shared" ca="1" si="7"/>
        <v/>
      </c>
      <c r="AE172" s="6" t="s">
        <v>807</v>
      </c>
      <c r="AG172" t="s">
        <v>20</v>
      </c>
      <c r="AJ172" cm="1">
        <f t="array" ref="AJ172">_xlfn.IFS(AG172="Yes",1,AG172="No",0,AG172="","")</f>
        <v>0</v>
      </c>
    </row>
    <row r="173" spans="1:36" ht="29">
      <c r="A173" t="s">
        <v>180</v>
      </c>
      <c r="D173" s="3" t="s">
        <v>574</v>
      </c>
      <c r="E173" s="3" t="s">
        <v>573</v>
      </c>
      <c r="J173" s="6" t="s">
        <v>25</v>
      </c>
      <c r="L173" s="6">
        <v>1</v>
      </c>
      <c r="M173" s="6">
        <v>4</v>
      </c>
      <c r="N173" s="6" t="s">
        <v>808</v>
      </c>
      <c r="O173" s="6" t="s">
        <v>803</v>
      </c>
      <c r="P173" s="6" t="s">
        <v>868</v>
      </c>
      <c r="Q173" s="7" t="s">
        <v>867</v>
      </c>
      <c r="S173" s="6">
        <v>2475</v>
      </c>
      <c r="U173" s="6" t="str">
        <f t="shared" ca="1" si="6"/>
        <v/>
      </c>
      <c r="V173" s="6" t="str">
        <f t="shared" ca="1" si="7"/>
        <v/>
      </c>
      <c r="AG173" t="s">
        <v>19</v>
      </c>
      <c r="AJ173" cm="1">
        <f t="array" ref="AJ173">_xlfn.IFS(AG173="Yes",1,AG173="No",0,AG173="","")</f>
        <v>1</v>
      </c>
    </row>
    <row r="174" spans="1:36">
      <c r="A174" t="s">
        <v>180</v>
      </c>
      <c r="D174" s="3" t="s">
        <v>576</v>
      </c>
      <c r="E174" s="3" t="s">
        <v>575</v>
      </c>
      <c r="J174" s="6" t="s">
        <v>849</v>
      </c>
      <c r="T174" s="6">
        <f>41-25</f>
        <v>16</v>
      </c>
      <c r="U174" s="6">
        <f t="shared" ca="1" si="6"/>
        <v>25</v>
      </c>
      <c r="V174" s="6">
        <f t="shared" ca="1" si="7"/>
        <v>41</v>
      </c>
      <c r="AG174" t="s">
        <v>19</v>
      </c>
      <c r="AJ174" cm="1">
        <f t="array" ref="AJ174">_xlfn.IFS(AG174="Yes",1,AG174="No",0,AG174="","")</f>
        <v>1</v>
      </c>
    </row>
    <row r="175" spans="1:36" ht="29">
      <c r="A175" t="s">
        <v>180</v>
      </c>
      <c r="D175" s="3" t="s">
        <v>577</v>
      </c>
      <c r="E175" s="3" t="s">
        <v>578</v>
      </c>
      <c r="J175" s="6" t="s">
        <v>26</v>
      </c>
      <c r="U175" s="6" t="str">
        <f t="shared" ca="1" si="6"/>
        <v/>
      </c>
      <c r="V175" s="6" t="str">
        <f t="shared" ca="1" si="7"/>
        <v/>
      </c>
      <c r="AG175" t="s">
        <v>19</v>
      </c>
      <c r="AJ175" cm="1">
        <f t="array" ref="AJ175">_xlfn.IFS(AG175="Yes",1,AG175="No",0,AG175="","")</f>
        <v>1</v>
      </c>
    </row>
    <row r="176" spans="1:36" ht="29">
      <c r="A176" t="s">
        <v>180</v>
      </c>
      <c r="D176" s="3" t="s">
        <v>579</v>
      </c>
      <c r="E176" s="3" t="s">
        <v>580</v>
      </c>
      <c r="H176" t="s">
        <v>19</v>
      </c>
      <c r="I176" t="s">
        <v>1019</v>
      </c>
      <c r="J176" s="6" t="s">
        <v>849</v>
      </c>
      <c r="T176" s="6">
        <f>41-25</f>
        <v>16</v>
      </c>
      <c r="U176" s="6">
        <f t="shared" ca="1" si="6"/>
        <v>25</v>
      </c>
      <c r="V176" s="6">
        <f t="shared" ca="1" si="7"/>
        <v>41</v>
      </c>
      <c r="W176" s="6" t="s">
        <v>848</v>
      </c>
      <c r="AG176" t="s">
        <v>20</v>
      </c>
      <c r="AJ176" cm="1">
        <f t="array" ref="AJ176">_xlfn.IFS(AG176="Yes",1,AG176="No",0,AG176="","")</f>
        <v>0</v>
      </c>
    </row>
    <row r="177" spans="1:36">
      <c r="A177" t="s">
        <v>180</v>
      </c>
      <c r="D177" s="3" t="s">
        <v>181</v>
      </c>
      <c r="E177" s="3" t="s">
        <v>182</v>
      </c>
      <c r="J177" s="6" t="s">
        <v>849</v>
      </c>
      <c r="T177" s="6" t="s">
        <v>861</v>
      </c>
      <c r="U177" s="6" t="str">
        <f t="shared" ca="1" si="6"/>
        <v/>
      </c>
      <c r="V177" s="6" t="str">
        <f t="shared" ca="1" si="7"/>
        <v/>
      </c>
      <c r="AE177" s="6" t="s">
        <v>807</v>
      </c>
      <c r="AG177" t="s">
        <v>20</v>
      </c>
      <c r="AJ177" cm="1">
        <f t="array" ref="AJ177">_xlfn.IFS(AG177="Yes",1,AG177="No",0,AG177="","")</f>
        <v>0</v>
      </c>
    </row>
    <row r="178" spans="1:36">
      <c r="A178" t="s">
        <v>180</v>
      </c>
      <c r="D178" s="3" t="s">
        <v>183</v>
      </c>
      <c r="E178" s="3" t="s">
        <v>184</v>
      </c>
      <c r="H178" t="s">
        <v>22</v>
      </c>
      <c r="I178" t="s">
        <v>581</v>
      </c>
      <c r="J178" s="6" t="s">
        <v>849</v>
      </c>
      <c r="T178" s="6" t="s">
        <v>850</v>
      </c>
      <c r="U178" s="6" t="str">
        <f t="shared" ca="1" si="6"/>
        <v/>
      </c>
      <c r="V178" s="6" t="str">
        <f t="shared" ca="1" si="7"/>
        <v/>
      </c>
      <c r="AE178" s="6" t="s">
        <v>807</v>
      </c>
      <c r="AG178" t="s">
        <v>19</v>
      </c>
      <c r="AJ178" cm="1">
        <f t="array" ref="AJ178">_xlfn.IFS(AG178="Yes",1,AG178="No",0,AG178="","")</f>
        <v>1</v>
      </c>
    </row>
    <row r="179" spans="1:36" ht="29">
      <c r="A179" t="s">
        <v>185</v>
      </c>
      <c r="D179" s="3" t="s">
        <v>583</v>
      </c>
      <c r="E179" s="3" t="s">
        <v>582</v>
      </c>
      <c r="I179" t="s">
        <v>874</v>
      </c>
      <c r="J179" s="6" t="s">
        <v>26</v>
      </c>
      <c r="U179" s="6" t="str">
        <f t="shared" ca="1" si="6"/>
        <v/>
      </c>
      <c r="V179" s="6" t="str">
        <f t="shared" ca="1" si="7"/>
        <v/>
      </c>
      <c r="AG179" t="s">
        <v>19</v>
      </c>
      <c r="AJ179" cm="1">
        <f t="array" ref="AJ179">_xlfn.IFS(AG179="Yes",1,AG179="No",0,AG179="","")</f>
        <v>1</v>
      </c>
    </row>
    <row r="180" spans="1:36">
      <c r="A180" t="s">
        <v>185</v>
      </c>
      <c r="D180" s="3" t="s">
        <v>584</v>
      </c>
      <c r="E180" s="3" t="s">
        <v>585</v>
      </c>
      <c r="J180" s="6" t="s">
        <v>851</v>
      </c>
      <c r="U180" s="6" t="str">
        <f t="shared" ca="1" si="6"/>
        <v/>
      </c>
      <c r="V180" s="6" t="str">
        <f t="shared" ca="1" si="7"/>
        <v/>
      </c>
      <c r="AG180" t="s">
        <v>19</v>
      </c>
      <c r="AJ180" cm="1">
        <f t="array" ref="AJ180">_xlfn.IFS(AG180="Yes",1,AG180="No",0,AG180="","")</f>
        <v>1</v>
      </c>
    </row>
    <row r="181" spans="1:36" ht="29">
      <c r="A181" t="s">
        <v>185</v>
      </c>
      <c r="D181" s="3" t="s">
        <v>587</v>
      </c>
      <c r="E181" s="3" t="s">
        <v>586</v>
      </c>
      <c r="J181" s="6" t="s">
        <v>24</v>
      </c>
      <c r="L181" s="6">
        <v>1</v>
      </c>
      <c r="M181" s="6">
        <v>5</v>
      </c>
      <c r="N181" s="6" t="s">
        <v>860</v>
      </c>
      <c r="O181" s="6" t="s">
        <v>809</v>
      </c>
      <c r="S181" s="6">
        <v>295</v>
      </c>
      <c r="U181" s="6" t="str">
        <f t="shared" ca="1" si="6"/>
        <v/>
      </c>
      <c r="V181" s="6" t="str">
        <f t="shared" ca="1" si="7"/>
        <v/>
      </c>
      <c r="AG181" t="s">
        <v>19</v>
      </c>
      <c r="AJ181" cm="1">
        <f t="array" ref="AJ181">_xlfn.IFS(AG181="Yes",1,AG181="No",0,AG181="","")</f>
        <v>1</v>
      </c>
    </row>
    <row r="182" spans="1:36">
      <c r="A182" t="s">
        <v>186</v>
      </c>
      <c r="D182" s="3" t="s">
        <v>589</v>
      </c>
      <c r="E182" s="3" t="s">
        <v>588</v>
      </c>
      <c r="J182" s="6" t="s">
        <v>25</v>
      </c>
      <c r="L182" s="6">
        <v>1</v>
      </c>
      <c r="M182" s="6">
        <v>3</v>
      </c>
      <c r="N182" s="6" t="s">
        <v>818</v>
      </c>
      <c r="O182" s="6" t="s">
        <v>809</v>
      </c>
      <c r="S182" s="6">
        <v>86</v>
      </c>
      <c r="U182" s="6" t="str">
        <f t="shared" ca="1" si="6"/>
        <v/>
      </c>
      <c r="V182" s="6" t="str">
        <f t="shared" ca="1" si="7"/>
        <v/>
      </c>
      <c r="AG182" t="s">
        <v>19</v>
      </c>
      <c r="AJ182" cm="1">
        <f t="array" ref="AJ182">_xlfn.IFS(AG182="Yes",1,AG182="No",0,AG182="","")</f>
        <v>1</v>
      </c>
    </row>
    <row r="183" spans="1:36" ht="43.5">
      <c r="A183" t="s">
        <v>186</v>
      </c>
      <c r="D183" s="3" t="s">
        <v>1011</v>
      </c>
      <c r="E183" s="3" t="s">
        <v>590</v>
      </c>
      <c r="I183" t="s">
        <v>900</v>
      </c>
      <c r="J183" s="6" t="s">
        <v>25</v>
      </c>
      <c r="L183" s="6">
        <v>4</v>
      </c>
      <c r="M183" s="6">
        <v>18</v>
      </c>
      <c r="O183" s="6" t="s">
        <v>809</v>
      </c>
      <c r="S183" s="6">
        <v>3</v>
      </c>
      <c r="U183" s="6" t="str">
        <f t="shared" ca="1" si="6"/>
        <v/>
      </c>
      <c r="V183" s="6" t="str">
        <f t="shared" ca="1" si="7"/>
        <v/>
      </c>
      <c r="AG183" t="s">
        <v>19</v>
      </c>
      <c r="AJ183" cm="1">
        <f t="array" ref="AJ183">_xlfn.IFS(AG183="Yes",1,AG183="No",0,AG183="","")</f>
        <v>1</v>
      </c>
    </row>
    <row r="184" spans="1:36">
      <c r="A184" t="s">
        <v>187</v>
      </c>
      <c r="D184" s="3" t="s">
        <v>188</v>
      </c>
      <c r="E184" s="3" t="s">
        <v>189</v>
      </c>
      <c r="J184" s="6" t="s">
        <v>849</v>
      </c>
      <c r="T184" s="6" t="s">
        <v>861</v>
      </c>
      <c r="U184" s="6" t="str">
        <f t="shared" ca="1" si="6"/>
        <v/>
      </c>
      <c r="V184" s="6" t="str">
        <f t="shared" ca="1" si="7"/>
        <v/>
      </c>
      <c r="AC184" s="6" t="s">
        <v>864</v>
      </c>
      <c r="AD184" s="6" t="s">
        <v>19</v>
      </c>
      <c r="AE184" s="6" t="s">
        <v>807</v>
      </c>
      <c r="AG184" t="s">
        <v>20</v>
      </c>
      <c r="AJ184" cm="1">
        <f t="array" ref="AJ184">_xlfn.IFS(AG184="Yes",1,AG184="No",0,AG184="","")</f>
        <v>0</v>
      </c>
    </row>
    <row r="185" spans="1:36" ht="29">
      <c r="A185" t="s">
        <v>187</v>
      </c>
      <c r="D185" s="3" t="s">
        <v>592</v>
      </c>
      <c r="E185" s="3" t="s">
        <v>591</v>
      </c>
      <c r="J185" s="6" t="s">
        <v>849</v>
      </c>
      <c r="T185" s="6">
        <f>79-105</f>
        <v>-26</v>
      </c>
      <c r="U185" s="6">
        <f t="shared" ca="1" si="6"/>
        <v>105</v>
      </c>
      <c r="V185" s="6">
        <f t="shared" ca="1" si="7"/>
        <v>79</v>
      </c>
      <c r="AG185" t="s">
        <v>19</v>
      </c>
      <c r="AJ185" cm="1">
        <f t="array" ref="AJ185">_xlfn.IFS(AG185="Yes",1,AG185="No",0,AG185="","")</f>
        <v>1</v>
      </c>
    </row>
    <row r="186" spans="1:36">
      <c r="A186" t="s">
        <v>190</v>
      </c>
      <c r="D186" s="3" t="s">
        <v>191</v>
      </c>
      <c r="E186" s="3" t="s">
        <v>192</v>
      </c>
      <c r="J186" s="6" t="s">
        <v>849</v>
      </c>
      <c r="T186" s="6" t="s">
        <v>861</v>
      </c>
      <c r="U186" s="6" t="str">
        <f t="shared" ca="1" si="6"/>
        <v/>
      </c>
      <c r="V186" s="6" t="str">
        <f t="shared" ca="1" si="7"/>
        <v/>
      </c>
      <c r="AC186" s="6" t="s">
        <v>927</v>
      </c>
      <c r="AD186" s="6" t="s">
        <v>19</v>
      </c>
      <c r="AE186" s="6" t="s">
        <v>807</v>
      </c>
      <c r="AG186" t="s">
        <v>19</v>
      </c>
      <c r="AJ186" cm="1">
        <f t="array" ref="AJ186">_xlfn.IFS(AG186="Yes",1,AG186="No",0,AG186="","")</f>
        <v>1</v>
      </c>
    </row>
    <row r="187" spans="1:36" ht="58">
      <c r="A187" t="s">
        <v>193</v>
      </c>
      <c r="D187" s="3" t="s">
        <v>595</v>
      </c>
      <c r="E187" s="3" t="s">
        <v>594</v>
      </c>
      <c r="J187" s="6" t="s">
        <v>25</v>
      </c>
      <c r="L187" s="6">
        <v>1</v>
      </c>
      <c r="M187" s="6">
        <v>2</v>
      </c>
      <c r="N187" s="6" t="s">
        <v>854</v>
      </c>
      <c r="O187" s="6" t="s">
        <v>850</v>
      </c>
      <c r="S187" s="6">
        <v>124</v>
      </c>
      <c r="U187" s="6" t="str">
        <f t="shared" ca="1" si="6"/>
        <v/>
      </c>
      <c r="V187" s="6" t="str">
        <f t="shared" ca="1" si="7"/>
        <v/>
      </c>
      <c r="AG187" t="s">
        <v>19</v>
      </c>
      <c r="AJ187" cm="1">
        <f t="array" ref="AJ187">_xlfn.IFS(AG187="Yes",1,AG187="No",0,AG187="","")</f>
        <v>1</v>
      </c>
    </row>
    <row r="188" spans="1:36" ht="58">
      <c r="A188" t="s">
        <v>193</v>
      </c>
      <c r="D188" s="3" t="s">
        <v>596</v>
      </c>
      <c r="E188" s="3" t="s">
        <v>597</v>
      </c>
      <c r="J188" s="6" t="s">
        <v>851</v>
      </c>
      <c r="U188" s="6" t="str">
        <f t="shared" ca="1" si="6"/>
        <v/>
      </c>
      <c r="V188" s="6" t="str">
        <f t="shared" ca="1" si="7"/>
        <v/>
      </c>
      <c r="AC188" s="6" t="s">
        <v>863</v>
      </c>
      <c r="AD188" s="6" t="s">
        <v>20</v>
      </c>
      <c r="AG188" t="s">
        <v>19</v>
      </c>
      <c r="AJ188" cm="1">
        <f t="array" ref="AJ188">_xlfn.IFS(AG188="Yes",1,AG188="No",0,AG188="","")</f>
        <v>1</v>
      </c>
    </row>
    <row r="189" spans="1:36" ht="58">
      <c r="A189" t="s">
        <v>193</v>
      </c>
      <c r="D189" s="3" t="s">
        <v>593</v>
      </c>
      <c r="E189" s="3" t="s">
        <v>598</v>
      </c>
      <c r="J189" s="6" t="s">
        <v>24</v>
      </c>
      <c r="L189" s="6">
        <v>1</v>
      </c>
      <c r="M189" s="6">
        <v>6</v>
      </c>
      <c r="N189" s="6" t="s">
        <v>823</v>
      </c>
      <c r="O189" s="6" t="s">
        <v>809</v>
      </c>
      <c r="S189" s="6">
        <v>250</v>
      </c>
      <c r="U189" s="6" t="str">
        <f t="shared" ca="1" si="6"/>
        <v/>
      </c>
      <c r="V189" s="6" t="str">
        <f t="shared" ca="1" si="7"/>
        <v/>
      </c>
      <c r="AG189" t="s">
        <v>19</v>
      </c>
      <c r="AJ189" cm="1">
        <f t="array" ref="AJ189">_xlfn.IFS(AG189="Yes",1,AG189="No",0,AG189="","")</f>
        <v>1</v>
      </c>
    </row>
    <row r="190" spans="1:36" ht="72.5">
      <c r="A190" t="s">
        <v>194</v>
      </c>
      <c r="D190" s="3" t="s">
        <v>599</v>
      </c>
      <c r="E190" s="3" t="s">
        <v>600</v>
      </c>
      <c r="J190" s="6" t="s">
        <v>849</v>
      </c>
      <c r="T190" s="6">
        <f>7-19</f>
        <v>-12</v>
      </c>
      <c r="U190" s="6">
        <f t="shared" ref="U190:U254" ca="1" si="8">IF(ISNUMBER(T190),VALUE(MID(_xlfn.FORMULATEXT(T190),SEARCH("-",_xlfn.FORMULATEXT(T190))+1,LEN(_xlfn.FORMULATEXT(T190))-SEARCH("-",_xlfn.FORMULATEXT(T190)))), "")</f>
        <v>19</v>
      </c>
      <c r="V190" s="6">
        <f t="shared" ref="V190:V254" ca="1" si="9">IF(ISNUMBER(T190), VALUE(MID(_xlfn.FORMULATEXT(T190), 2, SEARCH("-", _xlfn.FORMULATEXT(T190)) - 2)), "")</f>
        <v>7</v>
      </c>
      <c r="AG190" t="s">
        <v>19</v>
      </c>
      <c r="AJ190" cm="1">
        <f t="array" ref="AJ190">_xlfn.IFS(AG190="Yes",1,AG190="No",0,AG190="","")</f>
        <v>1</v>
      </c>
    </row>
    <row r="191" spans="1:36" ht="72.5">
      <c r="A191" t="s">
        <v>194</v>
      </c>
      <c r="D191" s="3" t="s">
        <v>1012</v>
      </c>
      <c r="E191" s="3" t="s">
        <v>1013</v>
      </c>
      <c r="J191" s="6" t="s">
        <v>25</v>
      </c>
      <c r="S191" s="6">
        <v>109</v>
      </c>
      <c r="AG191" t="s">
        <v>19</v>
      </c>
      <c r="AJ191" cm="1">
        <f t="array" ref="AJ191">_xlfn.IFS(AG191="Yes",1,AG191="No",0,AG191="","")</f>
        <v>1</v>
      </c>
    </row>
    <row r="192" spans="1:36" ht="72.5">
      <c r="A192" t="s">
        <v>194</v>
      </c>
      <c r="D192" s="3" t="s">
        <v>602</v>
      </c>
      <c r="E192" s="3" t="s">
        <v>601</v>
      </c>
      <c r="F192" t="s">
        <v>931</v>
      </c>
      <c r="J192" s="6" t="s">
        <v>851</v>
      </c>
      <c r="AG192" t="s">
        <v>19</v>
      </c>
      <c r="AJ192" cm="1">
        <f t="array" ref="AJ192">_xlfn.IFS(AG192="Yes",1,AG192="No",0,AG192="","")</f>
        <v>1</v>
      </c>
    </row>
    <row r="193" spans="1:36" ht="72.5">
      <c r="A193" t="s">
        <v>194</v>
      </c>
      <c r="D193" s="3" t="s">
        <v>603</v>
      </c>
      <c r="E193" s="3" t="s">
        <v>604</v>
      </c>
      <c r="J193" s="6" t="s">
        <v>849</v>
      </c>
      <c r="T193" s="6">
        <f>7-19</f>
        <v>-12</v>
      </c>
      <c r="U193" s="6">
        <f t="shared" ca="1" si="8"/>
        <v>19</v>
      </c>
      <c r="V193" s="6">
        <f t="shared" ca="1" si="9"/>
        <v>7</v>
      </c>
      <c r="AG193" t="s">
        <v>19</v>
      </c>
      <c r="AJ193" cm="1">
        <f t="array" ref="AJ193">_xlfn.IFS(AG193="Yes",1,AG193="No",0,AG193="","")</f>
        <v>1</v>
      </c>
    </row>
    <row r="194" spans="1:36" ht="72.5">
      <c r="A194" t="s">
        <v>194</v>
      </c>
      <c r="D194" s="3" t="s">
        <v>606</v>
      </c>
      <c r="E194" s="3" t="s">
        <v>605</v>
      </c>
      <c r="J194" s="6" t="s">
        <v>851</v>
      </c>
      <c r="U194" s="6" t="str">
        <f t="shared" ca="1" si="8"/>
        <v/>
      </c>
      <c r="V194" s="6" t="str">
        <f t="shared" ca="1" si="9"/>
        <v/>
      </c>
      <c r="AC194" s="6" t="s">
        <v>875</v>
      </c>
      <c r="AD194" s="6" t="s">
        <v>19</v>
      </c>
      <c r="AG194" t="s">
        <v>19</v>
      </c>
      <c r="AJ194" cm="1">
        <f t="array" ref="AJ194">_xlfn.IFS(AG194="Yes",1,AG194="No",0,AG194="","")</f>
        <v>1</v>
      </c>
    </row>
    <row r="195" spans="1:36" ht="29">
      <c r="A195" t="s">
        <v>195</v>
      </c>
      <c r="D195" s="3" t="s">
        <v>608</v>
      </c>
      <c r="E195" s="3" t="s">
        <v>609</v>
      </c>
      <c r="J195" s="6" t="s">
        <v>849</v>
      </c>
      <c r="T195" s="6">
        <f>613-166</f>
        <v>447</v>
      </c>
      <c r="U195" s="6">
        <f t="shared" ca="1" si="8"/>
        <v>166</v>
      </c>
      <c r="V195" s="6">
        <f t="shared" ca="1" si="9"/>
        <v>613</v>
      </c>
      <c r="AG195" t="s">
        <v>19</v>
      </c>
      <c r="AJ195" cm="1">
        <f t="array" ref="AJ195">_xlfn.IFS(AG195="Yes",1,AG195="No",0,AG195="","")</f>
        <v>1</v>
      </c>
    </row>
    <row r="196" spans="1:36" ht="29">
      <c r="A196" t="s">
        <v>195</v>
      </c>
      <c r="D196" s="3" t="s">
        <v>607</v>
      </c>
      <c r="E196" s="3" t="s">
        <v>610</v>
      </c>
      <c r="H196" t="s">
        <v>19</v>
      </c>
      <c r="J196" s="6" t="s">
        <v>24</v>
      </c>
      <c r="L196" s="6">
        <v>1</v>
      </c>
      <c r="M196" s="6">
        <v>1</v>
      </c>
      <c r="N196" s="6" t="s">
        <v>802</v>
      </c>
      <c r="O196" s="6" t="s">
        <v>850</v>
      </c>
      <c r="S196" s="6">
        <v>6</v>
      </c>
      <c r="U196" s="6" t="str">
        <f t="shared" ca="1" si="8"/>
        <v/>
      </c>
      <c r="V196" s="6" t="str">
        <f t="shared" ca="1" si="9"/>
        <v/>
      </c>
      <c r="AG196" t="s">
        <v>20</v>
      </c>
      <c r="AJ196" cm="1">
        <f t="array" ref="AJ196">_xlfn.IFS(AG196="Yes",1,AG196="No",0,AG196="","")</f>
        <v>0</v>
      </c>
    </row>
    <row r="197" spans="1:36">
      <c r="A197" t="s">
        <v>195</v>
      </c>
      <c r="D197" s="3" t="s">
        <v>196</v>
      </c>
      <c r="E197" s="3" t="s">
        <v>197</v>
      </c>
      <c r="J197" s="6" t="s">
        <v>849</v>
      </c>
      <c r="T197" s="6" t="s">
        <v>850</v>
      </c>
      <c r="U197" s="6" t="str">
        <f t="shared" ca="1" si="8"/>
        <v/>
      </c>
      <c r="V197" s="6" t="str">
        <f t="shared" ca="1" si="9"/>
        <v/>
      </c>
      <c r="AE197" s="6" t="s">
        <v>807</v>
      </c>
      <c r="AG197" t="s">
        <v>19</v>
      </c>
      <c r="AJ197" cm="1">
        <f t="array" ref="AJ197">_xlfn.IFS(AG197="Yes",1,AG197="No",0,AG197="","")</f>
        <v>1</v>
      </c>
    </row>
    <row r="198" spans="1:36">
      <c r="A198" t="s">
        <v>198</v>
      </c>
      <c r="D198" s="3" t="s">
        <v>611</v>
      </c>
      <c r="E198" s="3" t="s">
        <v>612</v>
      </c>
      <c r="J198" s="6" t="s">
        <v>849</v>
      </c>
      <c r="T198" s="6">
        <f>4-17</f>
        <v>-13</v>
      </c>
      <c r="U198" s="6">
        <f t="shared" ca="1" si="8"/>
        <v>17</v>
      </c>
      <c r="V198" s="6">
        <f t="shared" ca="1" si="9"/>
        <v>4</v>
      </c>
      <c r="AG198" t="s">
        <v>19</v>
      </c>
      <c r="AJ198" cm="1">
        <f t="array" ref="AJ198">_xlfn.IFS(AG198="Yes",1,AG198="No",0,AG198="","")</f>
        <v>1</v>
      </c>
    </row>
    <row r="199" spans="1:36" ht="29">
      <c r="A199" t="s">
        <v>199</v>
      </c>
      <c r="D199" s="3" t="s">
        <v>613</v>
      </c>
      <c r="E199" s="3" t="s">
        <v>614</v>
      </c>
      <c r="J199" s="6" t="s">
        <v>851</v>
      </c>
      <c r="U199" s="6" t="str">
        <f t="shared" ca="1" si="8"/>
        <v/>
      </c>
      <c r="V199" s="6" t="str">
        <f t="shared" ca="1" si="9"/>
        <v/>
      </c>
      <c r="AG199" t="s">
        <v>19</v>
      </c>
      <c r="AJ199" cm="1">
        <f t="array" ref="AJ199">_xlfn.IFS(AG199="Yes",1,AG199="No",0,AG199="","")</f>
        <v>1</v>
      </c>
    </row>
    <row r="200" spans="1:36" ht="29">
      <c r="A200" t="s">
        <v>200</v>
      </c>
      <c r="D200" s="3" t="s">
        <v>615</v>
      </c>
      <c r="E200" s="3" t="s">
        <v>616</v>
      </c>
      <c r="J200" s="6" t="s">
        <v>849</v>
      </c>
      <c r="T200" s="6">
        <f>1-44</f>
        <v>-43</v>
      </c>
      <c r="U200" s="6">
        <f t="shared" ca="1" si="8"/>
        <v>44</v>
      </c>
      <c r="V200" s="6">
        <f t="shared" ca="1" si="9"/>
        <v>1</v>
      </c>
      <c r="AG200" t="s">
        <v>19</v>
      </c>
      <c r="AJ200" cm="1">
        <f t="array" ref="AJ200">_xlfn.IFS(AG200="Yes",1,AG200="No",0,AG200="","")</f>
        <v>1</v>
      </c>
    </row>
    <row r="201" spans="1:36">
      <c r="A201" t="s">
        <v>201</v>
      </c>
      <c r="D201" s="3" t="s">
        <v>202</v>
      </c>
      <c r="E201" s="3" t="s">
        <v>203</v>
      </c>
      <c r="J201" s="6" t="s">
        <v>851</v>
      </c>
      <c r="U201" s="6" t="str">
        <f t="shared" ca="1" si="8"/>
        <v/>
      </c>
      <c r="V201" s="6" t="str">
        <f t="shared" ca="1" si="9"/>
        <v/>
      </c>
      <c r="AG201" t="s">
        <v>19</v>
      </c>
      <c r="AJ201" cm="1">
        <f t="array" ref="AJ201">_xlfn.IFS(AG201="Yes",1,AG201="No",0,AG201="","")</f>
        <v>1</v>
      </c>
    </row>
    <row r="202" spans="1:36" ht="29">
      <c r="A202" t="s">
        <v>201</v>
      </c>
      <c r="D202" s="3" t="s">
        <v>618</v>
      </c>
      <c r="E202" s="3" t="s">
        <v>619</v>
      </c>
      <c r="J202" s="6" t="s">
        <v>851</v>
      </c>
      <c r="U202" s="6" t="str">
        <f t="shared" ca="1" si="8"/>
        <v/>
      </c>
      <c r="V202" s="6" t="str">
        <f t="shared" ca="1" si="9"/>
        <v/>
      </c>
      <c r="AB202" s="6" t="s">
        <v>812</v>
      </c>
      <c r="AD202" s="6" t="s">
        <v>19</v>
      </c>
      <c r="AG202" t="s">
        <v>19</v>
      </c>
      <c r="AJ202" cm="1">
        <f t="array" ref="AJ202">_xlfn.IFS(AG202="Yes",1,AG202="No",0,AG202="","")</f>
        <v>1</v>
      </c>
    </row>
    <row r="203" spans="1:36" ht="29">
      <c r="A203" t="s">
        <v>204</v>
      </c>
      <c r="D203" s="3" t="s">
        <v>620</v>
      </c>
      <c r="E203" s="3" t="s">
        <v>617</v>
      </c>
      <c r="J203" s="6" t="s">
        <v>25</v>
      </c>
      <c r="L203" s="6">
        <v>1</v>
      </c>
      <c r="M203" s="6">
        <v>3</v>
      </c>
      <c r="N203" s="6" t="s">
        <v>818</v>
      </c>
      <c r="O203" s="6" t="s">
        <v>809</v>
      </c>
      <c r="S203" s="6">
        <v>1701</v>
      </c>
      <c r="U203" s="6" t="str">
        <f t="shared" ca="1" si="8"/>
        <v/>
      </c>
      <c r="V203" s="6" t="str">
        <f t="shared" ca="1" si="9"/>
        <v/>
      </c>
      <c r="AG203" t="s">
        <v>19</v>
      </c>
      <c r="AJ203" cm="1">
        <f t="array" ref="AJ203">_xlfn.IFS(AG203="Yes",1,AG203="No",0,AG203="","")</f>
        <v>1</v>
      </c>
    </row>
    <row r="204" spans="1:36">
      <c r="A204" t="s">
        <v>204</v>
      </c>
      <c r="D204" s="3" t="s">
        <v>205</v>
      </c>
      <c r="E204" s="3" t="s">
        <v>206</v>
      </c>
      <c r="J204" s="6" t="s">
        <v>851</v>
      </c>
      <c r="U204" s="6" t="str">
        <f t="shared" ca="1" si="8"/>
        <v/>
      </c>
      <c r="V204" s="6" t="str">
        <f t="shared" ca="1" si="9"/>
        <v/>
      </c>
      <c r="AC204" s="6" t="s">
        <v>875</v>
      </c>
      <c r="AD204" s="6" t="s">
        <v>19</v>
      </c>
      <c r="AG204" t="s">
        <v>19</v>
      </c>
      <c r="AJ204" cm="1">
        <f t="array" ref="AJ204">_xlfn.IFS(AG204="Yes",1,AG204="No",0,AG204="","")</f>
        <v>1</v>
      </c>
    </row>
    <row r="205" spans="1:36" ht="43.5">
      <c r="A205" t="s">
        <v>204</v>
      </c>
      <c r="D205" s="3" t="s">
        <v>621</v>
      </c>
      <c r="E205" s="3" t="s">
        <v>622</v>
      </c>
      <c r="J205" s="6" t="s">
        <v>849</v>
      </c>
      <c r="T205" s="6">
        <f>0-1</f>
        <v>-1</v>
      </c>
      <c r="U205" s="6">
        <f t="shared" ca="1" si="8"/>
        <v>1</v>
      </c>
      <c r="V205" s="6">
        <f t="shared" ca="1" si="9"/>
        <v>0</v>
      </c>
      <c r="AC205" s="6" t="s">
        <v>870</v>
      </c>
      <c r="AD205" s="6" t="s">
        <v>19</v>
      </c>
      <c r="AG205" t="s">
        <v>19</v>
      </c>
      <c r="AJ205" cm="1">
        <f t="array" ref="AJ205">_xlfn.IFS(AG205="Yes",1,AG205="No",0,AG205="","")</f>
        <v>1</v>
      </c>
    </row>
    <row r="206" spans="1:36" ht="58">
      <c r="A206" t="s">
        <v>204</v>
      </c>
      <c r="D206" s="3" t="s">
        <v>623</v>
      </c>
      <c r="E206" s="3" t="s">
        <v>624</v>
      </c>
      <c r="I206" t="s">
        <v>880</v>
      </c>
      <c r="J206" s="6" t="s">
        <v>26</v>
      </c>
      <c r="U206" s="6" t="str">
        <f t="shared" ca="1" si="8"/>
        <v/>
      </c>
      <c r="V206" s="6" t="str">
        <f t="shared" ca="1" si="9"/>
        <v/>
      </c>
      <c r="AG206" t="s">
        <v>19</v>
      </c>
      <c r="AJ206" cm="1">
        <f t="array" ref="AJ206">_xlfn.IFS(AG206="Yes",1,AG206="No",0,AG206="","")</f>
        <v>1</v>
      </c>
    </row>
    <row r="207" spans="1:36">
      <c r="A207" t="s">
        <v>207</v>
      </c>
      <c r="D207" s="3" t="s">
        <v>625</v>
      </c>
      <c r="E207" s="3" t="s">
        <v>626</v>
      </c>
      <c r="J207" s="6" t="s">
        <v>851</v>
      </c>
      <c r="U207" s="6" t="str">
        <f t="shared" ca="1" si="8"/>
        <v/>
      </c>
      <c r="V207" s="6" t="str">
        <f t="shared" ca="1" si="9"/>
        <v/>
      </c>
      <c r="AG207" t="s">
        <v>19</v>
      </c>
      <c r="AJ207" cm="1">
        <f t="array" ref="AJ207">_xlfn.IFS(AG207="Yes",1,AG207="No",0,AG207="","")</f>
        <v>1</v>
      </c>
    </row>
    <row r="208" spans="1:36">
      <c r="A208" t="s">
        <v>207</v>
      </c>
      <c r="D208" s="3" t="s">
        <v>627</v>
      </c>
      <c r="E208" s="3" t="s">
        <v>628</v>
      </c>
      <c r="H208" t="s">
        <v>19</v>
      </c>
      <c r="J208" s="6" t="s">
        <v>849</v>
      </c>
      <c r="T208" s="6">
        <f>79-204</f>
        <v>-125</v>
      </c>
      <c r="U208" s="6">
        <f t="shared" ca="1" si="8"/>
        <v>204</v>
      </c>
      <c r="V208" s="6">
        <f t="shared" ca="1" si="9"/>
        <v>79</v>
      </c>
      <c r="AE208" s="6" t="s">
        <v>813</v>
      </c>
      <c r="AG208" t="s">
        <v>20</v>
      </c>
      <c r="AJ208" cm="1">
        <f t="array" ref="AJ208">_xlfn.IFS(AG208="Yes",1,AG208="No",0,AG208="","")</f>
        <v>0</v>
      </c>
    </row>
    <row r="209" spans="1:36" ht="43.5">
      <c r="A209" t="s">
        <v>207</v>
      </c>
      <c r="D209" s="3" t="s">
        <v>629</v>
      </c>
      <c r="E209" s="3" t="s">
        <v>630</v>
      </c>
      <c r="J209" s="6" t="s">
        <v>24</v>
      </c>
      <c r="L209" s="6">
        <v>1</v>
      </c>
      <c r="M209" s="6">
        <v>3</v>
      </c>
      <c r="N209" s="6" t="s">
        <v>818</v>
      </c>
      <c r="O209" s="6" t="s">
        <v>809</v>
      </c>
      <c r="S209" s="6">
        <v>1701</v>
      </c>
      <c r="U209" s="6" t="str">
        <f t="shared" ca="1" si="8"/>
        <v/>
      </c>
      <c r="V209" s="6" t="str">
        <f t="shared" ca="1" si="9"/>
        <v/>
      </c>
      <c r="AG209" t="s">
        <v>19</v>
      </c>
      <c r="AJ209" cm="1">
        <f t="array" ref="AJ209">_xlfn.IFS(AG209="Yes",1,AG209="No",0,AG209="","")</f>
        <v>1</v>
      </c>
    </row>
    <row r="210" spans="1:36" ht="43.5">
      <c r="A210" t="s">
        <v>207</v>
      </c>
      <c r="D210" s="3" t="s">
        <v>632</v>
      </c>
      <c r="E210" s="3" t="s">
        <v>631</v>
      </c>
      <c r="I210" t="s">
        <v>874</v>
      </c>
      <c r="J210" s="6" t="s">
        <v>26</v>
      </c>
      <c r="U210" s="6" t="str">
        <f t="shared" ca="1" si="8"/>
        <v/>
      </c>
      <c r="V210" s="6" t="str">
        <f t="shared" ca="1" si="9"/>
        <v/>
      </c>
      <c r="AG210" t="s">
        <v>19</v>
      </c>
      <c r="AJ210" cm="1">
        <f t="array" ref="AJ210">_xlfn.IFS(AG210="Yes",1,AG210="No",0,AG210="","")</f>
        <v>1</v>
      </c>
    </row>
    <row r="211" spans="1:36">
      <c r="A211" t="s">
        <v>208</v>
      </c>
      <c r="D211" s="3" t="s">
        <v>634</v>
      </c>
      <c r="E211" s="3" t="s">
        <v>633</v>
      </c>
      <c r="J211" s="6" t="s">
        <v>25</v>
      </c>
      <c r="L211" s="6">
        <v>1</v>
      </c>
      <c r="M211" s="6">
        <v>3</v>
      </c>
      <c r="N211" s="6" t="s">
        <v>818</v>
      </c>
      <c r="O211" s="6" t="s">
        <v>809</v>
      </c>
      <c r="S211" s="6">
        <v>86</v>
      </c>
      <c r="U211" s="6" t="str">
        <f t="shared" ca="1" si="8"/>
        <v/>
      </c>
      <c r="V211" s="6" t="str">
        <f t="shared" ca="1" si="9"/>
        <v/>
      </c>
      <c r="AG211" t="s">
        <v>19</v>
      </c>
      <c r="AJ211" cm="1">
        <f t="array" ref="AJ211">_xlfn.IFS(AG211="Yes",1,AG211="No",0,AG211="","")</f>
        <v>1</v>
      </c>
    </row>
    <row r="212" spans="1:36" ht="43.5">
      <c r="A212" t="s">
        <v>208</v>
      </c>
      <c r="D212" s="3" t="s">
        <v>635</v>
      </c>
      <c r="E212" s="3" t="s">
        <v>636</v>
      </c>
      <c r="I212" t="s">
        <v>874</v>
      </c>
      <c r="J212" s="6" t="s">
        <v>26</v>
      </c>
      <c r="U212" s="6" t="str">
        <f t="shared" ca="1" si="8"/>
        <v/>
      </c>
      <c r="V212" s="6" t="str">
        <f t="shared" ca="1" si="9"/>
        <v/>
      </c>
      <c r="AG212" t="s">
        <v>19</v>
      </c>
      <c r="AJ212" cm="1">
        <f t="array" ref="AJ212">_xlfn.IFS(AG212="Yes",1,AG212="No",0,AG212="","")</f>
        <v>1</v>
      </c>
    </row>
    <row r="213" spans="1:36" ht="58">
      <c r="A213" t="s">
        <v>209</v>
      </c>
      <c r="D213" s="3" t="s">
        <v>638</v>
      </c>
      <c r="E213" s="3" t="s">
        <v>637</v>
      </c>
      <c r="I213" t="s">
        <v>901</v>
      </c>
      <c r="J213" s="6" t="s">
        <v>25</v>
      </c>
      <c r="L213" s="6">
        <v>8</v>
      </c>
      <c r="M213" s="6">
        <v>33</v>
      </c>
      <c r="O213" s="6" t="s">
        <v>803</v>
      </c>
      <c r="P213" s="6" t="s">
        <v>873</v>
      </c>
      <c r="Q213" s="7" t="s">
        <v>894</v>
      </c>
      <c r="S213" s="6">
        <v>8</v>
      </c>
      <c r="U213" s="6" t="str">
        <f t="shared" ca="1" si="8"/>
        <v/>
      </c>
      <c r="V213" s="6" t="str">
        <f t="shared" ca="1" si="9"/>
        <v/>
      </c>
      <c r="AG213" t="s">
        <v>19</v>
      </c>
      <c r="AJ213" cm="1">
        <f t="array" ref="AJ213">_xlfn.IFS(AG213="Yes",1,AG213="No",0,AG213="","")</f>
        <v>1</v>
      </c>
    </row>
    <row r="214" spans="1:36">
      <c r="A214" t="s">
        <v>210</v>
      </c>
      <c r="D214" s="3" t="s">
        <v>640</v>
      </c>
      <c r="E214" s="3" t="s">
        <v>639</v>
      </c>
      <c r="H214" t="s">
        <v>19</v>
      </c>
      <c r="J214" s="6" t="s">
        <v>851</v>
      </c>
      <c r="U214" s="6" t="str">
        <f t="shared" ca="1" si="8"/>
        <v/>
      </c>
      <c r="V214" s="6" t="str">
        <f t="shared" ca="1" si="9"/>
        <v/>
      </c>
      <c r="AG214" t="s">
        <v>20</v>
      </c>
      <c r="AJ214" cm="1">
        <f t="array" ref="AJ214">_xlfn.IFS(AG214="Yes",1,AG214="No",0,AG214="","")</f>
        <v>0</v>
      </c>
    </row>
    <row r="215" spans="1:36">
      <c r="A215" t="s">
        <v>211</v>
      </c>
      <c r="D215" s="3" t="s">
        <v>212</v>
      </c>
      <c r="E215" s="3" t="s">
        <v>213</v>
      </c>
      <c r="H215" t="s">
        <v>19</v>
      </c>
      <c r="J215" s="6" t="s">
        <v>851</v>
      </c>
      <c r="U215" s="6" t="str">
        <f t="shared" ca="1" si="8"/>
        <v/>
      </c>
      <c r="V215" s="6" t="str">
        <f t="shared" ca="1" si="9"/>
        <v/>
      </c>
      <c r="AG215" t="s">
        <v>20</v>
      </c>
      <c r="AJ215" cm="1">
        <f t="array" ref="AJ215">_xlfn.IFS(AG215="Yes",1,AG215="No",0,AG215="","")</f>
        <v>0</v>
      </c>
    </row>
    <row r="216" spans="1:36">
      <c r="A216" t="s">
        <v>211</v>
      </c>
      <c r="D216" s="3" t="s">
        <v>641</v>
      </c>
      <c r="E216" s="3" t="s">
        <v>642</v>
      </c>
      <c r="H216" t="s">
        <v>19</v>
      </c>
      <c r="J216" s="6" t="s">
        <v>851</v>
      </c>
      <c r="U216" s="6" t="str">
        <f t="shared" ca="1" si="8"/>
        <v/>
      </c>
      <c r="V216" s="6" t="str">
        <f t="shared" ca="1" si="9"/>
        <v/>
      </c>
      <c r="AE216" s="6" t="s">
        <v>807</v>
      </c>
      <c r="AG216" t="s">
        <v>20</v>
      </c>
      <c r="AJ216" cm="1">
        <f t="array" ref="AJ216">_xlfn.IFS(AG216="Yes",1,AG216="No",0,AG216="","")</f>
        <v>0</v>
      </c>
    </row>
    <row r="217" spans="1:36" ht="58">
      <c r="A217" t="s">
        <v>214</v>
      </c>
      <c r="D217" s="3" t="s">
        <v>902</v>
      </c>
      <c r="E217" s="3" t="s">
        <v>904</v>
      </c>
      <c r="J217" s="6" t="s">
        <v>25</v>
      </c>
      <c r="L217" s="6">
        <v>1</v>
      </c>
      <c r="M217" s="6">
        <v>5</v>
      </c>
      <c r="N217" s="6" t="s">
        <v>802</v>
      </c>
      <c r="O217" s="6" t="s">
        <v>809</v>
      </c>
      <c r="S217" s="6">
        <v>266</v>
      </c>
      <c r="U217" s="6" t="str">
        <f t="shared" ca="1" si="8"/>
        <v/>
      </c>
      <c r="V217" s="6" t="str">
        <f t="shared" ca="1" si="9"/>
        <v/>
      </c>
      <c r="AG217" t="s">
        <v>19</v>
      </c>
      <c r="AJ217" cm="1">
        <f t="array" ref="AJ217">_xlfn.IFS(AG217="Yes",1,AG217="No",0,AG217="","")</f>
        <v>1</v>
      </c>
    </row>
    <row r="218" spans="1:36" ht="58">
      <c r="A218" t="s">
        <v>214</v>
      </c>
      <c r="D218" s="3" t="s">
        <v>903</v>
      </c>
      <c r="E218" s="3" t="s">
        <v>905</v>
      </c>
      <c r="F218" t="s">
        <v>35</v>
      </c>
      <c r="I218" t="s">
        <v>643</v>
      </c>
      <c r="U218" s="6" t="str">
        <f t="shared" ca="1" si="8"/>
        <v/>
      </c>
      <c r="V218" s="6" t="str">
        <f t="shared" ca="1" si="9"/>
        <v/>
      </c>
      <c r="AJ218" t="str" cm="1">
        <f t="array" ref="AJ218">_xlfn.IFS(AG218="Yes",1,AG218="No",0,AG218="","")</f>
        <v/>
      </c>
    </row>
    <row r="219" spans="1:36" ht="58">
      <c r="A219" t="s">
        <v>214</v>
      </c>
      <c r="D219" s="3" t="s">
        <v>906</v>
      </c>
      <c r="E219" s="3" t="s">
        <v>904</v>
      </c>
      <c r="I219" t="s">
        <v>907</v>
      </c>
      <c r="J219" s="6" t="s">
        <v>25</v>
      </c>
      <c r="L219" s="6">
        <v>4</v>
      </c>
      <c r="M219" s="6">
        <v>13</v>
      </c>
      <c r="O219" s="6" t="s">
        <v>809</v>
      </c>
      <c r="S219" s="6">
        <v>3</v>
      </c>
      <c r="U219" s="6" t="str">
        <f t="shared" ca="1" si="8"/>
        <v/>
      </c>
      <c r="V219" s="6" t="str">
        <f t="shared" ca="1" si="9"/>
        <v/>
      </c>
      <c r="AG219" t="s">
        <v>19</v>
      </c>
      <c r="AJ219" cm="1">
        <f t="array" ref="AJ219">_xlfn.IFS(AG219="Yes",1,AG219="No",0,AG219="","")</f>
        <v>1</v>
      </c>
    </row>
    <row r="220" spans="1:36">
      <c r="A220" t="s">
        <v>214</v>
      </c>
      <c r="D220" s="3" t="s">
        <v>645</v>
      </c>
      <c r="E220" s="3" t="s">
        <v>646</v>
      </c>
      <c r="I220" t="s">
        <v>908</v>
      </c>
      <c r="J220" s="6" t="s">
        <v>851</v>
      </c>
      <c r="U220" s="6" t="str">
        <f t="shared" ca="1" si="8"/>
        <v/>
      </c>
      <c r="V220" s="6" t="str">
        <f t="shared" ca="1" si="9"/>
        <v/>
      </c>
      <c r="W220" s="6" t="s">
        <v>848</v>
      </c>
      <c r="AC220" s="6" t="s">
        <v>876</v>
      </c>
      <c r="AD220" s="6" t="s">
        <v>19</v>
      </c>
      <c r="AG220" t="s">
        <v>19</v>
      </c>
      <c r="AJ220" cm="1">
        <f t="array" ref="AJ220">_xlfn.IFS(AG220="Yes",1,AG220="No",0,AG220="","")</f>
        <v>1</v>
      </c>
    </row>
    <row r="221" spans="1:36">
      <c r="A221" t="s">
        <v>214</v>
      </c>
      <c r="D221" s="3" t="s">
        <v>647</v>
      </c>
      <c r="E221" s="3" t="s">
        <v>644</v>
      </c>
      <c r="I221" t="s">
        <v>908</v>
      </c>
      <c r="J221" s="6" t="s">
        <v>25</v>
      </c>
      <c r="L221" s="6">
        <v>2</v>
      </c>
      <c r="M221" s="6">
        <v>3</v>
      </c>
      <c r="O221" s="6" t="s">
        <v>809</v>
      </c>
      <c r="S221" s="6">
        <v>250</v>
      </c>
      <c r="U221" s="6" t="str">
        <f t="shared" ca="1" si="8"/>
        <v/>
      </c>
      <c r="V221" s="6" t="str">
        <f t="shared" ca="1" si="9"/>
        <v/>
      </c>
      <c r="W221" s="6" t="s">
        <v>848</v>
      </c>
      <c r="AG221" t="s">
        <v>19</v>
      </c>
      <c r="AJ221" cm="1">
        <f t="array" ref="AJ221">_xlfn.IFS(AG221="Yes",1,AG221="No",0,AG221="","")</f>
        <v>1</v>
      </c>
    </row>
    <row r="222" spans="1:36" ht="29">
      <c r="A222" t="s">
        <v>216</v>
      </c>
      <c r="D222" s="3" t="s">
        <v>648</v>
      </c>
      <c r="E222" s="3" t="s">
        <v>649</v>
      </c>
      <c r="J222" s="6" t="s">
        <v>25</v>
      </c>
      <c r="L222" s="6">
        <v>1</v>
      </c>
      <c r="M222" s="6">
        <v>4</v>
      </c>
      <c r="N222" s="6" t="s">
        <v>808</v>
      </c>
      <c r="O222" s="6" t="s">
        <v>803</v>
      </c>
      <c r="P222" s="6" t="s">
        <v>868</v>
      </c>
      <c r="Q222" s="7" t="s">
        <v>867</v>
      </c>
      <c r="S222" s="6">
        <v>2475</v>
      </c>
      <c r="U222" s="6" t="str">
        <f t="shared" ca="1" si="8"/>
        <v/>
      </c>
      <c r="V222" s="6" t="str">
        <f t="shared" ca="1" si="9"/>
        <v/>
      </c>
      <c r="AG222" t="s">
        <v>19</v>
      </c>
      <c r="AJ222" cm="1">
        <f t="array" ref="AJ222">_xlfn.IFS(AG222="Yes",1,AG222="No",0,AG222="","")</f>
        <v>1</v>
      </c>
    </row>
    <row r="223" spans="1:36">
      <c r="A223" t="s">
        <v>217</v>
      </c>
      <c r="D223" s="3" t="s">
        <v>218</v>
      </c>
      <c r="E223" s="3" t="s">
        <v>219</v>
      </c>
      <c r="J223" s="6" t="s">
        <v>851</v>
      </c>
      <c r="U223" s="6" t="str">
        <f t="shared" ca="1" si="8"/>
        <v/>
      </c>
      <c r="V223" s="6" t="str">
        <f t="shared" ca="1" si="9"/>
        <v/>
      </c>
      <c r="AC223" s="6" t="s">
        <v>876</v>
      </c>
      <c r="AD223" s="6" t="s">
        <v>19</v>
      </c>
      <c r="AE223" s="6" t="s">
        <v>807</v>
      </c>
      <c r="AG223" t="s">
        <v>19</v>
      </c>
      <c r="AJ223" cm="1">
        <f t="array" ref="AJ223">_xlfn.IFS(AG223="Yes",1,AG223="No",0,AG223="","")</f>
        <v>1</v>
      </c>
    </row>
    <row r="224" spans="1:36">
      <c r="A224" t="s">
        <v>220</v>
      </c>
      <c r="D224" s="3" t="s">
        <v>215</v>
      </c>
      <c r="E224" s="3" t="s">
        <v>215</v>
      </c>
      <c r="F224" t="s">
        <v>35</v>
      </c>
      <c r="I224" t="s">
        <v>650</v>
      </c>
      <c r="U224" s="6" t="str">
        <f t="shared" ca="1" si="8"/>
        <v/>
      </c>
      <c r="V224" s="6" t="str">
        <f t="shared" ca="1" si="9"/>
        <v/>
      </c>
      <c r="AJ224" t="str" cm="1">
        <f t="array" ref="AJ224">_xlfn.IFS(AG224="Yes",1,AG224="No",0,AG224="","")</f>
        <v/>
      </c>
    </row>
    <row r="225" spans="1:36">
      <c r="A225" t="s">
        <v>220</v>
      </c>
      <c r="D225" s="3" t="s">
        <v>651</v>
      </c>
      <c r="E225" s="3" t="s">
        <v>652</v>
      </c>
      <c r="I225" t="s">
        <v>909</v>
      </c>
      <c r="J225" s="6" t="s">
        <v>24</v>
      </c>
      <c r="L225" s="6">
        <v>1</v>
      </c>
      <c r="M225" s="6">
        <v>1</v>
      </c>
      <c r="N225" s="6" t="s">
        <v>808</v>
      </c>
      <c r="O225" s="6" t="s">
        <v>850</v>
      </c>
      <c r="S225" s="6">
        <v>2475</v>
      </c>
      <c r="U225" s="6" t="str">
        <f t="shared" ca="1" si="8"/>
        <v/>
      </c>
      <c r="V225" s="6" t="str">
        <f t="shared" ca="1" si="9"/>
        <v/>
      </c>
      <c r="W225" s="6" t="s">
        <v>4</v>
      </c>
      <c r="AG225" t="s">
        <v>19</v>
      </c>
      <c r="AJ225" cm="1">
        <f t="array" ref="AJ225">_xlfn.IFS(AG225="Yes",1,AG225="No",0,AG225="","")</f>
        <v>1</v>
      </c>
    </row>
    <row r="226" spans="1:36" ht="29">
      <c r="A226" t="s">
        <v>221</v>
      </c>
      <c r="D226" s="3" t="s">
        <v>654</v>
      </c>
      <c r="E226" s="3" t="s">
        <v>653</v>
      </c>
      <c r="I226" t="s">
        <v>872</v>
      </c>
      <c r="J226" s="6" t="s">
        <v>26</v>
      </c>
      <c r="U226" s="6" t="str">
        <f t="shared" ca="1" si="8"/>
        <v/>
      </c>
      <c r="V226" s="6" t="str">
        <f t="shared" ca="1" si="9"/>
        <v/>
      </c>
      <c r="AG226" t="s">
        <v>19</v>
      </c>
      <c r="AJ226" cm="1">
        <f t="array" ref="AJ226">_xlfn.IFS(AG226="Yes",1,AG226="No",0,AG226="","")</f>
        <v>1</v>
      </c>
    </row>
    <row r="227" spans="1:36">
      <c r="A227" t="s">
        <v>222</v>
      </c>
      <c r="D227" s="3" t="s">
        <v>655</v>
      </c>
      <c r="E227" s="3" t="s">
        <v>656</v>
      </c>
      <c r="J227" s="6" t="s">
        <v>849</v>
      </c>
      <c r="T227" s="6">
        <f>6-3</f>
        <v>3</v>
      </c>
      <c r="U227" s="6">
        <f t="shared" ca="1" si="8"/>
        <v>3</v>
      </c>
      <c r="V227" s="6">
        <f t="shared" ca="1" si="9"/>
        <v>6</v>
      </c>
      <c r="AG227" t="s">
        <v>19</v>
      </c>
      <c r="AJ227" cm="1">
        <f t="array" ref="AJ227">_xlfn.IFS(AG227="Yes",1,AG227="No",0,AG227="","")</f>
        <v>1</v>
      </c>
    </row>
    <row r="228" spans="1:36">
      <c r="A228" t="s">
        <v>223</v>
      </c>
      <c r="D228" s="3" t="s">
        <v>224</v>
      </c>
      <c r="E228" s="3" t="s">
        <v>225</v>
      </c>
      <c r="J228" s="6" t="s">
        <v>849</v>
      </c>
      <c r="T228" s="6" t="s">
        <v>861</v>
      </c>
      <c r="U228" s="6" t="str">
        <f t="shared" ca="1" si="8"/>
        <v/>
      </c>
      <c r="V228" s="6" t="str">
        <f t="shared" ca="1" si="9"/>
        <v/>
      </c>
      <c r="AE228" s="6" t="s">
        <v>807</v>
      </c>
      <c r="AG228" t="s">
        <v>19</v>
      </c>
      <c r="AJ228" cm="1">
        <f t="array" ref="AJ228">_xlfn.IFS(AG228="Yes",1,AG228="No",0,AG228="","")</f>
        <v>1</v>
      </c>
    </row>
    <row r="229" spans="1:36">
      <c r="A229" t="s">
        <v>223</v>
      </c>
      <c r="D229" s="3" t="s">
        <v>657</v>
      </c>
      <c r="E229" s="3" t="s">
        <v>658</v>
      </c>
      <c r="J229" s="6" t="s">
        <v>851</v>
      </c>
      <c r="U229" s="6" t="str">
        <f t="shared" ca="1" si="8"/>
        <v/>
      </c>
      <c r="V229" s="6" t="str">
        <f t="shared" ca="1" si="9"/>
        <v/>
      </c>
      <c r="AG229" t="s">
        <v>19</v>
      </c>
      <c r="AJ229" cm="1">
        <f t="array" ref="AJ229">_xlfn.IFS(AG229="Yes",1,AG229="No",0,AG229="","")</f>
        <v>1</v>
      </c>
    </row>
    <row r="230" spans="1:36">
      <c r="A230" t="s">
        <v>226</v>
      </c>
      <c r="D230" s="3" t="s">
        <v>227</v>
      </c>
      <c r="E230" s="3" t="s">
        <v>228</v>
      </c>
      <c r="J230" s="6" t="s">
        <v>849</v>
      </c>
      <c r="T230" s="6">
        <f>1-1</f>
        <v>0</v>
      </c>
      <c r="U230" s="6">
        <f t="shared" ca="1" si="8"/>
        <v>1</v>
      </c>
      <c r="V230" s="6">
        <f t="shared" ca="1" si="9"/>
        <v>1</v>
      </c>
      <c r="AG230" t="s">
        <v>19</v>
      </c>
      <c r="AJ230" cm="1">
        <f t="array" ref="AJ230">_xlfn.IFS(AG230="Yes",1,AG230="No",0,AG230="","")</f>
        <v>1</v>
      </c>
    </row>
    <row r="231" spans="1:36">
      <c r="A231" t="s">
        <v>229</v>
      </c>
      <c r="D231" s="3" t="s">
        <v>660</v>
      </c>
      <c r="E231" s="3" t="s">
        <v>659</v>
      </c>
      <c r="J231" s="6" t="s">
        <v>24</v>
      </c>
      <c r="L231" s="6">
        <v>1</v>
      </c>
      <c r="M231" s="6">
        <v>3</v>
      </c>
      <c r="N231" s="6" t="s">
        <v>825</v>
      </c>
      <c r="O231" s="6" t="s">
        <v>809</v>
      </c>
      <c r="S231" s="6">
        <v>743</v>
      </c>
      <c r="U231" s="6" t="str">
        <f t="shared" ca="1" si="8"/>
        <v/>
      </c>
      <c r="V231" s="6" t="str">
        <f t="shared" ca="1" si="9"/>
        <v/>
      </c>
      <c r="AG231" t="s">
        <v>19</v>
      </c>
      <c r="AJ231" cm="1">
        <f t="array" ref="AJ231">_xlfn.IFS(AG231="Yes",1,AG231="No",0,AG231="","")</f>
        <v>1</v>
      </c>
    </row>
    <row r="232" spans="1:36" ht="29">
      <c r="A232" t="s">
        <v>229</v>
      </c>
      <c r="D232" s="3" t="s">
        <v>661</v>
      </c>
      <c r="E232" s="3" t="s">
        <v>662</v>
      </c>
      <c r="I232" t="s">
        <v>874</v>
      </c>
      <c r="J232" s="6" t="s">
        <v>26</v>
      </c>
      <c r="U232" s="6" t="str">
        <f t="shared" ca="1" si="8"/>
        <v/>
      </c>
      <c r="V232" s="6" t="str">
        <f t="shared" ca="1" si="9"/>
        <v/>
      </c>
      <c r="AG232" t="s">
        <v>19</v>
      </c>
      <c r="AJ232" cm="1">
        <f t="array" ref="AJ232">_xlfn.IFS(AG232="Yes",1,AG232="No",0,AG232="","")</f>
        <v>1</v>
      </c>
    </row>
    <row r="233" spans="1:36" ht="29">
      <c r="A233" t="s">
        <v>229</v>
      </c>
      <c r="D233" s="3" t="s">
        <v>663</v>
      </c>
      <c r="E233" s="3" t="s">
        <v>664</v>
      </c>
      <c r="J233" s="6" t="s">
        <v>851</v>
      </c>
      <c r="U233" s="6" t="str">
        <f t="shared" ca="1" si="8"/>
        <v/>
      </c>
      <c r="V233" s="6" t="str">
        <f t="shared" ca="1" si="9"/>
        <v/>
      </c>
      <c r="AE233" s="6" t="s">
        <v>817</v>
      </c>
      <c r="AG233" t="s">
        <v>19</v>
      </c>
      <c r="AJ233" cm="1">
        <f t="array" ref="AJ233">_xlfn.IFS(AG233="Yes",1,AG233="No",0,AG233="","")</f>
        <v>1</v>
      </c>
    </row>
    <row r="234" spans="1:36" ht="29">
      <c r="A234" t="s">
        <v>229</v>
      </c>
      <c r="D234" s="3" t="s">
        <v>666</v>
      </c>
      <c r="E234" s="3" t="s">
        <v>665</v>
      </c>
      <c r="J234" s="6" t="s">
        <v>25</v>
      </c>
      <c r="L234" s="6">
        <v>1</v>
      </c>
      <c r="M234" s="6">
        <v>1</v>
      </c>
      <c r="N234" s="6" t="s">
        <v>808</v>
      </c>
      <c r="O234" s="6" t="s">
        <v>850</v>
      </c>
      <c r="S234" s="6">
        <v>2475</v>
      </c>
      <c r="U234" s="6" t="str">
        <f t="shared" ca="1" si="8"/>
        <v/>
      </c>
      <c r="V234" s="6" t="str">
        <f t="shared" ca="1" si="9"/>
        <v/>
      </c>
      <c r="AG234" t="s">
        <v>19</v>
      </c>
      <c r="AJ234" cm="1">
        <f t="array" ref="AJ234">_xlfn.IFS(AG234="Yes",1,AG234="No",0,AG234="","")</f>
        <v>1</v>
      </c>
    </row>
    <row r="235" spans="1:36" ht="29">
      <c r="A235" t="s">
        <v>229</v>
      </c>
      <c r="D235" s="3" t="s">
        <v>667</v>
      </c>
      <c r="E235" s="3" t="s">
        <v>668</v>
      </c>
      <c r="J235" s="6" t="s">
        <v>849</v>
      </c>
      <c r="T235" s="6" t="s">
        <v>861</v>
      </c>
      <c r="U235" s="6" t="str">
        <f t="shared" ca="1" si="8"/>
        <v/>
      </c>
      <c r="V235" s="6" t="str">
        <f t="shared" ca="1" si="9"/>
        <v/>
      </c>
      <c r="AC235" s="6" t="s">
        <v>862</v>
      </c>
      <c r="AD235" s="6" t="s">
        <v>19</v>
      </c>
      <c r="AG235" t="s">
        <v>19</v>
      </c>
      <c r="AJ235" cm="1">
        <f t="array" ref="AJ235">_xlfn.IFS(AG235="Yes",1,AG235="No",0,AG235="","")</f>
        <v>1</v>
      </c>
    </row>
    <row r="236" spans="1:36" ht="29">
      <c r="A236" t="s">
        <v>229</v>
      </c>
      <c r="D236" s="3" t="s">
        <v>670</v>
      </c>
      <c r="E236" s="3" t="s">
        <v>669</v>
      </c>
      <c r="J236" s="6" t="s">
        <v>851</v>
      </c>
      <c r="U236" s="6" t="str">
        <f t="shared" ca="1" si="8"/>
        <v/>
      </c>
      <c r="V236" s="6" t="str">
        <f t="shared" ca="1" si="9"/>
        <v/>
      </c>
      <c r="AG236" t="s">
        <v>19</v>
      </c>
      <c r="AJ236" cm="1">
        <f t="array" ref="AJ236">_xlfn.IFS(AG236="Yes",1,AG236="No",0,AG236="","")</f>
        <v>1</v>
      </c>
    </row>
    <row r="237" spans="1:36" ht="29">
      <c r="A237" t="s">
        <v>230</v>
      </c>
      <c r="D237" s="3" t="s">
        <v>672</v>
      </c>
      <c r="E237" s="3" t="s">
        <v>671</v>
      </c>
      <c r="J237" s="6" t="s">
        <v>851</v>
      </c>
      <c r="U237" s="6" t="str">
        <f t="shared" ca="1" si="8"/>
        <v/>
      </c>
      <c r="V237" s="6" t="str">
        <f t="shared" ca="1" si="9"/>
        <v/>
      </c>
      <c r="AG237" t="s">
        <v>19</v>
      </c>
      <c r="AJ237" cm="1">
        <f t="array" ref="AJ237">_xlfn.IFS(AG237="Yes",1,AG237="No",0,AG237="","")</f>
        <v>1</v>
      </c>
    </row>
    <row r="238" spans="1:36" ht="72.5">
      <c r="A238" t="s">
        <v>230</v>
      </c>
      <c r="D238" s="3" t="s">
        <v>674</v>
      </c>
      <c r="E238" s="3" t="s">
        <v>675</v>
      </c>
      <c r="J238" s="6" t="s">
        <v>851</v>
      </c>
      <c r="U238" s="6" t="str">
        <f t="shared" ca="1" si="8"/>
        <v/>
      </c>
      <c r="V238" s="6" t="str">
        <f t="shared" ca="1" si="9"/>
        <v/>
      </c>
      <c r="AG238" t="s">
        <v>19</v>
      </c>
      <c r="AJ238" cm="1">
        <f t="array" ref="AJ238">_xlfn.IFS(AG238="Yes",1,AG238="No",0,AG238="","")</f>
        <v>1</v>
      </c>
    </row>
    <row r="239" spans="1:36" ht="72.5">
      <c r="A239" t="s">
        <v>230</v>
      </c>
      <c r="D239" s="3" t="s">
        <v>677</v>
      </c>
      <c r="E239" s="3" t="s">
        <v>676</v>
      </c>
      <c r="J239" s="6" t="s">
        <v>851</v>
      </c>
      <c r="U239" s="6" t="str">
        <f t="shared" ca="1" si="8"/>
        <v/>
      </c>
      <c r="V239" s="6" t="str">
        <f t="shared" ca="1" si="9"/>
        <v/>
      </c>
      <c r="AG239" t="s">
        <v>19</v>
      </c>
      <c r="AJ239" cm="1">
        <f t="array" ref="AJ239">_xlfn.IFS(AG239="Yes",1,AG239="No",0,AG239="","")</f>
        <v>1</v>
      </c>
    </row>
    <row r="240" spans="1:36" ht="72.5">
      <c r="A240" t="s">
        <v>230</v>
      </c>
      <c r="D240" s="3" t="s">
        <v>678</v>
      </c>
      <c r="E240" s="3" t="s">
        <v>673</v>
      </c>
      <c r="I240" t="s">
        <v>897</v>
      </c>
      <c r="J240" s="6" t="s">
        <v>25</v>
      </c>
      <c r="L240" s="6">
        <v>2</v>
      </c>
      <c r="M240" s="6">
        <v>5</v>
      </c>
      <c r="O240" s="6" t="s">
        <v>809</v>
      </c>
      <c r="U240" s="6" t="s">
        <v>963</v>
      </c>
      <c r="V240" s="6" t="s">
        <v>963</v>
      </c>
      <c r="AG240" t="s">
        <v>19</v>
      </c>
      <c r="AJ240" cm="1">
        <f t="array" ref="AJ240">_xlfn.IFS(AG240="Yes",1,AG240="No",0,AG240="","")</f>
        <v>1</v>
      </c>
    </row>
    <row r="241" spans="1:36" ht="72.5">
      <c r="A241" t="s">
        <v>230</v>
      </c>
      <c r="D241" s="3" t="s">
        <v>679</v>
      </c>
      <c r="E241" s="3" t="s">
        <v>680</v>
      </c>
      <c r="I241" t="s">
        <v>872</v>
      </c>
      <c r="J241" s="6" t="s">
        <v>26</v>
      </c>
      <c r="U241" s="6" t="str">
        <f t="shared" ca="1" si="8"/>
        <v/>
      </c>
      <c r="V241" s="6" t="str">
        <f t="shared" ca="1" si="9"/>
        <v/>
      </c>
      <c r="AG241" t="s">
        <v>19</v>
      </c>
      <c r="AJ241" cm="1">
        <f t="array" ref="AJ241">_xlfn.IFS(AG241="Yes",1,AG241="No",0,AG241="","")</f>
        <v>1</v>
      </c>
    </row>
    <row r="242" spans="1:36" ht="72.5">
      <c r="A242" t="s">
        <v>230</v>
      </c>
      <c r="D242" s="3" t="s">
        <v>681</v>
      </c>
      <c r="E242" s="3" t="s">
        <v>682</v>
      </c>
      <c r="J242" s="6" t="s">
        <v>849</v>
      </c>
      <c r="T242" s="6" t="s">
        <v>861</v>
      </c>
      <c r="U242" s="6" t="str">
        <f t="shared" ca="1" si="8"/>
        <v/>
      </c>
      <c r="V242" s="6" t="str">
        <f t="shared" ca="1" si="9"/>
        <v/>
      </c>
      <c r="AE242" s="6" t="s">
        <v>817</v>
      </c>
      <c r="AG242" t="s">
        <v>19</v>
      </c>
      <c r="AJ242" cm="1">
        <f t="array" ref="AJ242">_xlfn.IFS(AG242="Yes",1,AG242="No",0,AG242="","")</f>
        <v>1</v>
      </c>
    </row>
    <row r="243" spans="1:36" ht="29">
      <c r="A243" t="s">
        <v>231</v>
      </c>
      <c r="D243" s="3" t="s">
        <v>684</v>
      </c>
      <c r="E243" s="3" t="s">
        <v>683</v>
      </c>
      <c r="J243" s="6" t="s">
        <v>24</v>
      </c>
      <c r="L243" s="6">
        <v>1</v>
      </c>
      <c r="M243" s="6">
        <v>4</v>
      </c>
      <c r="N243" s="6" t="s">
        <v>808</v>
      </c>
      <c r="O243" s="6" t="s">
        <v>803</v>
      </c>
      <c r="P243" s="6" t="s">
        <v>868</v>
      </c>
      <c r="Q243" s="7" t="s">
        <v>867</v>
      </c>
      <c r="S243" s="6">
        <v>2475</v>
      </c>
      <c r="U243" s="6" t="str">
        <f t="shared" ca="1" si="8"/>
        <v/>
      </c>
      <c r="V243" s="6" t="str">
        <f t="shared" ca="1" si="9"/>
        <v/>
      </c>
      <c r="AG243" t="s">
        <v>19</v>
      </c>
      <c r="AJ243" cm="1">
        <f t="array" ref="AJ243">_xlfn.IFS(AG243="Yes",1,AG243="No",0,AG243="","")</f>
        <v>1</v>
      </c>
    </row>
    <row r="244" spans="1:36">
      <c r="A244" t="s">
        <v>232</v>
      </c>
      <c r="D244" s="3" t="s">
        <v>233</v>
      </c>
      <c r="E244" s="3" t="s">
        <v>234</v>
      </c>
      <c r="H244" t="s">
        <v>19</v>
      </c>
      <c r="J244" s="6" t="s">
        <v>851</v>
      </c>
      <c r="U244" s="6" t="str">
        <f t="shared" ca="1" si="8"/>
        <v/>
      </c>
      <c r="V244" s="6" t="str">
        <f t="shared" ca="1" si="9"/>
        <v/>
      </c>
      <c r="AC244" s="6" t="s">
        <v>927</v>
      </c>
      <c r="AD244" s="6" t="s">
        <v>19</v>
      </c>
      <c r="AE244" s="6" t="s">
        <v>807</v>
      </c>
      <c r="AG244" t="s">
        <v>20</v>
      </c>
      <c r="AJ244" cm="1">
        <f t="array" ref="AJ244">_xlfn.IFS(AG244="Yes",1,AG244="No",0,AG244="","")</f>
        <v>0</v>
      </c>
    </row>
    <row r="245" spans="1:36">
      <c r="A245" t="s">
        <v>232</v>
      </c>
      <c r="D245" s="3" t="s">
        <v>235</v>
      </c>
      <c r="E245" s="3" t="s">
        <v>236</v>
      </c>
      <c r="H245" t="s">
        <v>19</v>
      </c>
      <c r="J245" s="6" t="s">
        <v>849</v>
      </c>
      <c r="T245" s="6" t="s">
        <v>861</v>
      </c>
      <c r="U245" s="6" t="str">
        <f t="shared" ca="1" si="8"/>
        <v/>
      </c>
      <c r="V245" s="6" t="str">
        <f t="shared" ca="1" si="9"/>
        <v/>
      </c>
      <c r="AE245" s="6" t="s">
        <v>807</v>
      </c>
      <c r="AG245" t="s">
        <v>20</v>
      </c>
      <c r="AJ245" cm="1">
        <f t="array" ref="AJ245">_xlfn.IFS(AG245="Yes",1,AG245="No",0,AG245="","")</f>
        <v>0</v>
      </c>
    </row>
    <row r="246" spans="1:36">
      <c r="A246" t="s">
        <v>237</v>
      </c>
      <c r="D246" s="3" t="s">
        <v>238</v>
      </c>
      <c r="E246" s="3" t="s">
        <v>685</v>
      </c>
      <c r="J246" s="6" t="s">
        <v>849</v>
      </c>
      <c r="T246" s="6">
        <f>1-1</f>
        <v>0</v>
      </c>
      <c r="U246" s="6">
        <f t="shared" ca="1" si="8"/>
        <v>1</v>
      </c>
      <c r="V246" s="6">
        <f t="shared" ca="1" si="9"/>
        <v>1</v>
      </c>
      <c r="AG246" t="s">
        <v>19</v>
      </c>
      <c r="AJ246" cm="1">
        <f t="array" ref="AJ246">_xlfn.IFS(AG246="Yes",1,AG246="No",0,AG246="","")</f>
        <v>1</v>
      </c>
    </row>
    <row r="247" spans="1:36" ht="29">
      <c r="A247" t="s">
        <v>239</v>
      </c>
      <c r="D247" s="3" t="s">
        <v>687</v>
      </c>
      <c r="E247" s="3" t="s">
        <v>686</v>
      </c>
      <c r="J247" s="6" t="s">
        <v>24</v>
      </c>
      <c r="L247" s="6">
        <v>1</v>
      </c>
      <c r="M247" s="6">
        <v>3</v>
      </c>
      <c r="N247" s="6" t="s">
        <v>818</v>
      </c>
      <c r="O247" s="6" t="s">
        <v>809</v>
      </c>
      <c r="S247" s="6">
        <v>1701</v>
      </c>
      <c r="U247" s="6" t="str">
        <f t="shared" ca="1" si="8"/>
        <v/>
      </c>
      <c r="V247" s="6" t="str">
        <f t="shared" ca="1" si="9"/>
        <v/>
      </c>
      <c r="AG247" t="s">
        <v>19</v>
      </c>
      <c r="AJ247" cm="1">
        <f t="array" ref="AJ247">_xlfn.IFS(AG247="Yes",1,AG247="No",0,AG247="","")</f>
        <v>1</v>
      </c>
    </row>
    <row r="248" spans="1:36" ht="29">
      <c r="A248" t="s">
        <v>240</v>
      </c>
      <c r="D248" s="3" t="s">
        <v>689</v>
      </c>
      <c r="E248" s="3" t="s">
        <v>688</v>
      </c>
      <c r="J248" s="6" t="s">
        <v>25</v>
      </c>
      <c r="L248" s="6">
        <v>1</v>
      </c>
      <c r="M248" s="6">
        <v>5</v>
      </c>
      <c r="N248" s="6" t="s">
        <v>825</v>
      </c>
      <c r="O248" s="6" t="s">
        <v>809</v>
      </c>
      <c r="S248" s="6">
        <v>830</v>
      </c>
      <c r="U248" s="6" t="str">
        <f t="shared" ca="1" si="8"/>
        <v/>
      </c>
      <c r="V248" s="6" t="str">
        <f t="shared" ca="1" si="9"/>
        <v/>
      </c>
      <c r="AG248" t="s">
        <v>19</v>
      </c>
      <c r="AJ248" cm="1">
        <f t="array" ref="AJ248">_xlfn.IFS(AG248="Yes",1,AG248="No",0,AG248="","")</f>
        <v>1</v>
      </c>
    </row>
    <row r="249" spans="1:36" ht="29">
      <c r="A249" t="s">
        <v>240</v>
      </c>
      <c r="D249" s="3" t="s">
        <v>691</v>
      </c>
      <c r="E249" s="3" t="s">
        <v>690</v>
      </c>
      <c r="I249" t="s">
        <v>874</v>
      </c>
      <c r="J249" s="6" t="s">
        <v>26</v>
      </c>
      <c r="U249" s="6" t="str">
        <f t="shared" ca="1" si="8"/>
        <v/>
      </c>
      <c r="V249" s="6" t="str">
        <f t="shared" ca="1" si="9"/>
        <v/>
      </c>
      <c r="AG249" t="s">
        <v>19</v>
      </c>
      <c r="AJ249" cm="1">
        <f t="array" ref="AJ249">_xlfn.IFS(AG249="Yes",1,AG249="No",0,AG249="","")</f>
        <v>1</v>
      </c>
    </row>
    <row r="250" spans="1:36">
      <c r="A250" t="s">
        <v>240</v>
      </c>
      <c r="D250" s="3" t="s">
        <v>241</v>
      </c>
      <c r="E250" s="3" t="s">
        <v>242</v>
      </c>
      <c r="J250" s="6" t="s">
        <v>851</v>
      </c>
      <c r="U250" s="6" t="str">
        <f t="shared" ca="1" si="8"/>
        <v/>
      </c>
      <c r="V250" s="6" t="str">
        <f t="shared" ca="1" si="9"/>
        <v/>
      </c>
      <c r="AG250" t="s">
        <v>20</v>
      </c>
      <c r="AJ250" cm="1">
        <f t="array" ref="AJ250">_xlfn.IFS(AG250="Yes",1,AG250="No",0,AG250="","")</f>
        <v>0</v>
      </c>
    </row>
    <row r="251" spans="1:36" ht="29">
      <c r="A251" t="s">
        <v>243</v>
      </c>
      <c r="D251" s="3" t="s">
        <v>693</v>
      </c>
      <c r="E251" s="3" t="s">
        <v>692</v>
      </c>
      <c r="I251" t="s">
        <v>874</v>
      </c>
      <c r="J251" s="6" t="s">
        <v>26</v>
      </c>
      <c r="U251" s="6" t="str">
        <f t="shared" ca="1" si="8"/>
        <v/>
      </c>
      <c r="V251" s="6" t="str">
        <f t="shared" ca="1" si="9"/>
        <v/>
      </c>
      <c r="AG251" t="s">
        <v>19</v>
      </c>
      <c r="AJ251" cm="1">
        <f t="array" ref="AJ251">_xlfn.IFS(AG251="Yes",1,AG251="No",0,AG251="","")</f>
        <v>1</v>
      </c>
    </row>
    <row r="252" spans="1:36">
      <c r="A252" t="s">
        <v>243</v>
      </c>
      <c r="D252" s="3" t="s">
        <v>694</v>
      </c>
      <c r="E252" s="3" t="s">
        <v>695</v>
      </c>
      <c r="J252" s="6" t="s">
        <v>849</v>
      </c>
      <c r="T252" s="6">
        <f>17-7</f>
        <v>10</v>
      </c>
      <c r="U252" s="6">
        <f t="shared" ca="1" si="8"/>
        <v>7</v>
      </c>
      <c r="V252" s="6">
        <f t="shared" ca="1" si="9"/>
        <v>17</v>
      </c>
      <c r="AG252" t="s">
        <v>19</v>
      </c>
      <c r="AJ252" cm="1">
        <f t="array" ref="AJ252">_xlfn.IFS(AG252="Yes",1,AG252="No",0,AG252="","")</f>
        <v>1</v>
      </c>
    </row>
    <row r="253" spans="1:36" ht="43.5">
      <c r="A253" t="s">
        <v>243</v>
      </c>
      <c r="D253" s="3" t="s">
        <v>696</v>
      </c>
      <c r="E253" s="3" t="s">
        <v>697</v>
      </c>
      <c r="I253" t="s">
        <v>874</v>
      </c>
      <c r="J253" s="6" t="s">
        <v>26</v>
      </c>
      <c r="U253" s="6" t="str">
        <f t="shared" ca="1" si="8"/>
        <v/>
      </c>
      <c r="V253" s="6" t="str">
        <f t="shared" ca="1" si="9"/>
        <v/>
      </c>
      <c r="AG253" t="s">
        <v>19</v>
      </c>
      <c r="AJ253" cm="1">
        <f t="array" ref="AJ253">_xlfn.IFS(AG253="Yes",1,AG253="No",0,AG253="","")</f>
        <v>1</v>
      </c>
    </row>
    <row r="254" spans="1:36" ht="43.5">
      <c r="A254" t="s">
        <v>243</v>
      </c>
      <c r="D254" s="3" t="s">
        <v>699</v>
      </c>
      <c r="E254" s="3" t="s">
        <v>698</v>
      </c>
      <c r="J254" s="6" t="s">
        <v>851</v>
      </c>
      <c r="U254" s="6" t="str">
        <f t="shared" ca="1" si="8"/>
        <v/>
      </c>
      <c r="V254" s="6" t="str">
        <f t="shared" ca="1" si="9"/>
        <v/>
      </c>
      <c r="AG254" t="s">
        <v>19</v>
      </c>
      <c r="AJ254" cm="1">
        <f t="array" ref="AJ254">_xlfn.IFS(AG254="Yes",1,AG254="No",0,AG254="","")</f>
        <v>1</v>
      </c>
    </row>
    <row r="255" spans="1:36">
      <c r="A255" t="s">
        <v>244</v>
      </c>
      <c r="D255" s="3" t="s">
        <v>245</v>
      </c>
      <c r="E255" s="3" t="s">
        <v>246</v>
      </c>
      <c r="J255" s="6" t="s">
        <v>851</v>
      </c>
      <c r="U255" s="6" t="str">
        <f t="shared" ref="U255:U318" ca="1" si="10">IF(ISNUMBER(T255),VALUE(MID(_xlfn.FORMULATEXT(T255),SEARCH("-",_xlfn.FORMULATEXT(T255))+1,LEN(_xlfn.FORMULATEXT(T255))-SEARCH("-",_xlfn.FORMULATEXT(T255)))), "")</f>
        <v/>
      </c>
      <c r="V255" s="6" t="str">
        <f t="shared" ref="V255:V318" ca="1" si="11">IF(ISNUMBER(T255), VALUE(MID(_xlfn.FORMULATEXT(T255), 2, SEARCH("-", _xlfn.FORMULATEXT(T255)) - 2)), "")</f>
        <v/>
      </c>
      <c r="AG255" t="s">
        <v>19</v>
      </c>
      <c r="AJ255" cm="1">
        <f t="array" ref="AJ255">_xlfn.IFS(AG255="Yes",1,AG255="No",0,AG255="","")</f>
        <v>1</v>
      </c>
    </row>
    <row r="256" spans="1:36">
      <c r="A256" t="s">
        <v>247</v>
      </c>
      <c r="D256" s="3" t="s">
        <v>701</v>
      </c>
      <c r="E256" s="3" t="s">
        <v>700</v>
      </c>
      <c r="J256" s="6" t="s">
        <v>849</v>
      </c>
      <c r="T256" s="6">
        <f>29-1</f>
        <v>28</v>
      </c>
      <c r="U256" s="6">
        <f t="shared" ca="1" si="10"/>
        <v>1</v>
      </c>
      <c r="V256" s="6">
        <f t="shared" ca="1" si="11"/>
        <v>29</v>
      </c>
      <c r="AG256" t="s">
        <v>19</v>
      </c>
      <c r="AJ256" cm="1">
        <f t="array" ref="AJ256">_xlfn.IFS(AG256="Yes",1,AG256="No",0,AG256="","")</f>
        <v>1</v>
      </c>
    </row>
    <row r="257" spans="1:36" ht="29">
      <c r="A257" t="s">
        <v>247</v>
      </c>
      <c r="D257" s="3" t="s">
        <v>703</v>
      </c>
      <c r="E257" s="3" t="s">
        <v>702</v>
      </c>
      <c r="J257" s="6" t="s">
        <v>24</v>
      </c>
      <c r="L257" s="6">
        <v>1</v>
      </c>
      <c r="M257" s="6">
        <v>3</v>
      </c>
      <c r="N257" s="6" t="s">
        <v>818</v>
      </c>
      <c r="O257" s="6" t="s">
        <v>809</v>
      </c>
      <c r="S257" s="6">
        <v>1701</v>
      </c>
      <c r="U257" s="6" t="str">
        <f t="shared" ca="1" si="10"/>
        <v/>
      </c>
      <c r="V257" s="6" t="str">
        <f t="shared" ca="1" si="11"/>
        <v/>
      </c>
      <c r="AG257" t="s">
        <v>19</v>
      </c>
      <c r="AJ257" cm="1">
        <f t="array" ref="AJ257">_xlfn.IFS(AG257="Yes",1,AG257="No",0,AG257="","")</f>
        <v>1</v>
      </c>
    </row>
    <row r="258" spans="1:36">
      <c r="A258" t="s">
        <v>248</v>
      </c>
      <c r="D258" s="3" t="s">
        <v>705</v>
      </c>
      <c r="E258" s="3" t="s">
        <v>704</v>
      </c>
      <c r="J258" s="6" t="s">
        <v>25</v>
      </c>
      <c r="L258" s="6">
        <v>1</v>
      </c>
      <c r="M258" s="6">
        <v>3</v>
      </c>
      <c r="N258" s="6" t="s">
        <v>808</v>
      </c>
      <c r="O258" s="6" t="s">
        <v>809</v>
      </c>
      <c r="S258" s="6">
        <v>2475</v>
      </c>
      <c r="U258" s="6" t="str">
        <f t="shared" ca="1" si="10"/>
        <v/>
      </c>
      <c r="V258" s="6" t="str">
        <f t="shared" ca="1" si="11"/>
        <v/>
      </c>
      <c r="AG258" t="s">
        <v>19</v>
      </c>
      <c r="AJ258" cm="1">
        <f t="array" ref="AJ258">_xlfn.IFS(AG258="Yes",1,AG258="No",0,AG258="","")</f>
        <v>1</v>
      </c>
    </row>
    <row r="259" spans="1:36">
      <c r="A259" t="s">
        <v>248</v>
      </c>
      <c r="D259" s="3" t="s">
        <v>706</v>
      </c>
      <c r="E259" s="3" t="s">
        <v>707</v>
      </c>
      <c r="J259" s="6" t="s">
        <v>849</v>
      </c>
      <c r="T259" s="6">
        <f>250-132</f>
        <v>118</v>
      </c>
      <c r="U259" s="6">
        <f t="shared" ca="1" si="10"/>
        <v>132</v>
      </c>
      <c r="V259" s="6">
        <f t="shared" ca="1" si="11"/>
        <v>250</v>
      </c>
      <c r="AG259" t="s">
        <v>19</v>
      </c>
      <c r="AJ259" cm="1">
        <f t="array" ref="AJ259">_xlfn.IFS(AG259="Yes",1,AG259="No",0,AG259="","")</f>
        <v>1</v>
      </c>
    </row>
    <row r="260" spans="1:36">
      <c r="A260" t="s">
        <v>248</v>
      </c>
      <c r="D260" s="3" t="s">
        <v>708</v>
      </c>
      <c r="E260" s="3" t="s">
        <v>709</v>
      </c>
      <c r="J260" s="6" t="s">
        <v>851</v>
      </c>
      <c r="U260" s="6" t="str">
        <f t="shared" ca="1" si="10"/>
        <v/>
      </c>
      <c r="V260" s="6" t="str">
        <f t="shared" ca="1" si="11"/>
        <v/>
      </c>
      <c r="AG260" t="s">
        <v>19</v>
      </c>
      <c r="AJ260" cm="1">
        <f t="array" ref="AJ260">_xlfn.IFS(AG260="Yes",1,AG260="No",0,AG260="","")</f>
        <v>1</v>
      </c>
    </row>
    <row r="261" spans="1:36">
      <c r="A261" t="s">
        <v>249</v>
      </c>
      <c r="D261" s="3" t="s">
        <v>250</v>
      </c>
      <c r="E261" s="3" t="s">
        <v>251</v>
      </c>
      <c r="J261" s="6" t="s">
        <v>851</v>
      </c>
      <c r="U261" s="6" t="str">
        <f t="shared" ca="1" si="10"/>
        <v/>
      </c>
      <c r="V261" s="6" t="str">
        <f t="shared" ca="1" si="11"/>
        <v/>
      </c>
      <c r="AE261" s="6" t="s">
        <v>817</v>
      </c>
      <c r="AG261" t="s">
        <v>19</v>
      </c>
      <c r="AJ261" cm="1">
        <f t="array" ref="AJ261">_xlfn.IFS(AG261="Yes",1,AG261="No",0,AG261="","")</f>
        <v>1</v>
      </c>
    </row>
    <row r="262" spans="1:36" ht="29">
      <c r="A262" t="s">
        <v>252</v>
      </c>
      <c r="D262" s="3" t="s">
        <v>710</v>
      </c>
      <c r="E262" s="3" t="s">
        <v>711</v>
      </c>
      <c r="J262" s="6" t="s">
        <v>24</v>
      </c>
      <c r="L262" s="6">
        <v>1</v>
      </c>
      <c r="M262" s="6">
        <v>3</v>
      </c>
      <c r="N262" s="6" t="s">
        <v>818</v>
      </c>
      <c r="O262" s="6" t="s">
        <v>809</v>
      </c>
      <c r="S262" s="6">
        <v>86</v>
      </c>
      <c r="U262" s="6" t="str">
        <f t="shared" ca="1" si="10"/>
        <v/>
      </c>
      <c r="V262" s="6" t="str">
        <f t="shared" ca="1" si="11"/>
        <v/>
      </c>
      <c r="AG262" t="s">
        <v>19</v>
      </c>
      <c r="AJ262" cm="1">
        <f t="array" ref="AJ262">_xlfn.IFS(AG262="Yes",1,AG262="No",0,AG262="","")</f>
        <v>1</v>
      </c>
    </row>
    <row r="263" spans="1:36" ht="29">
      <c r="A263" t="s">
        <v>252</v>
      </c>
      <c r="D263" s="3" t="s">
        <v>710</v>
      </c>
      <c r="E263" s="3" t="s">
        <v>712</v>
      </c>
      <c r="J263" s="6" t="s">
        <v>24</v>
      </c>
      <c r="L263" s="6">
        <v>1</v>
      </c>
      <c r="M263" s="6">
        <v>3</v>
      </c>
      <c r="N263" s="6" t="s">
        <v>825</v>
      </c>
      <c r="O263" s="6" t="s">
        <v>809</v>
      </c>
      <c r="S263" s="6">
        <v>743</v>
      </c>
      <c r="U263" s="6" t="str">
        <f t="shared" ca="1" si="10"/>
        <v/>
      </c>
      <c r="V263" s="6" t="str">
        <f t="shared" ca="1" si="11"/>
        <v/>
      </c>
      <c r="AG263" t="s">
        <v>19</v>
      </c>
      <c r="AJ263" cm="1">
        <f t="array" ref="AJ263">_xlfn.IFS(AG263="Yes",1,AG263="No",0,AG263="","")</f>
        <v>1</v>
      </c>
    </row>
    <row r="264" spans="1:36">
      <c r="A264" t="s">
        <v>252</v>
      </c>
      <c r="D264" s="3" t="s">
        <v>713</v>
      </c>
      <c r="E264" s="3" t="s">
        <v>714</v>
      </c>
      <c r="J264" s="6" t="s">
        <v>849</v>
      </c>
      <c r="T264" s="6">
        <f>1701-25</f>
        <v>1676</v>
      </c>
      <c r="U264" s="6">
        <f t="shared" ca="1" si="10"/>
        <v>25</v>
      </c>
      <c r="V264" s="6">
        <f t="shared" ca="1" si="11"/>
        <v>1701</v>
      </c>
      <c r="AG264" t="s">
        <v>19</v>
      </c>
      <c r="AJ264" cm="1">
        <f t="array" ref="AJ264">_xlfn.IFS(AG264="Yes",1,AG264="No",0,AG264="","")</f>
        <v>1</v>
      </c>
    </row>
    <row r="265" spans="1:36" ht="29">
      <c r="A265" t="s">
        <v>252</v>
      </c>
      <c r="D265" s="3" t="s">
        <v>715</v>
      </c>
      <c r="E265" s="3" t="s">
        <v>716</v>
      </c>
      <c r="J265" s="6" t="s">
        <v>849</v>
      </c>
      <c r="T265" s="6">
        <f>99-48</f>
        <v>51</v>
      </c>
      <c r="U265" s="6">
        <f t="shared" ca="1" si="10"/>
        <v>48</v>
      </c>
      <c r="V265" s="6">
        <f t="shared" ca="1" si="11"/>
        <v>99</v>
      </c>
      <c r="AG265" t="s">
        <v>19</v>
      </c>
      <c r="AJ265" cm="1">
        <f t="array" ref="AJ265">_xlfn.IFS(AG265="Yes",1,AG265="No",0,AG265="","")</f>
        <v>1</v>
      </c>
    </row>
    <row r="266" spans="1:36" ht="29">
      <c r="A266" t="s">
        <v>253</v>
      </c>
      <c r="D266" s="3" t="s">
        <v>717</v>
      </c>
      <c r="E266" s="3" t="s">
        <v>718</v>
      </c>
      <c r="J266" s="6" t="s">
        <v>25</v>
      </c>
      <c r="L266" s="6">
        <v>1</v>
      </c>
      <c r="M266" s="6">
        <v>3</v>
      </c>
      <c r="N266" s="6" t="s">
        <v>818</v>
      </c>
      <c r="O266" s="6" t="s">
        <v>809</v>
      </c>
      <c r="S266" s="6">
        <v>86</v>
      </c>
      <c r="U266" s="6" t="str">
        <f t="shared" ca="1" si="10"/>
        <v/>
      </c>
      <c r="V266" s="6" t="str">
        <f t="shared" ca="1" si="11"/>
        <v/>
      </c>
      <c r="AG266" t="s">
        <v>19</v>
      </c>
      <c r="AJ266" cm="1">
        <f t="array" ref="AJ266">_xlfn.IFS(AG266="Yes",1,AG266="No",0,AG266="","")</f>
        <v>1</v>
      </c>
    </row>
    <row r="267" spans="1:36">
      <c r="A267" t="s">
        <v>254</v>
      </c>
      <c r="D267" s="3" t="s">
        <v>720</v>
      </c>
      <c r="E267" s="3" t="s">
        <v>719</v>
      </c>
      <c r="J267" s="6" t="s">
        <v>25</v>
      </c>
      <c r="L267" s="6">
        <v>1</v>
      </c>
      <c r="M267" s="6">
        <v>3</v>
      </c>
      <c r="N267" s="6" t="s">
        <v>823</v>
      </c>
      <c r="O267" s="6" t="s">
        <v>809</v>
      </c>
      <c r="S267" s="6">
        <v>2</v>
      </c>
      <c r="U267" s="6" t="str">
        <f t="shared" ca="1" si="10"/>
        <v/>
      </c>
      <c r="V267" s="6" t="str">
        <f t="shared" ca="1" si="11"/>
        <v/>
      </c>
      <c r="AG267" t="s">
        <v>19</v>
      </c>
      <c r="AJ267" cm="1">
        <f t="array" ref="AJ267">_xlfn.IFS(AG267="Yes",1,AG267="No",0,AG267="","")</f>
        <v>1</v>
      </c>
    </row>
    <row r="268" spans="1:36">
      <c r="A268" t="s">
        <v>255</v>
      </c>
      <c r="D268" s="3" t="s">
        <v>256</v>
      </c>
      <c r="E268" s="3" t="s">
        <v>257</v>
      </c>
      <c r="J268" s="6" t="s">
        <v>849</v>
      </c>
      <c r="T268" s="6" t="s">
        <v>861</v>
      </c>
      <c r="U268" s="6" t="str">
        <f t="shared" ca="1" si="10"/>
        <v/>
      </c>
      <c r="V268" s="6" t="str">
        <f t="shared" ca="1" si="11"/>
        <v/>
      </c>
      <c r="AC268" s="6" t="s">
        <v>870</v>
      </c>
      <c r="AD268" s="6" t="s">
        <v>19</v>
      </c>
      <c r="AE268" s="6" t="s">
        <v>817</v>
      </c>
      <c r="AG268" t="s">
        <v>19</v>
      </c>
      <c r="AJ268" cm="1">
        <f t="array" ref="AJ268">_xlfn.IFS(AG268="Yes",1,AG268="No",0,AG268="","")</f>
        <v>1</v>
      </c>
    </row>
    <row r="269" spans="1:36" ht="29">
      <c r="A269" t="s">
        <v>258</v>
      </c>
      <c r="D269" s="3" t="s">
        <v>722</v>
      </c>
      <c r="E269" s="3" t="s">
        <v>721</v>
      </c>
      <c r="J269" s="6" t="s">
        <v>849</v>
      </c>
      <c r="T269" s="6">
        <f>25-105</f>
        <v>-80</v>
      </c>
      <c r="U269" s="6">
        <f t="shared" ca="1" si="10"/>
        <v>105</v>
      </c>
      <c r="V269" s="6">
        <f t="shared" ca="1" si="11"/>
        <v>25</v>
      </c>
      <c r="AG269" t="s">
        <v>19</v>
      </c>
      <c r="AJ269" cm="1">
        <f t="array" ref="AJ269">_xlfn.IFS(AG269="Yes",1,AG269="No",0,AG269="","")</f>
        <v>1</v>
      </c>
    </row>
    <row r="270" spans="1:36" ht="29">
      <c r="A270" t="s">
        <v>258</v>
      </c>
      <c r="D270" s="3" t="s">
        <v>724</v>
      </c>
      <c r="E270" s="3" t="s">
        <v>725</v>
      </c>
      <c r="J270" s="6" t="s">
        <v>24</v>
      </c>
      <c r="L270" s="6">
        <v>1</v>
      </c>
      <c r="M270" s="6">
        <v>3</v>
      </c>
      <c r="N270" s="6" t="s">
        <v>808</v>
      </c>
      <c r="O270" s="6" t="s">
        <v>809</v>
      </c>
      <c r="S270" s="6">
        <v>2475</v>
      </c>
      <c r="U270" s="6" t="str">
        <f t="shared" ca="1" si="10"/>
        <v/>
      </c>
      <c r="V270" s="6" t="str">
        <f t="shared" ca="1" si="11"/>
        <v/>
      </c>
      <c r="AG270" t="s">
        <v>19</v>
      </c>
      <c r="AJ270" cm="1">
        <f t="array" ref="AJ270">_xlfn.IFS(AG270="Yes",1,AG270="No",0,AG270="","")</f>
        <v>1</v>
      </c>
    </row>
    <row r="271" spans="1:36" ht="29">
      <c r="A271" t="s">
        <v>258</v>
      </c>
      <c r="D271" s="3" t="s">
        <v>726</v>
      </c>
      <c r="E271" s="3" t="s">
        <v>723</v>
      </c>
      <c r="J271" s="6" t="s">
        <v>25</v>
      </c>
      <c r="L271" s="6">
        <v>1</v>
      </c>
      <c r="M271" s="6">
        <v>2</v>
      </c>
      <c r="N271" s="6" t="s">
        <v>829</v>
      </c>
      <c r="O271" s="6" t="s">
        <v>850</v>
      </c>
      <c r="S271" s="6">
        <v>295</v>
      </c>
      <c r="U271" s="6" t="str">
        <f t="shared" ca="1" si="10"/>
        <v/>
      </c>
      <c r="V271" s="6" t="str">
        <f t="shared" ca="1" si="11"/>
        <v/>
      </c>
      <c r="AG271" t="s">
        <v>19</v>
      </c>
      <c r="AJ271" cm="1">
        <f t="array" ref="AJ271">_xlfn.IFS(AG271="Yes",1,AG271="No",0,AG271="","")</f>
        <v>1</v>
      </c>
    </row>
    <row r="272" spans="1:36">
      <c r="A272" t="s">
        <v>258</v>
      </c>
      <c r="D272" s="3" t="s">
        <v>728</v>
      </c>
      <c r="E272" s="3" t="s">
        <v>727</v>
      </c>
      <c r="J272" s="6" t="s">
        <v>25</v>
      </c>
      <c r="L272" s="6">
        <v>1</v>
      </c>
      <c r="M272" s="6">
        <v>3</v>
      </c>
      <c r="N272" s="6" t="s">
        <v>825</v>
      </c>
      <c r="O272" s="6" t="s">
        <v>809</v>
      </c>
      <c r="S272" s="6">
        <v>743</v>
      </c>
      <c r="U272" s="6" t="str">
        <f t="shared" ca="1" si="10"/>
        <v/>
      </c>
      <c r="V272" s="6" t="str">
        <f t="shared" ca="1" si="11"/>
        <v/>
      </c>
      <c r="AG272" t="s">
        <v>19</v>
      </c>
      <c r="AJ272" cm="1">
        <f t="array" ref="AJ272">_xlfn.IFS(AG272="Yes",1,AG272="No",0,AG272="","")</f>
        <v>1</v>
      </c>
    </row>
    <row r="273" spans="1:36">
      <c r="A273" t="s">
        <v>258</v>
      </c>
      <c r="D273" s="3" t="s">
        <v>259</v>
      </c>
      <c r="E273" s="3" t="s">
        <v>260</v>
      </c>
      <c r="H273" t="s">
        <v>19</v>
      </c>
      <c r="J273" s="6" t="s">
        <v>849</v>
      </c>
      <c r="T273" s="6" t="s">
        <v>861</v>
      </c>
      <c r="U273" s="6" t="str">
        <f t="shared" ca="1" si="10"/>
        <v/>
      </c>
      <c r="V273" s="6" t="str">
        <f t="shared" ca="1" si="11"/>
        <v/>
      </c>
      <c r="AE273" s="6" t="s">
        <v>807</v>
      </c>
      <c r="AG273" t="s">
        <v>20</v>
      </c>
      <c r="AJ273" cm="1">
        <f t="array" ref="AJ273">_xlfn.IFS(AG273="Yes",1,AG273="No",0,AG273="","")</f>
        <v>0</v>
      </c>
    </row>
    <row r="274" spans="1:36">
      <c r="A274" t="s">
        <v>261</v>
      </c>
      <c r="D274" s="3" t="s">
        <v>729</v>
      </c>
      <c r="E274" s="3" t="s">
        <v>730</v>
      </c>
      <c r="J274" s="6" t="s">
        <v>25</v>
      </c>
      <c r="L274" s="6">
        <v>1</v>
      </c>
      <c r="M274" s="6">
        <v>3</v>
      </c>
      <c r="N274" s="6" t="s">
        <v>825</v>
      </c>
      <c r="O274" s="6" t="s">
        <v>809</v>
      </c>
      <c r="S274" s="6">
        <v>743</v>
      </c>
      <c r="U274" s="6" t="str">
        <f t="shared" ca="1" si="10"/>
        <v/>
      </c>
      <c r="V274" s="6" t="str">
        <f t="shared" ca="1" si="11"/>
        <v/>
      </c>
      <c r="AG274" t="s">
        <v>19</v>
      </c>
      <c r="AJ274" cm="1">
        <f t="array" ref="AJ274">_xlfn.IFS(AG274="Yes",1,AG274="No",0,AG274="","")</f>
        <v>1</v>
      </c>
    </row>
    <row r="275" spans="1:36">
      <c r="A275" t="s">
        <v>262</v>
      </c>
      <c r="D275" s="3" t="s">
        <v>732</v>
      </c>
      <c r="E275" s="3" t="s">
        <v>731</v>
      </c>
      <c r="J275" s="6" t="s">
        <v>25</v>
      </c>
      <c r="L275" s="6">
        <v>1</v>
      </c>
      <c r="M275" s="6">
        <v>4</v>
      </c>
      <c r="N275" s="6" t="s">
        <v>854</v>
      </c>
      <c r="O275" s="6" t="s">
        <v>809</v>
      </c>
      <c r="S275" s="6">
        <v>2</v>
      </c>
      <c r="U275" s="6" t="str">
        <f t="shared" ca="1" si="10"/>
        <v/>
      </c>
      <c r="V275" s="6" t="str">
        <f t="shared" ca="1" si="11"/>
        <v/>
      </c>
      <c r="AG275" t="s">
        <v>19</v>
      </c>
      <c r="AJ275" cm="1">
        <f t="array" ref="AJ275">_xlfn.IFS(AG275="Yes",1,AG275="No",0,AG275="","")</f>
        <v>1</v>
      </c>
    </row>
    <row r="276" spans="1:36">
      <c r="A276" t="s">
        <v>263</v>
      </c>
      <c r="D276" s="3" t="s">
        <v>733</v>
      </c>
      <c r="E276" s="3" t="s">
        <v>734</v>
      </c>
      <c r="J276" s="6" t="s">
        <v>25</v>
      </c>
      <c r="L276" s="6">
        <v>1</v>
      </c>
      <c r="M276" s="6">
        <v>2</v>
      </c>
      <c r="N276" s="6" t="s">
        <v>854</v>
      </c>
      <c r="O276" s="6" t="s">
        <v>850</v>
      </c>
      <c r="S276" s="6">
        <v>29</v>
      </c>
      <c r="U276" s="6" t="str">
        <f t="shared" ca="1" si="10"/>
        <v/>
      </c>
      <c r="V276" s="6" t="str">
        <f t="shared" ca="1" si="11"/>
        <v/>
      </c>
      <c r="AG276" t="s">
        <v>19</v>
      </c>
      <c r="AJ276" cm="1">
        <f t="array" ref="AJ276">_xlfn.IFS(AG276="Yes",1,AG276="No",0,AG276="","")</f>
        <v>1</v>
      </c>
    </row>
    <row r="277" spans="1:36">
      <c r="A277" t="s">
        <v>264</v>
      </c>
      <c r="D277" s="3" t="s">
        <v>265</v>
      </c>
      <c r="E277" s="3" t="s">
        <v>266</v>
      </c>
      <c r="J277" s="6" t="s">
        <v>851</v>
      </c>
      <c r="U277" s="6" t="str">
        <f t="shared" ca="1" si="10"/>
        <v/>
      </c>
      <c r="V277" s="6" t="str">
        <f t="shared" ca="1" si="11"/>
        <v/>
      </c>
      <c r="AG277" t="s">
        <v>19</v>
      </c>
      <c r="AJ277" cm="1">
        <f t="array" ref="AJ277">_xlfn.IFS(AG277="Yes",1,AG277="No",0,AG277="","")</f>
        <v>1</v>
      </c>
    </row>
    <row r="278" spans="1:36">
      <c r="A278" t="s">
        <v>264</v>
      </c>
      <c r="D278" s="3" t="s">
        <v>736</v>
      </c>
      <c r="E278" s="3" t="s">
        <v>735</v>
      </c>
      <c r="J278" s="6" t="s">
        <v>25</v>
      </c>
      <c r="L278" s="6">
        <v>1</v>
      </c>
      <c r="M278" s="6">
        <v>3</v>
      </c>
      <c r="N278" s="6" t="s">
        <v>825</v>
      </c>
      <c r="O278" s="6" t="s">
        <v>809</v>
      </c>
      <c r="S278" s="6">
        <v>743</v>
      </c>
      <c r="U278" s="6" t="str">
        <f t="shared" ca="1" si="10"/>
        <v/>
      </c>
      <c r="V278" s="6" t="str">
        <f t="shared" ca="1" si="11"/>
        <v/>
      </c>
      <c r="AG278" t="s">
        <v>19</v>
      </c>
      <c r="AJ278" cm="1">
        <f t="array" ref="AJ278">_xlfn.IFS(AG278="Yes",1,AG278="No",0,AG278="","")</f>
        <v>1</v>
      </c>
    </row>
    <row r="279" spans="1:36">
      <c r="A279" t="s">
        <v>267</v>
      </c>
      <c r="D279" s="3" t="s">
        <v>268</v>
      </c>
      <c r="E279" s="3" t="s">
        <v>269</v>
      </c>
      <c r="H279" t="s">
        <v>19</v>
      </c>
      <c r="J279" s="6" t="s">
        <v>849</v>
      </c>
      <c r="T279" s="6" t="s">
        <v>861</v>
      </c>
      <c r="U279" s="6" t="str">
        <f t="shared" ca="1" si="10"/>
        <v/>
      </c>
      <c r="V279" s="6" t="str">
        <f t="shared" ca="1" si="11"/>
        <v/>
      </c>
      <c r="AC279" s="6" t="s">
        <v>926</v>
      </c>
      <c r="AD279" s="6" t="s">
        <v>19</v>
      </c>
      <c r="AG279" t="s">
        <v>20</v>
      </c>
      <c r="AJ279" cm="1">
        <f t="array" ref="AJ279">_xlfn.IFS(AG279="Yes",1,AG279="No",0,AG279="","")</f>
        <v>0</v>
      </c>
    </row>
    <row r="280" spans="1:36">
      <c r="A280" t="s">
        <v>270</v>
      </c>
      <c r="D280" s="3" t="s">
        <v>738</v>
      </c>
      <c r="E280" s="3" t="s">
        <v>737</v>
      </c>
      <c r="J280" s="6" t="s">
        <v>24</v>
      </c>
      <c r="L280" s="6">
        <v>1</v>
      </c>
      <c r="M280" s="6">
        <v>1</v>
      </c>
      <c r="N280" s="6" t="s">
        <v>808</v>
      </c>
      <c r="O280" s="6" t="s">
        <v>850</v>
      </c>
      <c r="S280" s="6">
        <v>2475</v>
      </c>
      <c r="U280" s="6" t="str">
        <f t="shared" ca="1" si="10"/>
        <v/>
      </c>
      <c r="V280" s="6" t="str">
        <f t="shared" ca="1" si="11"/>
        <v/>
      </c>
      <c r="AG280" t="s">
        <v>19</v>
      </c>
      <c r="AJ280" cm="1">
        <f t="array" ref="AJ280">_xlfn.IFS(AG280="Yes",1,AG280="No",0,AG280="","")</f>
        <v>1</v>
      </c>
    </row>
    <row r="281" spans="1:36">
      <c r="A281" t="s">
        <v>271</v>
      </c>
      <c r="D281" s="3" t="s">
        <v>739</v>
      </c>
      <c r="E281" s="3" t="s">
        <v>740</v>
      </c>
      <c r="J281" s="6" t="s">
        <v>25</v>
      </c>
      <c r="L281" s="6">
        <v>1</v>
      </c>
      <c r="M281" s="6">
        <v>3</v>
      </c>
      <c r="N281" s="6" t="s">
        <v>818</v>
      </c>
      <c r="O281" s="6" t="s">
        <v>809</v>
      </c>
      <c r="S281" s="6">
        <v>86</v>
      </c>
      <c r="U281" s="6" t="str">
        <f t="shared" ca="1" si="10"/>
        <v/>
      </c>
      <c r="V281" s="6" t="str">
        <f t="shared" ca="1" si="11"/>
        <v/>
      </c>
      <c r="AG281" t="s">
        <v>19</v>
      </c>
      <c r="AJ281" cm="1">
        <f t="array" ref="AJ281">_xlfn.IFS(AG281="Yes",1,AG281="No",0,AG281="","")</f>
        <v>1</v>
      </c>
    </row>
    <row r="282" spans="1:36">
      <c r="A282" t="s">
        <v>272</v>
      </c>
      <c r="D282" s="3" t="s">
        <v>273</v>
      </c>
      <c r="E282" s="3" t="s">
        <v>215</v>
      </c>
      <c r="J282" s="6" t="s">
        <v>851</v>
      </c>
      <c r="U282" s="6" t="str">
        <f t="shared" ca="1" si="10"/>
        <v/>
      </c>
      <c r="V282" s="6" t="str">
        <f t="shared" ca="1" si="11"/>
        <v/>
      </c>
      <c r="AG282" t="s">
        <v>19</v>
      </c>
      <c r="AJ282" cm="1">
        <f t="array" ref="AJ282">_xlfn.IFS(AG282="Yes",1,AG282="No",0,AG282="","")</f>
        <v>1</v>
      </c>
    </row>
    <row r="283" spans="1:36">
      <c r="A283" t="s">
        <v>274</v>
      </c>
      <c r="D283" s="3" t="s">
        <v>741</v>
      </c>
      <c r="E283" s="3" t="s">
        <v>742</v>
      </c>
      <c r="J283" s="6" t="s">
        <v>25</v>
      </c>
      <c r="L283" s="6">
        <v>1</v>
      </c>
      <c r="M283" s="6">
        <v>1</v>
      </c>
      <c r="N283" s="6" t="s">
        <v>808</v>
      </c>
      <c r="O283" s="6" t="s">
        <v>850</v>
      </c>
      <c r="S283" s="6">
        <v>2475</v>
      </c>
      <c r="U283" s="6" t="str">
        <f t="shared" ca="1" si="10"/>
        <v/>
      </c>
      <c r="V283" s="6" t="str">
        <f t="shared" ca="1" si="11"/>
        <v/>
      </c>
      <c r="AG283" t="s">
        <v>19</v>
      </c>
      <c r="AJ283" cm="1">
        <f t="array" ref="AJ283">_xlfn.IFS(AG283="Yes",1,AG283="No",0,AG283="","")</f>
        <v>1</v>
      </c>
    </row>
    <row r="284" spans="1:36" ht="29">
      <c r="A284" t="s">
        <v>274</v>
      </c>
      <c r="D284" s="3" t="s">
        <v>743</v>
      </c>
      <c r="E284" s="3" t="s">
        <v>744</v>
      </c>
      <c r="J284" s="6" t="s">
        <v>849</v>
      </c>
      <c r="R284" s="6" t="s">
        <v>804</v>
      </c>
      <c r="T284" s="6" t="s">
        <v>861</v>
      </c>
      <c r="U284" s="6" t="str">
        <f t="shared" ca="1" si="10"/>
        <v/>
      </c>
      <c r="V284" s="6" t="str">
        <f t="shared" ca="1" si="11"/>
        <v/>
      </c>
      <c r="AE284" s="6" t="s">
        <v>807</v>
      </c>
      <c r="AG284" t="s">
        <v>20</v>
      </c>
      <c r="AJ284" cm="1">
        <f t="array" ref="AJ284">_xlfn.IFS(AG284="Yes",1,AG284="No",0,AG284="","")</f>
        <v>0</v>
      </c>
    </row>
    <row r="285" spans="1:36" ht="29">
      <c r="A285" t="s">
        <v>274</v>
      </c>
      <c r="D285" s="3" t="s">
        <v>746</v>
      </c>
      <c r="E285" s="3" t="s">
        <v>745</v>
      </c>
      <c r="J285" s="6" t="s">
        <v>849</v>
      </c>
      <c r="T285" s="6">
        <f>4-8</f>
        <v>-4</v>
      </c>
      <c r="U285" s="6">
        <f t="shared" ca="1" si="10"/>
        <v>8</v>
      </c>
      <c r="V285" s="6">
        <f t="shared" ca="1" si="11"/>
        <v>4</v>
      </c>
      <c r="AG285" t="s">
        <v>19</v>
      </c>
      <c r="AJ285" cm="1">
        <f t="array" ref="AJ285">_xlfn.IFS(AG285="Yes",1,AG285="No",0,AG285="","")</f>
        <v>1</v>
      </c>
    </row>
    <row r="286" spans="1:36">
      <c r="A286" t="s">
        <v>275</v>
      </c>
      <c r="D286" s="3" t="s">
        <v>747</v>
      </c>
      <c r="E286" s="3" t="s">
        <v>748</v>
      </c>
      <c r="J286" s="6" t="s">
        <v>851</v>
      </c>
      <c r="U286" s="6" t="str">
        <f t="shared" ca="1" si="10"/>
        <v/>
      </c>
      <c r="V286" s="6" t="str">
        <f t="shared" ca="1" si="11"/>
        <v/>
      </c>
      <c r="AB286" s="6" t="s">
        <v>928</v>
      </c>
      <c r="AD286" s="6" t="s">
        <v>19</v>
      </c>
      <c r="AG286" t="s">
        <v>20</v>
      </c>
      <c r="AJ286" cm="1">
        <f t="array" ref="AJ286">_xlfn.IFS(AG286="Yes",1,AG286="No",0,AG286="","")</f>
        <v>0</v>
      </c>
    </row>
    <row r="287" spans="1:36" ht="43.5">
      <c r="A287" t="s">
        <v>275</v>
      </c>
      <c r="D287" s="3" t="s">
        <v>910</v>
      </c>
      <c r="E287" s="3" t="s">
        <v>911</v>
      </c>
      <c r="I287" s="4"/>
      <c r="J287" s="6" t="s">
        <v>26</v>
      </c>
      <c r="U287" s="6" t="str">
        <f t="shared" ca="1" si="10"/>
        <v/>
      </c>
      <c r="V287" s="6" t="str">
        <f t="shared" ca="1" si="11"/>
        <v/>
      </c>
      <c r="AG287" t="s">
        <v>19</v>
      </c>
      <c r="AJ287" cm="1">
        <f t="array" ref="AJ287">_xlfn.IFS(AG287="Yes",1,AG287="No",0,AG287="","")</f>
        <v>1</v>
      </c>
    </row>
    <row r="288" spans="1:36">
      <c r="A288" t="s">
        <v>276</v>
      </c>
      <c r="D288" s="3" t="s">
        <v>277</v>
      </c>
      <c r="E288" s="3" t="s">
        <v>277</v>
      </c>
      <c r="F288" t="s">
        <v>35</v>
      </c>
      <c r="I288" t="s">
        <v>749</v>
      </c>
      <c r="U288" s="6" t="str">
        <f t="shared" ca="1" si="10"/>
        <v/>
      </c>
      <c r="V288" s="6" t="str">
        <f t="shared" ca="1" si="11"/>
        <v/>
      </c>
      <c r="AJ288" t="str" cm="1">
        <f t="array" ref="AJ288">_xlfn.IFS(AG288="Yes",1,AG288="No",0,AG288="","")</f>
        <v/>
      </c>
    </row>
    <row r="289" spans="1:36">
      <c r="A289" t="s">
        <v>276</v>
      </c>
      <c r="D289" s="3" t="s">
        <v>278</v>
      </c>
      <c r="E289" s="3" t="s">
        <v>279</v>
      </c>
      <c r="J289" s="6" t="s">
        <v>851</v>
      </c>
      <c r="U289" s="6" t="str">
        <f t="shared" ca="1" si="10"/>
        <v/>
      </c>
      <c r="V289" s="6" t="str">
        <f t="shared" ca="1" si="11"/>
        <v/>
      </c>
      <c r="AE289" s="6" t="s">
        <v>817</v>
      </c>
      <c r="AG289" t="s">
        <v>19</v>
      </c>
      <c r="AJ289" cm="1">
        <f t="array" ref="AJ289">_xlfn.IFS(AG289="Yes",1,AG289="No",0,AG289="","")</f>
        <v>1</v>
      </c>
    </row>
    <row r="290" spans="1:36" ht="29">
      <c r="A290" t="s">
        <v>280</v>
      </c>
      <c r="D290" s="3" t="s">
        <v>750</v>
      </c>
      <c r="E290" s="3" t="s">
        <v>751</v>
      </c>
      <c r="J290" s="6" t="s">
        <v>849</v>
      </c>
      <c r="T290" s="6">
        <f>86-171</f>
        <v>-85</v>
      </c>
      <c r="U290" s="6">
        <f t="shared" ca="1" si="10"/>
        <v>171</v>
      </c>
      <c r="V290" s="6">
        <f t="shared" ca="1" si="11"/>
        <v>86</v>
      </c>
      <c r="AG290" t="s">
        <v>19</v>
      </c>
      <c r="AJ290" cm="1">
        <f t="array" ref="AJ290">_xlfn.IFS(AG290="Yes",1,AG290="No",0,AG290="","")</f>
        <v>1</v>
      </c>
    </row>
    <row r="291" spans="1:36" ht="29">
      <c r="A291" t="s">
        <v>280</v>
      </c>
      <c r="D291" s="3" t="s">
        <v>753</v>
      </c>
      <c r="E291" s="3" t="s">
        <v>752</v>
      </c>
      <c r="H291" t="s">
        <v>19</v>
      </c>
      <c r="J291" s="6" t="s">
        <v>849</v>
      </c>
      <c r="T291" s="6" t="s">
        <v>861</v>
      </c>
      <c r="U291" s="6" t="str">
        <f t="shared" ca="1" si="10"/>
        <v/>
      </c>
      <c r="V291" s="6" t="str">
        <f t="shared" ca="1" si="11"/>
        <v/>
      </c>
      <c r="AB291" s="6" t="s">
        <v>871</v>
      </c>
      <c r="AD291" s="6" t="s">
        <v>19</v>
      </c>
      <c r="AG291" t="s">
        <v>20</v>
      </c>
      <c r="AJ291" cm="1">
        <f t="array" ref="AJ291">_xlfn.IFS(AG291="Yes",1,AG291="No",0,AG291="","")</f>
        <v>0</v>
      </c>
    </row>
    <row r="292" spans="1:36" ht="29">
      <c r="A292" t="s">
        <v>280</v>
      </c>
      <c r="D292" s="3" t="s">
        <v>754</v>
      </c>
      <c r="E292" s="3" t="s">
        <v>755</v>
      </c>
      <c r="J292" s="6" t="s">
        <v>849</v>
      </c>
      <c r="T292" s="6">
        <f>2475-25</f>
        <v>2450</v>
      </c>
      <c r="U292" s="6">
        <f t="shared" ca="1" si="10"/>
        <v>25</v>
      </c>
      <c r="V292" s="6">
        <f t="shared" ca="1" si="11"/>
        <v>2475</v>
      </c>
      <c r="AG292" t="s">
        <v>19</v>
      </c>
      <c r="AJ292" cm="1">
        <f t="array" ref="AJ292">_xlfn.IFS(AG292="Yes",1,AG292="No",0,AG292="","")</f>
        <v>1</v>
      </c>
    </row>
    <row r="293" spans="1:36">
      <c r="A293" t="s">
        <v>280</v>
      </c>
      <c r="D293" s="3" t="s">
        <v>757</v>
      </c>
      <c r="E293" s="3" t="s">
        <v>756</v>
      </c>
      <c r="I293" t="s">
        <v>912</v>
      </c>
      <c r="J293" s="6" t="s">
        <v>25</v>
      </c>
      <c r="L293" s="6">
        <v>1</v>
      </c>
      <c r="M293" s="6">
        <v>5</v>
      </c>
      <c r="N293" s="6" t="s">
        <v>825</v>
      </c>
      <c r="O293" s="6" t="s">
        <v>809</v>
      </c>
      <c r="S293" s="6">
        <v>830</v>
      </c>
      <c r="U293" s="6" t="str">
        <f t="shared" ca="1" si="10"/>
        <v/>
      </c>
      <c r="V293" s="6" t="str">
        <f t="shared" ca="1" si="11"/>
        <v/>
      </c>
      <c r="W293" s="6" t="s">
        <v>848</v>
      </c>
      <c r="AG293" t="s">
        <v>19</v>
      </c>
      <c r="AJ293" cm="1">
        <f t="array" ref="AJ293">_xlfn.IFS(AG293="Yes",1,AG293="No",0,AG293="","")</f>
        <v>1</v>
      </c>
    </row>
    <row r="294" spans="1:36">
      <c r="A294" t="s">
        <v>281</v>
      </c>
      <c r="D294" s="3" t="s">
        <v>759</v>
      </c>
      <c r="E294" s="3" t="s">
        <v>758</v>
      </c>
      <c r="J294" s="6" t="s">
        <v>25</v>
      </c>
      <c r="L294" s="6">
        <v>1</v>
      </c>
      <c r="M294" s="6">
        <v>2</v>
      </c>
      <c r="N294" s="6" t="s">
        <v>825</v>
      </c>
      <c r="O294" s="6" t="s">
        <v>850</v>
      </c>
      <c r="S294" s="6">
        <v>312</v>
      </c>
      <c r="U294" s="6" t="str">
        <f t="shared" ca="1" si="10"/>
        <v/>
      </c>
      <c r="V294" s="6" t="str">
        <f t="shared" ca="1" si="11"/>
        <v/>
      </c>
      <c r="AG294" t="s">
        <v>19</v>
      </c>
      <c r="AJ294" cm="1">
        <f t="array" ref="AJ294">_xlfn.IFS(AG294="Yes",1,AG294="No",0,AG294="","")</f>
        <v>1</v>
      </c>
    </row>
    <row r="295" spans="1:36">
      <c r="A295" t="s">
        <v>282</v>
      </c>
      <c r="D295" s="3" t="s">
        <v>761</v>
      </c>
      <c r="E295" s="3" t="s">
        <v>760</v>
      </c>
      <c r="J295" s="6" t="s">
        <v>849</v>
      </c>
      <c r="T295" s="6">
        <f xml:space="preserve"> 2-5</f>
        <v>-3</v>
      </c>
      <c r="U295" s="6">
        <f t="shared" ca="1" si="10"/>
        <v>5</v>
      </c>
      <c r="V295" s="6">
        <f t="shared" ca="1" si="11"/>
        <v>2</v>
      </c>
      <c r="AG295" t="s">
        <v>19</v>
      </c>
      <c r="AJ295" cm="1">
        <f t="array" ref="AJ295">_xlfn.IFS(AG295="Yes",1,AG295="No",0,AG295="","")</f>
        <v>1</v>
      </c>
    </row>
    <row r="296" spans="1:36">
      <c r="A296" t="s">
        <v>282</v>
      </c>
      <c r="D296" s="3" t="s">
        <v>40</v>
      </c>
      <c r="E296" s="3" t="s">
        <v>39</v>
      </c>
      <c r="J296" s="6" t="s">
        <v>851</v>
      </c>
      <c r="U296" s="6" t="str">
        <f t="shared" ca="1" si="10"/>
        <v/>
      </c>
      <c r="V296" s="6" t="str">
        <f t="shared" ca="1" si="11"/>
        <v/>
      </c>
      <c r="AG296" t="s">
        <v>19</v>
      </c>
      <c r="AJ296" cm="1">
        <f t="array" ref="AJ296">_xlfn.IFS(AG296="Yes",1,AG296="No",0,AG296="","")</f>
        <v>1</v>
      </c>
    </row>
    <row r="297" spans="1:36" ht="29">
      <c r="A297" t="s">
        <v>283</v>
      </c>
      <c r="D297" s="3" t="s">
        <v>762</v>
      </c>
      <c r="E297" s="3" t="s">
        <v>763</v>
      </c>
      <c r="J297" s="6" t="s">
        <v>24</v>
      </c>
      <c r="L297" s="6">
        <v>1</v>
      </c>
      <c r="M297" s="6">
        <v>1</v>
      </c>
      <c r="N297" s="6" t="s">
        <v>808</v>
      </c>
      <c r="O297" s="6" t="s">
        <v>850</v>
      </c>
      <c r="S297" s="6">
        <v>2475</v>
      </c>
      <c r="U297" s="6" t="str">
        <f t="shared" ca="1" si="10"/>
        <v/>
      </c>
      <c r="V297" s="6" t="str">
        <f t="shared" ca="1" si="11"/>
        <v/>
      </c>
      <c r="AG297" t="s">
        <v>19</v>
      </c>
      <c r="AJ297" cm="1">
        <f t="array" ref="AJ297">_xlfn.IFS(AG297="Yes",1,AG297="No",0,AG297="","")</f>
        <v>1</v>
      </c>
    </row>
    <row r="298" spans="1:36" ht="29">
      <c r="A298" t="s">
        <v>283</v>
      </c>
      <c r="D298" s="3" t="s">
        <v>765</v>
      </c>
      <c r="E298" s="3" t="s">
        <v>764</v>
      </c>
      <c r="J298" s="6" t="s">
        <v>849</v>
      </c>
      <c r="T298" s="6">
        <f>132-250</f>
        <v>-118</v>
      </c>
      <c r="U298" s="6">
        <f t="shared" ca="1" si="10"/>
        <v>250</v>
      </c>
      <c r="V298" s="6">
        <f t="shared" ca="1" si="11"/>
        <v>132</v>
      </c>
      <c r="AG298" t="s">
        <v>19</v>
      </c>
      <c r="AJ298" cm="1">
        <f t="array" ref="AJ298">_xlfn.IFS(AG298="Yes",1,AG298="No",0,AG298="","")</f>
        <v>1</v>
      </c>
    </row>
    <row r="299" spans="1:36" ht="29">
      <c r="A299" t="s">
        <v>284</v>
      </c>
      <c r="D299" s="3" t="s">
        <v>766</v>
      </c>
      <c r="E299" s="3" t="s">
        <v>767</v>
      </c>
      <c r="J299" s="6" t="s">
        <v>24</v>
      </c>
      <c r="L299" s="6">
        <v>1</v>
      </c>
      <c r="M299" s="6">
        <v>2</v>
      </c>
      <c r="N299" s="6" t="s">
        <v>818</v>
      </c>
      <c r="O299" s="6" t="s">
        <v>850</v>
      </c>
      <c r="S299" s="6">
        <v>171</v>
      </c>
      <c r="U299" s="6" t="str">
        <f t="shared" ca="1" si="10"/>
        <v/>
      </c>
      <c r="V299" s="6" t="str">
        <f t="shared" ca="1" si="11"/>
        <v/>
      </c>
      <c r="AG299" t="s">
        <v>19</v>
      </c>
      <c r="AJ299" cm="1">
        <f t="array" ref="AJ299">_xlfn.IFS(AG299="Yes",1,AG299="No",0,AG299="","")</f>
        <v>1</v>
      </c>
    </row>
    <row r="300" spans="1:36">
      <c r="A300" t="s">
        <v>284</v>
      </c>
      <c r="D300" s="3" t="s">
        <v>285</v>
      </c>
      <c r="E300" s="3" t="s">
        <v>286</v>
      </c>
      <c r="J300" s="6" t="s">
        <v>849</v>
      </c>
      <c r="T300" s="6">
        <f>0-1</f>
        <v>-1</v>
      </c>
      <c r="U300" s="6">
        <f t="shared" ca="1" si="10"/>
        <v>1</v>
      </c>
      <c r="V300" s="6">
        <f t="shared" ca="1" si="11"/>
        <v>0</v>
      </c>
      <c r="AC300" s="6" t="s">
        <v>870</v>
      </c>
      <c r="AD300" s="6" t="s">
        <v>19</v>
      </c>
      <c r="AG300" t="s">
        <v>19</v>
      </c>
      <c r="AJ300" cm="1">
        <f t="array" ref="AJ300">_xlfn.IFS(AG300="Yes",1,AG300="No",0,AG300="","")</f>
        <v>1</v>
      </c>
    </row>
    <row r="301" spans="1:36">
      <c r="A301" t="s">
        <v>287</v>
      </c>
      <c r="D301" s="3" t="s">
        <v>288</v>
      </c>
      <c r="E301" s="3" t="s">
        <v>289</v>
      </c>
      <c r="J301" s="6" t="s">
        <v>849</v>
      </c>
      <c r="T301" s="6">
        <f>6-1</f>
        <v>5</v>
      </c>
      <c r="U301" s="6">
        <f t="shared" ca="1" si="10"/>
        <v>1</v>
      </c>
      <c r="V301" s="6">
        <f t="shared" ca="1" si="11"/>
        <v>6</v>
      </c>
      <c r="AC301" s="6" t="s">
        <v>870</v>
      </c>
      <c r="AD301" s="6" t="s">
        <v>19</v>
      </c>
      <c r="AG301" t="s">
        <v>19</v>
      </c>
      <c r="AJ301" cm="1">
        <f t="array" ref="AJ301">_xlfn.IFS(AG301="Yes",1,AG301="No",0,AG301="","")</f>
        <v>1</v>
      </c>
    </row>
    <row r="302" spans="1:36">
      <c r="A302" t="s">
        <v>287</v>
      </c>
      <c r="D302" s="3" t="s">
        <v>769</v>
      </c>
      <c r="E302" s="3" t="s">
        <v>768</v>
      </c>
      <c r="J302" s="6" t="s">
        <v>24</v>
      </c>
      <c r="L302" s="6">
        <v>1</v>
      </c>
      <c r="M302" s="6">
        <v>3</v>
      </c>
      <c r="N302" s="6" t="s">
        <v>818</v>
      </c>
      <c r="O302" s="6" t="s">
        <v>809</v>
      </c>
      <c r="S302" s="6">
        <v>1701</v>
      </c>
      <c r="U302" s="6" t="str">
        <f t="shared" ca="1" si="10"/>
        <v/>
      </c>
      <c r="V302" s="6" t="str">
        <f t="shared" ca="1" si="11"/>
        <v/>
      </c>
      <c r="AG302" t="s">
        <v>20</v>
      </c>
      <c r="AJ302" cm="1">
        <f t="array" ref="AJ302">_xlfn.IFS(AG302="Yes",1,AG302="No",0,AG302="","")</f>
        <v>0</v>
      </c>
    </row>
    <row r="303" spans="1:36" ht="29">
      <c r="A303" t="s">
        <v>290</v>
      </c>
      <c r="D303" s="3" t="s">
        <v>771</v>
      </c>
      <c r="E303" s="3" t="s">
        <v>770</v>
      </c>
      <c r="I303" t="s">
        <v>877</v>
      </c>
      <c r="J303" s="6" t="s">
        <v>26</v>
      </c>
      <c r="U303" s="6" t="str">
        <f t="shared" ca="1" si="10"/>
        <v/>
      </c>
      <c r="V303" s="6" t="str">
        <f t="shared" ca="1" si="11"/>
        <v/>
      </c>
      <c r="AG303" t="s">
        <v>19</v>
      </c>
      <c r="AJ303" cm="1">
        <f t="array" ref="AJ303">_xlfn.IFS(AG303="Yes",1,AG303="No",0,AG303="","")</f>
        <v>1</v>
      </c>
    </row>
    <row r="304" spans="1:36" ht="29">
      <c r="A304" t="s">
        <v>291</v>
      </c>
      <c r="D304" s="3" t="s">
        <v>772</v>
      </c>
      <c r="E304" s="3" t="s">
        <v>773</v>
      </c>
      <c r="F304" t="s">
        <v>28</v>
      </c>
      <c r="H304" t="s">
        <v>19</v>
      </c>
      <c r="I304" t="s">
        <v>913</v>
      </c>
      <c r="J304" s="6" t="s">
        <v>849</v>
      </c>
      <c r="T304" s="6">
        <f>2475-830</f>
        <v>1645</v>
      </c>
      <c r="U304" s="6">
        <f t="shared" ca="1" si="10"/>
        <v>830</v>
      </c>
      <c r="V304" s="6">
        <f t="shared" ca="1" si="11"/>
        <v>2475</v>
      </c>
      <c r="AG304" t="s">
        <v>20</v>
      </c>
      <c r="AJ304" cm="1">
        <f t="array" ref="AJ304">_xlfn.IFS(AG304="Yes",1,AG304="No",0,AG304="","")</f>
        <v>0</v>
      </c>
    </row>
    <row r="305" spans="1:36">
      <c r="A305" t="s">
        <v>291</v>
      </c>
      <c r="D305" s="3" t="s">
        <v>774</v>
      </c>
      <c r="E305" s="3" t="s">
        <v>775</v>
      </c>
      <c r="J305" s="6" t="s">
        <v>25</v>
      </c>
      <c r="L305" s="6">
        <v>1</v>
      </c>
      <c r="M305" s="6">
        <v>3</v>
      </c>
      <c r="N305" s="6" t="s">
        <v>808</v>
      </c>
      <c r="O305" s="6" t="s">
        <v>809</v>
      </c>
      <c r="S305" s="6">
        <v>2475</v>
      </c>
      <c r="U305" s="6" t="str">
        <f t="shared" ca="1" si="10"/>
        <v/>
      </c>
      <c r="V305" s="6" t="str">
        <f t="shared" ca="1" si="11"/>
        <v/>
      </c>
      <c r="AG305" t="s">
        <v>19</v>
      </c>
      <c r="AJ305" cm="1">
        <f t="array" ref="AJ305">_xlfn.IFS(AG305="Yes",1,AG305="No",0,AG305="","")</f>
        <v>1</v>
      </c>
    </row>
    <row r="306" spans="1:36">
      <c r="A306" t="s">
        <v>291</v>
      </c>
      <c r="D306" s="3" t="s">
        <v>292</v>
      </c>
      <c r="E306" s="3" t="s">
        <v>293</v>
      </c>
      <c r="J306" s="6" t="s">
        <v>849</v>
      </c>
      <c r="T306" s="6" t="s">
        <v>914</v>
      </c>
      <c r="U306" s="6" t="str">
        <f t="shared" ca="1" si="10"/>
        <v/>
      </c>
      <c r="V306" s="6" t="str">
        <f t="shared" ca="1" si="11"/>
        <v/>
      </c>
      <c r="AC306" s="6" t="s">
        <v>864</v>
      </c>
      <c r="AD306" s="6" t="s">
        <v>19</v>
      </c>
      <c r="AE306" s="6" t="s">
        <v>817</v>
      </c>
      <c r="AG306" t="s">
        <v>19</v>
      </c>
      <c r="AJ306" cm="1">
        <f t="array" ref="AJ306">_xlfn.IFS(AG306="Yes",1,AG306="No",0,AG306="","")</f>
        <v>1</v>
      </c>
    </row>
    <row r="307" spans="1:36" ht="29">
      <c r="A307" t="s">
        <v>294</v>
      </c>
      <c r="D307" s="3" t="s">
        <v>777</v>
      </c>
      <c r="E307" s="3" t="s">
        <v>776</v>
      </c>
      <c r="I307" t="s">
        <v>877</v>
      </c>
      <c r="J307" s="6" t="s">
        <v>26</v>
      </c>
      <c r="U307" s="6" t="str">
        <f t="shared" ca="1" si="10"/>
        <v/>
      </c>
      <c r="V307" s="6" t="str">
        <f t="shared" ca="1" si="11"/>
        <v/>
      </c>
      <c r="AG307" t="s">
        <v>19</v>
      </c>
      <c r="AJ307" cm="1">
        <f t="array" ref="AJ307">_xlfn.IFS(AG307="Yes",1,AG307="No",0,AG307="","")</f>
        <v>1</v>
      </c>
    </row>
    <row r="308" spans="1:36">
      <c r="A308" t="s">
        <v>295</v>
      </c>
      <c r="D308" s="3" t="s">
        <v>296</v>
      </c>
      <c r="E308" s="3" t="s">
        <v>297</v>
      </c>
      <c r="J308" s="6" t="s">
        <v>849</v>
      </c>
      <c r="T308" s="6" t="s">
        <v>861</v>
      </c>
      <c r="U308" s="6" t="str">
        <f t="shared" ca="1" si="10"/>
        <v/>
      </c>
      <c r="V308" s="6" t="str">
        <f t="shared" ca="1" si="11"/>
        <v/>
      </c>
      <c r="AB308" s="6" t="s">
        <v>871</v>
      </c>
      <c r="AC308" s="6" t="s">
        <v>870</v>
      </c>
      <c r="AD308" s="6" t="s">
        <v>19</v>
      </c>
      <c r="AG308" t="s">
        <v>19</v>
      </c>
      <c r="AJ308" cm="1">
        <f t="array" ref="AJ308">_xlfn.IFS(AG308="Yes",1,AG308="No",0,AG308="","")</f>
        <v>1</v>
      </c>
    </row>
    <row r="309" spans="1:36">
      <c r="A309" t="s">
        <v>298</v>
      </c>
      <c r="D309" s="3" t="s">
        <v>299</v>
      </c>
      <c r="E309" s="3" t="s">
        <v>300</v>
      </c>
      <c r="J309" s="6" t="s">
        <v>849</v>
      </c>
      <c r="T309" s="6" t="s">
        <v>861</v>
      </c>
      <c r="U309" s="6" t="str">
        <f t="shared" ca="1" si="10"/>
        <v/>
      </c>
      <c r="V309" s="6" t="str">
        <f t="shared" ca="1" si="11"/>
        <v/>
      </c>
      <c r="AE309" s="6" t="s">
        <v>817</v>
      </c>
      <c r="AG309" t="s">
        <v>19</v>
      </c>
      <c r="AJ309" cm="1">
        <f t="array" ref="AJ309">_xlfn.IFS(AG309="Yes",1,AG309="No",0,AG309="","")</f>
        <v>1</v>
      </c>
    </row>
    <row r="310" spans="1:36">
      <c r="A310" t="s">
        <v>298</v>
      </c>
      <c r="D310" s="3" t="s">
        <v>301</v>
      </c>
      <c r="E310" s="3" t="s">
        <v>302</v>
      </c>
      <c r="J310" s="6" t="s">
        <v>849</v>
      </c>
      <c r="T310" s="6" t="s">
        <v>861</v>
      </c>
      <c r="U310" s="6" t="str">
        <f t="shared" ca="1" si="10"/>
        <v/>
      </c>
      <c r="V310" s="6" t="str">
        <f t="shared" ca="1" si="11"/>
        <v/>
      </c>
      <c r="AE310" s="6" t="s">
        <v>807</v>
      </c>
      <c r="AG310" t="s">
        <v>20</v>
      </c>
      <c r="AJ310" cm="1">
        <f t="array" ref="AJ310">_xlfn.IFS(AG310="Yes",1,AG310="No",0,AG310="","")</f>
        <v>0</v>
      </c>
    </row>
    <row r="311" spans="1:36" ht="58">
      <c r="A311" t="s">
        <v>298</v>
      </c>
      <c r="D311" s="3" t="s">
        <v>778</v>
      </c>
      <c r="E311" s="3" t="s">
        <v>779</v>
      </c>
      <c r="J311" s="6" t="s">
        <v>851</v>
      </c>
      <c r="U311" s="6" t="str">
        <f t="shared" ca="1" si="10"/>
        <v/>
      </c>
      <c r="V311" s="6" t="str">
        <f t="shared" ca="1" si="11"/>
        <v/>
      </c>
      <c r="AG311" t="s">
        <v>19</v>
      </c>
      <c r="AJ311" cm="1">
        <f t="array" ref="AJ311">_xlfn.IFS(AG311="Yes",1,AG311="No",0,AG311="","")</f>
        <v>1</v>
      </c>
    </row>
    <row r="312" spans="1:36" ht="58">
      <c r="A312" t="s">
        <v>298</v>
      </c>
      <c r="D312" s="3" t="s">
        <v>781</v>
      </c>
      <c r="E312" s="3" t="s">
        <v>780</v>
      </c>
      <c r="I312" t="s">
        <v>878</v>
      </c>
      <c r="J312" s="6" t="s">
        <v>26</v>
      </c>
      <c r="U312" s="6" t="str">
        <f t="shared" ca="1" si="10"/>
        <v/>
      </c>
      <c r="V312" s="6" t="str">
        <f t="shared" ca="1" si="11"/>
        <v/>
      </c>
      <c r="AG312" t="s">
        <v>19</v>
      </c>
      <c r="AJ312" cm="1">
        <f t="array" ref="AJ312">_xlfn.IFS(AG312="Yes",1,AG312="No",0,AG312="","")</f>
        <v>1</v>
      </c>
    </row>
    <row r="313" spans="1:36">
      <c r="A313" t="s">
        <v>303</v>
      </c>
      <c r="D313" s="3" t="s">
        <v>783</v>
      </c>
      <c r="E313" s="3" t="s">
        <v>782</v>
      </c>
      <c r="J313" s="6" t="s">
        <v>25</v>
      </c>
      <c r="L313" s="6">
        <v>1</v>
      </c>
      <c r="M313" s="6">
        <v>3</v>
      </c>
      <c r="N313" s="6" t="s">
        <v>825</v>
      </c>
      <c r="O313" s="6" t="s">
        <v>809</v>
      </c>
      <c r="S313" s="6">
        <v>743</v>
      </c>
      <c r="U313" s="6" t="str">
        <f t="shared" ca="1" si="10"/>
        <v/>
      </c>
      <c r="V313" s="6" t="str">
        <f t="shared" ca="1" si="11"/>
        <v/>
      </c>
      <c r="AG313" t="s">
        <v>19</v>
      </c>
      <c r="AJ313" cm="1">
        <f t="array" ref="AJ313">_xlfn.IFS(AG313="Yes",1,AG313="No",0,AG313="","")</f>
        <v>1</v>
      </c>
    </row>
    <row r="314" spans="1:36">
      <c r="A314" t="s">
        <v>304</v>
      </c>
      <c r="D314" s="3" t="s">
        <v>784</v>
      </c>
      <c r="E314" s="3" t="s">
        <v>785</v>
      </c>
      <c r="J314" s="6" t="s">
        <v>849</v>
      </c>
      <c r="T314" s="6">
        <f>75-2475</f>
        <v>-2400</v>
      </c>
      <c r="U314" s="6">
        <f t="shared" ca="1" si="10"/>
        <v>2475</v>
      </c>
      <c r="V314" s="6">
        <f t="shared" ca="1" si="11"/>
        <v>75</v>
      </c>
      <c r="AG314" t="s">
        <v>19</v>
      </c>
      <c r="AJ314" cm="1">
        <f t="array" ref="AJ314">_xlfn.IFS(AG314="Yes",1,AG314="No",0,AG314="","")</f>
        <v>1</v>
      </c>
    </row>
    <row r="315" spans="1:36" ht="29">
      <c r="A315" t="s">
        <v>305</v>
      </c>
      <c r="D315" s="3" t="s">
        <v>787</v>
      </c>
      <c r="E315" s="3" t="s">
        <v>786</v>
      </c>
      <c r="I315" t="s">
        <v>874</v>
      </c>
      <c r="J315" s="6" t="s">
        <v>26</v>
      </c>
      <c r="U315" s="6" t="str">
        <f t="shared" ca="1" si="10"/>
        <v/>
      </c>
      <c r="V315" s="6" t="str">
        <f t="shared" ca="1" si="11"/>
        <v/>
      </c>
      <c r="AG315" t="s">
        <v>19</v>
      </c>
      <c r="AJ315" cm="1">
        <f t="array" ref="AJ315">_xlfn.IFS(AG315="Yes",1,AG315="No",0,AG315="","")</f>
        <v>1</v>
      </c>
    </row>
    <row r="316" spans="1:36">
      <c r="A316" t="s">
        <v>306</v>
      </c>
      <c r="D316" s="3" t="s">
        <v>307</v>
      </c>
      <c r="E316" s="3" t="s">
        <v>308</v>
      </c>
      <c r="H316" t="s">
        <v>19</v>
      </c>
      <c r="J316" s="6" t="s">
        <v>849</v>
      </c>
      <c r="T316" s="6">
        <f>0-5</f>
        <v>-5</v>
      </c>
      <c r="U316" s="6">
        <f t="shared" ca="1" si="10"/>
        <v>5</v>
      </c>
      <c r="V316" s="6">
        <f t="shared" ca="1" si="11"/>
        <v>0</v>
      </c>
      <c r="AC316" s="6" t="s">
        <v>875</v>
      </c>
      <c r="AD316" s="6" t="s">
        <v>19</v>
      </c>
      <c r="AG316" t="s">
        <v>19</v>
      </c>
      <c r="AJ316" cm="1">
        <f t="array" ref="AJ316">_xlfn.IFS(AG316="Yes",1,AG316="No",0,AG316="","")</f>
        <v>1</v>
      </c>
    </row>
    <row r="317" spans="1:36">
      <c r="A317" t="s">
        <v>306</v>
      </c>
      <c r="D317" s="3" t="s">
        <v>788</v>
      </c>
      <c r="E317" s="3" t="s">
        <v>789</v>
      </c>
      <c r="J317" s="6" t="s">
        <v>25</v>
      </c>
      <c r="L317" s="6">
        <v>1</v>
      </c>
      <c r="M317" s="6">
        <v>5</v>
      </c>
      <c r="N317" s="6" t="s">
        <v>825</v>
      </c>
      <c r="O317" s="6" t="s">
        <v>809</v>
      </c>
      <c r="S317" s="6">
        <v>830</v>
      </c>
      <c r="U317" s="6" t="str">
        <f t="shared" ca="1" si="10"/>
        <v/>
      </c>
      <c r="V317" s="6" t="str">
        <f t="shared" ca="1" si="11"/>
        <v/>
      </c>
      <c r="AG317" t="s">
        <v>19</v>
      </c>
      <c r="AJ317" cm="1">
        <f t="array" ref="AJ317">_xlfn.IFS(AG317="Yes",1,AG317="No",0,AG317="","")</f>
        <v>1</v>
      </c>
    </row>
    <row r="318" spans="1:36" ht="29">
      <c r="A318" t="s">
        <v>306</v>
      </c>
      <c r="D318" s="3" t="s">
        <v>791</v>
      </c>
      <c r="E318" s="3" t="s">
        <v>790</v>
      </c>
      <c r="J318" s="6" t="s">
        <v>25</v>
      </c>
      <c r="L318" s="6">
        <v>1</v>
      </c>
      <c r="M318" s="6">
        <v>5</v>
      </c>
      <c r="N318" s="6" t="s">
        <v>860</v>
      </c>
      <c r="O318" s="6" t="s">
        <v>809</v>
      </c>
      <c r="S318" s="6">
        <v>295</v>
      </c>
      <c r="U318" s="6" t="str">
        <f t="shared" ca="1" si="10"/>
        <v/>
      </c>
      <c r="V318" s="6" t="str">
        <f t="shared" ca="1" si="11"/>
        <v/>
      </c>
      <c r="AG318" t="s">
        <v>19</v>
      </c>
      <c r="AJ318" cm="1">
        <f t="array" ref="AJ318">_xlfn.IFS(AG318="Yes",1,AG318="No",0,AG318="","")</f>
        <v>1</v>
      </c>
    </row>
    <row r="319" spans="1:36" ht="29">
      <c r="A319" t="s">
        <v>306</v>
      </c>
      <c r="D319" s="3" t="s">
        <v>792</v>
      </c>
      <c r="E319" s="3" t="s">
        <v>790</v>
      </c>
      <c r="J319" s="6" t="s">
        <v>25</v>
      </c>
      <c r="L319" s="6">
        <v>1</v>
      </c>
      <c r="M319" s="6">
        <v>3</v>
      </c>
      <c r="N319" s="6" t="s">
        <v>825</v>
      </c>
      <c r="O319" s="6" t="s">
        <v>809</v>
      </c>
      <c r="S319" s="6">
        <v>312</v>
      </c>
      <c r="U319" s="6" t="str">
        <f t="shared" ref="U319:U321" ca="1" si="12">IF(ISNUMBER(T319),VALUE(MID(_xlfn.FORMULATEXT(T319),SEARCH("-",_xlfn.FORMULATEXT(T319))+1,LEN(_xlfn.FORMULATEXT(T319))-SEARCH("-",_xlfn.FORMULATEXT(T319)))), "")</f>
        <v/>
      </c>
      <c r="V319" s="6" t="str">
        <f t="shared" ref="V319:V321" ca="1" si="13">IF(ISNUMBER(T319), VALUE(MID(_xlfn.FORMULATEXT(T319), 2, SEARCH("-", _xlfn.FORMULATEXT(T319)) - 2)), "")</f>
        <v/>
      </c>
      <c r="AG319" t="s">
        <v>19</v>
      </c>
      <c r="AJ319" cm="1">
        <f t="array" ref="AJ319">_xlfn.IFS(AG319="Yes",1,AG319="No",0,AG319="","")</f>
        <v>1</v>
      </c>
    </row>
    <row r="320" spans="1:36">
      <c r="A320" t="s">
        <v>306</v>
      </c>
      <c r="D320" s="3" t="s">
        <v>309</v>
      </c>
      <c r="E320" s="3" t="s">
        <v>310</v>
      </c>
      <c r="H320" t="s">
        <v>19</v>
      </c>
      <c r="J320" s="6" t="s">
        <v>849</v>
      </c>
      <c r="T320" s="6" t="s">
        <v>861</v>
      </c>
      <c r="U320" s="6" t="str">
        <f t="shared" ca="1" si="12"/>
        <v/>
      </c>
      <c r="V320" s="6" t="str">
        <f t="shared" ca="1" si="13"/>
        <v/>
      </c>
      <c r="AE320" s="6" t="s">
        <v>807</v>
      </c>
      <c r="AG320" t="s">
        <v>20</v>
      </c>
      <c r="AJ320" cm="1">
        <f t="array" ref="AJ320">_xlfn.IFS(AG320="Yes",1,AG320="No",0,AG320="","")</f>
        <v>0</v>
      </c>
    </row>
    <row r="321" spans="1:38">
      <c r="A321" t="s">
        <v>311</v>
      </c>
      <c r="D321" s="3" t="s">
        <v>794</v>
      </c>
      <c r="E321" s="3" t="s">
        <v>793</v>
      </c>
      <c r="J321" s="6" t="s">
        <v>24</v>
      </c>
      <c r="L321" s="6">
        <v>1</v>
      </c>
      <c r="M321" s="6">
        <v>3</v>
      </c>
      <c r="N321" s="6" t="s">
        <v>808</v>
      </c>
      <c r="O321" s="6" t="s">
        <v>809</v>
      </c>
      <c r="S321" s="6">
        <v>2475</v>
      </c>
      <c r="U321" s="6" t="str">
        <f t="shared" ca="1" si="12"/>
        <v/>
      </c>
      <c r="V321" s="6" t="str">
        <f t="shared" ca="1" si="13"/>
        <v/>
      </c>
      <c r="AG321" t="s">
        <v>19</v>
      </c>
      <c r="AJ321" cm="1">
        <f t="array" ref="AJ321">_xlfn.IFS(AG321="Yes",1,AG321="No",0,AG321="","")</f>
        <v>1</v>
      </c>
    </row>
    <row r="323" spans="1:38">
      <c r="D323" s="3" t="s">
        <v>855</v>
      </c>
      <c r="E323" s="3">
        <f>SUBTOTAL(3,A2:A321)</f>
        <v>320</v>
      </c>
    </row>
    <row r="324" spans="1:38">
      <c r="D324" s="3" t="s">
        <v>856</v>
      </c>
      <c r="E324" s="3">
        <f>COUNTA(A2:A321)</f>
        <v>320</v>
      </c>
      <c r="AJ324" t="s">
        <v>915</v>
      </c>
      <c r="AK324" t="s">
        <v>918</v>
      </c>
      <c r="AL324" t="s">
        <v>919</v>
      </c>
    </row>
    <row r="325" spans="1:38">
      <c r="D325" s="3"/>
    </row>
    <row r="326" spans="1:38">
      <c r="D326" s="3" t="s">
        <v>924</v>
      </c>
      <c r="E326" s="3" t="s">
        <v>922</v>
      </c>
      <c r="AJ326" t="s">
        <v>916</v>
      </c>
      <c r="AK326">
        <f>COUNTIF(AG2:AG321,"No")</f>
        <v>63</v>
      </c>
      <c r="AL326">
        <f>SUBTOTAL(2,AJ2:AJ321)-AL327</f>
        <v>63</v>
      </c>
    </row>
    <row r="327" spans="1:38">
      <c r="D327" s="3" t="s">
        <v>920</v>
      </c>
      <c r="E327" s="3">
        <v>27</v>
      </c>
      <c r="AJ327" t="s">
        <v>815</v>
      </c>
      <c r="AK327">
        <f>COUNTIF(AG2:AG321,"Yes")</f>
        <v>252</v>
      </c>
      <c r="AL327">
        <f>SUBTOTAL(9,AJ2:AJ321)</f>
        <v>252</v>
      </c>
    </row>
    <row r="328" spans="1:38">
      <c r="D328" s="3" t="s">
        <v>921</v>
      </c>
      <c r="E328" s="3">
        <v>20</v>
      </c>
      <c r="AJ328" t="s">
        <v>917</v>
      </c>
      <c r="AK328">
        <f>AK327/(AK326+AK327)</f>
        <v>0.8</v>
      </c>
      <c r="AL328">
        <f>AL327/(AL326+AL327)</f>
        <v>0.8</v>
      </c>
    </row>
    <row r="329" spans="1:38">
      <c r="E329" s="3" t="s">
        <v>923</v>
      </c>
    </row>
    <row r="330" spans="1:38">
      <c r="D330" s="3" t="s">
        <v>920</v>
      </c>
      <c r="E330" s="3">
        <v>24</v>
      </c>
    </row>
    <row r="331" spans="1:38">
      <c r="D331" s="3" t="s">
        <v>921</v>
      </c>
      <c r="E331" s="3">
        <v>20</v>
      </c>
    </row>
    <row r="334" spans="1:38">
      <c r="E334" s="3">
        <f>COUNTIF(F:F, "Autograph transcript error, but still a variant") + COUNTIF(F:F, "Apograph transcript error, but still a variant") + COUNTIF(F:F, "Not a variant: autograph transcript error") + COUNTIF(F:F, "Not a variant: apograph transcript error")</f>
        <v>0</v>
      </c>
    </row>
  </sheetData>
  <conditionalFormatting sqref="J2:J1048576">
    <cfRule type="expression" dxfId="342" priority="7">
      <formula>$J2&lt;&gt;""</formula>
    </cfRule>
    <cfRule type="expression" dxfId="341" priority="8">
      <formula>$J2=""</formula>
    </cfRule>
  </conditionalFormatting>
  <conditionalFormatting sqref="K2:O1048576 R2:S1048576">
    <cfRule type="expression" dxfId="340" priority="22">
      <formula>AND(OR($J2="Addition",$J2="Omission"), K2="")</formula>
    </cfRule>
    <cfRule type="expression" dxfId="339" priority="23">
      <formula>AND($J2&lt;&gt;"Addition",$J2&lt;&gt;"Omission",$J2&lt;&gt;"Substitution - Word")</formula>
    </cfRule>
  </conditionalFormatting>
  <conditionalFormatting sqref="K2:S1048576">
    <cfRule type="expression" dxfId="338" priority="21">
      <formula>AND(OR($J2="Addition",$J2="Omission"), K2&lt;&gt;"")</formula>
    </cfRule>
  </conditionalFormatting>
  <conditionalFormatting sqref="N2:N1048576">
    <cfRule type="expression" dxfId="337" priority="16">
      <formula>AND($L2&lt;&gt;"",$L2&gt;1)</formula>
    </cfRule>
  </conditionalFormatting>
  <conditionalFormatting sqref="P2:Q1048576">
    <cfRule type="expression" dxfId="336" priority="12">
      <formula>$O2="Absent"</formula>
    </cfRule>
    <cfRule type="expression" dxfId="335" priority="13">
      <formula>$O2="NA"</formula>
    </cfRule>
    <cfRule type="expression" dxfId="334" priority="14">
      <formula>AND(OR($J2="Addition",$J2="Omission"), P2="")</formula>
    </cfRule>
    <cfRule type="expression" dxfId="333" priority="15">
      <formula>AND($J2&lt;&gt;"Addition",$J2&lt;&gt;"Omission")</formula>
    </cfRule>
  </conditionalFormatting>
  <conditionalFormatting sqref="R2:R1048576">
    <cfRule type="expression" dxfId="332" priority="17">
      <formula>OR($J2="Addition",$J2="Omission",$J2 = "Substitution - Word")</formula>
    </cfRule>
  </conditionalFormatting>
  <conditionalFormatting sqref="T240">
    <cfRule type="expression" dxfId="331" priority="18">
      <formula>AND(AND(LEFT($J240,3)="Sub", RIGHT($J240,4)&lt;&gt;"Form"),$V240&lt;&gt;"")</formula>
    </cfRule>
    <cfRule type="expression" dxfId="330" priority="19">
      <formula>AND(AND(LEFT($J240,3)="Sub", RIGHT($J240,4)&lt;&gt;"Form"),$V240="")</formula>
    </cfRule>
    <cfRule type="expression" dxfId="329" priority="20">
      <formula>"&lt;&gt;AND(LEFT($J2,3)=""Sub"", RIGHT($J2,4)&lt;&gt;""Form"")"</formula>
    </cfRule>
  </conditionalFormatting>
  <conditionalFormatting sqref="T2:V239 U2:V321 T241:V1048576">
    <cfRule type="expression" dxfId="328" priority="50">
      <formula>AND(AND(LEFT($J2,3)="Sub", RIGHT($J2,4)&lt;&gt;"Form"),$T2="")</formula>
    </cfRule>
    <cfRule type="expression" dxfId="327" priority="51">
      <formula>"&lt;&gt;AND(LEFT($J2,3)=""Sub"", RIGHT($J2,4)&lt;&gt;""Form"")"</formula>
    </cfRule>
  </conditionalFormatting>
  <conditionalFormatting sqref="U2:V321 T2:V239 T241:V1048576">
    <cfRule type="expression" dxfId="326" priority="49">
      <formula>AND(AND(LEFT($J2,3)="Sub", RIGHT($J2,4)&lt;&gt;"Form"),$T2&lt;&gt;"")</formula>
    </cfRule>
  </conditionalFormatting>
  <conditionalFormatting sqref="U240:V240">
    <cfRule type="expression" dxfId="325" priority="1">
      <formula>AND(AND(LEFT($J240,3)="Sub", RIGHT($J240,4)&lt;&gt;"Form"),$T240&lt;&gt;"")</formula>
    </cfRule>
    <cfRule type="expression" dxfId="324" priority="2">
      <formula>AND(AND(LEFT($J240,3)="Sub", RIGHT($J240,4)&lt;&gt;"Form"),$T240="")</formula>
    </cfRule>
    <cfRule type="expression" dxfId="323" priority="3">
      <formula>"&lt;&gt;AND(LEFT($J2,3)=""Sub"", RIGHT($J2,4)&lt;&gt;""Form"")"</formula>
    </cfRule>
  </conditionalFormatting>
  <conditionalFormatting sqref="W2:W1048576">
    <cfRule type="expression" dxfId="322" priority="10">
      <formula>AND($W2&lt;&gt;"",OR($AD2="Yes",$AE2&lt;&gt;""))</formula>
    </cfRule>
    <cfRule type="expression" dxfId="321" priority="11">
      <formula>OR($AD2="Yes",$AE2&lt;&gt;"")</formula>
    </cfRule>
    <cfRule type="expression" dxfId="320" priority="26">
      <formula>AND($AD2&lt;&gt;"Yes",$AE2="")</formula>
    </cfRule>
  </conditionalFormatting>
  <conditionalFormatting sqref="W2:AF239 W240:X240 W241:AF1048576">
    <cfRule type="expression" dxfId="319" priority="24">
      <formula>AND($J2&lt;&gt;"",$J2&lt;&gt;"Unclear due to correction")</formula>
    </cfRule>
    <cfRule type="expression" dxfId="318" priority="25">
      <formula>OR($J2="",$J2="Unclear due to correction")</formula>
    </cfRule>
  </conditionalFormatting>
  <conditionalFormatting sqref="X2:X1048576">
    <cfRule type="expression" dxfId="317" priority="9">
      <formula>AND($J2&lt;&gt;"",$J2&lt;&gt;"Unclear due to correction",$X2="")</formula>
    </cfRule>
  </conditionalFormatting>
  <conditionalFormatting sqref="Y2:Y1048576">
    <cfRule type="expression" dxfId="316" priority="38">
      <formula>AND($X2="Yes",$Y2="")</formula>
    </cfRule>
    <cfRule type="expression" dxfId="315" priority="39">
      <formula>$X2=""</formula>
    </cfRule>
  </conditionalFormatting>
  <conditionalFormatting sqref="Y240:AF240">
    <cfRule type="expression" dxfId="314" priority="62">
      <formula>AND($J240&lt;&gt;"",$J240&lt;&gt;"Unclear due to correction")</formula>
    </cfRule>
    <cfRule type="expression" dxfId="313" priority="65">
      <formula>OR($J240="",$J240="Unclear due to correction")</formula>
    </cfRule>
  </conditionalFormatting>
  <conditionalFormatting sqref="AD2:AD1048576">
    <cfRule type="expression" dxfId="312" priority="111">
      <formula>AND(OR($AB2&lt;&gt;"",$AC2&lt;&gt;""),$AD2="")</formula>
    </cfRule>
  </conditionalFormatting>
  <dataValidations count="1">
    <dataValidation allowBlank="1" showInputMessage="1" sqref="X2:X1048576" xr:uid="{89449E29-5D6F-4A03-AB0A-802981CB0C94}"/>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7301F58A-7842-47E1-A459-B74EC9D1D65F}">
          <x14:formula1>
            <xm:f>'Data Regularization'!$Q$2:$Q$4</xm:f>
          </x14:formula1>
          <xm:sqref>AG2:AI1048576</xm:sqref>
        </x14:dataValidation>
        <x14:dataValidation type="list" allowBlank="1" showInputMessage="1" showErrorMessage="1" xr:uid="{F296372A-82D7-4C15-8DFD-7B6F0274E2CD}">
          <x14:formula1>
            <xm:f>'Data Regularization'!$D$2:$D$1048576</xm:f>
          </x14:formula1>
          <xm:sqref>J2:J1048576</xm:sqref>
        </x14:dataValidation>
        <x14:dataValidation type="list" allowBlank="1" showInputMessage="1" showErrorMessage="1" xr:uid="{BD70BFA8-C89B-4065-9EFE-D228E46E94FC}">
          <x14:formula1>
            <xm:f>'Data Regularization'!$E$2:$E$1048576</xm:f>
          </x14:formula1>
          <xm:sqref>N2:N1048576</xm:sqref>
        </x14:dataValidation>
        <x14:dataValidation type="list" allowBlank="1" showInputMessage="1" showErrorMessage="1" xr:uid="{CD4577D9-C171-4C4C-BCBD-9DDF732DBFEF}">
          <x14:formula1>
            <xm:f>'Data Regularization'!$F$2:$F$1048576</xm:f>
          </x14:formula1>
          <xm:sqref>O2:O1048576</xm:sqref>
        </x14:dataValidation>
        <x14:dataValidation type="list" allowBlank="1" showInputMessage="1" showErrorMessage="1" xr:uid="{281D2E34-3ACE-4DC7-8DEB-5F140C42F358}">
          <x14:formula1>
            <xm:f>'Data Regularization'!$G$2:$G$1048576</xm:f>
          </x14:formula1>
          <xm:sqref>R2:R1048576</xm:sqref>
        </x14:dataValidation>
        <x14:dataValidation type="list" allowBlank="1" showInputMessage="1" showErrorMessage="1" xr:uid="{E58C8269-85C1-4954-94AF-53AEB6BB3AF2}">
          <x14:formula1>
            <xm:f>'Data Regularization'!$K$2:$K$1048576</xm:f>
          </x14:formula1>
          <xm:sqref>W2:W1048576 Y2:Y1048576</xm:sqref>
        </x14:dataValidation>
        <x14:dataValidation type="list" allowBlank="1" showInputMessage="1" showErrorMessage="1" xr:uid="{1551F1B6-52BD-424E-BAE3-B6C43C345BE1}">
          <x14:formula1>
            <xm:f>'Data Regularization'!$L$2:$L$1048576</xm:f>
          </x14:formula1>
          <xm:sqref>Z2:Z1048576</xm:sqref>
        </x14:dataValidation>
        <x14:dataValidation type="list" allowBlank="1" showInputMessage="1" showErrorMessage="1" xr:uid="{A2A165D6-3E6F-4690-8799-A94019E3C6D5}">
          <x14:formula1>
            <xm:f>'Data Regularization'!$M$2:$M$1048576</xm:f>
          </x14:formula1>
          <xm:sqref>AA2:AA1048576</xm:sqref>
        </x14:dataValidation>
        <x14:dataValidation type="list" allowBlank="1" showInputMessage="1" showErrorMessage="1" xr:uid="{C2D49E17-5064-4A0C-91D6-C555B2458E2D}">
          <x14:formula1>
            <xm:f>'Data Regularization'!$N$2:$N$1048576</xm:f>
          </x14:formula1>
          <xm:sqref>AB2:AB1048576</xm:sqref>
        </x14:dataValidation>
        <x14:dataValidation type="list" allowBlank="1" showInputMessage="1" showErrorMessage="1" xr:uid="{C86CB294-184E-427F-AD99-9FE4540AAE92}">
          <x14:formula1>
            <xm:f>'Data Regularization'!$O$2:$O$1048576</xm:f>
          </x14:formula1>
          <xm:sqref>AD2:AD1048576</xm:sqref>
        </x14:dataValidation>
        <x14:dataValidation type="list" allowBlank="1" showInputMessage="1" showErrorMessage="1" xr:uid="{E6D4003E-6DB7-4E6F-87F4-36990610CF3F}">
          <x14:formula1>
            <xm:f>'Data Regularization'!$P$2:$P$1048576</xm:f>
          </x14:formula1>
          <xm:sqref>AE2:AE1048576</xm:sqref>
        </x14:dataValidation>
        <x14:dataValidation type="list" allowBlank="1" showInputMessage="1" showErrorMessage="1" xr:uid="{B5AD62D9-B213-4CA5-A230-16E4ED092956}">
          <x14:formula1>
            <xm:f>'Data Regularization'!$Q$2:$Q$1048576</xm:f>
          </x14:formula1>
          <xm:sqref>AF2:AF1048576</xm:sqref>
        </x14:dataValidation>
        <x14:dataValidation type="list" allowBlank="1" showInputMessage="1" showErrorMessage="1" xr:uid="{2E62E8AD-BAD3-4EB9-AFBF-45839D0B1E9E}">
          <x14:formula1>
            <xm:f>'Data Regularization'!$C$2:$C$29</xm:f>
          </x14:formula1>
          <xm:sqref>H2:H1048576</xm:sqref>
        </x14:dataValidation>
        <x14:dataValidation type="list" allowBlank="1" showInputMessage="1" showErrorMessage="1" xr:uid="{313D895C-DA90-4E1F-BA69-96C849A61552}">
          <x14:formula1>
            <xm:f>'Data Regularization'!$A$2:$A$1048576</xm:f>
          </x14:formula1>
          <xm:sqref>F2:F1048576</xm:sqref>
        </x14:dataValidation>
        <x14:dataValidation type="list" allowBlank="1" showInputMessage="1" showErrorMessage="1" xr:uid="{CF2233FB-2B28-4DCB-AE62-73C026274D66}">
          <x14:formula1>
            <xm:f>'Data Regularization'!$B$2:$B$1048576</xm:f>
          </x14:formula1>
          <xm:sqref>G2:G1048576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CCB5C-ECB3-4E5F-AD9B-6D1F25C6C7EC}">
  <dimension ref="A1:AG249"/>
  <sheetViews>
    <sheetView workbookViewId="0">
      <pane xSplit="3" ySplit="1" topLeftCell="D187" activePane="bottomRight" state="frozen"/>
      <selection pane="topRight" activeCell="D1" sqref="D1"/>
      <selection pane="bottomLeft" activeCell="A2" sqref="A2"/>
      <selection pane="bottomRight" sqref="A1:XFD1"/>
    </sheetView>
  </sheetViews>
  <sheetFormatPr defaultRowHeight="14.5"/>
  <cols>
    <col min="1" max="1" width="10.453125" bestFit="1" customWidth="1"/>
    <col min="2" max="3" width="20.81640625" customWidth="1"/>
    <col min="4" max="30" width="8.90625" customWidth="1"/>
  </cols>
  <sheetData>
    <row r="1" spans="1:33" s="1" customFormat="1">
      <c r="A1" s="1" t="s">
        <v>0</v>
      </c>
      <c r="B1" s="1" t="s">
        <v>5</v>
      </c>
      <c r="C1" s="2" t="s">
        <v>6</v>
      </c>
      <c r="D1" s="1" t="s">
        <v>831</v>
      </c>
      <c r="E1" s="1" t="s">
        <v>832</v>
      </c>
      <c r="F1" s="1" t="s">
        <v>833</v>
      </c>
      <c r="G1" s="1" t="s">
        <v>3</v>
      </c>
      <c r="H1" s="1" t="s">
        <v>834</v>
      </c>
      <c r="I1" s="1" t="s">
        <v>835</v>
      </c>
      <c r="J1" s="1" t="s">
        <v>836</v>
      </c>
      <c r="K1" s="1" t="s">
        <v>837</v>
      </c>
      <c r="L1" s="1" t="s">
        <v>796</v>
      </c>
      <c r="M1" s="1" t="s">
        <v>838</v>
      </c>
      <c r="N1" s="5" t="s">
        <v>839</v>
      </c>
      <c r="O1" s="1" t="s">
        <v>797</v>
      </c>
      <c r="P1" s="1" t="s">
        <v>840</v>
      </c>
      <c r="Q1" s="1" t="s">
        <v>841</v>
      </c>
      <c r="R1" s="1" t="s">
        <v>961</v>
      </c>
      <c r="S1" s="1" t="s">
        <v>962</v>
      </c>
      <c r="T1" s="1" t="s">
        <v>844</v>
      </c>
      <c r="U1" s="1" t="s">
        <v>845</v>
      </c>
      <c r="V1" s="1" t="s">
        <v>846</v>
      </c>
      <c r="W1" s="1" t="s">
        <v>798</v>
      </c>
      <c r="X1" s="1" t="s">
        <v>799</v>
      </c>
      <c r="Y1" s="1" t="s">
        <v>800</v>
      </c>
      <c r="Z1" s="1" t="s">
        <v>842</v>
      </c>
      <c r="AA1" s="1" t="s">
        <v>847</v>
      </c>
      <c r="AB1" s="1" t="s">
        <v>801</v>
      </c>
      <c r="AC1" s="1" t="s">
        <v>843</v>
      </c>
      <c r="AD1" s="1" t="s">
        <v>859</v>
      </c>
      <c r="AE1" s="1" t="s">
        <v>857</v>
      </c>
      <c r="AF1" s="1" t="s">
        <v>858</v>
      </c>
    </row>
    <row r="2" spans="1:33" ht="29">
      <c r="A2" t="s">
        <v>41</v>
      </c>
      <c r="B2" s="3" t="s">
        <v>317</v>
      </c>
      <c r="C2" s="3" t="s">
        <v>318</v>
      </c>
      <c r="G2" s="6" t="s">
        <v>24</v>
      </c>
      <c r="H2" s="6"/>
      <c r="I2" s="6">
        <v>1</v>
      </c>
      <c r="J2" s="6">
        <v>5</v>
      </c>
      <c r="K2" s="6" t="s">
        <v>829</v>
      </c>
      <c r="L2" s="6" t="s">
        <v>809</v>
      </c>
      <c r="M2" s="6"/>
      <c r="N2" s="7"/>
      <c r="O2" s="6"/>
      <c r="P2" s="6">
        <v>3</v>
      </c>
      <c r="Q2" s="6"/>
      <c r="R2" s="6" t="s">
        <v>963</v>
      </c>
      <c r="S2" s="6" t="s">
        <v>963</v>
      </c>
      <c r="T2" s="6"/>
      <c r="U2" s="6"/>
      <c r="V2" s="6"/>
      <c r="W2" s="6"/>
      <c r="X2" s="6"/>
      <c r="Y2" s="6"/>
      <c r="Z2" s="6"/>
      <c r="AA2" s="6"/>
      <c r="AB2" s="6"/>
      <c r="AC2" s="6"/>
      <c r="AD2" t="s">
        <v>19</v>
      </c>
      <c r="AE2" t="s">
        <v>19</v>
      </c>
      <c r="AG2">
        <v>1</v>
      </c>
    </row>
    <row r="3" spans="1:33" ht="29">
      <c r="A3" t="s">
        <v>41</v>
      </c>
      <c r="B3" s="3" t="s">
        <v>319</v>
      </c>
      <c r="C3" s="3" t="s">
        <v>316</v>
      </c>
      <c r="G3" s="6" t="s">
        <v>25</v>
      </c>
      <c r="H3" s="6"/>
      <c r="I3" s="6">
        <v>1</v>
      </c>
      <c r="J3" s="6">
        <v>3</v>
      </c>
      <c r="K3" s="6" t="s">
        <v>854</v>
      </c>
      <c r="L3" s="6" t="s">
        <v>809</v>
      </c>
      <c r="M3" s="6"/>
      <c r="N3" s="7"/>
      <c r="O3" s="6"/>
      <c r="P3" s="6">
        <v>0</v>
      </c>
      <c r="Q3" s="6"/>
      <c r="R3" s="6" t="s">
        <v>963</v>
      </c>
      <c r="S3" s="6" t="s">
        <v>963</v>
      </c>
      <c r="T3" s="6"/>
      <c r="U3" s="6"/>
      <c r="V3" s="6"/>
      <c r="W3" s="6"/>
      <c r="X3" s="6"/>
      <c r="Y3" s="6"/>
      <c r="Z3" s="6"/>
      <c r="AA3" s="6"/>
      <c r="AB3" s="6"/>
      <c r="AC3" s="6"/>
      <c r="AD3" t="s">
        <v>19</v>
      </c>
      <c r="AE3" t="s">
        <v>19</v>
      </c>
      <c r="AG3">
        <v>1</v>
      </c>
    </row>
    <row r="4" spans="1:33" ht="29">
      <c r="A4" t="s">
        <v>41</v>
      </c>
      <c r="B4" s="3" t="s">
        <v>321</v>
      </c>
      <c r="C4" s="3" t="s">
        <v>320</v>
      </c>
      <c r="G4" s="6" t="s">
        <v>25</v>
      </c>
      <c r="H4" s="6"/>
      <c r="I4" s="6">
        <v>1</v>
      </c>
      <c r="J4" s="6">
        <v>2</v>
      </c>
      <c r="K4" s="6" t="s">
        <v>827</v>
      </c>
      <c r="L4" s="6" t="s">
        <v>850</v>
      </c>
      <c r="M4" s="6"/>
      <c r="N4" s="7"/>
      <c r="O4" s="6"/>
      <c r="P4" s="6">
        <v>613</v>
      </c>
      <c r="Q4" s="6"/>
      <c r="R4" s="6" t="s">
        <v>963</v>
      </c>
      <c r="S4" s="6" t="s">
        <v>963</v>
      </c>
      <c r="T4" s="6"/>
      <c r="U4" s="6"/>
      <c r="V4" s="6"/>
      <c r="W4" s="6"/>
      <c r="X4" s="6"/>
      <c r="Y4" s="6"/>
      <c r="Z4" s="6"/>
      <c r="AA4" s="6"/>
      <c r="AB4" s="6"/>
      <c r="AC4" s="6"/>
      <c r="AD4" t="s">
        <v>19</v>
      </c>
      <c r="AE4" t="s">
        <v>19</v>
      </c>
      <c r="AG4">
        <v>1</v>
      </c>
    </row>
    <row r="5" spans="1:33">
      <c r="A5" t="s">
        <v>44</v>
      </c>
      <c r="B5" s="3" t="s">
        <v>322</v>
      </c>
      <c r="C5" s="3" t="s">
        <v>323</v>
      </c>
      <c r="G5" s="6" t="s">
        <v>25</v>
      </c>
      <c r="H5" s="6"/>
      <c r="I5" s="6">
        <v>1</v>
      </c>
      <c r="J5" s="6">
        <v>3</v>
      </c>
      <c r="K5" s="6" t="s">
        <v>818</v>
      </c>
      <c r="L5" s="6" t="s">
        <v>809</v>
      </c>
      <c r="M5" s="6"/>
      <c r="N5" s="7"/>
      <c r="O5" s="6"/>
      <c r="P5" s="6">
        <v>1701</v>
      </c>
      <c r="Q5" s="6"/>
      <c r="R5" s="6" t="s">
        <v>963</v>
      </c>
      <c r="S5" s="6" t="s">
        <v>963</v>
      </c>
      <c r="T5" s="6"/>
      <c r="U5" s="6"/>
      <c r="V5" s="6"/>
      <c r="W5" s="6"/>
      <c r="X5" s="6"/>
      <c r="Y5" s="6"/>
      <c r="Z5" s="6"/>
      <c r="AA5" s="6"/>
      <c r="AB5" s="6"/>
      <c r="AC5" s="6"/>
      <c r="AD5" t="s">
        <v>19</v>
      </c>
      <c r="AE5" t="s">
        <v>19</v>
      </c>
      <c r="AG5">
        <v>1</v>
      </c>
    </row>
    <row r="6" spans="1:33">
      <c r="A6" t="s">
        <v>45</v>
      </c>
      <c r="B6" s="3" t="s">
        <v>46</v>
      </c>
      <c r="C6" s="3" t="s">
        <v>47</v>
      </c>
      <c r="F6" t="s">
        <v>19</v>
      </c>
      <c r="G6" s="6" t="s">
        <v>849</v>
      </c>
      <c r="H6" s="6"/>
      <c r="I6" s="6"/>
      <c r="J6" s="6"/>
      <c r="K6" s="6"/>
      <c r="L6" s="6"/>
      <c r="M6" s="6"/>
      <c r="N6" s="7"/>
      <c r="O6" s="6"/>
      <c r="P6" s="6"/>
      <c r="Q6" s="6">
        <v>-2</v>
      </c>
      <c r="R6" s="6">
        <v>2</v>
      </c>
      <c r="S6" s="6">
        <v>0</v>
      </c>
      <c r="T6" s="6"/>
      <c r="U6" s="6"/>
      <c r="V6" s="6"/>
      <c r="W6" s="6"/>
      <c r="X6" s="6"/>
      <c r="Y6" s="6"/>
      <c r="Z6" s="6"/>
      <c r="AA6" s="6"/>
      <c r="AB6" s="6"/>
      <c r="AC6" s="6"/>
      <c r="AD6" t="s">
        <v>20</v>
      </c>
      <c r="AE6" t="s">
        <v>20</v>
      </c>
      <c r="AG6">
        <v>0</v>
      </c>
    </row>
    <row r="7" spans="1:33" ht="29">
      <c r="A7" t="s">
        <v>45</v>
      </c>
      <c r="B7" s="3" t="s">
        <v>329</v>
      </c>
      <c r="C7" s="3" t="s">
        <v>330</v>
      </c>
      <c r="G7" s="6" t="s">
        <v>24</v>
      </c>
      <c r="H7" s="6"/>
      <c r="I7" s="6">
        <v>1</v>
      </c>
      <c r="J7" s="6">
        <v>5</v>
      </c>
      <c r="K7" s="6" t="s">
        <v>823</v>
      </c>
      <c r="L7" s="6" t="s">
        <v>803</v>
      </c>
      <c r="M7" s="6" t="s">
        <v>866</v>
      </c>
      <c r="N7" s="7" t="s">
        <v>869</v>
      </c>
      <c r="O7" s="6" t="s">
        <v>804</v>
      </c>
      <c r="P7" s="6">
        <v>5</v>
      </c>
      <c r="Q7" s="6"/>
      <c r="R7" s="6" t="s">
        <v>963</v>
      </c>
      <c r="S7" s="6" t="s">
        <v>963</v>
      </c>
      <c r="T7" s="6"/>
      <c r="U7" s="6"/>
      <c r="V7" s="6"/>
      <c r="W7" s="6"/>
      <c r="X7" s="6"/>
      <c r="Y7" s="6"/>
      <c r="Z7" s="6"/>
      <c r="AA7" s="6"/>
      <c r="AB7" s="6"/>
      <c r="AC7" s="6"/>
      <c r="AD7" t="s">
        <v>19</v>
      </c>
      <c r="AE7" t="s">
        <v>19</v>
      </c>
      <c r="AG7">
        <v>1</v>
      </c>
    </row>
    <row r="8" spans="1:33">
      <c r="A8" t="s">
        <v>50</v>
      </c>
      <c r="B8" s="3" t="s">
        <v>332</v>
      </c>
      <c r="C8" s="3" t="s">
        <v>331</v>
      </c>
      <c r="G8" s="6" t="s">
        <v>25</v>
      </c>
      <c r="H8" s="6"/>
      <c r="I8" s="6">
        <v>1</v>
      </c>
      <c r="J8" s="6">
        <v>4</v>
      </c>
      <c r="K8" s="6" t="s">
        <v>825</v>
      </c>
      <c r="L8" s="6" t="s">
        <v>809</v>
      </c>
      <c r="M8" s="6"/>
      <c r="N8" s="7"/>
      <c r="O8" s="6"/>
      <c r="P8" s="6">
        <v>743</v>
      </c>
      <c r="Q8" s="6"/>
      <c r="R8" s="6" t="s">
        <v>963</v>
      </c>
      <c r="S8" s="6" t="s">
        <v>963</v>
      </c>
      <c r="T8" s="6"/>
      <c r="U8" s="6"/>
      <c r="V8" s="6"/>
      <c r="W8" s="6"/>
      <c r="X8" s="6"/>
      <c r="Y8" s="6"/>
      <c r="Z8" s="6"/>
      <c r="AA8" s="6"/>
      <c r="AB8" s="6"/>
      <c r="AC8" s="6"/>
      <c r="AD8" t="s">
        <v>19</v>
      </c>
      <c r="AE8" t="s">
        <v>20</v>
      </c>
      <c r="AG8">
        <v>1</v>
      </c>
    </row>
    <row r="9" spans="1:33" ht="29">
      <c r="A9" t="s">
        <v>54</v>
      </c>
      <c r="B9" s="3" t="s">
        <v>334</v>
      </c>
      <c r="C9" s="3" t="s">
        <v>335</v>
      </c>
      <c r="G9" s="6" t="s">
        <v>24</v>
      </c>
      <c r="H9" s="6"/>
      <c r="I9" s="6">
        <v>1</v>
      </c>
      <c r="J9" s="6">
        <v>2</v>
      </c>
      <c r="K9" s="6" t="s">
        <v>827</v>
      </c>
      <c r="L9" s="6" t="s">
        <v>850</v>
      </c>
      <c r="M9" s="6"/>
      <c r="N9" s="7"/>
      <c r="O9" s="6"/>
      <c r="P9" s="6">
        <v>613</v>
      </c>
      <c r="Q9" s="6"/>
      <c r="R9" s="6" t="s">
        <v>963</v>
      </c>
      <c r="S9" s="6" t="s">
        <v>963</v>
      </c>
      <c r="T9" s="6"/>
      <c r="U9" s="6"/>
      <c r="V9" s="6"/>
      <c r="W9" s="6"/>
      <c r="X9" s="6"/>
      <c r="Y9" s="6"/>
      <c r="Z9" s="6"/>
      <c r="AA9" s="6"/>
      <c r="AB9" s="6"/>
      <c r="AC9" s="6"/>
      <c r="AD9" t="s">
        <v>19</v>
      </c>
      <c r="AE9" t="s">
        <v>20</v>
      </c>
      <c r="AG9">
        <v>1</v>
      </c>
    </row>
    <row r="10" spans="1:33">
      <c r="A10" t="s">
        <v>57</v>
      </c>
      <c r="B10" s="3" t="s">
        <v>340</v>
      </c>
      <c r="C10" s="3" t="s">
        <v>341</v>
      </c>
      <c r="G10" s="6" t="s">
        <v>25</v>
      </c>
      <c r="H10" s="6"/>
      <c r="I10" s="6">
        <v>1</v>
      </c>
      <c r="J10" s="6">
        <v>2</v>
      </c>
      <c r="K10" s="6" t="s">
        <v>808</v>
      </c>
      <c r="L10" s="6" t="s">
        <v>850</v>
      </c>
      <c r="M10" s="6"/>
      <c r="N10" s="7"/>
      <c r="O10" s="6"/>
      <c r="P10" s="6">
        <v>2475</v>
      </c>
      <c r="Q10" s="6"/>
      <c r="R10" s="6" t="s">
        <v>963</v>
      </c>
      <c r="S10" s="6" t="s">
        <v>963</v>
      </c>
      <c r="T10" s="6"/>
      <c r="U10" s="6"/>
      <c r="V10" s="6"/>
      <c r="W10" s="6"/>
      <c r="X10" s="6"/>
      <c r="Y10" s="6"/>
      <c r="Z10" s="6"/>
      <c r="AA10" s="6"/>
      <c r="AB10" s="6"/>
      <c r="AC10" s="6"/>
      <c r="AD10" t="s">
        <v>19</v>
      </c>
      <c r="AE10" t="s">
        <v>19</v>
      </c>
      <c r="AG10">
        <v>1</v>
      </c>
    </row>
    <row r="11" spans="1:33">
      <c r="A11" t="s">
        <v>61</v>
      </c>
      <c r="B11" s="3" t="s">
        <v>343</v>
      </c>
      <c r="C11" s="3" t="s">
        <v>342</v>
      </c>
      <c r="G11" s="6" t="s">
        <v>849</v>
      </c>
      <c r="H11" s="6"/>
      <c r="I11" s="6"/>
      <c r="J11" s="6"/>
      <c r="K11" s="6"/>
      <c r="L11" s="6"/>
      <c r="M11" s="6"/>
      <c r="N11" s="7"/>
      <c r="O11" s="6"/>
      <c r="P11" s="6"/>
      <c r="Q11" s="6">
        <v>121</v>
      </c>
      <c r="R11" s="6">
        <v>8</v>
      </c>
      <c r="S11" s="6">
        <v>129</v>
      </c>
      <c r="T11" s="6"/>
      <c r="U11" s="6"/>
      <c r="V11" s="6"/>
      <c r="W11" s="6"/>
      <c r="X11" s="6"/>
      <c r="Y11" s="6"/>
      <c r="Z11" s="6"/>
      <c r="AA11" s="6"/>
      <c r="AB11" s="6"/>
      <c r="AC11" s="6"/>
      <c r="AD11" t="s">
        <v>19</v>
      </c>
      <c r="AE11" t="s">
        <v>20</v>
      </c>
      <c r="AG11">
        <v>1</v>
      </c>
    </row>
    <row r="12" spans="1:33">
      <c r="A12" t="s">
        <v>62</v>
      </c>
      <c r="B12" s="3" t="s">
        <v>344</v>
      </c>
      <c r="C12" s="3" t="s">
        <v>345</v>
      </c>
      <c r="F12" t="s">
        <v>22</v>
      </c>
      <c r="G12" s="6" t="s">
        <v>849</v>
      </c>
      <c r="H12" s="6"/>
      <c r="I12" s="6"/>
      <c r="J12" s="6"/>
      <c r="K12" s="6"/>
      <c r="L12" s="6"/>
      <c r="M12" s="6"/>
      <c r="N12" s="7"/>
      <c r="O12" s="6"/>
      <c r="P12" s="6"/>
      <c r="Q12" s="6">
        <v>680</v>
      </c>
      <c r="R12" s="6">
        <v>150</v>
      </c>
      <c r="S12" s="6">
        <v>830</v>
      </c>
      <c r="T12" s="6"/>
      <c r="U12" s="6"/>
      <c r="V12" s="6"/>
      <c r="W12" s="6"/>
      <c r="X12" s="6"/>
      <c r="Y12" s="6"/>
      <c r="Z12" s="6"/>
      <c r="AA12" s="6"/>
      <c r="AB12" s="6"/>
      <c r="AC12" s="6"/>
      <c r="AD12" t="s">
        <v>19</v>
      </c>
      <c r="AE12" t="s">
        <v>20</v>
      </c>
      <c r="AG12">
        <v>1</v>
      </c>
    </row>
    <row r="13" spans="1:33">
      <c r="A13" t="s">
        <v>62</v>
      </c>
      <c r="B13" s="3" t="s">
        <v>347</v>
      </c>
      <c r="C13" s="3" t="s">
        <v>348</v>
      </c>
      <c r="G13" s="6" t="s">
        <v>851</v>
      </c>
      <c r="H13" s="6"/>
      <c r="I13" s="6"/>
      <c r="J13" s="6"/>
      <c r="K13" s="6"/>
      <c r="L13" s="6"/>
      <c r="M13" s="6"/>
      <c r="N13" s="7"/>
      <c r="O13" s="6"/>
      <c r="P13" s="6"/>
      <c r="Q13" s="6"/>
      <c r="R13" s="6" t="s">
        <v>963</v>
      </c>
      <c r="S13" s="6" t="s">
        <v>963</v>
      </c>
      <c r="T13" s="6"/>
      <c r="U13" s="6"/>
      <c r="V13" s="6"/>
      <c r="W13" s="6"/>
      <c r="X13" s="6"/>
      <c r="Y13" s="6"/>
      <c r="Z13" s="6"/>
      <c r="AA13" s="6"/>
      <c r="AB13" s="6"/>
      <c r="AC13" s="6"/>
      <c r="AD13" t="s">
        <v>19</v>
      </c>
      <c r="AE13" t="s">
        <v>19</v>
      </c>
      <c r="AG13">
        <v>1</v>
      </c>
    </row>
    <row r="14" spans="1:33">
      <c r="A14" t="s">
        <v>63</v>
      </c>
      <c r="B14" s="3" t="s">
        <v>349</v>
      </c>
      <c r="C14" s="3" t="s">
        <v>350</v>
      </c>
      <c r="G14" s="6" t="s">
        <v>25</v>
      </c>
      <c r="H14" s="6"/>
      <c r="I14" s="6">
        <v>1</v>
      </c>
      <c r="J14" s="6">
        <v>3</v>
      </c>
      <c r="K14" s="6" t="s">
        <v>825</v>
      </c>
      <c r="L14" s="6" t="s">
        <v>809</v>
      </c>
      <c r="M14" s="6"/>
      <c r="N14" s="7"/>
      <c r="O14" s="6"/>
      <c r="P14" s="6">
        <v>2475</v>
      </c>
      <c r="Q14" s="6"/>
      <c r="R14" s="6" t="s">
        <v>963</v>
      </c>
      <c r="S14" s="6" t="s">
        <v>963</v>
      </c>
      <c r="T14" s="6" t="s">
        <v>848</v>
      </c>
      <c r="U14" s="6"/>
      <c r="V14" s="6"/>
      <c r="W14" s="6"/>
      <c r="X14" s="6"/>
      <c r="Y14" s="6"/>
      <c r="Z14" s="6"/>
      <c r="AA14" s="6"/>
      <c r="AB14" s="6"/>
      <c r="AC14" s="6"/>
      <c r="AD14" t="s">
        <v>19</v>
      </c>
      <c r="AE14" t="s">
        <v>20</v>
      </c>
      <c r="AG14">
        <v>1</v>
      </c>
    </row>
    <row r="15" spans="1:33">
      <c r="A15" t="s">
        <v>63</v>
      </c>
      <c r="B15" s="3" t="s">
        <v>352</v>
      </c>
      <c r="C15" s="3" t="s">
        <v>351</v>
      </c>
      <c r="G15" s="6" t="s">
        <v>24</v>
      </c>
      <c r="H15" s="6"/>
      <c r="I15" s="6">
        <v>1</v>
      </c>
      <c r="J15" s="6">
        <v>1</v>
      </c>
      <c r="K15" s="6" t="s">
        <v>808</v>
      </c>
      <c r="L15" s="6" t="s">
        <v>850</v>
      </c>
      <c r="M15" s="6"/>
      <c r="N15" s="7"/>
      <c r="O15" s="6"/>
      <c r="P15" s="6">
        <v>2475</v>
      </c>
      <c r="Q15" s="6"/>
      <c r="R15" s="6" t="s">
        <v>963</v>
      </c>
      <c r="S15" s="6" t="s">
        <v>963</v>
      </c>
      <c r="T15" s="6"/>
      <c r="U15" s="6"/>
      <c r="V15" s="6"/>
      <c r="W15" s="6"/>
      <c r="X15" s="6"/>
      <c r="Y15" s="6"/>
      <c r="Z15" s="6"/>
      <c r="AA15" s="6"/>
      <c r="AB15" s="6"/>
      <c r="AC15" s="6"/>
      <c r="AD15" t="s">
        <v>19</v>
      </c>
      <c r="AE15" t="s">
        <v>19</v>
      </c>
      <c r="AG15">
        <v>1</v>
      </c>
    </row>
    <row r="16" spans="1:33" ht="29">
      <c r="A16" t="s">
        <v>64</v>
      </c>
      <c r="B16" s="3" t="s">
        <v>354</v>
      </c>
      <c r="C16" s="3" t="s">
        <v>353</v>
      </c>
      <c r="G16" s="6" t="s">
        <v>26</v>
      </c>
      <c r="H16" s="6"/>
      <c r="I16" s="6"/>
      <c r="J16" s="6"/>
      <c r="K16" s="6"/>
      <c r="L16" s="6"/>
      <c r="M16" s="6"/>
      <c r="N16" s="7"/>
      <c r="O16" s="6"/>
      <c r="P16" s="6"/>
      <c r="Q16" s="6"/>
      <c r="R16" s="6" t="s">
        <v>963</v>
      </c>
      <c r="S16" s="6" t="s">
        <v>963</v>
      </c>
      <c r="T16" s="6"/>
      <c r="U16" s="6"/>
      <c r="V16" s="6"/>
      <c r="W16" s="6"/>
      <c r="X16" s="6"/>
      <c r="Y16" s="6"/>
      <c r="Z16" s="6"/>
      <c r="AA16" s="6"/>
      <c r="AB16" s="6"/>
      <c r="AC16" s="6"/>
      <c r="AD16" t="s">
        <v>19</v>
      </c>
      <c r="AE16" t="s">
        <v>19</v>
      </c>
      <c r="AG16">
        <v>1</v>
      </c>
    </row>
    <row r="17" spans="1:33">
      <c r="A17" t="s">
        <v>64</v>
      </c>
      <c r="B17" s="3" t="s">
        <v>356</v>
      </c>
      <c r="C17" s="3" t="s">
        <v>355</v>
      </c>
      <c r="G17" s="6" t="s">
        <v>25</v>
      </c>
      <c r="H17" s="6"/>
      <c r="I17" s="6">
        <v>1</v>
      </c>
      <c r="J17" s="6">
        <v>2</v>
      </c>
      <c r="K17" s="6" t="s">
        <v>825</v>
      </c>
      <c r="L17" s="6" t="s">
        <v>850</v>
      </c>
      <c r="M17" s="6"/>
      <c r="N17" s="7"/>
      <c r="O17" s="6"/>
      <c r="P17" s="6">
        <v>312</v>
      </c>
      <c r="Q17" s="6"/>
      <c r="R17" s="6" t="s">
        <v>963</v>
      </c>
      <c r="S17" s="6" t="s">
        <v>963</v>
      </c>
      <c r="T17" s="6"/>
      <c r="U17" s="6"/>
      <c r="V17" s="6"/>
      <c r="W17" s="6"/>
      <c r="X17" s="6"/>
      <c r="Y17" s="6"/>
      <c r="Z17" s="6"/>
      <c r="AA17" s="6"/>
      <c r="AB17" s="6"/>
      <c r="AC17" s="6"/>
      <c r="AD17" t="s">
        <v>19</v>
      </c>
      <c r="AE17" t="s">
        <v>19</v>
      </c>
      <c r="AG17">
        <v>1</v>
      </c>
    </row>
    <row r="18" spans="1:33" ht="29">
      <c r="A18" t="s">
        <v>67</v>
      </c>
      <c r="B18" s="3" t="s">
        <v>357</v>
      </c>
      <c r="C18" s="3" t="s">
        <v>358</v>
      </c>
      <c r="G18" s="6" t="s">
        <v>849</v>
      </c>
      <c r="H18" s="6"/>
      <c r="I18" s="6"/>
      <c r="J18" s="6"/>
      <c r="K18" s="6"/>
      <c r="L18" s="6"/>
      <c r="M18" s="6"/>
      <c r="N18" s="7"/>
      <c r="O18" s="6"/>
      <c r="P18" s="6"/>
      <c r="Q18" s="6">
        <v>1530</v>
      </c>
      <c r="R18" s="6">
        <v>171</v>
      </c>
      <c r="S18" s="6">
        <v>1701</v>
      </c>
      <c r="T18" s="6"/>
      <c r="U18" s="6"/>
      <c r="V18" s="6"/>
      <c r="W18" s="6"/>
      <c r="X18" s="6"/>
      <c r="Y18" s="6"/>
      <c r="Z18" s="6"/>
      <c r="AA18" s="6"/>
      <c r="AB18" s="6"/>
      <c r="AC18" s="6"/>
      <c r="AD18" t="s">
        <v>19</v>
      </c>
      <c r="AE18" t="s">
        <v>19</v>
      </c>
      <c r="AG18">
        <v>1</v>
      </c>
    </row>
    <row r="19" spans="1:33" ht="29">
      <c r="A19" t="s">
        <v>67</v>
      </c>
      <c r="B19" s="3" t="s">
        <v>360</v>
      </c>
      <c r="C19" s="3" t="s">
        <v>361</v>
      </c>
      <c r="G19" s="6" t="s">
        <v>849</v>
      </c>
      <c r="H19" s="6"/>
      <c r="I19" s="6"/>
      <c r="J19" s="6"/>
      <c r="K19" s="6"/>
      <c r="L19" s="6"/>
      <c r="M19" s="6"/>
      <c r="N19" s="7"/>
      <c r="O19" s="6"/>
      <c r="P19" s="6"/>
      <c r="Q19" s="6">
        <v>447</v>
      </c>
      <c r="R19" s="6">
        <v>166</v>
      </c>
      <c r="S19" s="6">
        <v>613</v>
      </c>
      <c r="T19" s="6"/>
      <c r="U19" s="6"/>
      <c r="V19" s="6"/>
      <c r="W19" s="6"/>
      <c r="X19" s="6"/>
      <c r="Y19" s="6"/>
      <c r="Z19" s="6"/>
      <c r="AA19" s="6"/>
      <c r="AB19" s="6"/>
      <c r="AC19" s="6"/>
      <c r="AD19" t="s">
        <v>19</v>
      </c>
      <c r="AE19" t="s">
        <v>19</v>
      </c>
      <c r="AG19">
        <v>1</v>
      </c>
    </row>
    <row r="20" spans="1:33" ht="29">
      <c r="A20" t="s">
        <v>67</v>
      </c>
      <c r="B20" s="3" t="s">
        <v>362</v>
      </c>
      <c r="C20" s="3" t="s">
        <v>359</v>
      </c>
      <c r="G20" s="6" t="s">
        <v>25</v>
      </c>
      <c r="H20" s="6"/>
      <c r="I20" s="6">
        <v>1</v>
      </c>
      <c r="J20" s="6">
        <v>5</v>
      </c>
      <c r="K20" s="6" t="s">
        <v>825</v>
      </c>
      <c r="L20" s="6" t="s">
        <v>803</v>
      </c>
      <c r="M20" s="6" t="s">
        <v>868</v>
      </c>
      <c r="N20" s="7" t="s">
        <v>867</v>
      </c>
      <c r="O20" s="6"/>
      <c r="P20" s="6">
        <v>830</v>
      </c>
      <c r="Q20" s="6"/>
      <c r="R20" s="6" t="s">
        <v>963</v>
      </c>
      <c r="S20" s="6" t="s">
        <v>963</v>
      </c>
      <c r="T20" s="6"/>
      <c r="U20" s="6"/>
      <c r="V20" s="6"/>
      <c r="W20" s="6"/>
      <c r="X20" s="6"/>
      <c r="Y20" s="6"/>
      <c r="Z20" s="6"/>
      <c r="AA20" s="6"/>
      <c r="AB20" s="6"/>
      <c r="AC20" s="6"/>
      <c r="AD20" t="s">
        <v>19</v>
      </c>
      <c r="AE20" t="s">
        <v>19</v>
      </c>
      <c r="AG20">
        <v>1</v>
      </c>
    </row>
    <row r="21" spans="1:33">
      <c r="A21" t="s">
        <v>70</v>
      </c>
      <c r="B21" s="3" t="s">
        <v>71</v>
      </c>
      <c r="C21" s="3" t="s">
        <v>72</v>
      </c>
      <c r="G21" s="6" t="s">
        <v>851</v>
      </c>
      <c r="H21" s="6"/>
      <c r="I21" s="6"/>
      <c r="J21" s="6"/>
      <c r="K21" s="6"/>
      <c r="L21" s="6"/>
      <c r="M21" s="6"/>
      <c r="N21" s="7"/>
      <c r="O21" s="6"/>
      <c r="P21" s="6"/>
      <c r="Q21" s="6"/>
      <c r="R21" s="6" t="s">
        <v>963</v>
      </c>
      <c r="S21" s="6" t="s">
        <v>963</v>
      </c>
      <c r="T21" s="6"/>
      <c r="U21" s="6"/>
      <c r="V21" s="6"/>
      <c r="W21" s="6"/>
      <c r="X21" s="6"/>
      <c r="Y21" s="6"/>
      <c r="Z21" s="6"/>
      <c r="AA21" s="6"/>
      <c r="AB21" s="6"/>
      <c r="AC21" s="6"/>
      <c r="AD21" t="s">
        <v>19</v>
      </c>
      <c r="AE21" t="s">
        <v>19</v>
      </c>
      <c r="AG21">
        <v>1</v>
      </c>
    </row>
    <row r="22" spans="1:33">
      <c r="A22" t="s">
        <v>75</v>
      </c>
      <c r="B22" s="3" t="s">
        <v>363</v>
      </c>
      <c r="C22" s="3" t="s">
        <v>364</v>
      </c>
      <c r="G22" s="6" t="s">
        <v>24</v>
      </c>
      <c r="H22" s="6"/>
      <c r="I22" s="6">
        <v>1</v>
      </c>
      <c r="J22" s="6">
        <v>3</v>
      </c>
      <c r="K22" s="6" t="s">
        <v>818</v>
      </c>
      <c r="L22" s="6" t="s">
        <v>809</v>
      </c>
      <c r="M22" s="6"/>
      <c r="N22" s="7"/>
      <c r="O22" s="6"/>
      <c r="P22" s="6">
        <v>186</v>
      </c>
      <c r="Q22" s="6"/>
      <c r="R22" s="6" t="s">
        <v>963</v>
      </c>
      <c r="S22" s="6" t="s">
        <v>963</v>
      </c>
      <c r="T22" s="6"/>
      <c r="U22" s="6"/>
      <c r="V22" s="6"/>
      <c r="W22" s="6"/>
      <c r="X22" s="6"/>
      <c r="Y22" s="6"/>
      <c r="Z22" s="6"/>
      <c r="AA22" s="6"/>
      <c r="AB22" s="6"/>
      <c r="AC22" s="6"/>
      <c r="AD22" t="s">
        <v>19</v>
      </c>
      <c r="AE22" t="s">
        <v>19</v>
      </c>
      <c r="AG22">
        <v>1</v>
      </c>
    </row>
    <row r="23" spans="1:33">
      <c r="A23" t="s">
        <v>75</v>
      </c>
      <c r="B23" s="3" t="s">
        <v>366</v>
      </c>
      <c r="C23" s="3" t="s">
        <v>365</v>
      </c>
      <c r="G23" s="6" t="s">
        <v>851</v>
      </c>
      <c r="H23" s="6"/>
      <c r="I23" s="6"/>
      <c r="J23" s="6"/>
      <c r="K23" s="6"/>
      <c r="L23" s="6"/>
      <c r="M23" s="6"/>
      <c r="N23" s="7"/>
      <c r="O23" s="6"/>
      <c r="P23" s="6"/>
      <c r="Q23" s="6"/>
      <c r="R23" s="6" t="s">
        <v>963</v>
      </c>
      <c r="S23" s="6" t="s">
        <v>963</v>
      </c>
      <c r="T23" s="6"/>
      <c r="U23" s="6"/>
      <c r="V23" s="6"/>
      <c r="W23" s="6"/>
      <c r="X23" s="6"/>
      <c r="Y23" s="6"/>
      <c r="Z23" s="6"/>
      <c r="AA23" s="6"/>
      <c r="AB23" s="6"/>
      <c r="AC23" s="6"/>
      <c r="AD23" t="s">
        <v>20</v>
      </c>
      <c r="AE23" t="s">
        <v>20</v>
      </c>
      <c r="AG23">
        <v>0</v>
      </c>
    </row>
    <row r="24" spans="1:33">
      <c r="A24" t="s">
        <v>75</v>
      </c>
      <c r="B24" s="3" t="s">
        <v>368</v>
      </c>
      <c r="C24" s="3" t="s">
        <v>367</v>
      </c>
      <c r="G24" s="6" t="s">
        <v>24</v>
      </c>
      <c r="H24" s="6"/>
      <c r="I24" s="6">
        <v>1</v>
      </c>
      <c r="J24" s="6">
        <v>1</v>
      </c>
      <c r="K24" s="6" t="s">
        <v>808</v>
      </c>
      <c r="L24" s="6" t="s">
        <v>850</v>
      </c>
      <c r="M24" s="6"/>
      <c r="N24" s="7"/>
      <c r="O24" s="6"/>
      <c r="P24" s="6">
        <v>2475</v>
      </c>
      <c r="Q24" s="6"/>
      <c r="R24" s="6" t="s">
        <v>963</v>
      </c>
      <c r="S24" s="6" t="s">
        <v>963</v>
      </c>
      <c r="T24" s="6" t="s">
        <v>4</v>
      </c>
      <c r="U24" s="6"/>
      <c r="V24" s="6"/>
      <c r="W24" s="6"/>
      <c r="X24" s="6"/>
      <c r="Y24" s="6"/>
      <c r="Z24" s="6"/>
      <c r="AA24" s="6"/>
      <c r="AB24" s="6"/>
      <c r="AC24" s="6"/>
      <c r="AD24" t="s">
        <v>19</v>
      </c>
      <c r="AE24" t="s">
        <v>19</v>
      </c>
      <c r="AG24">
        <v>1</v>
      </c>
    </row>
    <row r="25" spans="1:33" ht="29">
      <c r="A25" t="s">
        <v>75</v>
      </c>
      <c r="B25" s="3" t="s">
        <v>370</v>
      </c>
      <c r="C25" s="3" t="s">
        <v>369</v>
      </c>
      <c r="G25" s="6" t="s">
        <v>26</v>
      </c>
      <c r="H25" s="6"/>
      <c r="I25" s="6">
        <v>2</v>
      </c>
      <c r="J25" s="6">
        <v>6</v>
      </c>
      <c r="K25" s="6"/>
      <c r="L25" s="6" t="s">
        <v>809</v>
      </c>
      <c r="M25" s="6"/>
      <c r="N25" s="7"/>
      <c r="O25" s="6"/>
      <c r="P25" s="6">
        <v>112</v>
      </c>
      <c r="Q25" s="6"/>
      <c r="R25" s="6" t="s">
        <v>963</v>
      </c>
      <c r="S25" s="6" t="s">
        <v>963</v>
      </c>
      <c r="T25" s="6"/>
      <c r="U25" s="6"/>
      <c r="V25" s="6"/>
      <c r="W25" s="6"/>
      <c r="X25" s="6"/>
      <c r="Y25" s="6"/>
      <c r="Z25" s="6"/>
      <c r="AA25" s="6"/>
      <c r="AB25" s="6"/>
      <c r="AC25" s="6"/>
      <c r="AD25" t="s">
        <v>19</v>
      </c>
      <c r="AE25" t="s">
        <v>19</v>
      </c>
      <c r="AG25">
        <v>1</v>
      </c>
    </row>
    <row r="26" spans="1:33">
      <c r="A26" t="s">
        <v>76</v>
      </c>
      <c r="B26" s="3" t="s">
        <v>371</v>
      </c>
      <c r="C26" s="3" t="s">
        <v>372</v>
      </c>
      <c r="G26" s="6" t="s">
        <v>25</v>
      </c>
      <c r="H26" s="6"/>
      <c r="I26" s="6">
        <v>1</v>
      </c>
      <c r="J26" s="6">
        <v>3</v>
      </c>
      <c r="K26" s="6" t="s">
        <v>818</v>
      </c>
      <c r="L26" s="6" t="s">
        <v>809</v>
      </c>
      <c r="M26" s="6"/>
      <c r="N26" s="7"/>
      <c r="O26" s="6"/>
      <c r="P26" s="6">
        <v>186</v>
      </c>
      <c r="Q26" s="6"/>
      <c r="R26" s="6" t="s">
        <v>963</v>
      </c>
      <c r="S26" s="6" t="s">
        <v>963</v>
      </c>
      <c r="T26" s="6"/>
      <c r="U26" s="6"/>
      <c r="V26" s="6"/>
      <c r="W26" s="6"/>
      <c r="X26" s="6"/>
      <c r="Y26" s="6"/>
      <c r="Z26" s="6"/>
      <c r="AA26" s="6"/>
      <c r="AB26" s="6"/>
      <c r="AC26" s="6"/>
      <c r="AD26" t="s">
        <v>19</v>
      </c>
      <c r="AE26" t="s">
        <v>19</v>
      </c>
      <c r="AG26">
        <v>1</v>
      </c>
    </row>
    <row r="27" spans="1:33">
      <c r="A27" t="s">
        <v>76</v>
      </c>
      <c r="B27" s="3" t="s">
        <v>374</v>
      </c>
      <c r="C27" s="3" t="s">
        <v>373</v>
      </c>
      <c r="G27" s="6" t="s">
        <v>851</v>
      </c>
      <c r="H27" s="6"/>
      <c r="I27" s="6"/>
      <c r="J27" s="6"/>
      <c r="K27" s="6"/>
      <c r="L27" s="6"/>
      <c r="M27" s="6"/>
      <c r="N27" s="7"/>
      <c r="O27" s="6"/>
      <c r="P27" s="6"/>
      <c r="Q27" s="6"/>
      <c r="R27" s="6" t="s">
        <v>963</v>
      </c>
      <c r="S27" s="6" t="s">
        <v>963</v>
      </c>
      <c r="T27" s="6"/>
      <c r="U27" s="6"/>
      <c r="V27" s="6"/>
      <c r="W27" s="6"/>
      <c r="X27" s="6"/>
      <c r="Y27" s="6"/>
      <c r="Z27" s="6"/>
      <c r="AA27" s="6"/>
      <c r="AB27" s="6"/>
      <c r="AC27" s="6"/>
      <c r="AD27" t="s">
        <v>19</v>
      </c>
      <c r="AE27" t="s">
        <v>19</v>
      </c>
      <c r="AG27">
        <v>1</v>
      </c>
    </row>
    <row r="28" spans="1:33" ht="43.5">
      <c r="A28" t="s">
        <v>79</v>
      </c>
      <c r="B28" s="3" t="s">
        <v>376</v>
      </c>
      <c r="C28" s="3" t="s">
        <v>884</v>
      </c>
      <c r="G28" s="6" t="s">
        <v>26</v>
      </c>
      <c r="H28" s="6"/>
      <c r="I28" s="6"/>
      <c r="J28" s="6"/>
      <c r="K28" s="6"/>
      <c r="L28" s="6"/>
      <c r="M28" s="6"/>
      <c r="N28" s="7"/>
      <c r="O28" s="6"/>
      <c r="P28" s="6"/>
      <c r="Q28" s="6"/>
      <c r="R28" s="6" t="s">
        <v>963</v>
      </c>
      <c r="S28" s="6" t="s">
        <v>963</v>
      </c>
      <c r="T28" s="6" t="s">
        <v>848</v>
      </c>
      <c r="U28" s="6"/>
      <c r="V28" s="6"/>
      <c r="W28" s="6"/>
      <c r="X28" s="6"/>
      <c r="Y28" s="6"/>
      <c r="Z28" s="6"/>
      <c r="AA28" s="6"/>
      <c r="AB28" s="6"/>
      <c r="AC28" s="6"/>
      <c r="AD28" t="s">
        <v>19</v>
      </c>
      <c r="AE28" t="s">
        <v>19</v>
      </c>
      <c r="AG28">
        <v>1</v>
      </c>
    </row>
    <row r="29" spans="1:33" ht="43.5">
      <c r="A29" t="s">
        <v>79</v>
      </c>
      <c r="B29" s="3" t="s">
        <v>375</v>
      </c>
      <c r="C29" s="3" t="s">
        <v>883</v>
      </c>
      <c r="G29" s="6" t="s">
        <v>24</v>
      </c>
      <c r="H29" s="6"/>
      <c r="I29" s="6">
        <v>1</v>
      </c>
      <c r="J29" s="6">
        <v>3</v>
      </c>
      <c r="K29" s="6" t="s">
        <v>818</v>
      </c>
      <c r="L29" s="6" t="s">
        <v>803</v>
      </c>
      <c r="M29" s="6" t="s">
        <v>866</v>
      </c>
      <c r="N29" s="7" t="s">
        <v>867</v>
      </c>
      <c r="O29" s="6"/>
      <c r="P29" s="6">
        <v>1701</v>
      </c>
      <c r="Q29" s="6"/>
      <c r="R29" s="6" t="s">
        <v>963</v>
      </c>
      <c r="S29" s="6" t="s">
        <v>963</v>
      </c>
      <c r="T29" s="6"/>
      <c r="U29" s="6"/>
      <c r="V29" s="6"/>
      <c r="W29" s="6"/>
      <c r="X29" s="6"/>
      <c r="Y29" s="6"/>
      <c r="Z29" s="6"/>
      <c r="AA29" s="6"/>
      <c r="AB29" s="6"/>
      <c r="AC29" s="6"/>
      <c r="AD29" t="s">
        <v>19</v>
      </c>
      <c r="AE29" t="s">
        <v>20</v>
      </c>
      <c r="AG29">
        <v>1</v>
      </c>
    </row>
    <row r="30" spans="1:33" ht="145">
      <c r="A30" t="s">
        <v>80</v>
      </c>
      <c r="B30" s="3" t="s">
        <v>889</v>
      </c>
      <c r="C30" s="3" t="s">
        <v>890</v>
      </c>
      <c r="G30" s="6" t="s">
        <v>26</v>
      </c>
      <c r="H30" s="6"/>
      <c r="I30" s="6"/>
      <c r="J30" s="6"/>
      <c r="K30" s="6"/>
      <c r="L30" s="6"/>
      <c r="M30" s="6"/>
      <c r="N30" s="7"/>
      <c r="O30" s="6"/>
      <c r="P30" s="6"/>
      <c r="Q30" s="6"/>
      <c r="R30" s="6" t="s">
        <v>963</v>
      </c>
      <c r="S30" s="6" t="s">
        <v>963</v>
      </c>
      <c r="T30" s="6"/>
      <c r="U30" s="6"/>
      <c r="V30" s="6"/>
      <c r="W30" s="6"/>
      <c r="X30" s="6"/>
      <c r="Y30" s="6"/>
      <c r="Z30" s="6"/>
      <c r="AA30" s="6"/>
      <c r="AB30" s="6"/>
      <c r="AC30" s="6" t="s">
        <v>19</v>
      </c>
      <c r="AD30" t="s">
        <v>19</v>
      </c>
      <c r="AE30" t="s">
        <v>20</v>
      </c>
      <c r="AG30">
        <v>1</v>
      </c>
    </row>
    <row r="31" spans="1:33" ht="145">
      <c r="A31" t="s">
        <v>80</v>
      </c>
      <c r="B31" s="3" t="s">
        <v>886</v>
      </c>
      <c r="C31" s="3" t="s">
        <v>891</v>
      </c>
      <c r="G31" s="6" t="s">
        <v>24</v>
      </c>
      <c r="H31" s="6"/>
      <c r="I31" s="6">
        <v>1</v>
      </c>
      <c r="J31" s="6">
        <v>4</v>
      </c>
      <c r="K31" s="6" t="s">
        <v>818</v>
      </c>
      <c r="L31" s="6" t="s">
        <v>809</v>
      </c>
      <c r="M31" s="6"/>
      <c r="N31" s="7"/>
      <c r="O31" s="6"/>
      <c r="P31" s="6">
        <v>55</v>
      </c>
      <c r="Q31" s="6"/>
      <c r="R31" s="6" t="s">
        <v>963</v>
      </c>
      <c r="S31" s="6" t="s">
        <v>963</v>
      </c>
      <c r="T31" s="6"/>
      <c r="U31" s="6"/>
      <c r="V31" s="6"/>
      <c r="W31" s="6"/>
      <c r="X31" s="6"/>
      <c r="Y31" s="6"/>
      <c r="Z31" s="6"/>
      <c r="AA31" s="6"/>
      <c r="AB31" s="6"/>
      <c r="AC31" s="6"/>
      <c r="AD31" t="s">
        <v>19</v>
      </c>
      <c r="AE31" t="s">
        <v>20</v>
      </c>
      <c r="AG31">
        <v>1</v>
      </c>
    </row>
    <row r="32" spans="1:33" ht="145">
      <c r="A32" t="s">
        <v>81</v>
      </c>
      <c r="B32" s="3" t="s">
        <v>892</v>
      </c>
      <c r="C32" s="3" t="s">
        <v>887</v>
      </c>
      <c r="G32" s="6" t="s">
        <v>25</v>
      </c>
      <c r="H32" s="6"/>
      <c r="I32" s="6">
        <v>5</v>
      </c>
      <c r="J32" s="6">
        <v>20</v>
      </c>
      <c r="K32" s="6"/>
      <c r="L32" s="6" t="s">
        <v>809</v>
      </c>
      <c r="M32" s="6"/>
      <c r="N32" s="7"/>
      <c r="O32" s="6"/>
      <c r="P32" s="6">
        <v>34</v>
      </c>
      <c r="Q32" s="6"/>
      <c r="R32" s="6" t="s">
        <v>963</v>
      </c>
      <c r="S32" s="6" t="s">
        <v>963</v>
      </c>
      <c r="T32" s="6"/>
      <c r="U32" s="6"/>
      <c r="V32" s="6"/>
      <c r="W32" s="6"/>
      <c r="X32" s="6"/>
      <c r="Y32" s="6"/>
      <c r="Z32" s="6"/>
      <c r="AA32" s="6"/>
      <c r="AB32" s="6"/>
      <c r="AC32" s="6"/>
      <c r="AD32" t="s">
        <v>19</v>
      </c>
      <c r="AE32" t="s">
        <v>20</v>
      </c>
      <c r="AG32">
        <v>1</v>
      </c>
    </row>
    <row r="33" spans="1:33" ht="29">
      <c r="A33" t="s">
        <v>83</v>
      </c>
      <c r="B33" s="3" t="s">
        <v>1006</v>
      </c>
      <c r="C33" s="3" t="s">
        <v>1007</v>
      </c>
      <c r="G33" s="6" t="s">
        <v>26</v>
      </c>
      <c r="H33" s="6"/>
      <c r="I33" s="6"/>
      <c r="J33" s="6"/>
      <c r="K33" s="6"/>
      <c r="L33" s="6"/>
      <c r="M33" s="6"/>
      <c r="N33" s="7"/>
      <c r="O33" s="6"/>
      <c r="P33" s="6"/>
      <c r="Q33" s="6"/>
      <c r="R33" s="6" t="s">
        <v>963</v>
      </c>
      <c r="S33" s="6" t="s">
        <v>963</v>
      </c>
      <c r="T33" s="6"/>
      <c r="U33" s="6"/>
      <c r="V33" s="6"/>
      <c r="W33" s="6"/>
      <c r="X33" s="6"/>
      <c r="Y33" s="6"/>
      <c r="Z33" s="6"/>
      <c r="AA33" s="6"/>
      <c r="AB33" s="6"/>
      <c r="AC33" s="6"/>
      <c r="AD33" t="s">
        <v>19</v>
      </c>
      <c r="AE33" t="s">
        <v>19</v>
      </c>
      <c r="AG33">
        <v>1</v>
      </c>
    </row>
    <row r="34" spans="1:33" ht="29">
      <c r="A34" t="s">
        <v>83</v>
      </c>
      <c r="B34" s="3" t="s">
        <v>1008</v>
      </c>
      <c r="C34" s="3" t="s">
        <v>1009</v>
      </c>
      <c r="G34" s="6" t="s">
        <v>851</v>
      </c>
      <c r="H34" s="6"/>
      <c r="I34" s="6"/>
      <c r="J34" s="6"/>
      <c r="K34" s="6"/>
      <c r="L34" s="6"/>
      <c r="M34" s="6"/>
      <c r="N34" s="7"/>
      <c r="O34" s="6"/>
      <c r="P34" s="6"/>
      <c r="Q34" s="6"/>
      <c r="R34" s="6" t="s">
        <v>963</v>
      </c>
      <c r="S34" s="6" t="s">
        <v>963</v>
      </c>
      <c r="T34" s="6"/>
      <c r="U34" s="6"/>
      <c r="V34" s="6"/>
      <c r="W34" s="6"/>
      <c r="X34" s="6"/>
      <c r="Y34" s="6"/>
      <c r="Z34" s="6"/>
      <c r="AA34" s="6"/>
      <c r="AB34" s="6"/>
      <c r="AC34" s="6"/>
      <c r="AD34" t="s">
        <v>19</v>
      </c>
      <c r="AG34">
        <v>1</v>
      </c>
    </row>
    <row r="35" spans="1:33" ht="29">
      <c r="A35" t="s">
        <v>84</v>
      </c>
      <c r="B35" s="3" t="s">
        <v>380</v>
      </c>
      <c r="C35" s="3" t="s">
        <v>379</v>
      </c>
      <c r="G35" s="6" t="s">
        <v>25</v>
      </c>
      <c r="H35" s="6"/>
      <c r="I35" s="6">
        <v>1</v>
      </c>
      <c r="J35" s="6">
        <v>5</v>
      </c>
      <c r="K35" s="6" t="s">
        <v>825</v>
      </c>
      <c r="L35" s="6" t="s">
        <v>809</v>
      </c>
      <c r="M35" s="6"/>
      <c r="N35" s="7"/>
      <c r="O35" s="6"/>
      <c r="P35" s="6">
        <v>830</v>
      </c>
      <c r="Q35" s="6"/>
      <c r="R35" s="6" t="s">
        <v>963</v>
      </c>
      <c r="S35" s="6" t="s">
        <v>963</v>
      </c>
      <c r="T35" s="6"/>
      <c r="U35" s="6"/>
      <c r="V35" s="6"/>
      <c r="W35" s="6"/>
      <c r="X35" s="6"/>
      <c r="Y35" s="6"/>
      <c r="Z35" s="6"/>
      <c r="AA35" s="6"/>
      <c r="AB35" s="6"/>
      <c r="AC35" s="6"/>
      <c r="AD35" t="s">
        <v>19</v>
      </c>
      <c r="AE35" t="s">
        <v>20</v>
      </c>
      <c r="AG35">
        <v>1</v>
      </c>
    </row>
    <row r="36" spans="1:33">
      <c r="A36" t="s">
        <v>84</v>
      </c>
      <c r="B36" s="3" t="s">
        <v>382</v>
      </c>
      <c r="C36" s="3" t="s">
        <v>385</v>
      </c>
      <c r="G36" s="6" t="s">
        <v>24</v>
      </c>
      <c r="H36" s="6"/>
      <c r="I36" s="6">
        <v>1</v>
      </c>
      <c r="J36" s="6">
        <v>5</v>
      </c>
      <c r="K36" s="6" t="s">
        <v>825</v>
      </c>
      <c r="L36" s="6" t="s">
        <v>809</v>
      </c>
      <c r="M36" s="6"/>
      <c r="N36" s="7"/>
      <c r="O36" s="6"/>
      <c r="P36" s="6">
        <v>830</v>
      </c>
      <c r="Q36" s="6"/>
      <c r="R36" s="6" t="s">
        <v>963</v>
      </c>
      <c r="S36" s="6" t="s">
        <v>963</v>
      </c>
      <c r="T36" s="6"/>
      <c r="U36" s="6"/>
      <c r="V36" s="6"/>
      <c r="W36" s="6"/>
      <c r="X36" s="6"/>
      <c r="Y36" s="6"/>
      <c r="Z36" s="6"/>
      <c r="AA36" s="6"/>
      <c r="AB36" s="6"/>
      <c r="AC36" s="6"/>
      <c r="AD36" t="s">
        <v>19</v>
      </c>
      <c r="AE36" t="s">
        <v>19</v>
      </c>
      <c r="AG36">
        <v>1</v>
      </c>
    </row>
    <row r="37" spans="1:33" ht="29">
      <c r="A37" t="s">
        <v>87</v>
      </c>
      <c r="B37" s="3" t="s">
        <v>389</v>
      </c>
      <c r="C37" s="3" t="s">
        <v>386</v>
      </c>
      <c r="G37" s="6" t="s">
        <v>25</v>
      </c>
      <c r="H37" s="6"/>
      <c r="I37" s="6">
        <v>1</v>
      </c>
      <c r="J37" s="6">
        <v>5</v>
      </c>
      <c r="K37" s="6" t="s">
        <v>825</v>
      </c>
      <c r="L37" s="6" t="s">
        <v>803</v>
      </c>
      <c r="M37" s="6" t="s">
        <v>868</v>
      </c>
      <c r="N37" s="7" t="s">
        <v>867</v>
      </c>
      <c r="O37" s="6"/>
      <c r="P37" s="6">
        <v>830</v>
      </c>
      <c r="Q37" s="6"/>
      <c r="R37" s="6" t="s">
        <v>963</v>
      </c>
      <c r="S37" s="6" t="s">
        <v>963</v>
      </c>
      <c r="T37" s="6"/>
      <c r="U37" s="6"/>
      <c r="V37" s="6"/>
      <c r="W37" s="6"/>
      <c r="X37" s="6"/>
      <c r="Y37" s="6"/>
      <c r="Z37" s="6"/>
      <c r="AA37" s="6"/>
      <c r="AB37" s="6"/>
      <c r="AC37" s="6"/>
      <c r="AD37" t="s">
        <v>19</v>
      </c>
      <c r="AE37" t="s">
        <v>19</v>
      </c>
      <c r="AG37">
        <v>1</v>
      </c>
    </row>
    <row r="38" spans="1:33" ht="58">
      <c r="A38" t="s">
        <v>87</v>
      </c>
      <c r="B38" s="3" t="s">
        <v>392</v>
      </c>
      <c r="C38" s="3" t="s">
        <v>393</v>
      </c>
      <c r="G38" s="6" t="s">
        <v>849</v>
      </c>
      <c r="H38" s="6"/>
      <c r="I38" s="6"/>
      <c r="J38" s="6"/>
      <c r="K38" s="6"/>
      <c r="L38" s="6"/>
      <c r="M38" s="6"/>
      <c r="N38" s="7"/>
      <c r="O38" s="6"/>
      <c r="P38" s="6"/>
      <c r="Q38" s="6">
        <v>5</v>
      </c>
      <c r="R38" s="6">
        <v>10</v>
      </c>
      <c r="S38" s="6">
        <v>15</v>
      </c>
      <c r="T38" s="6"/>
      <c r="U38" s="6"/>
      <c r="V38" s="6"/>
      <c r="W38" s="6"/>
      <c r="X38" s="6"/>
      <c r="Y38" s="6"/>
      <c r="Z38" s="6"/>
      <c r="AA38" s="6"/>
      <c r="AB38" s="6"/>
      <c r="AC38" s="6"/>
      <c r="AD38" t="s">
        <v>19</v>
      </c>
      <c r="AE38" t="s">
        <v>19</v>
      </c>
      <c r="AG38">
        <v>1</v>
      </c>
    </row>
    <row r="39" spans="1:33" ht="58">
      <c r="A39" t="s">
        <v>87</v>
      </c>
      <c r="B39" s="3" t="s">
        <v>390</v>
      </c>
      <c r="C39" s="3" t="s">
        <v>394</v>
      </c>
      <c r="G39" s="6" t="s">
        <v>24</v>
      </c>
      <c r="H39" s="6"/>
      <c r="I39" s="6">
        <v>1</v>
      </c>
      <c r="J39" s="6">
        <v>3</v>
      </c>
      <c r="K39" s="6" t="s">
        <v>808</v>
      </c>
      <c r="L39" s="6" t="s">
        <v>809</v>
      </c>
      <c r="M39" s="6"/>
      <c r="N39" s="7"/>
      <c r="O39" s="6"/>
      <c r="P39" s="6">
        <v>2475</v>
      </c>
      <c r="Q39" s="6"/>
      <c r="R39" s="6" t="s">
        <v>963</v>
      </c>
      <c r="S39" s="6" t="s">
        <v>963</v>
      </c>
      <c r="T39" s="6"/>
      <c r="U39" s="6"/>
      <c r="V39" s="6"/>
      <c r="W39" s="6"/>
      <c r="X39" s="6"/>
      <c r="Y39" s="6"/>
      <c r="Z39" s="6"/>
      <c r="AA39" s="6"/>
      <c r="AB39" s="6"/>
      <c r="AC39" s="6"/>
      <c r="AD39" t="s">
        <v>19</v>
      </c>
      <c r="AE39" t="s">
        <v>19</v>
      </c>
      <c r="AG39">
        <v>1</v>
      </c>
    </row>
    <row r="40" spans="1:33" ht="58">
      <c r="A40" t="s">
        <v>87</v>
      </c>
      <c r="B40" s="3" t="s">
        <v>395</v>
      </c>
      <c r="C40" s="3" t="s">
        <v>391</v>
      </c>
      <c r="G40" s="6" t="s">
        <v>25</v>
      </c>
      <c r="H40" s="6"/>
      <c r="I40" s="6">
        <v>1</v>
      </c>
      <c r="J40" s="6">
        <v>5</v>
      </c>
      <c r="K40" s="6" t="s">
        <v>829</v>
      </c>
      <c r="L40" s="6" t="s">
        <v>809</v>
      </c>
      <c r="M40" s="6"/>
      <c r="N40" s="7"/>
      <c r="O40" s="6"/>
      <c r="P40" s="6">
        <v>168</v>
      </c>
      <c r="Q40" s="6"/>
      <c r="R40" s="6" t="s">
        <v>963</v>
      </c>
      <c r="S40" s="6" t="s">
        <v>963</v>
      </c>
      <c r="T40" s="6"/>
      <c r="U40" s="6"/>
      <c r="V40" s="6"/>
      <c r="W40" s="6"/>
      <c r="X40" s="6"/>
      <c r="Y40" s="6"/>
      <c r="Z40" s="6"/>
      <c r="AA40" s="6"/>
      <c r="AB40" s="6"/>
      <c r="AC40" s="6"/>
      <c r="AD40" t="s">
        <v>19</v>
      </c>
      <c r="AE40" t="s">
        <v>20</v>
      </c>
      <c r="AG40">
        <v>1</v>
      </c>
    </row>
    <row r="41" spans="1:33">
      <c r="A41" t="s">
        <v>88</v>
      </c>
      <c r="B41" s="3" t="s">
        <v>396</v>
      </c>
      <c r="C41" s="3" t="s">
        <v>397</v>
      </c>
      <c r="G41" s="6" t="s">
        <v>26</v>
      </c>
      <c r="H41" s="6"/>
      <c r="I41" s="6"/>
      <c r="J41" s="6"/>
      <c r="K41" s="6"/>
      <c r="L41" s="6"/>
      <c r="M41" s="6"/>
      <c r="N41" s="7"/>
      <c r="O41" s="6"/>
      <c r="P41" s="6"/>
      <c r="Q41" s="6"/>
      <c r="R41" s="6" t="s">
        <v>963</v>
      </c>
      <c r="S41" s="6" t="s">
        <v>963</v>
      </c>
      <c r="T41" s="6"/>
      <c r="U41" s="6"/>
      <c r="V41" s="6"/>
      <c r="W41" s="6"/>
      <c r="X41" s="6"/>
      <c r="Y41" s="6"/>
      <c r="Z41" s="6"/>
      <c r="AA41" s="6"/>
      <c r="AB41" s="6"/>
      <c r="AC41" s="6"/>
      <c r="AD41" t="s">
        <v>19</v>
      </c>
      <c r="AE41" t="s">
        <v>19</v>
      </c>
      <c r="AG41">
        <v>1</v>
      </c>
    </row>
    <row r="42" spans="1:33" ht="29">
      <c r="A42" t="s">
        <v>88</v>
      </c>
      <c r="B42" s="3" t="s">
        <v>401</v>
      </c>
      <c r="C42" s="3" t="s">
        <v>398</v>
      </c>
      <c r="G42" s="6" t="s">
        <v>25</v>
      </c>
      <c r="H42" s="6"/>
      <c r="I42" s="6">
        <v>3</v>
      </c>
      <c r="J42" s="6">
        <v>10</v>
      </c>
      <c r="K42" s="6"/>
      <c r="L42" s="6" t="s">
        <v>809</v>
      </c>
      <c r="M42" s="6"/>
      <c r="N42" s="7"/>
      <c r="O42" s="6"/>
      <c r="P42" s="6">
        <v>7</v>
      </c>
      <c r="Q42" s="6"/>
      <c r="R42" s="6" t="s">
        <v>963</v>
      </c>
      <c r="S42" s="6" t="s">
        <v>963</v>
      </c>
      <c r="T42" s="6"/>
      <c r="U42" s="6"/>
      <c r="V42" s="6"/>
      <c r="W42" s="6"/>
      <c r="X42" s="6"/>
      <c r="Y42" s="6"/>
      <c r="Z42" s="6"/>
      <c r="AA42" s="6"/>
      <c r="AB42" s="6"/>
      <c r="AC42" s="6"/>
      <c r="AD42" t="s">
        <v>19</v>
      </c>
      <c r="AE42" t="s">
        <v>19</v>
      </c>
      <c r="AG42">
        <v>1</v>
      </c>
    </row>
    <row r="43" spans="1:33" ht="29">
      <c r="A43" t="s">
        <v>88</v>
      </c>
      <c r="B43" s="3" t="s">
        <v>406</v>
      </c>
      <c r="C43" s="3" t="s">
        <v>407</v>
      </c>
      <c r="G43" s="6" t="s">
        <v>851</v>
      </c>
      <c r="H43" s="6"/>
      <c r="I43" s="6"/>
      <c r="J43" s="6"/>
      <c r="K43" s="6"/>
      <c r="L43" s="6"/>
      <c r="M43" s="6"/>
      <c r="N43" s="7"/>
      <c r="O43" s="6"/>
      <c r="P43" s="6"/>
      <c r="Q43" s="6"/>
      <c r="R43" s="6" t="s">
        <v>963</v>
      </c>
      <c r="S43" s="6" t="s">
        <v>963</v>
      </c>
      <c r="T43" s="6"/>
      <c r="U43" s="6"/>
      <c r="V43" s="6"/>
      <c r="W43" s="6"/>
      <c r="X43" s="6"/>
      <c r="Y43" s="6"/>
      <c r="Z43" s="6"/>
      <c r="AA43" s="6"/>
      <c r="AB43" s="6"/>
      <c r="AC43" s="6"/>
      <c r="AD43" t="s">
        <v>19</v>
      </c>
      <c r="AE43" t="s">
        <v>19</v>
      </c>
      <c r="AG43">
        <v>1</v>
      </c>
    </row>
    <row r="44" spans="1:33">
      <c r="A44" t="s">
        <v>88</v>
      </c>
      <c r="B44" s="3" t="s">
        <v>408</v>
      </c>
      <c r="C44" s="3" t="s">
        <v>409</v>
      </c>
      <c r="G44" s="6" t="s">
        <v>25</v>
      </c>
      <c r="H44" s="6"/>
      <c r="I44" s="6">
        <v>1</v>
      </c>
      <c r="J44" s="6">
        <v>3</v>
      </c>
      <c r="K44" s="6" t="s">
        <v>818</v>
      </c>
      <c r="L44" s="6" t="s">
        <v>809</v>
      </c>
      <c r="M44" s="6"/>
      <c r="N44" s="7"/>
      <c r="O44" s="6"/>
      <c r="P44" s="6">
        <v>1701</v>
      </c>
      <c r="Q44" s="6"/>
      <c r="R44" s="6" t="s">
        <v>963</v>
      </c>
      <c r="S44" s="6" t="s">
        <v>963</v>
      </c>
      <c r="T44" s="6"/>
      <c r="U44" s="6"/>
      <c r="V44" s="6"/>
      <c r="W44" s="6"/>
      <c r="X44" s="6"/>
      <c r="Y44" s="6"/>
      <c r="Z44" s="6"/>
      <c r="AA44" s="6"/>
      <c r="AB44" s="6"/>
      <c r="AC44" s="6"/>
      <c r="AD44" t="s">
        <v>19</v>
      </c>
      <c r="AE44" t="s">
        <v>19</v>
      </c>
      <c r="AG44">
        <v>1</v>
      </c>
    </row>
    <row r="45" spans="1:33">
      <c r="A45" t="s">
        <v>89</v>
      </c>
      <c r="B45" s="3" t="s">
        <v>312</v>
      </c>
      <c r="C45" s="3" t="s">
        <v>90</v>
      </c>
      <c r="G45" s="6" t="s">
        <v>851</v>
      </c>
      <c r="H45" s="6"/>
      <c r="I45" s="6"/>
      <c r="J45" s="6"/>
      <c r="K45" s="6"/>
      <c r="L45" s="6"/>
      <c r="M45" s="6"/>
      <c r="N45" s="7"/>
      <c r="O45" s="6"/>
      <c r="P45" s="6"/>
      <c r="Q45" s="6"/>
      <c r="R45" s="6" t="s">
        <v>963</v>
      </c>
      <c r="S45" s="6" t="s">
        <v>963</v>
      </c>
      <c r="T45" s="6"/>
      <c r="U45" s="6"/>
      <c r="V45" s="6"/>
      <c r="W45" s="6"/>
      <c r="X45" s="6"/>
      <c r="Y45" s="6"/>
      <c r="Z45" s="6"/>
      <c r="AA45" s="6"/>
      <c r="AB45" s="6"/>
      <c r="AC45" s="6"/>
      <c r="AD45" t="s">
        <v>19</v>
      </c>
      <c r="AE45" t="s">
        <v>20</v>
      </c>
      <c r="AG45">
        <v>1</v>
      </c>
    </row>
    <row r="46" spans="1:33">
      <c r="A46" t="s">
        <v>89</v>
      </c>
      <c r="B46" s="3" t="s">
        <v>411</v>
      </c>
      <c r="C46" s="3" t="s">
        <v>410</v>
      </c>
      <c r="G46" s="6" t="s">
        <v>851</v>
      </c>
      <c r="H46" s="6"/>
      <c r="I46" s="6"/>
      <c r="J46" s="6"/>
      <c r="K46" s="6"/>
      <c r="L46" s="6"/>
      <c r="M46" s="6"/>
      <c r="N46" s="7"/>
      <c r="O46" s="6"/>
      <c r="P46" s="6"/>
      <c r="Q46" s="6"/>
      <c r="R46" s="6" t="s">
        <v>963</v>
      </c>
      <c r="S46" s="6" t="s">
        <v>963</v>
      </c>
      <c r="T46" s="6"/>
      <c r="U46" s="6"/>
      <c r="V46" s="6"/>
      <c r="W46" s="6"/>
      <c r="X46" s="6"/>
      <c r="Y46" s="6"/>
      <c r="Z46" s="6"/>
      <c r="AA46" s="6"/>
      <c r="AB46" s="6"/>
      <c r="AC46" s="6"/>
      <c r="AD46" t="s">
        <v>19</v>
      </c>
      <c r="AE46" t="s">
        <v>19</v>
      </c>
      <c r="AG46">
        <v>1</v>
      </c>
    </row>
    <row r="47" spans="1:33">
      <c r="A47" t="s">
        <v>89</v>
      </c>
      <c r="B47" s="3" t="s">
        <v>313</v>
      </c>
      <c r="C47" s="3" t="s">
        <v>91</v>
      </c>
      <c r="F47" t="s">
        <v>19</v>
      </c>
      <c r="G47" s="6" t="s">
        <v>849</v>
      </c>
      <c r="H47" s="6"/>
      <c r="I47" s="6"/>
      <c r="J47" s="6"/>
      <c r="K47" s="6"/>
      <c r="L47" s="6"/>
      <c r="M47" s="6"/>
      <c r="N47" s="7"/>
      <c r="O47" s="6"/>
      <c r="P47" s="6"/>
      <c r="Q47" s="6">
        <v>-1</v>
      </c>
      <c r="R47" s="6">
        <v>1</v>
      </c>
      <c r="S47" s="6">
        <v>0</v>
      </c>
      <c r="T47" s="6"/>
      <c r="U47" s="6"/>
      <c r="V47" s="6"/>
      <c r="W47" s="6"/>
      <c r="X47" s="6"/>
      <c r="Y47" s="6"/>
      <c r="Z47" s="6"/>
      <c r="AA47" s="6"/>
      <c r="AB47" s="6"/>
      <c r="AC47" s="6"/>
      <c r="AD47" t="s">
        <v>20</v>
      </c>
      <c r="AE47" t="s">
        <v>20</v>
      </c>
      <c r="AG47">
        <v>0</v>
      </c>
    </row>
    <row r="48" spans="1:33">
      <c r="A48" t="s">
        <v>92</v>
      </c>
      <c r="B48" s="3" t="s">
        <v>412</v>
      </c>
      <c r="C48" s="3" t="s">
        <v>413</v>
      </c>
      <c r="G48" s="6" t="s">
        <v>24</v>
      </c>
      <c r="H48" s="6"/>
      <c r="I48" s="6">
        <v>1</v>
      </c>
      <c r="J48" s="6">
        <v>2</v>
      </c>
      <c r="K48" s="6" t="s">
        <v>808</v>
      </c>
      <c r="L48" s="6" t="s">
        <v>850</v>
      </c>
      <c r="M48" s="6"/>
      <c r="N48" s="7"/>
      <c r="O48" s="6"/>
      <c r="P48" s="6">
        <v>2475</v>
      </c>
      <c r="Q48" s="6"/>
      <c r="R48" s="6" t="s">
        <v>963</v>
      </c>
      <c r="S48" s="6" t="s">
        <v>963</v>
      </c>
      <c r="T48" s="6"/>
      <c r="U48" s="6"/>
      <c r="V48" s="6"/>
      <c r="W48" s="6"/>
      <c r="X48" s="6"/>
      <c r="Y48" s="6"/>
      <c r="Z48" s="6"/>
      <c r="AA48" s="6"/>
      <c r="AB48" s="6"/>
      <c r="AC48" s="6"/>
      <c r="AD48" t="s">
        <v>20</v>
      </c>
      <c r="AE48" t="s">
        <v>19</v>
      </c>
      <c r="AG48">
        <v>0</v>
      </c>
    </row>
    <row r="49" spans="1:33">
      <c r="A49" t="s">
        <v>92</v>
      </c>
      <c r="B49" s="3" t="s">
        <v>417</v>
      </c>
      <c r="C49" s="3" t="s">
        <v>416</v>
      </c>
      <c r="G49" s="6" t="s">
        <v>24</v>
      </c>
      <c r="H49" s="6"/>
      <c r="I49" s="6">
        <v>1</v>
      </c>
      <c r="J49" s="6">
        <v>2</v>
      </c>
      <c r="K49" s="6" t="s">
        <v>854</v>
      </c>
      <c r="L49" s="6" t="s">
        <v>850</v>
      </c>
      <c r="M49" s="6"/>
      <c r="N49" s="7"/>
      <c r="O49" s="6"/>
      <c r="P49" s="6">
        <v>0</v>
      </c>
      <c r="Q49" s="6"/>
      <c r="R49" s="6" t="s">
        <v>963</v>
      </c>
      <c r="S49" s="6" t="s">
        <v>963</v>
      </c>
      <c r="T49" s="6"/>
      <c r="U49" s="6"/>
      <c r="V49" s="6"/>
      <c r="W49" s="6"/>
      <c r="X49" s="6"/>
      <c r="Y49" s="6"/>
      <c r="Z49" s="6"/>
      <c r="AA49" s="6"/>
      <c r="AB49" s="6"/>
      <c r="AC49" s="6"/>
      <c r="AD49" t="s">
        <v>19</v>
      </c>
      <c r="AE49" t="s">
        <v>19</v>
      </c>
      <c r="AG49">
        <v>1</v>
      </c>
    </row>
    <row r="50" spans="1:33">
      <c r="A50" t="s">
        <v>94</v>
      </c>
      <c r="B50" s="3" t="s">
        <v>418</v>
      </c>
      <c r="C50" s="3" t="s">
        <v>419</v>
      </c>
      <c r="F50" t="s">
        <v>19</v>
      </c>
      <c r="G50" s="6" t="s">
        <v>25</v>
      </c>
      <c r="H50" s="6"/>
      <c r="I50" s="6">
        <v>1</v>
      </c>
      <c r="J50" s="6">
        <v>5</v>
      </c>
      <c r="K50" s="6" t="s">
        <v>860</v>
      </c>
      <c r="L50" s="6" t="s">
        <v>809</v>
      </c>
      <c r="M50" s="6"/>
      <c r="N50" s="7"/>
      <c r="O50" s="6"/>
      <c r="P50" s="6">
        <v>4</v>
      </c>
      <c r="Q50" s="6"/>
      <c r="R50" s="6" t="s">
        <v>963</v>
      </c>
      <c r="S50" s="6" t="s">
        <v>963</v>
      </c>
      <c r="T50" s="6"/>
      <c r="U50" s="6"/>
      <c r="V50" s="6"/>
      <c r="W50" s="6"/>
      <c r="X50" s="6"/>
      <c r="Y50" s="6"/>
      <c r="Z50" s="6"/>
      <c r="AA50" s="6"/>
      <c r="AB50" s="6"/>
      <c r="AC50" s="6"/>
      <c r="AD50" t="s">
        <v>20</v>
      </c>
      <c r="AE50" t="s">
        <v>20</v>
      </c>
      <c r="AG50">
        <v>0</v>
      </c>
    </row>
    <row r="51" spans="1:33">
      <c r="A51" t="s">
        <v>101</v>
      </c>
      <c r="B51" s="3" t="s">
        <v>424</v>
      </c>
      <c r="C51" s="3" t="s">
        <v>425</v>
      </c>
      <c r="F51" t="s">
        <v>19</v>
      </c>
      <c r="G51" s="6" t="s">
        <v>24</v>
      </c>
      <c r="H51" s="6"/>
      <c r="I51" s="6">
        <v>1</v>
      </c>
      <c r="J51" s="6">
        <v>2</v>
      </c>
      <c r="K51" s="6" t="s">
        <v>818</v>
      </c>
      <c r="L51" s="6" t="s">
        <v>850</v>
      </c>
      <c r="M51" s="6"/>
      <c r="N51" s="7"/>
      <c r="O51" s="6"/>
      <c r="P51" s="6">
        <v>171</v>
      </c>
      <c r="Q51" s="6"/>
      <c r="R51" s="6" t="s">
        <v>963</v>
      </c>
      <c r="S51" s="6" t="s">
        <v>963</v>
      </c>
      <c r="T51" s="6"/>
      <c r="U51" s="6"/>
      <c r="V51" s="6"/>
      <c r="W51" s="6"/>
      <c r="X51" s="6"/>
      <c r="Y51" s="6"/>
      <c r="Z51" s="6"/>
      <c r="AA51" s="6"/>
      <c r="AB51" s="6"/>
      <c r="AC51" s="6"/>
      <c r="AD51" t="s">
        <v>20</v>
      </c>
      <c r="AE51" t="s">
        <v>20</v>
      </c>
      <c r="AG51">
        <v>0</v>
      </c>
    </row>
    <row r="52" spans="1:33">
      <c r="A52" t="s">
        <v>104</v>
      </c>
      <c r="B52" s="3" t="s">
        <v>105</v>
      </c>
      <c r="C52" s="3" t="s">
        <v>106</v>
      </c>
      <c r="G52" s="6" t="s">
        <v>849</v>
      </c>
      <c r="H52" s="6"/>
      <c r="I52" s="6"/>
      <c r="J52" s="6"/>
      <c r="K52" s="6"/>
      <c r="L52" s="6"/>
      <c r="M52" s="6"/>
      <c r="N52" s="7"/>
      <c r="O52" s="6"/>
      <c r="P52" s="6"/>
      <c r="Q52" s="6">
        <v>3</v>
      </c>
      <c r="R52" s="6">
        <v>2</v>
      </c>
      <c r="S52" s="6">
        <v>5</v>
      </c>
      <c r="T52" s="6"/>
      <c r="U52" s="6"/>
      <c r="V52" s="6"/>
      <c r="W52" s="6"/>
      <c r="X52" s="6"/>
      <c r="Y52" s="6"/>
      <c r="Z52" s="6"/>
      <c r="AA52" s="6"/>
      <c r="AB52" s="6"/>
      <c r="AC52" s="6"/>
      <c r="AD52" t="s">
        <v>19</v>
      </c>
      <c r="AE52" t="s">
        <v>19</v>
      </c>
      <c r="AG52">
        <v>1</v>
      </c>
    </row>
    <row r="53" spans="1:33">
      <c r="A53" t="s">
        <v>107</v>
      </c>
      <c r="B53" s="3" t="s">
        <v>108</v>
      </c>
      <c r="C53" s="3" t="s">
        <v>109</v>
      </c>
      <c r="G53" s="6" t="s">
        <v>849</v>
      </c>
      <c r="H53" s="6"/>
      <c r="I53" s="6"/>
      <c r="J53" s="6"/>
      <c r="K53" s="6"/>
      <c r="L53" s="6"/>
      <c r="M53" s="6"/>
      <c r="N53" s="7"/>
      <c r="O53" s="6"/>
      <c r="P53" s="6"/>
      <c r="Q53" s="6">
        <v>3</v>
      </c>
      <c r="R53" s="6">
        <v>4</v>
      </c>
      <c r="S53" s="6">
        <v>7</v>
      </c>
      <c r="T53" s="6"/>
      <c r="U53" s="6"/>
      <c r="V53" s="6"/>
      <c r="W53" s="6"/>
      <c r="X53" s="6"/>
      <c r="Y53" s="6"/>
      <c r="Z53" s="6"/>
      <c r="AA53" s="6"/>
      <c r="AB53" s="6"/>
      <c r="AC53" s="6"/>
      <c r="AD53" t="s">
        <v>19</v>
      </c>
      <c r="AE53" t="s">
        <v>19</v>
      </c>
      <c r="AG53">
        <v>1</v>
      </c>
    </row>
    <row r="54" spans="1:33" ht="29">
      <c r="A54" t="s">
        <v>110</v>
      </c>
      <c r="B54" s="3" t="s">
        <v>428</v>
      </c>
      <c r="C54" s="3" t="s">
        <v>429</v>
      </c>
      <c r="G54" s="6" t="s">
        <v>25</v>
      </c>
      <c r="H54" s="6"/>
      <c r="I54" s="6">
        <v>2</v>
      </c>
      <c r="J54" s="6">
        <v>8</v>
      </c>
      <c r="K54" s="6"/>
      <c r="L54" s="6" t="s">
        <v>809</v>
      </c>
      <c r="M54" s="6"/>
      <c r="N54" s="7"/>
      <c r="O54" s="6"/>
      <c r="P54" s="6">
        <v>115</v>
      </c>
      <c r="Q54" s="6"/>
      <c r="R54" s="6" t="s">
        <v>963</v>
      </c>
      <c r="S54" s="6" t="s">
        <v>963</v>
      </c>
      <c r="T54" s="6"/>
      <c r="U54" s="6"/>
      <c r="V54" s="6"/>
      <c r="W54" s="6"/>
      <c r="X54" s="6"/>
      <c r="Y54" s="6"/>
      <c r="Z54" s="6"/>
      <c r="AA54" s="6"/>
      <c r="AB54" s="6"/>
      <c r="AC54" s="6"/>
      <c r="AD54" t="s">
        <v>19</v>
      </c>
      <c r="AE54" t="s">
        <v>19</v>
      </c>
      <c r="AG54">
        <v>1</v>
      </c>
    </row>
    <row r="55" spans="1:33" ht="29">
      <c r="A55" t="s">
        <v>110</v>
      </c>
      <c r="B55" s="3" t="s">
        <v>430</v>
      </c>
      <c r="C55" s="3" t="s">
        <v>431</v>
      </c>
      <c r="G55" s="6" t="s">
        <v>851</v>
      </c>
      <c r="H55" s="6"/>
      <c r="I55" s="6"/>
      <c r="J55" s="6"/>
      <c r="K55" s="6"/>
      <c r="L55" s="6"/>
      <c r="M55" s="6"/>
      <c r="N55" s="7"/>
      <c r="O55" s="6"/>
      <c r="P55" s="6"/>
      <c r="Q55" s="6"/>
      <c r="R55" s="6" t="s">
        <v>963</v>
      </c>
      <c r="S55" s="6" t="s">
        <v>963</v>
      </c>
      <c r="T55" s="6"/>
      <c r="U55" s="6"/>
      <c r="V55" s="6"/>
      <c r="W55" s="6"/>
      <c r="X55" s="6"/>
      <c r="Y55" s="6"/>
      <c r="Z55" s="6"/>
      <c r="AA55" s="6"/>
      <c r="AB55" s="6"/>
      <c r="AC55" s="6"/>
      <c r="AD55" t="s">
        <v>19</v>
      </c>
      <c r="AE55" t="s">
        <v>19</v>
      </c>
      <c r="AG55">
        <v>1</v>
      </c>
    </row>
    <row r="56" spans="1:33" ht="43.5">
      <c r="A56" t="s">
        <v>111</v>
      </c>
      <c r="B56" s="3" t="s">
        <v>434</v>
      </c>
      <c r="C56" s="3" t="s">
        <v>1010</v>
      </c>
      <c r="G56" s="6" t="s">
        <v>851</v>
      </c>
      <c r="H56" s="6"/>
      <c r="I56" s="6"/>
      <c r="J56" s="6"/>
      <c r="K56" s="6"/>
      <c r="L56" s="6"/>
      <c r="M56" s="6"/>
      <c r="N56" s="6"/>
      <c r="O56" s="6"/>
      <c r="P56" s="6"/>
      <c r="Q56" s="6"/>
      <c r="R56" s="6" t="s">
        <v>963</v>
      </c>
      <c r="S56" s="6" t="s">
        <v>963</v>
      </c>
      <c r="T56" s="6"/>
      <c r="U56" s="6"/>
      <c r="V56" s="6"/>
      <c r="W56" s="6"/>
      <c r="X56" s="6"/>
      <c r="Y56" s="6"/>
      <c r="Z56" s="6"/>
      <c r="AA56" s="6"/>
      <c r="AB56" s="6"/>
      <c r="AC56" s="6"/>
      <c r="AD56" t="s">
        <v>19</v>
      </c>
      <c r="AE56" t="s">
        <v>20</v>
      </c>
      <c r="AG56">
        <v>1</v>
      </c>
    </row>
    <row r="57" spans="1:33" ht="43.5">
      <c r="A57" t="s">
        <v>111</v>
      </c>
      <c r="B57" s="3" t="s">
        <v>435</v>
      </c>
      <c r="C57" s="3" t="s">
        <v>436</v>
      </c>
      <c r="G57" s="6" t="s">
        <v>26</v>
      </c>
      <c r="H57" s="6"/>
      <c r="I57" s="6"/>
      <c r="J57" s="6"/>
      <c r="K57" s="6"/>
      <c r="L57" s="6"/>
      <c r="M57" s="6"/>
      <c r="N57" s="7"/>
      <c r="O57" s="6"/>
      <c r="P57" s="6"/>
      <c r="Q57" s="6"/>
      <c r="R57" s="6" t="s">
        <v>963</v>
      </c>
      <c r="S57" s="6" t="s">
        <v>963</v>
      </c>
      <c r="T57" s="6"/>
      <c r="U57" s="6"/>
      <c r="V57" s="6"/>
      <c r="W57" s="6"/>
      <c r="X57" s="6"/>
      <c r="Y57" s="6"/>
      <c r="Z57" s="6"/>
      <c r="AA57" s="6"/>
      <c r="AB57" s="6"/>
      <c r="AC57" s="6"/>
      <c r="AD57" t="s">
        <v>19</v>
      </c>
      <c r="AE57" t="s">
        <v>19</v>
      </c>
      <c r="AG57">
        <v>1</v>
      </c>
    </row>
    <row r="58" spans="1:33">
      <c r="A58" t="s">
        <v>111</v>
      </c>
      <c r="B58" s="3" t="s">
        <v>437</v>
      </c>
      <c r="C58" s="3" t="s">
        <v>438</v>
      </c>
      <c r="G58" s="6" t="s">
        <v>851</v>
      </c>
      <c r="H58" s="6"/>
      <c r="I58" s="6"/>
      <c r="J58" s="6"/>
      <c r="K58" s="6"/>
      <c r="L58" s="6"/>
      <c r="M58" s="6"/>
      <c r="N58" s="7"/>
      <c r="O58" s="6"/>
      <c r="P58" s="6"/>
      <c r="Q58" s="6"/>
      <c r="R58" s="6" t="s">
        <v>963</v>
      </c>
      <c r="S58" s="6" t="s">
        <v>963</v>
      </c>
      <c r="T58" s="6"/>
      <c r="U58" s="6"/>
      <c r="V58" s="6"/>
      <c r="W58" s="6"/>
      <c r="X58" s="6"/>
      <c r="Y58" s="6"/>
      <c r="Z58" s="6"/>
      <c r="AA58" s="6"/>
      <c r="AB58" s="6"/>
      <c r="AC58" s="6"/>
      <c r="AD58" t="s">
        <v>19</v>
      </c>
      <c r="AE58" t="s">
        <v>19</v>
      </c>
      <c r="AG58">
        <v>1</v>
      </c>
    </row>
    <row r="59" spans="1:33" ht="29">
      <c r="A59" t="s">
        <v>112</v>
      </c>
      <c r="B59" s="3" t="s">
        <v>439</v>
      </c>
      <c r="C59" s="3" t="s">
        <v>440</v>
      </c>
      <c r="G59" s="6" t="s">
        <v>851</v>
      </c>
      <c r="H59" s="6"/>
      <c r="I59" s="6"/>
      <c r="J59" s="6"/>
      <c r="K59" s="6"/>
      <c r="L59" s="6"/>
      <c r="M59" s="6"/>
      <c r="N59" s="7"/>
      <c r="O59" s="6"/>
      <c r="P59" s="6"/>
      <c r="Q59" s="6"/>
      <c r="R59" s="6" t="s">
        <v>963</v>
      </c>
      <c r="S59" s="6" t="s">
        <v>963</v>
      </c>
      <c r="T59" s="6"/>
      <c r="U59" s="6"/>
      <c r="V59" s="6"/>
      <c r="W59" s="6"/>
      <c r="X59" s="6"/>
      <c r="Y59" s="6"/>
      <c r="Z59" s="6"/>
      <c r="AA59" s="6"/>
      <c r="AB59" s="6"/>
      <c r="AC59" s="6"/>
      <c r="AD59" t="s">
        <v>19</v>
      </c>
      <c r="AE59" t="s">
        <v>19</v>
      </c>
      <c r="AG59">
        <v>1</v>
      </c>
    </row>
    <row r="60" spans="1:33">
      <c r="A60" t="s">
        <v>113</v>
      </c>
      <c r="B60" s="3" t="s">
        <v>441</v>
      </c>
      <c r="C60" s="3" t="s">
        <v>442</v>
      </c>
      <c r="G60" s="6" t="s">
        <v>849</v>
      </c>
      <c r="H60" s="6"/>
      <c r="I60" s="6"/>
      <c r="J60" s="6"/>
      <c r="K60" s="6"/>
      <c r="L60" s="6"/>
      <c r="M60" s="6"/>
      <c r="N60" s="7"/>
      <c r="O60" s="6"/>
      <c r="P60" s="6"/>
      <c r="Q60" s="6">
        <v>-44</v>
      </c>
      <c r="R60" s="6">
        <v>210</v>
      </c>
      <c r="S60" s="6">
        <v>166</v>
      </c>
      <c r="T60" s="6"/>
      <c r="U60" s="6"/>
      <c r="V60" s="6"/>
      <c r="W60" s="6"/>
      <c r="X60" s="6"/>
      <c r="Y60" s="6"/>
      <c r="Z60" s="6"/>
      <c r="AA60" s="6"/>
      <c r="AB60" s="6"/>
      <c r="AC60" s="6"/>
      <c r="AD60" t="s">
        <v>19</v>
      </c>
      <c r="AE60" t="s">
        <v>19</v>
      </c>
      <c r="AG60">
        <v>1</v>
      </c>
    </row>
    <row r="61" spans="1:33">
      <c r="A61" t="s">
        <v>114</v>
      </c>
      <c r="B61" s="3" t="s">
        <v>444</v>
      </c>
      <c r="C61" s="3" t="s">
        <v>443</v>
      </c>
      <c r="G61" s="6" t="s">
        <v>24</v>
      </c>
      <c r="H61" s="6"/>
      <c r="I61" s="6">
        <v>1</v>
      </c>
      <c r="J61" s="6">
        <v>5</v>
      </c>
      <c r="K61" s="6" t="s">
        <v>825</v>
      </c>
      <c r="L61" s="6" t="s">
        <v>809</v>
      </c>
      <c r="M61" s="6"/>
      <c r="N61" s="7"/>
      <c r="O61" s="6"/>
      <c r="P61" s="6">
        <v>830</v>
      </c>
      <c r="Q61" s="6"/>
      <c r="R61" s="6" t="s">
        <v>963</v>
      </c>
      <c r="S61" s="6" t="s">
        <v>963</v>
      </c>
      <c r="T61" s="6"/>
      <c r="U61" s="6"/>
      <c r="V61" s="6"/>
      <c r="W61" s="6"/>
      <c r="X61" s="6"/>
      <c r="Y61" s="6"/>
      <c r="Z61" s="6"/>
      <c r="AA61" s="6"/>
      <c r="AB61" s="6"/>
      <c r="AC61" s="6"/>
      <c r="AD61" t="s">
        <v>19</v>
      </c>
      <c r="AE61" t="s">
        <v>19</v>
      </c>
      <c r="AG61">
        <v>1</v>
      </c>
    </row>
    <row r="62" spans="1:33" ht="29">
      <c r="A62" t="s">
        <v>117</v>
      </c>
      <c r="B62" s="3" t="s">
        <v>446</v>
      </c>
      <c r="C62" s="3" t="s">
        <v>445</v>
      </c>
      <c r="G62" s="6" t="s">
        <v>26</v>
      </c>
      <c r="H62" s="6"/>
      <c r="I62" s="6"/>
      <c r="J62" s="6"/>
      <c r="K62" s="6"/>
      <c r="L62" s="6"/>
      <c r="M62" s="6"/>
      <c r="N62" s="7"/>
      <c r="O62" s="6"/>
      <c r="P62" s="6"/>
      <c r="Q62" s="6"/>
      <c r="R62" s="6" t="s">
        <v>963</v>
      </c>
      <c r="S62" s="6" t="s">
        <v>963</v>
      </c>
      <c r="T62" s="6"/>
      <c r="U62" s="6"/>
      <c r="V62" s="6"/>
      <c r="W62" s="6"/>
      <c r="X62" s="6"/>
      <c r="Y62" s="6"/>
      <c r="Z62" s="6"/>
      <c r="AA62" s="6"/>
      <c r="AB62" s="6"/>
      <c r="AC62" s="6"/>
      <c r="AD62" t="s">
        <v>19</v>
      </c>
      <c r="AE62" t="s">
        <v>19</v>
      </c>
      <c r="AG62">
        <v>1</v>
      </c>
    </row>
    <row r="63" spans="1:33">
      <c r="A63" t="s">
        <v>117</v>
      </c>
      <c r="B63" s="3" t="s">
        <v>118</v>
      </c>
      <c r="C63" s="3" t="s">
        <v>119</v>
      </c>
      <c r="G63" s="6" t="s">
        <v>849</v>
      </c>
      <c r="H63" s="6"/>
      <c r="I63" s="6"/>
      <c r="J63" s="6"/>
      <c r="K63" s="6"/>
      <c r="L63" s="6"/>
      <c r="M63" s="6"/>
      <c r="N63" s="7"/>
      <c r="O63" s="6"/>
      <c r="P63" s="6"/>
      <c r="Q63" s="6">
        <v>-1</v>
      </c>
      <c r="R63" s="6">
        <v>1</v>
      </c>
      <c r="S63" s="6">
        <v>0</v>
      </c>
      <c r="T63" s="6"/>
      <c r="U63" s="6"/>
      <c r="V63" s="6"/>
      <c r="W63" s="6"/>
      <c r="X63" s="6"/>
      <c r="Y63" s="6"/>
      <c r="Z63" s="6"/>
      <c r="AA63" s="6"/>
      <c r="AB63" s="6"/>
      <c r="AC63" s="6"/>
      <c r="AD63" t="s">
        <v>19</v>
      </c>
      <c r="AE63" t="s">
        <v>19</v>
      </c>
      <c r="AG63">
        <v>1</v>
      </c>
    </row>
    <row r="64" spans="1:33">
      <c r="A64" t="s">
        <v>120</v>
      </c>
      <c r="B64" s="3" t="s">
        <v>449</v>
      </c>
      <c r="C64" s="3" t="s">
        <v>450</v>
      </c>
      <c r="G64" s="6" t="s">
        <v>849</v>
      </c>
      <c r="H64" s="6"/>
      <c r="I64" s="6"/>
      <c r="J64" s="6"/>
      <c r="K64" s="6"/>
      <c r="L64" s="6"/>
      <c r="M64" s="6"/>
      <c r="N64" s="7"/>
      <c r="O64" s="6"/>
      <c r="P64" s="6"/>
      <c r="Q64" s="6">
        <v>3</v>
      </c>
      <c r="R64" s="6">
        <v>3</v>
      </c>
      <c r="S64" s="6">
        <v>6</v>
      </c>
      <c r="T64" s="6"/>
      <c r="U64" s="6"/>
      <c r="V64" s="6"/>
      <c r="W64" s="6"/>
      <c r="X64" s="6"/>
      <c r="Y64" s="6"/>
      <c r="Z64" s="6"/>
      <c r="AA64" s="6"/>
      <c r="AB64" s="6"/>
      <c r="AC64" s="6"/>
      <c r="AD64" t="s">
        <v>19</v>
      </c>
      <c r="AE64" t="s">
        <v>19</v>
      </c>
      <c r="AG64">
        <v>1</v>
      </c>
    </row>
    <row r="65" spans="1:33" ht="29">
      <c r="A65" t="s">
        <v>120</v>
      </c>
      <c r="B65" s="3" t="s">
        <v>451</v>
      </c>
      <c r="C65" s="3" t="s">
        <v>452</v>
      </c>
      <c r="G65" s="6" t="s">
        <v>851</v>
      </c>
      <c r="H65" s="6"/>
      <c r="I65" s="6"/>
      <c r="J65" s="6"/>
      <c r="K65" s="6"/>
      <c r="L65" s="6"/>
      <c r="M65" s="6"/>
      <c r="N65" s="7"/>
      <c r="O65" s="6"/>
      <c r="P65" s="6"/>
      <c r="Q65" s="6"/>
      <c r="R65" s="6" t="s">
        <v>963</v>
      </c>
      <c r="S65" s="6" t="s">
        <v>963</v>
      </c>
      <c r="T65" s="6"/>
      <c r="U65" s="6"/>
      <c r="V65" s="6"/>
      <c r="W65" s="6"/>
      <c r="X65" s="6"/>
      <c r="Y65" s="6"/>
      <c r="Z65" s="6"/>
      <c r="AA65" s="6"/>
      <c r="AB65" s="6"/>
      <c r="AC65" s="6"/>
      <c r="AD65" t="s">
        <v>19</v>
      </c>
      <c r="AE65" t="s">
        <v>19</v>
      </c>
      <c r="AG65">
        <v>1</v>
      </c>
    </row>
    <row r="66" spans="1:33" ht="29">
      <c r="A66" t="s">
        <v>121</v>
      </c>
      <c r="B66" s="3" t="s">
        <v>453</v>
      </c>
      <c r="C66" s="3" t="s">
        <v>454</v>
      </c>
      <c r="G66" s="6" t="s">
        <v>851</v>
      </c>
      <c r="H66" s="6"/>
      <c r="I66" s="6"/>
      <c r="J66" s="6"/>
      <c r="K66" s="6"/>
      <c r="L66" s="6"/>
      <c r="M66" s="6"/>
      <c r="N66" s="7"/>
      <c r="O66" s="6"/>
      <c r="P66" s="6"/>
      <c r="Q66" s="6"/>
      <c r="R66" s="6" t="s">
        <v>963</v>
      </c>
      <c r="S66" s="6" t="s">
        <v>963</v>
      </c>
      <c r="T66" s="6"/>
      <c r="U66" s="6"/>
      <c r="V66" s="6"/>
      <c r="W66" s="6"/>
      <c r="X66" s="6"/>
      <c r="Y66" s="6"/>
      <c r="Z66" s="6"/>
      <c r="AA66" s="6"/>
      <c r="AB66" s="6"/>
      <c r="AC66" s="6"/>
      <c r="AD66" t="s">
        <v>19</v>
      </c>
      <c r="AE66" t="s">
        <v>19</v>
      </c>
      <c r="AG66">
        <v>1</v>
      </c>
    </row>
    <row r="67" spans="1:33" ht="29">
      <c r="A67" t="s">
        <v>122</v>
      </c>
      <c r="B67" s="3" t="s">
        <v>456</v>
      </c>
      <c r="C67" s="3" t="s">
        <v>455</v>
      </c>
      <c r="G67" s="6" t="s">
        <v>24</v>
      </c>
      <c r="H67" s="6"/>
      <c r="I67" s="6">
        <v>1</v>
      </c>
      <c r="J67" s="6">
        <v>3</v>
      </c>
      <c r="K67" s="6" t="s">
        <v>808</v>
      </c>
      <c r="L67" s="6" t="s">
        <v>809</v>
      </c>
      <c r="M67" s="6"/>
      <c r="N67" s="7"/>
      <c r="O67" s="6"/>
      <c r="P67" s="6">
        <v>2475</v>
      </c>
      <c r="Q67" s="6"/>
      <c r="R67" s="6" t="s">
        <v>963</v>
      </c>
      <c r="S67" s="6" t="s">
        <v>963</v>
      </c>
      <c r="T67" s="6"/>
      <c r="U67" s="6"/>
      <c r="V67" s="6"/>
      <c r="W67" s="6"/>
      <c r="X67" s="6"/>
      <c r="Y67" s="6"/>
      <c r="Z67" s="6"/>
      <c r="AA67" s="6"/>
      <c r="AB67" s="6"/>
      <c r="AC67" s="6"/>
      <c r="AD67" t="s">
        <v>19</v>
      </c>
      <c r="AE67" t="s">
        <v>20</v>
      </c>
      <c r="AG67">
        <v>1</v>
      </c>
    </row>
    <row r="68" spans="1:33">
      <c r="A68" t="s">
        <v>123</v>
      </c>
      <c r="B68" s="3" t="s">
        <v>458</v>
      </c>
      <c r="C68" s="3" t="s">
        <v>457</v>
      </c>
      <c r="G68" s="6" t="s">
        <v>24</v>
      </c>
      <c r="H68" s="6"/>
      <c r="I68" s="6">
        <v>1</v>
      </c>
      <c r="J68" s="6">
        <v>3</v>
      </c>
      <c r="K68" s="6" t="s">
        <v>818</v>
      </c>
      <c r="L68" s="6" t="s">
        <v>809</v>
      </c>
      <c r="M68" s="6"/>
      <c r="N68" s="7"/>
      <c r="O68" s="6"/>
      <c r="P68" s="6">
        <v>86</v>
      </c>
      <c r="Q68" s="6"/>
      <c r="R68" s="6" t="s">
        <v>963</v>
      </c>
      <c r="S68" s="6" t="s">
        <v>963</v>
      </c>
      <c r="T68" s="6"/>
      <c r="U68" s="6"/>
      <c r="V68" s="6"/>
      <c r="W68" s="6"/>
      <c r="X68" s="6"/>
      <c r="Y68" s="6"/>
      <c r="Z68" s="6"/>
      <c r="AA68" s="6"/>
      <c r="AB68" s="6"/>
      <c r="AC68" s="6"/>
      <c r="AD68" t="s">
        <v>19</v>
      </c>
      <c r="AE68" t="s">
        <v>19</v>
      </c>
      <c r="AG68">
        <v>1</v>
      </c>
    </row>
    <row r="69" spans="1:33" ht="29">
      <c r="A69" t="s">
        <v>125</v>
      </c>
      <c r="B69" s="3" t="s">
        <v>460</v>
      </c>
      <c r="C69" s="3" t="s">
        <v>461</v>
      </c>
      <c r="G69" s="6" t="s">
        <v>25</v>
      </c>
      <c r="H69" s="6"/>
      <c r="I69" s="6">
        <v>1</v>
      </c>
      <c r="J69" s="6">
        <v>3</v>
      </c>
      <c r="K69" s="6" t="s">
        <v>818</v>
      </c>
      <c r="L69" s="6" t="s">
        <v>809</v>
      </c>
      <c r="M69" s="6"/>
      <c r="N69" s="7"/>
      <c r="O69" s="6"/>
      <c r="P69" s="6">
        <v>1701</v>
      </c>
      <c r="Q69" s="6"/>
      <c r="R69" s="6" t="s">
        <v>963</v>
      </c>
      <c r="S69" s="6" t="s">
        <v>963</v>
      </c>
      <c r="T69" s="6"/>
      <c r="U69" s="6"/>
      <c r="V69" s="6"/>
      <c r="W69" s="6"/>
      <c r="X69" s="6"/>
      <c r="Y69" s="6"/>
      <c r="Z69" s="6"/>
      <c r="AA69" s="6"/>
      <c r="AB69" s="6"/>
      <c r="AC69" s="6"/>
      <c r="AD69" t="s">
        <v>19</v>
      </c>
      <c r="AE69" t="s">
        <v>19</v>
      </c>
      <c r="AG69">
        <v>1</v>
      </c>
    </row>
    <row r="70" spans="1:33" ht="29">
      <c r="A70" t="s">
        <v>125</v>
      </c>
      <c r="B70" s="3" t="s">
        <v>463</v>
      </c>
      <c r="C70" s="3" t="s">
        <v>462</v>
      </c>
      <c r="G70" s="6" t="s">
        <v>25</v>
      </c>
      <c r="H70" s="6"/>
      <c r="I70" s="6">
        <v>2</v>
      </c>
      <c r="J70" s="6">
        <v>8</v>
      </c>
      <c r="K70" s="6"/>
      <c r="L70" s="6" t="s">
        <v>809</v>
      </c>
      <c r="M70" s="6"/>
      <c r="N70" s="7"/>
      <c r="O70" s="6"/>
      <c r="P70" s="6">
        <v>115</v>
      </c>
      <c r="Q70" s="6"/>
      <c r="R70" s="6" t="s">
        <v>963</v>
      </c>
      <c r="S70" s="6" t="s">
        <v>963</v>
      </c>
      <c r="T70" s="6"/>
      <c r="U70" s="6"/>
      <c r="V70" s="6"/>
      <c r="W70" s="6"/>
      <c r="X70" s="6"/>
      <c r="Y70" s="6"/>
      <c r="Z70" s="6"/>
      <c r="AA70" s="6"/>
      <c r="AB70" s="6"/>
      <c r="AC70" s="6"/>
      <c r="AD70" t="s">
        <v>19</v>
      </c>
      <c r="AE70" t="s">
        <v>19</v>
      </c>
      <c r="AG70">
        <v>1</v>
      </c>
    </row>
    <row r="71" spans="1:33">
      <c r="A71" t="s">
        <v>126</v>
      </c>
      <c r="B71" s="3" t="s">
        <v>466</v>
      </c>
      <c r="C71" s="3" t="s">
        <v>467</v>
      </c>
      <c r="G71" s="6" t="s">
        <v>851</v>
      </c>
      <c r="H71" s="6"/>
      <c r="I71" s="6"/>
      <c r="J71" s="6"/>
      <c r="K71" s="6"/>
      <c r="L71" s="6"/>
      <c r="M71" s="6"/>
      <c r="N71" s="7"/>
      <c r="O71" s="6"/>
      <c r="P71" s="6"/>
      <c r="Q71" s="6"/>
      <c r="R71" s="6" t="s">
        <v>963</v>
      </c>
      <c r="S71" s="6" t="s">
        <v>963</v>
      </c>
      <c r="T71" s="6"/>
      <c r="U71" s="6"/>
      <c r="V71" s="6"/>
      <c r="W71" s="6"/>
      <c r="X71" s="6"/>
      <c r="Y71" s="6"/>
      <c r="Z71" s="6"/>
      <c r="AA71" s="6"/>
      <c r="AB71" s="6"/>
      <c r="AC71" s="6"/>
      <c r="AD71" t="s">
        <v>20</v>
      </c>
      <c r="AE71" t="s">
        <v>20</v>
      </c>
      <c r="AG71">
        <v>0</v>
      </c>
    </row>
    <row r="72" spans="1:33">
      <c r="A72" t="s">
        <v>127</v>
      </c>
      <c r="B72" s="3" t="s">
        <v>470</v>
      </c>
      <c r="C72" s="3" t="s">
        <v>471</v>
      </c>
      <c r="G72" s="6" t="s">
        <v>849</v>
      </c>
      <c r="H72" s="6"/>
      <c r="I72" s="6"/>
      <c r="J72" s="6"/>
      <c r="K72" s="6"/>
      <c r="L72" s="6"/>
      <c r="M72" s="6"/>
      <c r="N72" s="7"/>
      <c r="O72" s="6"/>
      <c r="P72" s="6"/>
      <c r="Q72" s="6">
        <v>108</v>
      </c>
      <c r="R72" s="6">
        <v>24</v>
      </c>
      <c r="S72" s="6">
        <v>132</v>
      </c>
      <c r="T72" s="6"/>
      <c r="U72" s="6"/>
      <c r="V72" s="6"/>
      <c r="W72" s="6"/>
      <c r="X72" s="6"/>
      <c r="Y72" s="6"/>
      <c r="Z72" s="6"/>
      <c r="AA72" s="6"/>
      <c r="AB72" s="6"/>
      <c r="AC72" s="6"/>
      <c r="AD72" t="s">
        <v>19</v>
      </c>
      <c r="AE72" t="s">
        <v>19</v>
      </c>
      <c r="AG72">
        <v>1</v>
      </c>
    </row>
    <row r="73" spans="1:33">
      <c r="A73" t="s">
        <v>128</v>
      </c>
      <c r="B73" s="3" t="s">
        <v>472</v>
      </c>
      <c r="C73" s="3" t="s">
        <v>473</v>
      </c>
      <c r="G73" s="6" t="s">
        <v>851</v>
      </c>
      <c r="H73" s="6"/>
      <c r="I73" s="6"/>
      <c r="J73" s="6"/>
      <c r="K73" s="6"/>
      <c r="L73" s="6"/>
      <c r="M73" s="6"/>
      <c r="N73" s="7"/>
      <c r="O73" s="6"/>
      <c r="P73" s="6"/>
      <c r="Q73" s="6"/>
      <c r="R73" s="6" t="s">
        <v>963</v>
      </c>
      <c r="S73" s="6" t="s">
        <v>963</v>
      </c>
      <c r="T73" s="6"/>
      <c r="U73" s="6"/>
      <c r="V73" s="6"/>
      <c r="W73" s="6"/>
      <c r="X73" s="6"/>
      <c r="Y73" s="6"/>
      <c r="Z73" s="6"/>
      <c r="AA73" s="6"/>
      <c r="AB73" s="6"/>
      <c r="AC73" s="6"/>
      <c r="AD73" t="s">
        <v>19</v>
      </c>
      <c r="AE73" t="s">
        <v>20</v>
      </c>
      <c r="AG73">
        <v>1</v>
      </c>
    </row>
    <row r="74" spans="1:33">
      <c r="A74" t="s">
        <v>129</v>
      </c>
      <c r="B74" s="3" t="s">
        <v>474</v>
      </c>
      <c r="C74" s="3" t="s">
        <v>475</v>
      </c>
      <c r="G74" s="6" t="s">
        <v>25</v>
      </c>
      <c r="H74" s="6"/>
      <c r="I74" s="6">
        <v>1</v>
      </c>
      <c r="J74" s="6">
        <v>3</v>
      </c>
      <c r="K74" s="6" t="s">
        <v>808</v>
      </c>
      <c r="L74" s="6" t="s">
        <v>809</v>
      </c>
      <c r="M74" s="6"/>
      <c r="N74" s="7"/>
      <c r="O74" s="6"/>
      <c r="P74" s="6">
        <v>2475</v>
      </c>
      <c r="Q74" s="6"/>
      <c r="R74" s="6" t="s">
        <v>963</v>
      </c>
      <c r="S74" s="6" t="s">
        <v>963</v>
      </c>
      <c r="T74" s="6"/>
      <c r="U74" s="6"/>
      <c r="V74" s="6"/>
      <c r="W74" s="6"/>
      <c r="X74" s="6"/>
      <c r="Y74" s="6"/>
      <c r="Z74" s="6"/>
      <c r="AA74" s="6"/>
      <c r="AB74" s="6"/>
      <c r="AC74" s="6"/>
      <c r="AD74" t="s">
        <v>19</v>
      </c>
      <c r="AE74" t="s">
        <v>19</v>
      </c>
      <c r="AG74">
        <v>1</v>
      </c>
    </row>
    <row r="75" spans="1:33" ht="29">
      <c r="A75" t="s">
        <v>130</v>
      </c>
      <c r="B75" s="3" t="s">
        <v>477</v>
      </c>
      <c r="C75" s="3" t="s">
        <v>476</v>
      </c>
      <c r="G75" s="6" t="s">
        <v>25</v>
      </c>
      <c r="H75" s="6"/>
      <c r="I75" s="6">
        <v>2</v>
      </c>
      <c r="J75" s="6">
        <v>4</v>
      </c>
      <c r="K75" s="6"/>
      <c r="L75" s="6" t="s">
        <v>809</v>
      </c>
      <c r="M75" s="6"/>
      <c r="N75" s="7"/>
      <c r="O75" s="6"/>
      <c r="P75" s="6">
        <v>99</v>
      </c>
      <c r="Q75" s="6"/>
      <c r="R75" s="6" t="s">
        <v>963</v>
      </c>
      <c r="S75" s="6" t="s">
        <v>963</v>
      </c>
      <c r="T75" s="6"/>
      <c r="U75" s="6"/>
      <c r="V75" s="6"/>
      <c r="W75" s="6"/>
      <c r="X75" s="6"/>
      <c r="Y75" s="6"/>
      <c r="Z75" s="6"/>
      <c r="AA75" s="6"/>
      <c r="AB75" s="6"/>
      <c r="AC75" s="6"/>
      <c r="AD75" t="s">
        <v>19</v>
      </c>
      <c r="AE75" t="s">
        <v>20</v>
      </c>
      <c r="AG75">
        <v>1</v>
      </c>
    </row>
    <row r="76" spans="1:33">
      <c r="A76" t="s">
        <v>131</v>
      </c>
      <c r="B76" s="3" t="s">
        <v>478</v>
      </c>
      <c r="C76" s="3" t="s">
        <v>479</v>
      </c>
      <c r="F76" t="s">
        <v>19</v>
      </c>
      <c r="G76" s="6" t="s">
        <v>849</v>
      </c>
      <c r="H76" s="6"/>
      <c r="I76" s="6"/>
      <c r="J76" s="6"/>
      <c r="K76" s="6"/>
      <c r="L76" s="6"/>
      <c r="M76" s="6"/>
      <c r="N76" s="7"/>
      <c r="O76" s="6"/>
      <c r="P76" s="6"/>
      <c r="Q76" s="6">
        <v>7</v>
      </c>
      <c r="R76" s="6">
        <v>1</v>
      </c>
      <c r="S76" s="6">
        <v>8</v>
      </c>
      <c r="T76" s="6"/>
      <c r="U76" s="6"/>
      <c r="V76" s="6"/>
      <c r="W76" s="6"/>
      <c r="X76" s="6"/>
      <c r="Y76" s="6"/>
      <c r="Z76" s="6"/>
      <c r="AA76" s="6"/>
      <c r="AB76" s="6"/>
      <c r="AC76" s="6"/>
      <c r="AD76" t="s">
        <v>20</v>
      </c>
      <c r="AE76" t="s">
        <v>20</v>
      </c>
      <c r="AG76">
        <v>0</v>
      </c>
    </row>
    <row r="77" spans="1:33" ht="29">
      <c r="A77" t="s">
        <v>131</v>
      </c>
      <c r="B77" s="3" t="s">
        <v>481</v>
      </c>
      <c r="C77" s="3" t="s">
        <v>480</v>
      </c>
      <c r="G77" s="6" t="s">
        <v>25</v>
      </c>
      <c r="H77" s="6"/>
      <c r="I77" s="6">
        <v>1</v>
      </c>
      <c r="J77" s="6">
        <v>2</v>
      </c>
      <c r="K77" s="6" t="s">
        <v>808</v>
      </c>
      <c r="L77" s="6" t="s">
        <v>850</v>
      </c>
      <c r="M77" s="6"/>
      <c r="N77" s="7"/>
      <c r="O77" s="6"/>
      <c r="P77" s="6">
        <v>2475</v>
      </c>
      <c r="Q77" s="6"/>
      <c r="R77" s="6" t="s">
        <v>963</v>
      </c>
      <c r="S77" s="6" t="s">
        <v>963</v>
      </c>
      <c r="T77" s="6"/>
      <c r="U77" s="6"/>
      <c r="V77" s="6"/>
      <c r="W77" s="6"/>
      <c r="X77" s="6"/>
      <c r="Y77" s="6"/>
      <c r="Z77" s="6"/>
      <c r="AA77" s="6"/>
      <c r="AB77" s="6"/>
      <c r="AC77" s="6"/>
      <c r="AD77" t="s">
        <v>19</v>
      </c>
      <c r="AE77" t="s">
        <v>19</v>
      </c>
      <c r="AG77">
        <v>1</v>
      </c>
    </row>
    <row r="78" spans="1:33" ht="29">
      <c r="A78" t="s">
        <v>131</v>
      </c>
      <c r="B78" s="3" t="s">
        <v>482</v>
      </c>
      <c r="C78" s="3" t="s">
        <v>483</v>
      </c>
      <c r="G78" s="6" t="s">
        <v>26</v>
      </c>
      <c r="H78" s="6"/>
      <c r="I78" s="6"/>
      <c r="J78" s="6"/>
      <c r="K78" s="6"/>
      <c r="L78" s="6"/>
      <c r="M78" s="6"/>
      <c r="N78" s="7"/>
      <c r="O78" s="6"/>
      <c r="P78" s="6"/>
      <c r="Q78" s="6"/>
      <c r="R78" s="6" t="s">
        <v>963</v>
      </c>
      <c r="S78" s="6" t="s">
        <v>963</v>
      </c>
      <c r="T78" s="6"/>
      <c r="U78" s="6"/>
      <c r="V78" s="6"/>
      <c r="W78" s="6"/>
      <c r="X78" s="6"/>
      <c r="Y78" s="6"/>
      <c r="Z78" s="6"/>
      <c r="AA78" s="6"/>
      <c r="AB78" s="6"/>
      <c r="AC78" s="6"/>
      <c r="AD78" t="s">
        <v>19</v>
      </c>
      <c r="AE78" t="s">
        <v>19</v>
      </c>
      <c r="AG78">
        <v>1</v>
      </c>
    </row>
    <row r="79" spans="1:33" ht="29">
      <c r="A79" t="s">
        <v>131</v>
      </c>
      <c r="B79" s="3" t="s">
        <v>484</v>
      </c>
      <c r="C79" s="3" t="s">
        <v>485</v>
      </c>
      <c r="G79" s="6" t="s">
        <v>25</v>
      </c>
      <c r="H79" s="6"/>
      <c r="I79" s="6">
        <v>3</v>
      </c>
      <c r="J79" s="6">
        <v>8</v>
      </c>
      <c r="K79" s="6"/>
      <c r="L79" s="6" t="s">
        <v>803</v>
      </c>
      <c r="M79" s="6" t="s">
        <v>873</v>
      </c>
      <c r="N79" s="7" t="s">
        <v>894</v>
      </c>
      <c r="O79" s="6"/>
      <c r="P79" s="6">
        <v>86</v>
      </c>
      <c r="Q79" s="6"/>
      <c r="R79" s="6" t="s">
        <v>963</v>
      </c>
      <c r="S79" s="6" t="s">
        <v>963</v>
      </c>
      <c r="T79" s="6"/>
      <c r="U79" s="6"/>
      <c r="V79" s="6"/>
      <c r="W79" s="6"/>
      <c r="X79" s="6"/>
      <c r="Y79" s="6"/>
      <c r="Z79" s="6"/>
      <c r="AA79" s="6"/>
      <c r="AB79" s="6"/>
      <c r="AC79" s="6"/>
      <c r="AD79" t="s">
        <v>19</v>
      </c>
      <c r="AE79" t="s">
        <v>20</v>
      </c>
      <c r="AG79">
        <v>1</v>
      </c>
    </row>
    <row r="80" spans="1:33" ht="29">
      <c r="A80" t="s">
        <v>133</v>
      </c>
      <c r="B80" s="3" t="s">
        <v>493</v>
      </c>
      <c r="C80" s="3" t="s">
        <v>492</v>
      </c>
      <c r="G80" s="6" t="s">
        <v>26</v>
      </c>
      <c r="H80" s="6"/>
      <c r="I80" s="6"/>
      <c r="J80" s="6"/>
      <c r="K80" s="6"/>
      <c r="L80" s="6"/>
      <c r="M80" s="6"/>
      <c r="N80" s="7"/>
      <c r="O80" s="6"/>
      <c r="P80" s="6"/>
      <c r="Q80" s="6"/>
      <c r="R80" s="6" t="s">
        <v>963</v>
      </c>
      <c r="S80" s="6" t="s">
        <v>963</v>
      </c>
      <c r="T80" s="6"/>
      <c r="U80" s="6"/>
      <c r="V80" s="6"/>
      <c r="W80" s="6"/>
      <c r="X80" s="6"/>
      <c r="Y80" s="6"/>
      <c r="Z80" s="6"/>
      <c r="AA80" s="6"/>
      <c r="AB80" s="6"/>
      <c r="AC80" s="6"/>
      <c r="AD80" t="s">
        <v>19</v>
      </c>
      <c r="AE80" t="s">
        <v>19</v>
      </c>
      <c r="AG80">
        <v>1</v>
      </c>
    </row>
    <row r="81" spans="1:33">
      <c r="A81" t="s">
        <v>137</v>
      </c>
      <c r="B81" s="3" t="s">
        <v>140</v>
      </c>
      <c r="C81" s="3" t="s">
        <v>141</v>
      </c>
      <c r="G81" s="6" t="s">
        <v>851</v>
      </c>
      <c r="H81" s="6"/>
      <c r="I81" s="6"/>
      <c r="J81" s="6"/>
      <c r="K81" s="6"/>
      <c r="L81" s="6"/>
      <c r="M81" s="6"/>
      <c r="N81" s="7"/>
      <c r="O81" s="6"/>
      <c r="P81" s="6"/>
      <c r="Q81" s="6"/>
      <c r="R81" s="6" t="s">
        <v>963</v>
      </c>
      <c r="S81" s="6" t="s">
        <v>963</v>
      </c>
      <c r="T81" s="6"/>
      <c r="U81" s="6"/>
      <c r="V81" s="6"/>
      <c r="W81" s="6"/>
      <c r="X81" s="6"/>
      <c r="Y81" s="6"/>
      <c r="Z81" s="6"/>
      <c r="AA81" s="6"/>
      <c r="AB81" s="6"/>
      <c r="AC81" s="6"/>
      <c r="AD81" t="s">
        <v>20</v>
      </c>
      <c r="AE81" t="s">
        <v>20</v>
      </c>
      <c r="AG81">
        <v>0</v>
      </c>
    </row>
    <row r="82" spans="1:33">
      <c r="A82" t="s">
        <v>142</v>
      </c>
      <c r="B82" s="3" t="s">
        <v>143</v>
      </c>
      <c r="C82" s="3" t="s">
        <v>144</v>
      </c>
      <c r="F82" t="s">
        <v>19</v>
      </c>
      <c r="G82" s="6" t="s">
        <v>851</v>
      </c>
      <c r="H82" s="6"/>
      <c r="I82" s="6"/>
      <c r="J82" s="6"/>
      <c r="K82" s="6"/>
      <c r="L82" s="6"/>
      <c r="M82" s="6"/>
      <c r="N82" s="7"/>
      <c r="O82" s="6"/>
      <c r="P82" s="6"/>
      <c r="Q82" s="6"/>
      <c r="R82" s="6" t="s">
        <v>963</v>
      </c>
      <c r="S82" s="6" t="s">
        <v>963</v>
      </c>
      <c r="T82" s="6"/>
      <c r="U82" s="6"/>
      <c r="V82" s="6"/>
      <c r="W82" s="6"/>
      <c r="X82" s="6"/>
      <c r="Y82" s="6"/>
      <c r="Z82" s="6"/>
      <c r="AA82" s="6"/>
      <c r="AB82" s="6"/>
      <c r="AC82" s="6"/>
      <c r="AD82" t="s">
        <v>20</v>
      </c>
      <c r="AE82" t="s">
        <v>20</v>
      </c>
      <c r="AG82">
        <v>0</v>
      </c>
    </row>
    <row r="83" spans="1:33">
      <c r="A83" t="s">
        <v>148</v>
      </c>
      <c r="B83" s="3" t="s">
        <v>149</v>
      </c>
      <c r="C83" s="3" t="s">
        <v>150</v>
      </c>
      <c r="G83" s="6" t="s">
        <v>851</v>
      </c>
      <c r="H83" s="6"/>
      <c r="I83" s="6"/>
      <c r="J83" s="6"/>
      <c r="K83" s="6"/>
      <c r="L83" s="6"/>
      <c r="M83" s="6"/>
      <c r="N83" s="7"/>
      <c r="O83" s="6"/>
      <c r="P83" s="6"/>
      <c r="Q83" s="6"/>
      <c r="R83" s="6" t="s">
        <v>963</v>
      </c>
      <c r="S83" s="6" t="s">
        <v>963</v>
      </c>
      <c r="T83" s="6"/>
      <c r="U83" s="6"/>
      <c r="V83" s="6"/>
      <c r="W83" s="6"/>
      <c r="X83" s="6"/>
      <c r="Y83" s="6"/>
      <c r="Z83" s="6"/>
      <c r="AA83" s="6"/>
      <c r="AB83" s="6"/>
      <c r="AC83" s="6"/>
      <c r="AD83" t="s">
        <v>19</v>
      </c>
      <c r="AE83" t="s">
        <v>20</v>
      </c>
      <c r="AG83">
        <v>1</v>
      </c>
    </row>
    <row r="84" spans="1:33">
      <c r="A84" t="s">
        <v>151</v>
      </c>
      <c r="B84" s="3" t="s">
        <v>498</v>
      </c>
      <c r="C84" s="3" t="s">
        <v>499</v>
      </c>
      <c r="G84" s="6" t="s">
        <v>851</v>
      </c>
      <c r="H84" s="6"/>
      <c r="I84" s="6"/>
      <c r="J84" s="6"/>
      <c r="K84" s="6"/>
      <c r="L84" s="6"/>
      <c r="M84" s="6"/>
      <c r="N84" s="7"/>
      <c r="O84" s="6"/>
      <c r="P84" s="6"/>
      <c r="Q84" s="6"/>
      <c r="R84" s="6" t="s">
        <v>963</v>
      </c>
      <c r="S84" s="6" t="s">
        <v>963</v>
      </c>
      <c r="T84" s="6"/>
      <c r="U84" s="6"/>
      <c r="V84" s="6"/>
      <c r="W84" s="6"/>
      <c r="X84" s="6"/>
      <c r="Y84" s="6"/>
      <c r="Z84" s="6"/>
      <c r="AA84" s="6"/>
      <c r="AB84" s="6"/>
      <c r="AC84" s="6"/>
      <c r="AD84" t="s">
        <v>19</v>
      </c>
      <c r="AE84" t="s">
        <v>19</v>
      </c>
      <c r="AG84">
        <v>1</v>
      </c>
    </row>
    <row r="85" spans="1:33">
      <c r="A85" t="s">
        <v>151</v>
      </c>
      <c r="B85" s="3" t="s">
        <v>500</v>
      </c>
      <c r="C85" s="3" t="s">
        <v>501</v>
      </c>
      <c r="G85" s="6" t="s">
        <v>24</v>
      </c>
      <c r="H85" s="6"/>
      <c r="I85" s="6">
        <v>1</v>
      </c>
      <c r="J85" s="6">
        <v>3</v>
      </c>
      <c r="K85" s="6" t="s">
        <v>808</v>
      </c>
      <c r="L85" s="6" t="s">
        <v>809</v>
      </c>
      <c r="M85" s="6"/>
      <c r="N85" s="7"/>
      <c r="O85" s="6"/>
      <c r="P85" s="6">
        <v>2475</v>
      </c>
      <c r="Q85" s="6"/>
      <c r="R85" s="6" t="s">
        <v>963</v>
      </c>
      <c r="S85" s="6" t="s">
        <v>963</v>
      </c>
      <c r="T85" s="6"/>
      <c r="U85" s="6"/>
      <c r="V85" s="6"/>
      <c r="W85" s="6"/>
      <c r="X85" s="6"/>
      <c r="Y85" s="6"/>
      <c r="Z85" s="6"/>
      <c r="AA85" s="6"/>
      <c r="AB85" s="6"/>
      <c r="AC85" s="6"/>
      <c r="AD85" t="s">
        <v>19</v>
      </c>
      <c r="AE85" t="s">
        <v>20</v>
      </c>
      <c r="AG85">
        <v>1</v>
      </c>
    </row>
    <row r="86" spans="1:33">
      <c r="A86" t="s">
        <v>152</v>
      </c>
      <c r="B86" s="3" t="s">
        <v>502</v>
      </c>
      <c r="C86" s="3" t="s">
        <v>315</v>
      </c>
      <c r="G86" s="6" t="s">
        <v>25</v>
      </c>
      <c r="H86" s="6"/>
      <c r="I86" s="6">
        <v>1</v>
      </c>
      <c r="J86" s="6">
        <v>3</v>
      </c>
      <c r="K86" s="6" t="s">
        <v>808</v>
      </c>
      <c r="L86" s="6" t="s">
        <v>809</v>
      </c>
      <c r="M86" s="6"/>
      <c r="N86" s="7"/>
      <c r="O86" s="6"/>
      <c r="P86" s="6">
        <v>2475</v>
      </c>
      <c r="Q86" s="6"/>
      <c r="R86" s="6" t="s">
        <v>963</v>
      </c>
      <c r="S86" s="6" t="s">
        <v>963</v>
      </c>
      <c r="T86" s="6"/>
      <c r="U86" s="6"/>
      <c r="V86" s="6"/>
      <c r="W86" s="6"/>
      <c r="X86" s="6"/>
      <c r="Y86" s="6"/>
      <c r="Z86" s="6"/>
      <c r="AA86" s="6"/>
      <c r="AB86" s="6"/>
      <c r="AC86" s="6"/>
      <c r="AD86" t="s">
        <v>19</v>
      </c>
      <c r="AE86" t="s">
        <v>19</v>
      </c>
      <c r="AG86">
        <v>1</v>
      </c>
    </row>
    <row r="87" spans="1:33" ht="29">
      <c r="A87" t="s">
        <v>152</v>
      </c>
      <c r="B87" s="3" t="s">
        <v>503</v>
      </c>
      <c r="C87" s="3" t="s">
        <v>504</v>
      </c>
      <c r="G87" s="6" t="s">
        <v>24</v>
      </c>
      <c r="H87" s="6"/>
      <c r="I87" s="6">
        <v>1</v>
      </c>
      <c r="J87" s="6">
        <v>4</v>
      </c>
      <c r="K87" s="6" t="s">
        <v>825</v>
      </c>
      <c r="L87" s="6" t="s">
        <v>809</v>
      </c>
      <c r="M87" s="6"/>
      <c r="N87" s="7"/>
      <c r="O87" s="6"/>
      <c r="P87" s="6">
        <v>312</v>
      </c>
      <c r="Q87" s="6"/>
      <c r="R87" s="6" t="s">
        <v>963</v>
      </c>
      <c r="S87" s="6" t="s">
        <v>963</v>
      </c>
      <c r="T87" s="6"/>
      <c r="U87" s="6"/>
      <c r="V87" s="6"/>
      <c r="W87" s="6"/>
      <c r="X87" s="6"/>
      <c r="Y87" s="6"/>
      <c r="Z87" s="6"/>
      <c r="AA87" s="6"/>
      <c r="AB87" s="6"/>
      <c r="AC87" s="6"/>
      <c r="AD87" t="s">
        <v>19</v>
      </c>
      <c r="AE87" t="s">
        <v>19</v>
      </c>
      <c r="AG87">
        <v>1</v>
      </c>
    </row>
    <row r="88" spans="1:33" ht="29">
      <c r="A88" t="s">
        <v>152</v>
      </c>
      <c r="B88" s="3" t="s">
        <v>505</v>
      </c>
      <c r="C88" s="3" t="s">
        <v>506</v>
      </c>
      <c r="G88" s="6" t="s">
        <v>851</v>
      </c>
      <c r="H88" s="6"/>
      <c r="I88" s="6"/>
      <c r="J88" s="6"/>
      <c r="K88" s="6"/>
      <c r="L88" s="6"/>
      <c r="M88" s="6"/>
      <c r="N88" s="7"/>
      <c r="O88" s="6"/>
      <c r="P88" s="6"/>
      <c r="Q88" s="6"/>
      <c r="R88" s="6" t="s">
        <v>963</v>
      </c>
      <c r="S88" s="6" t="s">
        <v>963</v>
      </c>
      <c r="T88" s="6"/>
      <c r="U88" s="6"/>
      <c r="V88" s="6"/>
      <c r="W88" s="6"/>
      <c r="X88" s="6"/>
      <c r="Y88" s="6"/>
      <c r="Z88" s="6"/>
      <c r="AA88" s="6"/>
      <c r="AB88" s="6"/>
      <c r="AC88" s="6"/>
      <c r="AD88" t="s">
        <v>20</v>
      </c>
      <c r="AE88" t="s">
        <v>19</v>
      </c>
      <c r="AG88">
        <v>0</v>
      </c>
    </row>
    <row r="89" spans="1:33" ht="29">
      <c r="A89" t="s">
        <v>152</v>
      </c>
      <c r="B89" s="3" t="s">
        <v>507</v>
      </c>
      <c r="C89" s="3" t="s">
        <v>508</v>
      </c>
      <c r="F89" t="s">
        <v>19</v>
      </c>
      <c r="G89" s="6" t="s">
        <v>851</v>
      </c>
      <c r="H89" s="6"/>
      <c r="I89" s="6"/>
      <c r="J89" s="6"/>
      <c r="K89" s="6"/>
      <c r="L89" s="6"/>
      <c r="M89" s="6"/>
      <c r="N89" s="7"/>
      <c r="O89" s="6"/>
      <c r="P89" s="6"/>
      <c r="Q89" s="6"/>
      <c r="R89" s="6" t="s">
        <v>963</v>
      </c>
      <c r="S89" s="6" t="s">
        <v>963</v>
      </c>
      <c r="T89" s="6"/>
      <c r="U89" s="6"/>
      <c r="V89" s="6"/>
      <c r="W89" s="6"/>
      <c r="X89" s="6"/>
      <c r="Y89" s="6"/>
      <c r="Z89" s="6"/>
      <c r="AA89" s="6"/>
      <c r="AB89" s="6"/>
      <c r="AC89" s="6"/>
      <c r="AD89" t="s">
        <v>20</v>
      </c>
      <c r="AE89" t="s">
        <v>19</v>
      </c>
      <c r="AG89">
        <v>0</v>
      </c>
    </row>
    <row r="90" spans="1:33">
      <c r="A90" t="s">
        <v>155</v>
      </c>
      <c r="B90" s="3" t="s">
        <v>156</v>
      </c>
      <c r="C90" s="3" t="s">
        <v>157</v>
      </c>
      <c r="F90" t="s">
        <v>19</v>
      </c>
      <c r="G90" s="6" t="s">
        <v>849</v>
      </c>
      <c r="H90" s="6"/>
      <c r="I90" s="6"/>
      <c r="J90" s="6"/>
      <c r="K90" s="6"/>
      <c r="L90" s="6"/>
      <c r="M90" s="6"/>
      <c r="N90" s="7"/>
      <c r="O90" s="6"/>
      <c r="P90" s="6"/>
      <c r="Q90" s="6">
        <v>1</v>
      </c>
      <c r="R90" s="6">
        <v>1</v>
      </c>
      <c r="S90" s="6">
        <v>2</v>
      </c>
      <c r="T90" s="6"/>
      <c r="U90" s="6"/>
      <c r="V90" s="6"/>
      <c r="W90" s="6"/>
      <c r="X90" s="6"/>
      <c r="Y90" s="6"/>
      <c r="Z90" s="6"/>
      <c r="AA90" s="6"/>
      <c r="AB90" s="6"/>
      <c r="AC90" s="6"/>
      <c r="AD90" t="s">
        <v>19</v>
      </c>
      <c r="AE90" t="s">
        <v>20</v>
      </c>
      <c r="AG90">
        <v>1</v>
      </c>
    </row>
    <row r="91" spans="1:33" ht="29">
      <c r="A91" t="s">
        <v>158</v>
      </c>
      <c r="B91" s="3" t="s">
        <v>510</v>
      </c>
      <c r="C91" s="3" t="s">
        <v>509</v>
      </c>
      <c r="G91" s="6" t="s">
        <v>25</v>
      </c>
      <c r="H91" s="6"/>
      <c r="I91" s="6">
        <v>3</v>
      </c>
      <c r="J91" s="6">
        <v>14</v>
      </c>
      <c r="K91" s="6"/>
      <c r="L91" s="6" t="s">
        <v>803</v>
      </c>
      <c r="M91" s="6" t="s">
        <v>873</v>
      </c>
      <c r="N91" s="7" t="s">
        <v>895</v>
      </c>
      <c r="O91" s="6"/>
      <c r="P91" s="6">
        <v>7</v>
      </c>
      <c r="Q91" s="6"/>
      <c r="R91" s="6" t="s">
        <v>963</v>
      </c>
      <c r="S91" s="6" t="s">
        <v>963</v>
      </c>
      <c r="T91" s="6"/>
      <c r="U91" s="6"/>
      <c r="V91" s="6"/>
      <c r="W91" s="6"/>
      <c r="X91" s="6"/>
      <c r="Y91" s="6"/>
      <c r="Z91" s="6"/>
      <c r="AA91" s="6"/>
      <c r="AB91" s="6"/>
      <c r="AC91" s="6"/>
      <c r="AD91" t="s">
        <v>19</v>
      </c>
      <c r="AE91" t="s">
        <v>20</v>
      </c>
      <c r="AG91">
        <v>1</v>
      </c>
    </row>
    <row r="92" spans="1:33" ht="29">
      <c r="A92" t="s">
        <v>159</v>
      </c>
      <c r="B92" s="3" t="s">
        <v>511</v>
      </c>
      <c r="C92" s="3" t="s">
        <v>512</v>
      </c>
      <c r="G92" s="6" t="s">
        <v>24</v>
      </c>
      <c r="H92" s="6"/>
      <c r="I92" s="6">
        <v>1</v>
      </c>
      <c r="J92" s="6">
        <v>2</v>
      </c>
      <c r="K92" s="6" t="s">
        <v>827</v>
      </c>
      <c r="L92" s="6" t="s">
        <v>850</v>
      </c>
      <c r="M92" s="6"/>
      <c r="N92" s="7"/>
      <c r="O92" s="6"/>
      <c r="P92" s="6">
        <v>613</v>
      </c>
      <c r="Q92" s="6"/>
      <c r="R92" s="6" t="s">
        <v>963</v>
      </c>
      <c r="S92" s="6" t="s">
        <v>963</v>
      </c>
      <c r="T92" s="6"/>
      <c r="U92" s="6"/>
      <c r="V92" s="6"/>
      <c r="W92" s="6"/>
      <c r="X92" s="6"/>
      <c r="Y92" s="6"/>
      <c r="Z92" s="6"/>
      <c r="AA92" s="6"/>
      <c r="AB92" s="6"/>
      <c r="AC92" s="6"/>
      <c r="AD92" t="s">
        <v>19</v>
      </c>
      <c r="AE92" t="s">
        <v>20</v>
      </c>
      <c r="AG92">
        <v>1</v>
      </c>
    </row>
    <row r="93" spans="1:33" ht="29">
      <c r="A93" t="s">
        <v>159</v>
      </c>
      <c r="B93" s="3" t="s">
        <v>511</v>
      </c>
      <c r="C93" s="3" t="s">
        <v>513</v>
      </c>
      <c r="G93" s="6" t="s">
        <v>24</v>
      </c>
      <c r="H93" s="6"/>
      <c r="I93" s="6">
        <v>1</v>
      </c>
      <c r="J93" s="6">
        <v>1</v>
      </c>
      <c r="K93" s="6" t="s">
        <v>802</v>
      </c>
      <c r="L93" s="6" t="s">
        <v>850</v>
      </c>
      <c r="M93" s="6"/>
      <c r="N93" s="7"/>
      <c r="O93" s="6"/>
      <c r="P93" s="6">
        <v>9</v>
      </c>
      <c r="Q93" s="6"/>
      <c r="R93" s="6" t="s">
        <v>963</v>
      </c>
      <c r="S93" s="6" t="s">
        <v>963</v>
      </c>
      <c r="T93" s="6"/>
      <c r="U93" s="6"/>
      <c r="V93" s="6"/>
      <c r="W93" s="6"/>
      <c r="X93" s="6"/>
      <c r="Y93" s="6"/>
      <c r="Z93" s="6"/>
      <c r="AA93" s="6"/>
      <c r="AB93" s="6"/>
      <c r="AC93" s="6"/>
      <c r="AD93" t="s">
        <v>19</v>
      </c>
      <c r="AE93" t="s">
        <v>19</v>
      </c>
      <c r="AG93">
        <v>1</v>
      </c>
    </row>
    <row r="94" spans="1:33" ht="29">
      <c r="A94" t="s">
        <v>159</v>
      </c>
      <c r="B94" s="3" t="s">
        <v>511</v>
      </c>
      <c r="C94" s="3" t="s">
        <v>514</v>
      </c>
      <c r="G94" s="6" t="s">
        <v>24</v>
      </c>
      <c r="H94" s="6"/>
      <c r="I94" s="6">
        <v>1</v>
      </c>
      <c r="J94" s="6">
        <v>3</v>
      </c>
      <c r="K94" s="6" t="s">
        <v>808</v>
      </c>
      <c r="L94" s="6" t="s">
        <v>809</v>
      </c>
      <c r="M94" s="6"/>
      <c r="N94" s="7"/>
      <c r="O94" s="6"/>
      <c r="P94" s="6">
        <v>2475</v>
      </c>
      <c r="Q94" s="6"/>
      <c r="R94" s="6" t="s">
        <v>963</v>
      </c>
      <c r="S94" s="6" t="s">
        <v>963</v>
      </c>
      <c r="T94" s="6"/>
      <c r="U94" s="6"/>
      <c r="V94" s="6"/>
      <c r="W94" s="6"/>
      <c r="X94" s="6"/>
      <c r="Y94" s="6"/>
      <c r="Z94" s="6"/>
      <c r="AA94" s="6"/>
      <c r="AB94" s="6"/>
      <c r="AC94" s="6"/>
      <c r="AD94" t="s">
        <v>19</v>
      </c>
      <c r="AE94" t="s">
        <v>19</v>
      </c>
      <c r="AG94">
        <v>1</v>
      </c>
    </row>
    <row r="95" spans="1:33" ht="43.5">
      <c r="A95" t="s">
        <v>162</v>
      </c>
      <c r="B95" s="3" t="s">
        <v>515</v>
      </c>
      <c r="C95" s="3" t="s">
        <v>516</v>
      </c>
      <c r="G95" s="6" t="s">
        <v>24</v>
      </c>
      <c r="H95" s="6"/>
      <c r="I95" s="6">
        <v>1</v>
      </c>
      <c r="J95" s="6">
        <v>2</v>
      </c>
      <c r="K95" s="6" t="s">
        <v>825</v>
      </c>
      <c r="L95" s="6" t="s">
        <v>850</v>
      </c>
      <c r="M95" s="6"/>
      <c r="N95" s="7"/>
      <c r="O95" s="6"/>
      <c r="P95" s="6">
        <v>35</v>
      </c>
      <c r="Q95" s="6"/>
      <c r="R95" s="6" t="s">
        <v>963</v>
      </c>
      <c r="S95" s="6" t="s">
        <v>963</v>
      </c>
      <c r="T95" s="6"/>
      <c r="U95" s="6"/>
      <c r="V95" s="6"/>
      <c r="W95" s="6"/>
      <c r="X95" s="6"/>
      <c r="Y95" s="6"/>
      <c r="Z95" s="6"/>
      <c r="AA95" s="6"/>
      <c r="AB95" s="6"/>
      <c r="AC95" s="6"/>
      <c r="AD95" t="s">
        <v>19</v>
      </c>
      <c r="AE95" t="s">
        <v>19</v>
      </c>
      <c r="AG95">
        <v>1</v>
      </c>
    </row>
    <row r="96" spans="1:33" ht="43.5">
      <c r="A96" t="s">
        <v>162</v>
      </c>
      <c r="B96" s="3" t="s">
        <v>518</v>
      </c>
      <c r="C96" s="3" t="s">
        <v>517</v>
      </c>
      <c r="G96" s="6" t="s">
        <v>851</v>
      </c>
      <c r="H96" s="6"/>
      <c r="I96" s="6"/>
      <c r="J96" s="6"/>
      <c r="K96" s="6"/>
      <c r="L96" s="6"/>
      <c r="M96" s="6"/>
      <c r="N96" s="7"/>
      <c r="O96" s="6"/>
      <c r="P96" s="6"/>
      <c r="Q96" s="6"/>
      <c r="R96" s="6" t="s">
        <v>963</v>
      </c>
      <c r="S96" s="6" t="s">
        <v>963</v>
      </c>
      <c r="T96" s="6"/>
      <c r="U96" s="6"/>
      <c r="V96" s="6"/>
      <c r="W96" s="6"/>
      <c r="X96" s="6"/>
      <c r="Y96" s="6"/>
      <c r="Z96" s="6"/>
      <c r="AA96" s="6"/>
      <c r="AB96" s="6"/>
      <c r="AC96" s="6"/>
      <c r="AD96" t="s">
        <v>20</v>
      </c>
      <c r="AE96" t="s">
        <v>19</v>
      </c>
      <c r="AG96">
        <v>0</v>
      </c>
    </row>
    <row r="97" spans="1:33">
      <c r="A97" t="s">
        <v>165</v>
      </c>
      <c r="B97" s="3" t="s">
        <v>522</v>
      </c>
      <c r="C97" s="3" t="s">
        <v>521</v>
      </c>
      <c r="G97" s="6" t="s">
        <v>849</v>
      </c>
      <c r="H97" s="6"/>
      <c r="I97" s="6"/>
      <c r="J97" s="6"/>
      <c r="K97" s="6"/>
      <c r="L97" s="6"/>
      <c r="M97" s="6"/>
      <c r="N97" s="7"/>
      <c r="O97" s="6"/>
      <c r="P97" s="6"/>
      <c r="Q97" s="6">
        <v>26</v>
      </c>
      <c r="R97" s="6">
        <v>5</v>
      </c>
      <c r="S97" s="6">
        <v>31</v>
      </c>
      <c r="T97" s="6"/>
      <c r="U97" s="6"/>
      <c r="V97" s="6"/>
      <c r="W97" s="6"/>
      <c r="X97" s="6"/>
      <c r="Y97" s="6"/>
      <c r="Z97" s="6"/>
      <c r="AA97" s="6"/>
      <c r="AB97" s="6"/>
      <c r="AC97" s="6"/>
      <c r="AD97" t="s">
        <v>19</v>
      </c>
      <c r="AE97" t="s">
        <v>19</v>
      </c>
      <c r="AG97">
        <v>1</v>
      </c>
    </row>
    <row r="98" spans="1:33" ht="29">
      <c r="A98" t="s">
        <v>165</v>
      </c>
      <c r="B98" s="3" t="s">
        <v>524</v>
      </c>
      <c r="C98" s="3" t="s">
        <v>523</v>
      </c>
      <c r="G98" s="6" t="s">
        <v>25</v>
      </c>
      <c r="H98" s="6"/>
      <c r="I98" s="6">
        <v>1</v>
      </c>
      <c r="J98" s="6">
        <v>3</v>
      </c>
      <c r="K98" s="6" t="s">
        <v>808</v>
      </c>
      <c r="L98" s="6" t="s">
        <v>809</v>
      </c>
      <c r="M98" s="6"/>
      <c r="N98" s="7"/>
      <c r="O98" s="6"/>
      <c r="P98" s="6">
        <v>2475</v>
      </c>
      <c r="Q98" s="6"/>
      <c r="R98" s="6" t="s">
        <v>963</v>
      </c>
      <c r="S98" s="6" t="s">
        <v>963</v>
      </c>
      <c r="T98" s="6"/>
      <c r="U98" s="6"/>
      <c r="V98" s="6"/>
      <c r="W98" s="6"/>
      <c r="X98" s="6"/>
      <c r="Y98" s="6"/>
      <c r="Z98" s="6"/>
      <c r="AA98" s="6"/>
      <c r="AB98" s="6"/>
      <c r="AC98" s="6"/>
      <c r="AD98" t="s">
        <v>19</v>
      </c>
      <c r="AE98" t="s">
        <v>20</v>
      </c>
      <c r="AG98">
        <v>1</v>
      </c>
    </row>
    <row r="99" spans="1:33" ht="43.5">
      <c r="A99" t="s">
        <v>165</v>
      </c>
      <c r="B99" s="3" t="s">
        <v>525</v>
      </c>
      <c r="C99" s="3" t="s">
        <v>526</v>
      </c>
      <c r="G99" s="6" t="s">
        <v>26</v>
      </c>
      <c r="H99" s="6"/>
      <c r="I99" s="6"/>
      <c r="J99" s="6"/>
      <c r="K99" s="6"/>
      <c r="L99" s="6"/>
      <c r="M99" s="6"/>
      <c r="N99" s="7"/>
      <c r="O99" s="6"/>
      <c r="P99" s="6"/>
      <c r="Q99" s="6"/>
      <c r="R99" s="6" t="s">
        <v>963</v>
      </c>
      <c r="S99" s="6" t="s">
        <v>963</v>
      </c>
      <c r="T99" s="6"/>
      <c r="U99" s="6"/>
      <c r="V99" s="6"/>
      <c r="W99" s="6"/>
      <c r="X99" s="6"/>
      <c r="Y99" s="6"/>
      <c r="Z99" s="6"/>
      <c r="AA99" s="6"/>
      <c r="AB99" s="6"/>
      <c r="AC99" s="6"/>
      <c r="AD99" t="s">
        <v>19</v>
      </c>
      <c r="AE99" t="s">
        <v>19</v>
      </c>
      <c r="AG99">
        <v>1</v>
      </c>
    </row>
    <row r="100" spans="1:33" ht="29">
      <c r="A100" t="s">
        <v>167</v>
      </c>
      <c r="B100" s="3" t="s">
        <v>529</v>
      </c>
      <c r="C100" s="3" t="s">
        <v>530</v>
      </c>
      <c r="G100" s="6" t="s">
        <v>24</v>
      </c>
      <c r="H100" s="6"/>
      <c r="I100" s="6">
        <v>1</v>
      </c>
      <c r="J100" s="6">
        <v>2</v>
      </c>
      <c r="K100" s="6" t="s">
        <v>808</v>
      </c>
      <c r="L100" s="6" t="s">
        <v>850</v>
      </c>
      <c r="M100" s="6"/>
      <c r="N100" s="7"/>
      <c r="O100" s="6" t="s">
        <v>804</v>
      </c>
      <c r="P100" s="6">
        <v>2475</v>
      </c>
      <c r="Q100" s="6"/>
      <c r="R100" s="6" t="s">
        <v>963</v>
      </c>
      <c r="S100" s="6" t="s">
        <v>963</v>
      </c>
      <c r="T100" s="6"/>
      <c r="U100" s="6"/>
      <c r="V100" s="6"/>
      <c r="W100" s="6"/>
      <c r="X100" s="6"/>
      <c r="Y100" s="6"/>
      <c r="Z100" s="6"/>
      <c r="AA100" s="6"/>
      <c r="AB100" s="6"/>
      <c r="AC100" s="6"/>
      <c r="AD100" t="s">
        <v>19</v>
      </c>
      <c r="AE100" t="s">
        <v>19</v>
      </c>
      <c r="AG100">
        <v>1</v>
      </c>
    </row>
    <row r="101" spans="1:33" ht="29">
      <c r="A101" t="s">
        <v>170</v>
      </c>
      <c r="B101" s="3" t="s">
        <v>533</v>
      </c>
      <c r="C101" s="3" t="s">
        <v>536</v>
      </c>
      <c r="G101" s="6" t="s">
        <v>24</v>
      </c>
      <c r="H101" s="6"/>
      <c r="I101" s="6">
        <v>1</v>
      </c>
      <c r="J101" s="6">
        <v>1</v>
      </c>
      <c r="K101" s="6" t="s">
        <v>808</v>
      </c>
      <c r="L101" s="6" t="s">
        <v>850</v>
      </c>
      <c r="M101" s="6"/>
      <c r="N101" s="7"/>
      <c r="O101" s="6"/>
      <c r="P101" s="6">
        <v>2475</v>
      </c>
      <c r="Q101" s="6"/>
      <c r="R101" s="6" t="s">
        <v>963</v>
      </c>
      <c r="S101" s="6" t="s">
        <v>963</v>
      </c>
      <c r="T101" s="6"/>
      <c r="U101" s="6"/>
      <c r="V101" s="6"/>
      <c r="W101" s="6"/>
      <c r="X101" s="6"/>
      <c r="Y101" s="6"/>
      <c r="Z101" s="6"/>
      <c r="AA101" s="6"/>
      <c r="AB101" s="6"/>
      <c r="AC101" s="6"/>
      <c r="AD101" t="s">
        <v>19</v>
      </c>
      <c r="AE101" t="s">
        <v>19</v>
      </c>
      <c r="AG101">
        <v>1</v>
      </c>
    </row>
    <row r="102" spans="1:33" ht="29">
      <c r="A102" t="s">
        <v>170</v>
      </c>
      <c r="B102" s="3" t="s">
        <v>542</v>
      </c>
      <c r="C102" s="3" t="s">
        <v>541</v>
      </c>
      <c r="G102" s="6" t="s">
        <v>851</v>
      </c>
      <c r="H102" s="6"/>
      <c r="I102" s="6"/>
      <c r="J102" s="6"/>
      <c r="K102" s="6"/>
      <c r="L102" s="6"/>
      <c r="M102" s="6"/>
      <c r="N102" s="7"/>
      <c r="O102" s="6"/>
      <c r="P102" s="6"/>
      <c r="Q102" s="6"/>
      <c r="R102" s="6" t="s">
        <v>963</v>
      </c>
      <c r="S102" s="6" t="s">
        <v>963</v>
      </c>
      <c r="T102" s="6"/>
      <c r="U102" s="6"/>
      <c r="V102" s="6"/>
      <c r="W102" s="6"/>
      <c r="X102" s="6"/>
      <c r="Y102" s="6"/>
      <c r="Z102" s="6"/>
      <c r="AA102" s="6"/>
      <c r="AB102" s="6"/>
      <c r="AC102" s="6"/>
      <c r="AD102" t="s">
        <v>19</v>
      </c>
      <c r="AE102" t="s">
        <v>20</v>
      </c>
      <c r="AG102">
        <v>1</v>
      </c>
    </row>
    <row r="103" spans="1:33">
      <c r="A103" t="s">
        <v>171</v>
      </c>
      <c r="B103" s="3" t="s">
        <v>543</v>
      </c>
      <c r="C103" s="3" t="s">
        <v>544</v>
      </c>
      <c r="F103" t="s">
        <v>19</v>
      </c>
      <c r="G103" s="6" t="s">
        <v>849</v>
      </c>
      <c r="H103" s="6"/>
      <c r="I103" s="6"/>
      <c r="J103" s="6"/>
      <c r="K103" s="6"/>
      <c r="L103" s="6"/>
      <c r="M103" s="6"/>
      <c r="N103" s="7"/>
      <c r="O103" s="6"/>
      <c r="P103" s="6"/>
      <c r="Q103" s="6">
        <v>-1</v>
      </c>
      <c r="R103" s="6">
        <v>1</v>
      </c>
      <c r="S103" s="6">
        <v>0</v>
      </c>
      <c r="T103" s="6"/>
      <c r="U103" s="6"/>
      <c r="V103" s="6"/>
      <c r="W103" s="6"/>
      <c r="X103" s="6"/>
      <c r="Y103" s="6"/>
      <c r="Z103" s="6"/>
      <c r="AA103" s="6"/>
      <c r="AB103" s="6"/>
      <c r="AC103" s="6"/>
      <c r="AD103" t="s">
        <v>20</v>
      </c>
      <c r="AE103" t="s">
        <v>20</v>
      </c>
      <c r="AG103">
        <v>0</v>
      </c>
    </row>
    <row r="104" spans="1:33">
      <c r="A104" t="s">
        <v>171</v>
      </c>
      <c r="B104" s="3" t="s">
        <v>546</v>
      </c>
      <c r="C104" s="3" t="s">
        <v>545</v>
      </c>
      <c r="G104" s="6" t="s">
        <v>25</v>
      </c>
      <c r="H104" s="6"/>
      <c r="I104" s="6">
        <v>1</v>
      </c>
      <c r="J104" s="6">
        <v>3</v>
      </c>
      <c r="K104" s="6" t="s">
        <v>854</v>
      </c>
      <c r="L104" s="6" t="s">
        <v>809</v>
      </c>
      <c r="M104" s="6"/>
      <c r="N104" s="7"/>
      <c r="O104" s="6"/>
      <c r="P104" s="6">
        <v>14</v>
      </c>
      <c r="Q104" s="6"/>
      <c r="R104" s="6" t="s">
        <v>963</v>
      </c>
      <c r="S104" s="6" t="s">
        <v>963</v>
      </c>
      <c r="T104" s="6" t="s">
        <v>4</v>
      </c>
      <c r="U104" s="6"/>
      <c r="V104" s="6"/>
      <c r="W104" s="6"/>
      <c r="X104" s="6"/>
      <c r="Y104" s="6"/>
      <c r="Z104" s="6"/>
      <c r="AA104" s="6"/>
      <c r="AB104" s="6"/>
      <c r="AC104" s="6"/>
      <c r="AD104" t="s">
        <v>19</v>
      </c>
      <c r="AE104" t="s">
        <v>19</v>
      </c>
      <c r="AG104">
        <v>1</v>
      </c>
    </row>
    <row r="105" spans="1:33" ht="29">
      <c r="A105" t="s">
        <v>172</v>
      </c>
      <c r="B105" s="3" t="s">
        <v>549</v>
      </c>
      <c r="C105" s="3" t="s">
        <v>550</v>
      </c>
      <c r="G105" s="6" t="s">
        <v>25</v>
      </c>
      <c r="H105" s="6"/>
      <c r="I105" s="6">
        <v>1</v>
      </c>
      <c r="J105" s="6">
        <v>3</v>
      </c>
      <c r="K105" s="6" t="s">
        <v>818</v>
      </c>
      <c r="L105" s="6" t="s">
        <v>809</v>
      </c>
      <c r="M105" s="6"/>
      <c r="N105" s="7"/>
      <c r="O105" s="6"/>
      <c r="P105" s="6">
        <v>1701</v>
      </c>
      <c r="Q105" s="6"/>
      <c r="R105" s="6" t="s">
        <v>963</v>
      </c>
      <c r="S105" s="6" t="s">
        <v>963</v>
      </c>
      <c r="T105" s="6"/>
      <c r="U105" s="6"/>
      <c r="V105" s="6"/>
      <c r="W105" s="6"/>
      <c r="X105" s="6"/>
      <c r="Y105" s="6"/>
      <c r="Z105" s="6"/>
      <c r="AA105" s="6"/>
      <c r="AB105" s="6"/>
      <c r="AC105" s="6"/>
      <c r="AD105" t="s">
        <v>19</v>
      </c>
      <c r="AE105" t="s">
        <v>19</v>
      </c>
      <c r="AG105">
        <v>1</v>
      </c>
    </row>
    <row r="106" spans="1:33" ht="29">
      <c r="A106" t="s">
        <v>172</v>
      </c>
      <c r="B106" s="3" t="s">
        <v>552</v>
      </c>
      <c r="C106" s="3" t="s">
        <v>555</v>
      </c>
      <c r="G106" s="6" t="s">
        <v>24</v>
      </c>
      <c r="H106" s="6"/>
      <c r="I106" s="6">
        <v>1</v>
      </c>
      <c r="J106" s="6">
        <v>2</v>
      </c>
      <c r="K106" s="6" t="s">
        <v>808</v>
      </c>
      <c r="L106" s="6" t="s">
        <v>850</v>
      </c>
      <c r="M106" s="6"/>
      <c r="N106" s="7"/>
      <c r="O106" s="6"/>
      <c r="P106" s="6">
        <v>2475</v>
      </c>
      <c r="Q106" s="6"/>
      <c r="R106" s="6" t="s">
        <v>963</v>
      </c>
      <c r="S106" s="6" t="s">
        <v>963</v>
      </c>
      <c r="T106" s="6"/>
      <c r="U106" s="6"/>
      <c r="V106" s="6"/>
      <c r="W106" s="6"/>
      <c r="X106" s="6"/>
      <c r="Y106" s="6"/>
      <c r="Z106" s="6"/>
      <c r="AA106" s="6"/>
      <c r="AB106" s="6"/>
      <c r="AC106" s="6"/>
      <c r="AD106" t="s">
        <v>19</v>
      </c>
      <c r="AE106" t="s">
        <v>19</v>
      </c>
      <c r="AG106">
        <v>1</v>
      </c>
    </row>
    <row r="107" spans="1:33" ht="29">
      <c r="A107" t="s">
        <v>172</v>
      </c>
      <c r="B107" s="3" t="s">
        <v>551</v>
      </c>
      <c r="C107" s="3" t="s">
        <v>556</v>
      </c>
      <c r="G107" s="6" t="s">
        <v>26</v>
      </c>
      <c r="H107" s="6"/>
      <c r="I107" s="6"/>
      <c r="J107" s="6"/>
      <c r="K107" s="6"/>
      <c r="L107" s="6"/>
      <c r="M107" s="6"/>
      <c r="N107" s="7"/>
      <c r="O107" s="6"/>
      <c r="P107" s="6"/>
      <c r="Q107" s="6"/>
      <c r="R107" s="6" t="s">
        <v>963</v>
      </c>
      <c r="S107" s="6" t="s">
        <v>963</v>
      </c>
      <c r="T107" s="6"/>
      <c r="U107" s="6"/>
      <c r="V107" s="6"/>
      <c r="W107" s="6"/>
      <c r="X107" s="6"/>
      <c r="Y107" s="6"/>
      <c r="Z107" s="6"/>
      <c r="AA107" s="6"/>
      <c r="AB107" s="6"/>
      <c r="AC107" s="6"/>
      <c r="AD107" t="s">
        <v>19</v>
      </c>
      <c r="AE107" t="s">
        <v>19</v>
      </c>
      <c r="AG107">
        <v>1</v>
      </c>
    </row>
    <row r="108" spans="1:33" ht="29">
      <c r="A108" t="s">
        <v>175</v>
      </c>
      <c r="B108" s="3" t="s">
        <v>559</v>
      </c>
      <c r="C108" s="3" t="s">
        <v>560</v>
      </c>
      <c r="G108" s="6" t="s">
        <v>849</v>
      </c>
      <c r="H108" s="6"/>
      <c r="I108" s="6"/>
      <c r="J108" s="6"/>
      <c r="K108" s="6"/>
      <c r="L108" s="6"/>
      <c r="M108" s="6"/>
      <c r="N108" s="7"/>
      <c r="O108" s="6"/>
      <c r="P108" s="6"/>
      <c r="Q108" s="6">
        <v>2</v>
      </c>
      <c r="R108" s="6">
        <v>1</v>
      </c>
      <c r="S108" s="6">
        <v>3</v>
      </c>
      <c r="T108" s="6"/>
      <c r="U108" s="6"/>
      <c r="V108" s="6"/>
      <c r="W108" s="6"/>
      <c r="X108" s="6"/>
      <c r="Y108" s="6"/>
      <c r="Z108" s="6"/>
      <c r="AA108" s="6"/>
      <c r="AB108" s="6"/>
      <c r="AC108" s="6"/>
      <c r="AD108" t="s">
        <v>19</v>
      </c>
      <c r="AE108" t="s">
        <v>19</v>
      </c>
      <c r="AG108">
        <v>1</v>
      </c>
    </row>
    <row r="109" spans="1:33">
      <c r="A109" t="s">
        <v>177</v>
      </c>
      <c r="B109" s="3" t="s">
        <v>564</v>
      </c>
      <c r="C109" s="3" t="s">
        <v>563</v>
      </c>
      <c r="G109" s="6" t="s">
        <v>25</v>
      </c>
      <c r="H109" s="6"/>
      <c r="I109" s="6">
        <v>1</v>
      </c>
      <c r="J109" s="6">
        <v>1</v>
      </c>
      <c r="K109" s="6" t="s">
        <v>808</v>
      </c>
      <c r="L109" s="6" t="s">
        <v>850</v>
      </c>
      <c r="M109" s="6"/>
      <c r="N109" s="7"/>
      <c r="O109" s="6"/>
      <c r="P109" s="6">
        <v>2475</v>
      </c>
      <c r="Q109" s="6"/>
      <c r="R109" s="6" t="s">
        <v>963</v>
      </c>
      <c r="S109" s="6" t="s">
        <v>963</v>
      </c>
      <c r="T109" s="6"/>
      <c r="U109" s="6"/>
      <c r="V109" s="6"/>
      <c r="W109" s="6"/>
      <c r="X109" s="6"/>
      <c r="Y109" s="6"/>
      <c r="Z109" s="6"/>
      <c r="AA109" s="6"/>
      <c r="AB109" s="6"/>
      <c r="AC109" s="6"/>
      <c r="AD109" t="s">
        <v>19</v>
      </c>
      <c r="AG109">
        <v>1</v>
      </c>
    </row>
    <row r="110" spans="1:33" ht="29">
      <c r="A110" t="s">
        <v>177</v>
      </c>
      <c r="B110" s="3" t="s">
        <v>566</v>
      </c>
      <c r="C110" s="3" t="s">
        <v>565</v>
      </c>
      <c r="G110" s="6" t="s">
        <v>26</v>
      </c>
      <c r="H110" s="6"/>
      <c r="I110" s="6"/>
      <c r="J110" s="6"/>
      <c r="K110" s="6"/>
      <c r="L110" s="6"/>
      <c r="M110" s="6"/>
      <c r="N110" s="7"/>
      <c r="O110" s="6"/>
      <c r="P110" s="6"/>
      <c r="Q110" s="6"/>
      <c r="R110" s="6" t="s">
        <v>963</v>
      </c>
      <c r="S110" s="6" t="s">
        <v>963</v>
      </c>
      <c r="T110" s="6"/>
      <c r="U110" s="6"/>
      <c r="V110" s="6"/>
      <c r="W110" s="6"/>
      <c r="X110" s="6"/>
      <c r="Y110" s="6"/>
      <c r="Z110" s="6"/>
      <c r="AA110" s="6"/>
      <c r="AB110" s="6"/>
      <c r="AC110" s="6"/>
      <c r="AD110" t="s">
        <v>19</v>
      </c>
      <c r="AE110" t="s">
        <v>19</v>
      </c>
      <c r="AG110">
        <v>1</v>
      </c>
    </row>
    <row r="111" spans="1:33">
      <c r="A111" t="s">
        <v>178</v>
      </c>
      <c r="B111" s="3" t="s">
        <v>567</v>
      </c>
      <c r="C111" s="3" t="s">
        <v>568</v>
      </c>
      <c r="G111" s="6" t="s">
        <v>24</v>
      </c>
      <c r="H111" s="6"/>
      <c r="I111" s="6">
        <v>1</v>
      </c>
      <c r="J111" s="6">
        <v>2</v>
      </c>
      <c r="K111" s="6" t="s">
        <v>818</v>
      </c>
      <c r="L111" s="6" t="s">
        <v>850</v>
      </c>
      <c r="M111" s="6"/>
      <c r="N111" s="7"/>
      <c r="O111" s="6"/>
      <c r="P111" s="6">
        <v>171</v>
      </c>
      <c r="Q111" s="6"/>
      <c r="R111" s="6" t="s">
        <v>963</v>
      </c>
      <c r="S111" s="6" t="s">
        <v>963</v>
      </c>
      <c r="T111" s="6"/>
      <c r="U111" s="6"/>
      <c r="V111" s="6"/>
      <c r="W111" s="6"/>
      <c r="X111" s="6"/>
      <c r="Y111" s="6"/>
      <c r="Z111" s="6"/>
      <c r="AA111" s="6"/>
      <c r="AB111" s="6"/>
      <c r="AC111" s="6"/>
      <c r="AD111" t="s">
        <v>19</v>
      </c>
      <c r="AE111" t="s">
        <v>19</v>
      </c>
      <c r="AG111">
        <v>1</v>
      </c>
    </row>
    <row r="112" spans="1:33">
      <c r="A112" t="s">
        <v>179</v>
      </c>
      <c r="B112" s="3" t="s">
        <v>569</v>
      </c>
      <c r="C112" s="3" t="s">
        <v>570</v>
      </c>
      <c r="G112" s="6" t="s">
        <v>849</v>
      </c>
      <c r="H112" s="6"/>
      <c r="I112" s="6"/>
      <c r="J112" s="6"/>
      <c r="K112" s="6"/>
      <c r="L112" s="6"/>
      <c r="M112" s="6"/>
      <c r="N112" s="7"/>
      <c r="O112" s="6"/>
      <c r="P112" s="6"/>
      <c r="Q112" s="6">
        <v>61</v>
      </c>
      <c r="R112" s="6">
        <v>37</v>
      </c>
      <c r="S112" s="6">
        <v>98</v>
      </c>
      <c r="T112" s="6"/>
      <c r="U112" s="6"/>
      <c r="V112" s="6"/>
      <c r="W112" s="6"/>
      <c r="X112" s="6"/>
      <c r="Y112" s="6"/>
      <c r="Z112" s="6"/>
      <c r="AA112" s="6"/>
      <c r="AB112" s="6"/>
      <c r="AC112" s="6"/>
      <c r="AD112" t="s">
        <v>19</v>
      </c>
      <c r="AE112" t="s">
        <v>19</v>
      </c>
      <c r="AG112">
        <v>1</v>
      </c>
    </row>
    <row r="113" spans="1:33" ht="29">
      <c r="A113" t="s">
        <v>180</v>
      </c>
      <c r="B113" s="3" t="s">
        <v>574</v>
      </c>
      <c r="C113" s="3" t="s">
        <v>573</v>
      </c>
      <c r="G113" s="6" t="s">
        <v>25</v>
      </c>
      <c r="H113" s="6"/>
      <c r="I113" s="6">
        <v>1</v>
      </c>
      <c r="J113" s="6">
        <v>4</v>
      </c>
      <c r="K113" s="6" t="s">
        <v>808</v>
      </c>
      <c r="L113" s="6" t="s">
        <v>803</v>
      </c>
      <c r="M113" s="6" t="s">
        <v>868</v>
      </c>
      <c r="N113" s="7" t="s">
        <v>867</v>
      </c>
      <c r="O113" s="6"/>
      <c r="P113" s="6">
        <v>2475</v>
      </c>
      <c r="Q113" s="6"/>
      <c r="R113" s="6" t="s">
        <v>963</v>
      </c>
      <c r="S113" s="6" t="s">
        <v>963</v>
      </c>
      <c r="T113" s="6"/>
      <c r="U113" s="6"/>
      <c r="V113" s="6"/>
      <c r="W113" s="6"/>
      <c r="X113" s="6"/>
      <c r="Y113" s="6"/>
      <c r="Z113" s="6"/>
      <c r="AA113" s="6"/>
      <c r="AB113" s="6"/>
      <c r="AC113" s="6"/>
      <c r="AD113" t="s">
        <v>19</v>
      </c>
      <c r="AE113" t="s">
        <v>19</v>
      </c>
      <c r="AG113">
        <v>1</v>
      </c>
    </row>
    <row r="114" spans="1:33">
      <c r="A114" t="s">
        <v>180</v>
      </c>
      <c r="B114" s="3" t="s">
        <v>576</v>
      </c>
      <c r="C114" s="3" t="s">
        <v>575</v>
      </c>
      <c r="G114" s="6" t="s">
        <v>849</v>
      </c>
      <c r="H114" s="6"/>
      <c r="I114" s="6"/>
      <c r="J114" s="6"/>
      <c r="K114" s="6"/>
      <c r="L114" s="6"/>
      <c r="M114" s="6"/>
      <c r="N114" s="7"/>
      <c r="O114" s="6"/>
      <c r="P114" s="6"/>
      <c r="Q114" s="6">
        <v>16</v>
      </c>
      <c r="R114" s="6">
        <v>25</v>
      </c>
      <c r="S114" s="6">
        <v>41</v>
      </c>
      <c r="T114" s="6"/>
      <c r="U114" s="6"/>
      <c r="V114" s="6"/>
      <c r="W114" s="6"/>
      <c r="X114" s="6"/>
      <c r="Y114" s="6"/>
      <c r="Z114" s="6"/>
      <c r="AA114" s="6"/>
      <c r="AB114" s="6"/>
      <c r="AC114" s="6"/>
      <c r="AD114" t="s">
        <v>19</v>
      </c>
      <c r="AE114" t="s">
        <v>19</v>
      </c>
      <c r="AG114">
        <v>1</v>
      </c>
    </row>
    <row r="115" spans="1:33">
      <c r="A115" t="s">
        <v>180</v>
      </c>
      <c r="B115" s="3" t="s">
        <v>577</v>
      </c>
      <c r="C115" s="3" t="s">
        <v>578</v>
      </c>
      <c r="G115" s="6" t="s">
        <v>26</v>
      </c>
      <c r="H115" s="6"/>
      <c r="I115" s="6"/>
      <c r="J115" s="6"/>
      <c r="K115" s="6"/>
      <c r="L115" s="6"/>
      <c r="M115" s="6"/>
      <c r="N115" s="7"/>
      <c r="O115" s="6"/>
      <c r="P115" s="6"/>
      <c r="Q115" s="6"/>
      <c r="R115" s="6" t="s">
        <v>963</v>
      </c>
      <c r="S115" s="6" t="s">
        <v>963</v>
      </c>
      <c r="T115" s="6"/>
      <c r="U115" s="6"/>
      <c r="V115" s="6"/>
      <c r="W115" s="6"/>
      <c r="X115" s="6"/>
      <c r="Y115" s="6"/>
      <c r="Z115" s="6"/>
      <c r="AA115" s="6"/>
      <c r="AB115" s="6"/>
      <c r="AC115" s="6"/>
      <c r="AD115" t="s">
        <v>19</v>
      </c>
      <c r="AE115" t="s">
        <v>19</v>
      </c>
      <c r="AG115">
        <v>1</v>
      </c>
    </row>
    <row r="116" spans="1:33">
      <c r="A116" t="s">
        <v>180</v>
      </c>
      <c r="B116" s="3" t="s">
        <v>579</v>
      </c>
      <c r="C116" s="3" t="s">
        <v>580</v>
      </c>
      <c r="F116" t="s">
        <v>19</v>
      </c>
      <c r="G116" s="6" t="s">
        <v>849</v>
      </c>
      <c r="H116" s="6"/>
      <c r="I116" s="6"/>
      <c r="J116" s="6"/>
      <c r="K116" s="6"/>
      <c r="L116" s="6"/>
      <c r="M116" s="6"/>
      <c r="N116" s="7"/>
      <c r="O116" s="6"/>
      <c r="P116" s="6"/>
      <c r="Q116" s="6">
        <v>16</v>
      </c>
      <c r="R116" s="6">
        <v>25</v>
      </c>
      <c r="S116" s="6">
        <v>41</v>
      </c>
      <c r="T116" s="6" t="s">
        <v>848</v>
      </c>
      <c r="U116" s="6"/>
      <c r="V116" s="6"/>
      <c r="W116" s="6"/>
      <c r="X116" s="6"/>
      <c r="Y116" s="6"/>
      <c r="Z116" s="6"/>
      <c r="AA116" s="6"/>
      <c r="AB116" s="6"/>
      <c r="AC116" s="6"/>
      <c r="AD116" t="s">
        <v>20</v>
      </c>
      <c r="AE116" t="s">
        <v>19</v>
      </c>
      <c r="AG116">
        <v>0</v>
      </c>
    </row>
    <row r="117" spans="1:33" ht="29">
      <c r="A117" t="s">
        <v>185</v>
      </c>
      <c r="B117" s="3" t="s">
        <v>583</v>
      </c>
      <c r="C117" s="3" t="s">
        <v>582</v>
      </c>
      <c r="G117" s="6" t="s">
        <v>26</v>
      </c>
      <c r="H117" s="6"/>
      <c r="I117" s="6"/>
      <c r="J117" s="6"/>
      <c r="K117" s="6"/>
      <c r="L117" s="6"/>
      <c r="M117" s="6"/>
      <c r="N117" s="7"/>
      <c r="O117" s="6"/>
      <c r="P117" s="6"/>
      <c r="Q117" s="6"/>
      <c r="R117" s="6" t="s">
        <v>963</v>
      </c>
      <c r="S117" s="6" t="s">
        <v>963</v>
      </c>
      <c r="T117" s="6"/>
      <c r="U117" s="6"/>
      <c r="V117" s="6"/>
      <c r="W117" s="6"/>
      <c r="X117" s="6"/>
      <c r="Y117" s="6"/>
      <c r="Z117" s="6"/>
      <c r="AA117" s="6"/>
      <c r="AB117" s="6"/>
      <c r="AC117" s="6"/>
      <c r="AD117" t="s">
        <v>19</v>
      </c>
      <c r="AE117" t="s">
        <v>19</v>
      </c>
      <c r="AG117">
        <v>1</v>
      </c>
    </row>
    <row r="118" spans="1:33">
      <c r="A118" t="s">
        <v>185</v>
      </c>
      <c r="B118" s="3" t="s">
        <v>584</v>
      </c>
      <c r="C118" s="3" t="s">
        <v>585</v>
      </c>
      <c r="G118" s="6" t="s">
        <v>851</v>
      </c>
      <c r="H118" s="6"/>
      <c r="I118" s="6"/>
      <c r="J118" s="6"/>
      <c r="K118" s="6"/>
      <c r="L118" s="6"/>
      <c r="M118" s="6"/>
      <c r="N118" s="7"/>
      <c r="O118" s="6"/>
      <c r="P118" s="6"/>
      <c r="Q118" s="6"/>
      <c r="R118" s="6" t="s">
        <v>963</v>
      </c>
      <c r="S118" s="6" t="s">
        <v>963</v>
      </c>
      <c r="T118" s="6"/>
      <c r="U118" s="6"/>
      <c r="V118" s="6"/>
      <c r="W118" s="6"/>
      <c r="X118" s="6"/>
      <c r="Y118" s="6"/>
      <c r="Z118" s="6"/>
      <c r="AA118" s="6"/>
      <c r="AB118" s="6"/>
      <c r="AC118" s="6"/>
      <c r="AD118" t="s">
        <v>19</v>
      </c>
      <c r="AE118" t="s">
        <v>19</v>
      </c>
      <c r="AG118">
        <v>1</v>
      </c>
    </row>
    <row r="119" spans="1:33">
      <c r="A119" t="s">
        <v>185</v>
      </c>
      <c r="B119" s="3" t="s">
        <v>587</v>
      </c>
      <c r="C119" s="3" t="s">
        <v>586</v>
      </c>
      <c r="G119" s="6" t="s">
        <v>24</v>
      </c>
      <c r="H119" s="6"/>
      <c r="I119" s="6">
        <v>1</v>
      </c>
      <c r="J119" s="6">
        <v>5</v>
      </c>
      <c r="K119" s="6" t="s">
        <v>860</v>
      </c>
      <c r="L119" s="6" t="s">
        <v>809</v>
      </c>
      <c r="M119" s="6"/>
      <c r="N119" s="7"/>
      <c r="O119" s="6"/>
      <c r="P119" s="6">
        <v>295</v>
      </c>
      <c r="Q119" s="6"/>
      <c r="R119" s="6" t="s">
        <v>963</v>
      </c>
      <c r="S119" s="6" t="s">
        <v>963</v>
      </c>
      <c r="T119" s="6"/>
      <c r="U119" s="6"/>
      <c r="V119" s="6"/>
      <c r="W119" s="6"/>
      <c r="X119" s="6"/>
      <c r="Y119" s="6"/>
      <c r="Z119" s="6"/>
      <c r="AA119" s="6"/>
      <c r="AB119" s="6"/>
      <c r="AC119" s="6"/>
      <c r="AD119" t="s">
        <v>19</v>
      </c>
      <c r="AE119" t="s">
        <v>19</v>
      </c>
      <c r="AG119">
        <v>1</v>
      </c>
    </row>
    <row r="120" spans="1:33">
      <c r="A120" t="s">
        <v>186</v>
      </c>
      <c r="B120" s="3" t="s">
        <v>589</v>
      </c>
      <c r="C120" s="3" t="s">
        <v>588</v>
      </c>
      <c r="G120" s="6" t="s">
        <v>25</v>
      </c>
      <c r="H120" s="6"/>
      <c r="I120" s="6">
        <v>1</v>
      </c>
      <c r="J120" s="6">
        <v>3</v>
      </c>
      <c r="K120" s="6" t="s">
        <v>818</v>
      </c>
      <c r="L120" s="6" t="s">
        <v>809</v>
      </c>
      <c r="M120" s="6"/>
      <c r="N120" s="7"/>
      <c r="O120" s="6"/>
      <c r="P120" s="6">
        <v>86</v>
      </c>
      <c r="Q120" s="6"/>
      <c r="R120" s="6" t="s">
        <v>963</v>
      </c>
      <c r="S120" s="6" t="s">
        <v>963</v>
      </c>
      <c r="T120" s="6"/>
      <c r="U120" s="6"/>
      <c r="V120" s="6"/>
      <c r="W120" s="6"/>
      <c r="X120" s="6"/>
      <c r="Y120" s="6"/>
      <c r="Z120" s="6"/>
      <c r="AA120" s="6"/>
      <c r="AB120" s="6"/>
      <c r="AC120" s="6"/>
      <c r="AD120" t="s">
        <v>19</v>
      </c>
      <c r="AE120" t="s">
        <v>19</v>
      </c>
      <c r="AG120">
        <v>1</v>
      </c>
    </row>
    <row r="121" spans="1:33" ht="43.5">
      <c r="A121" t="s">
        <v>186</v>
      </c>
      <c r="B121" s="3" t="s">
        <v>1011</v>
      </c>
      <c r="C121" s="3" t="s">
        <v>590</v>
      </c>
      <c r="G121" s="6" t="s">
        <v>25</v>
      </c>
      <c r="H121" s="6"/>
      <c r="I121" s="6">
        <v>4</v>
      </c>
      <c r="J121" s="6">
        <v>18</v>
      </c>
      <c r="K121" s="6"/>
      <c r="L121" s="6" t="s">
        <v>809</v>
      </c>
      <c r="M121" s="6"/>
      <c r="N121" s="7"/>
      <c r="O121" s="6"/>
      <c r="P121" s="6">
        <v>3</v>
      </c>
      <c r="Q121" s="6"/>
      <c r="R121" s="6" t="s">
        <v>963</v>
      </c>
      <c r="S121" s="6" t="s">
        <v>963</v>
      </c>
      <c r="T121" s="6"/>
      <c r="U121" s="6"/>
      <c r="V121" s="6"/>
      <c r="W121" s="6"/>
      <c r="X121" s="6"/>
      <c r="Y121" s="6"/>
      <c r="Z121" s="6"/>
      <c r="AA121" s="6"/>
      <c r="AB121" s="6"/>
      <c r="AC121" s="6"/>
      <c r="AD121" t="s">
        <v>19</v>
      </c>
      <c r="AE121" t="s">
        <v>19</v>
      </c>
      <c r="AG121">
        <v>1</v>
      </c>
    </row>
    <row r="122" spans="1:33">
      <c r="A122" t="s">
        <v>187</v>
      </c>
      <c r="B122" s="3" t="s">
        <v>592</v>
      </c>
      <c r="C122" s="3" t="s">
        <v>591</v>
      </c>
      <c r="G122" s="6" t="s">
        <v>849</v>
      </c>
      <c r="H122" s="6"/>
      <c r="I122" s="6"/>
      <c r="J122" s="6"/>
      <c r="K122" s="6"/>
      <c r="L122" s="6"/>
      <c r="M122" s="6"/>
      <c r="N122" s="7"/>
      <c r="O122" s="6"/>
      <c r="P122" s="6"/>
      <c r="Q122" s="6">
        <v>-26</v>
      </c>
      <c r="R122" s="6">
        <v>105</v>
      </c>
      <c r="S122" s="6">
        <v>79</v>
      </c>
      <c r="T122" s="6"/>
      <c r="U122" s="6"/>
      <c r="V122" s="6"/>
      <c r="W122" s="6"/>
      <c r="X122" s="6"/>
      <c r="Y122" s="6"/>
      <c r="Z122" s="6"/>
      <c r="AA122" s="6"/>
      <c r="AB122" s="6"/>
      <c r="AC122" s="6"/>
      <c r="AD122" t="s">
        <v>19</v>
      </c>
      <c r="AE122" t="s">
        <v>19</v>
      </c>
      <c r="AG122">
        <v>1</v>
      </c>
    </row>
    <row r="123" spans="1:33" ht="43.5">
      <c r="A123" t="s">
        <v>193</v>
      </c>
      <c r="B123" s="3" t="s">
        <v>595</v>
      </c>
      <c r="C123" s="3" t="s">
        <v>594</v>
      </c>
      <c r="G123" s="6" t="s">
        <v>25</v>
      </c>
      <c r="H123" s="6"/>
      <c r="I123" s="6">
        <v>1</v>
      </c>
      <c r="J123" s="6">
        <v>2</v>
      </c>
      <c r="K123" s="6" t="s">
        <v>854</v>
      </c>
      <c r="L123" s="6" t="s">
        <v>850</v>
      </c>
      <c r="M123" s="6"/>
      <c r="N123" s="7"/>
      <c r="O123" s="6"/>
      <c r="P123" s="6">
        <v>124</v>
      </c>
      <c r="Q123" s="6"/>
      <c r="R123" s="6" t="s">
        <v>963</v>
      </c>
      <c r="S123" s="6" t="s">
        <v>963</v>
      </c>
      <c r="T123" s="6"/>
      <c r="U123" s="6"/>
      <c r="V123" s="6"/>
      <c r="W123" s="6"/>
      <c r="X123" s="6"/>
      <c r="Y123" s="6"/>
      <c r="Z123" s="6"/>
      <c r="AA123" s="6"/>
      <c r="AB123" s="6"/>
      <c r="AC123" s="6"/>
      <c r="AD123" t="s">
        <v>19</v>
      </c>
      <c r="AE123" t="s">
        <v>19</v>
      </c>
      <c r="AG123">
        <v>1</v>
      </c>
    </row>
    <row r="124" spans="1:33" ht="43.5">
      <c r="A124" t="s">
        <v>193</v>
      </c>
      <c r="B124" s="3" t="s">
        <v>596</v>
      </c>
      <c r="C124" s="3" t="s">
        <v>597</v>
      </c>
      <c r="G124" s="6" t="s">
        <v>851</v>
      </c>
      <c r="H124" s="6"/>
      <c r="I124" s="6"/>
      <c r="J124" s="6"/>
      <c r="K124" s="6"/>
      <c r="L124" s="6"/>
      <c r="M124" s="6"/>
      <c r="N124" s="7"/>
      <c r="O124" s="6"/>
      <c r="P124" s="6"/>
      <c r="Q124" s="6"/>
      <c r="R124" s="6" t="s">
        <v>963</v>
      </c>
      <c r="S124" s="6" t="s">
        <v>963</v>
      </c>
      <c r="T124" s="6"/>
      <c r="U124" s="6"/>
      <c r="V124" s="6"/>
      <c r="W124" s="6"/>
      <c r="X124" s="6"/>
      <c r="Y124" s="6"/>
      <c r="Z124" s="6" t="s">
        <v>863</v>
      </c>
      <c r="AA124" s="6" t="s">
        <v>20</v>
      </c>
      <c r="AB124" s="6"/>
      <c r="AC124" s="6"/>
      <c r="AD124" t="s">
        <v>19</v>
      </c>
      <c r="AE124" t="s">
        <v>19</v>
      </c>
      <c r="AG124">
        <v>1</v>
      </c>
    </row>
    <row r="125" spans="1:33" ht="43.5">
      <c r="A125" t="s">
        <v>193</v>
      </c>
      <c r="B125" s="3" t="s">
        <v>593</v>
      </c>
      <c r="C125" s="3" t="s">
        <v>598</v>
      </c>
      <c r="G125" s="6" t="s">
        <v>24</v>
      </c>
      <c r="H125" s="6"/>
      <c r="I125" s="6">
        <v>1</v>
      </c>
      <c r="J125" s="6">
        <v>6</v>
      </c>
      <c r="K125" s="6" t="s">
        <v>823</v>
      </c>
      <c r="L125" s="6" t="s">
        <v>809</v>
      </c>
      <c r="M125" s="6"/>
      <c r="N125" s="7"/>
      <c r="O125" s="6"/>
      <c r="P125" s="6">
        <v>250</v>
      </c>
      <c r="Q125" s="6"/>
      <c r="R125" s="6" t="s">
        <v>963</v>
      </c>
      <c r="S125" s="6" t="s">
        <v>963</v>
      </c>
      <c r="T125" s="6"/>
      <c r="U125" s="6"/>
      <c r="V125" s="6"/>
      <c r="W125" s="6"/>
      <c r="X125" s="6"/>
      <c r="Y125" s="6"/>
      <c r="Z125" s="6"/>
      <c r="AA125" s="6"/>
      <c r="AB125" s="6"/>
      <c r="AC125" s="6"/>
      <c r="AD125" t="s">
        <v>19</v>
      </c>
      <c r="AE125" t="s">
        <v>19</v>
      </c>
      <c r="AG125">
        <v>1</v>
      </c>
    </row>
    <row r="126" spans="1:33" ht="58">
      <c r="A126" t="s">
        <v>194</v>
      </c>
      <c r="B126" s="3" t="s">
        <v>599</v>
      </c>
      <c r="C126" s="3" t="s">
        <v>600</v>
      </c>
      <c r="G126" s="6" t="s">
        <v>849</v>
      </c>
      <c r="H126" s="6"/>
      <c r="I126" s="6"/>
      <c r="J126" s="6"/>
      <c r="K126" s="6"/>
      <c r="L126" s="6"/>
      <c r="M126" s="6"/>
      <c r="N126" s="7"/>
      <c r="O126" s="6"/>
      <c r="P126" s="6"/>
      <c r="Q126" s="6">
        <v>-12</v>
      </c>
      <c r="R126" s="6">
        <v>19</v>
      </c>
      <c r="S126" s="6">
        <v>7</v>
      </c>
      <c r="T126" s="6"/>
      <c r="U126" s="6"/>
      <c r="V126" s="6"/>
      <c r="W126" s="6"/>
      <c r="X126" s="6"/>
      <c r="Y126" s="6"/>
      <c r="Z126" s="6"/>
      <c r="AA126" s="6"/>
      <c r="AB126" s="6"/>
      <c r="AC126" s="6"/>
      <c r="AD126" t="s">
        <v>19</v>
      </c>
      <c r="AE126" t="s">
        <v>19</v>
      </c>
      <c r="AG126">
        <v>1</v>
      </c>
    </row>
    <row r="127" spans="1:33" ht="58">
      <c r="A127" t="s">
        <v>194</v>
      </c>
      <c r="B127" s="3" t="s">
        <v>1012</v>
      </c>
      <c r="C127" s="3" t="s">
        <v>1013</v>
      </c>
      <c r="G127" s="6" t="s">
        <v>25</v>
      </c>
      <c r="H127" s="6"/>
      <c r="I127" s="6"/>
      <c r="J127" s="6"/>
      <c r="K127" s="6"/>
      <c r="L127" s="6"/>
      <c r="M127" s="6"/>
      <c r="N127" s="7"/>
      <c r="O127" s="6"/>
      <c r="P127" s="6">
        <v>109</v>
      </c>
      <c r="Q127" s="6"/>
      <c r="R127" s="6"/>
      <c r="S127" s="6"/>
      <c r="T127" s="6"/>
      <c r="U127" s="6"/>
      <c r="V127" s="6"/>
      <c r="W127" s="6"/>
      <c r="X127" s="6"/>
      <c r="Y127" s="6"/>
      <c r="Z127" s="6"/>
      <c r="AA127" s="6"/>
      <c r="AB127" s="6"/>
      <c r="AC127" s="6"/>
      <c r="AD127" t="s">
        <v>19</v>
      </c>
      <c r="AE127" t="s">
        <v>20</v>
      </c>
      <c r="AG127">
        <v>1</v>
      </c>
    </row>
    <row r="128" spans="1:33" ht="58">
      <c r="A128" t="s">
        <v>194</v>
      </c>
      <c r="B128" s="3" t="s">
        <v>603</v>
      </c>
      <c r="C128" s="3" t="s">
        <v>604</v>
      </c>
      <c r="G128" s="6" t="s">
        <v>849</v>
      </c>
      <c r="H128" s="6"/>
      <c r="I128" s="6"/>
      <c r="J128" s="6"/>
      <c r="K128" s="6"/>
      <c r="L128" s="6"/>
      <c r="M128" s="6"/>
      <c r="N128" s="7"/>
      <c r="O128" s="6"/>
      <c r="P128" s="6"/>
      <c r="Q128" s="6">
        <v>-12</v>
      </c>
      <c r="R128" s="6">
        <v>19</v>
      </c>
      <c r="S128" s="6">
        <v>7</v>
      </c>
      <c r="T128" s="6"/>
      <c r="U128" s="6"/>
      <c r="V128" s="6"/>
      <c r="W128" s="6"/>
      <c r="X128" s="6"/>
      <c r="Y128" s="6"/>
      <c r="Z128" s="6"/>
      <c r="AA128" s="6"/>
      <c r="AB128" s="6"/>
      <c r="AC128" s="6"/>
      <c r="AD128" t="s">
        <v>19</v>
      </c>
      <c r="AE128" t="s">
        <v>19</v>
      </c>
      <c r="AG128">
        <v>1</v>
      </c>
    </row>
    <row r="129" spans="1:33">
      <c r="A129" t="s">
        <v>195</v>
      </c>
      <c r="B129" s="3" t="s">
        <v>608</v>
      </c>
      <c r="C129" s="3" t="s">
        <v>609</v>
      </c>
      <c r="G129" s="6" t="s">
        <v>849</v>
      </c>
      <c r="H129" s="6"/>
      <c r="I129" s="6"/>
      <c r="J129" s="6"/>
      <c r="K129" s="6"/>
      <c r="L129" s="6"/>
      <c r="M129" s="6"/>
      <c r="N129" s="7"/>
      <c r="O129" s="6"/>
      <c r="P129" s="6"/>
      <c r="Q129" s="6">
        <v>447</v>
      </c>
      <c r="R129" s="6">
        <v>166</v>
      </c>
      <c r="S129" s="6">
        <v>613</v>
      </c>
      <c r="T129" s="6"/>
      <c r="U129" s="6"/>
      <c r="V129" s="6"/>
      <c r="W129" s="6"/>
      <c r="X129" s="6"/>
      <c r="Y129" s="6"/>
      <c r="Z129" s="6"/>
      <c r="AA129" s="6"/>
      <c r="AB129" s="6"/>
      <c r="AC129" s="6"/>
      <c r="AD129" t="s">
        <v>19</v>
      </c>
      <c r="AE129" t="s">
        <v>19</v>
      </c>
      <c r="AG129">
        <v>1</v>
      </c>
    </row>
    <row r="130" spans="1:33">
      <c r="A130" t="s">
        <v>195</v>
      </c>
      <c r="B130" s="3" t="s">
        <v>607</v>
      </c>
      <c r="C130" s="3" t="s">
        <v>610</v>
      </c>
      <c r="F130" t="s">
        <v>19</v>
      </c>
      <c r="G130" s="6" t="s">
        <v>24</v>
      </c>
      <c r="H130" s="6"/>
      <c r="I130" s="6">
        <v>1</v>
      </c>
      <c r="J130" s="6">
        <v>1</v>
      </c>
      <c r="K130" s="6" t="s">
        <v>802</v>
      </c>
      <c r="L130" s="6" t="s">
        <v>850</v>
      </c>
      <c r="M130" s="6"/>
      <c r="N130" s="7"/>
      <c r="O130" s="6"/>
      <c r="P130" s="6">
        <v>6</v>
      </c>
      <c r="Q130" s="6"/>
      <c r="R130" s="6" t="s">
        <v>963</v>
      </c>
      <c r="S130" s="6" t="s">
        <v>963</v>
      </c>
      <c r="T130" s="6"/>
      <c r="U130" s="6"/>
      <c r="V130" s="6"/>
      <c r="W130" s="6"/>
      <c r="X130" s="6"/>
      <c r="Y130" s="6"/>
      <c r="Z130" s="6"/>
      <c r="AA130" s="6"/>
      <c r="AB130" s="6"/>
      <c r="AC130" s="6"/>
      <c r="AD130" t="s">
        <v>20</v>
      </c>
      <c r="AE130" t="s">
        <v>20</v>
      </c>
      <c r="AG130">
        <v>0</v>
      </c>
    </row>
    <row r="131" spans="1:33">
      <c r="A131" t="s">
        <v>198</v>
      </c>
      <c r="B131" s="3" t="s">
        <v>611</v>
      </c>
      <c r="C131" s="3" t="s">
        <v>612</v>
      </c>
      <c r="G131" s="6" t="s">
        <v>849</v>
      </c>
      <c r="H131" s="6"/>
      <c r="I131" s="6"/>
      <c r="J131" s="6"/>
      <c r="K131" s="6"/>
      <c r="L131" s="6"/>
      <c r="M131" s="6"/>
      <c r="N131" s="7"/>
      <c r="O131" s="6"/>
      <c r="P131" s="6"/>
      <c r="Q131" s="6">
        <v>-13</v>
      </c>
      <c r="R131" s="6">
        <v>17</v>
      </c>
      <c r="S131" s="6">
        <v>4</v>
      </c>
      <c r="T131" s="6"/>
      <c r="U131" s="6"/>
      <c r="V131" s="6"/>
      <c r="W131" s="6"/>
      <c r="X131" s="6"/>
      <c r="Y131" s="6"/>
      <c r="Z131" s="6"/>
      <c r="AA131" s="6"/>
      <c r="AB131" s="6"/>
      <c r="AC131" s="6"/>
      <c r="AD131" t="s">
        <v>19</v>
      </c>
      <c r="AE131" t="s">
        <v>19</v>
      </c>
      <c r="AG131">
        <v>1</v>
      </c>
    </row>
    <row r="132" spans="1:33">
      <c r="A132" t="s">
        <v>199</v>
      </c>
      <c r="B132" s="3" t="s">
        <v>613</v>
      </c>
      <c r="C132" s="3" t="s">
        <v>614</v>
      </c>
      <c r="G132" s="6" t="s">
        <v>851</v>
      </c>
      <c r="H132" s="6"/>
      <c r="I132" s="6"/>
      <c r="J132" s="6"/>
      <c r="K132" s="6"/>
      <c r="L132" s="6"/>
      <c r="M132" s="6"/>
      <c r="N132" s="7"/>
      <c r="O132" s="6"/>
      <c r="P132" s="6"/>
      <c r="Q132" s="6"/>
      <c r="R132" s="6" t="s">
        <v>963</v>
      </c>
      <c r="S132" s="6" t="s">
        <v>963</v>
      </c>
      <c r="T132" s="6"/>
      <c r="U132" s="6"/>
      <c r="V132" s="6"/>
      <c r="W132" s="6"/>
      <c r="X132" s="6"/>
      <c r="Y132" s="6"/>
      <c r="Z132" s="6"/>
      <c r="AA132" s="6"/>
      <c r="AB132" s="6"/>
      <c r="AC132" s="6"/>
      <c r="AD132" t="s">
        <v>19</v>
      </c>
      <c r="AE132" t="s">
        <v>19</v>
      </c>
      <c r="AG132">
        <v>1</v>
      </c>
    </row>
    <row r="133" spans="1:33" ht="29">
      <c r="A133" t="s">
        <v>200</v>
      </c>
      <c r="B133" s="3" t="s">
        <v>615</v>
      </c>
      <c r="C133" s="3" t="s">
        <v>616</v>
      </c>
      <c r="G133" s="6" t="s">
        <v>849</v>
      </c>
      <c r="H133" s="6"/>
      <c r="I133" s="6"/>
      <c r="J133" s="6"/>
      <c r="K133" s="6"/>
      <c r="L133" s="6"/>
      <c r="M133" s="6"/>
      <c r="N133" s="7"/>
      <c r="O133" s="6"/>
      <c r="P133" s="6"/>
      <c r="Q133" s="6">
        <v>-43</v>
      </c>
      <c r="R133" s="6">
        <v>44</v>
      </c>
      <c r="S133" s="6">
        <v>1</v>
      </c>
      <c r="T133" s="6"/>
      <c r="U133" s="6"/>
      <c r="V133" s="6"/>
      <c r="W133" s="6"/>
      <c r="X133" s="6"/>
      <c r="Y133" s="6"/>
      <c r="Z133" s="6"/>
      <c r="AA133" s="6"/>
      <c r="AB133" s="6"/>
      <c r="AC133" s="6"/>
      <c r="AD133" t="s">
        <v>19</v>
      </c>
      <c r="AE133" t="s">
        <v>19</v>
      </c>
      <c r="AG133">
        <v>1</v>
      </c>
    </row>
    <row r="134" spans="1:33">
      <c r="A134" t="s">
        <v>201</v>
      </c>
      <c r="B134" s="3" t="s">
        <v>202</v>
      </c>
      <c r="C134" s="3" t="s">
        <v>203</v>
      </c>
      <c r="G134" s="6" t="s">
        <v>851</v>
      </c>
      <c r="H134" s="6"/>
      <c r="I134" s="6"/>
      <c r="J134" s="6"/>
      <c r="K134" s="6"/>
      <c r="L134" s="6"/>
      <c r="M134" s="6"/>
      <c r="N134" s="7"/>
      <c r="O134" s="6"/>
      <c r="P134" s="6"/>
      <c r="Q134" s="6"/>
      <c r="R134" s="6" t="s">
        <v>963</v>
      </c>
      <c r="S134" s="6" t="s">
        <v>963</v>
      </c>
      <c r="T134" s="6"/>
      <c r="U134" s="6"/>
      <c r="V134" s="6"/>
      <c r="W134" s="6"/>
      <c r="X134" s="6"/>
      <c r="Y134" s="6"/>
      <c r="Z134" s="6"/>
      <c r="AA134" s="6"/>
      <c r="AB134" s="6"/>
      <c r="AC134" s="6"/>
      <c r="AD134" t="s">
        <v>19</v>
      </c>
      <c r="AE134" t="s">
        <v>20</v>
      </c>
      <c r="AG134">
        <v>1</v>
      </c>
    </row>
    <row r="135" spans="1:33" ht="29">
      <c r="A135" t="s">
        <v>204</v>
      </c>
      <c r="B135" s="3" t="s">
        <v>620</v>
      </c>
      <c r="C135" s="3" t="s">
        <v>617</v>
      </c>
      <c r="G135" s="6" t="s">
        <v>25</v>
      </c>
      <c r="H135" s="6"/>
      <c r="I135" s="6">
        <v>1</v>
      </c>
      <c r="J135" s="6">
        <v>3</v>
      </c>
      <c r="K135" s="6" t="s">
        <v>818</v>
      </c>
      <c r="L135" s="6" t="s">
        <v>809</v>
      </c>
      <c r="M135" s="6"/>
      <c r="N135" s="7"/>
      <c r="O135" s="6"/>
      <c r="P135" s="6">
        <v>1701</v>
      </c>
      <c r="Q135" s="6"/>
      <c r="R135" s="6" t="s">
        <v>963</v>
      </c>
      <c r="S135" s="6" t="s">
        <v>963</v>
      </c>
      <c r="T135" s="6"/>
      <c r="U135" s="6"/>
      <c r="V135" s="6"/>
      <c r="W135" s="6"/>
      <c r="X135" s="6"/>
      <c r="Y135" s="6"/>
      <c r="Z135" s="6"/>
      <c r="AA135" s="6"/>
      <c r="AB135" s="6"/>
      <c r="AC135" s="6"/>
      <c r="AD135" t="s">
        <v>19</v>
      </c>
      <c r="AE135" t="s">
        <v>20</v>
      </c>
      <c r="AG135">
        <v>1</v>
      </c>
    </row>
    <row r="136" spans="1:33" ht="43.5">
      <c r="A136" t="s">
        <v>204</v>
      </c>
      <c r="B136" s="3" t="s">
        <v>623</v>
      </c>
      <c r="C136" s="3" t="s">
        <v>624</v>
      </c>
      <c r="G136" s="6" t="s">
        <v>26</v>
      </c>
      <c r="H136" s="6"/>
      <c r="I136" s="6"/>
      <c r="J136" s="6"/>
      <c r="K136" s="6"/>
      <c r="L136" s="6"/>
      <c r="M136" s="6"/>
      <c r="N136" s="7"/>
      <c r="O136" s="6"/>
      <c r="P136" s="6"/>
      <c r="Q136" s="6"/>
      <c r="R136" s="6" t="s">
        <v>963</v>
      </c>
      <c r="S136" s="6" t="s">
        <v>963</v>
      </c>
      <c r="T136" s="6"/>
      <c r="U136" s="6"/>
      <c r="V136" s="6"/>
      <c r="W136" s="6"/>
      <c r="X136" s="6"/>
      <c r="Y136" s="6"/>
      <c r="Z136" s="6"/>
      <c r="AA136" s="6"/>
      <c r="AB136" s="6"/>
      <c r="AC136" s="6"/>
      <c r="AD136" t="s">
        <v>19</v>
      </c>
      <c r="AE136" t="s">
        <v>19</v>
      </c>
      <c r="AG136">
        <v>1</v>
      </c>
    </row>
    <row r="137" spans="1:33">
      <c r="A137" t="s">
        <v>207</v>
      </c>
      <c r="B137" s="3" t="s">
        <v>625</v>
      </c>
      <c r="C137" s="3" t="s">
        <v>626</v>
      </c>
      <c r="G137" s="6" t="s">
        <v>851</v>
      </c>
      <c r="H137" s="6"/>
      <c r="I137" s="6"/>
      <c r="J137" s="6"/>
      <c r="K137" s="6"/>
      <c r="L137" s="6"/>
      <c r="M137" s="6"/>
      <c r="N137" s="7"/>
      <c r="O137" s="6"/>
      <c r="P137" s="6"/>
      <c r="Q137" s="6"/>
      <c r="R137" s="6" t="s">
        <v>963</v>
      </c>
      <c r="S137" s="6" t="s">
        <v>963</v>
      </c>
      <c r="T137" s="6"/>
      <c r="U137" s="6"/>
      <c r="V137" s="6"/>
      <c r="W137" s="6"/>
      <c r="X137" s="6"/>
      <c r="Y137" s="6"/>
      <c r="Z137" s="6"/>
      <c r="AA137" s="6"/>
      <c r="AB137" s="6"/>
      <c r="AC137" s="6"/>
      <c r="AD137" t="s">
        <v>19</v>
      </c>
      <c r="AE137" t="s">
        <v>19</v>
      </c>
      <c r="AG137">
        <v>1</v>
      </c>
    </row>
    <row r="138" spans="1:33" ht="29">
      <c r="A138" t="s">
        <v>207</v>
      </c>
      <c r="B138" s="3" t="s">
        <v>629</v>
      </c>
      <c r="C138" s="3" t="s">
        <v>630</v>
      </c>
      <c r="G138" s="6" t="s">
        <v>24</v>
      </c>
      <c r="H138" s="6"/>
      <c r="I138" s="6">
        <v>1</v>
      </c>
      <c r="J138" s="6">
        <v>3</v>
      </c>
      <c r="K138" s="6" t="s">
        <v>818</v>
      </c>
      <c r="L138" s="6" t="s">
        <v>809</v>
      </c>
      <c r="M138" s="6"/>
      <c r="N138" s="7"/>
      <c r="O138" s="6"/>
      <c r="P138" s="6">
        <v>1701</v>
      </c>
      <c r="Q138" s="6"/>
      <c r="R138" s="6" t="s">
        <v>963</v>
      </c>
      <c r="S138" s="6" t="s">
        <v>963</v>
      </c>
      <c r="T138" s="6"/>
      <c r="U138" s="6"/>
      <c r="V138" s="6"/>
      <c r="W138" s="6"/>
      <c r="X138" s="6"/>
      <c r="Y138" s="6"/>
      <c r="Z138" s="6"/>
      <c r="AA138" s="6"/>
      <c r="AB138" s="6"/>
      <c r="AC138" s="6"/>
      <c r="AD138" t="s">
        <v>19</v>
      </c>
      <c r="AE138" t="s">
        <v>20</v>
      </c>
      <c r="AG138">
        <v>1</v>
      </c>
    </row>
    <row r="139" spans="1:33" ht="29">
      <c r="A139" t="s">
        <v>207</v>
      </c>
      <c r="B139" s="3" t="s">
        <v>632</v>
      </c>
      <c r="C139" s="3" t="s">
        <v>631</v>
      </c>
      <c r="G139" s="6" t="s">
        <v>26</v>
      </c>
      <c r="H139" s="6"/>
      <c r="I139" s="6"/>
      <c r="J139" s="6"/>
      <c r="K139" s="6"/>
      <c r="L139" s="6"/>
      <c r="M139" s="6"/>
      <c r="N139" s="7"/>
      <c r="O139" s="6"/>
      <c r="P139" s="6"/>
      <c r="Q139" s="6"/>
      <c r="R139" s="6" t="s">
        <v>963</v>
      </c>
      <c r="S139" s="6" t="s">
        <v>963</v>
      </c>
      <c r="T139" s="6"/>
      <c r="U139" s="6"/>
      <c r="V139" s="6"/>
      <c r="W139" s="6"/>
      <c r="X139" s="6"/>
      <c r="Y139" s="6"/>
      <c r="Z139" s="6"/>
      <c r="AA139" s="6"/>
      <c r="AB139" s="6"/>
      <c r="AC139" s="6"/>
      <c r="AD139" t="s">
        <v>19</v>
      </c>
      <c r="AE139" t="s">
        <v>19</v>
      </c>
      <c r="AG139">
        <v>1</v>
      </c>
    </row>
    <row r="140" spans="1:33">
      <c r="A140" t="s">
        <v>208</v>
      </c>
      <c r="B140" s="3" t="s">
        <v>634</v>
      </c>
      <c r="C140" s="3" t="s">
        <v>633</v>
      </c>
      <c r="G140" s="6" t="s">
        <v>25</v>
      </c>
      <c r="H140" s="6"/>
      <c r="I140" s="6">
        <v>1</v>
      </c>
      <c r="J140" s="6">
        <v>3</v>
      </c>
      <c r="K140" s="6" t="s">
        <v>818</v>
      </c>
      <c r="L140" s="6" t="s">
        <v>809</v>
      </c>
      <c r="M140" s="6"/>
      <c r="N140" s="7"/>
      <c r="O140" s="6"/>
      <c r="P140" s="6">
        <v>86</v>
      </c>
      <c r="Q140" s="6"/>
      <c r="R140" s="6" t="s">
        <v>963</v>
      </c>
      <c r="S140" s="6" t="s">
        <v>963</v>
      </c>
      <c r="T140" s="6"/>
      <c r="U140" s="6"/>
      <c r="V140" s="6"/>
      <c r="W140" s="6"/>
      <c r="X140" s="6"/>
      <c r="Y140" s="6"/>
      <c r="Z140" s="6"/>
      <c r="AA140" s="6"/>
      <c r="AB140" s="6"/>
      <c r="AC140" s="6"/>
      <c r="AD140" t="s">
        <v>19</v>
      </c>
      <c r="AE140" t="s">
        <v>19</v>
      </c>
      <c r="AG140">
        <v>1</v>
      </c>
    </row>
    <row r="141" spans="1:33" ht="29">
      <c r="A141" t="s">
        <v>208</v>
      </c>
      <c r="B141" s="3" t="s">
        <v>635</v>
      </c>
      <c r="C141" s="3" t="s">
        <v>636</v>
      </c>
      <c r="G141" s="6" t="s">
        <v>26</v>
      </c>
      <c r="H141" s="6"/>
      <c r="I141" s="6"/>
      <c r="J141" s="6"/>
      <c r="K141" s="6"/>
      <c r="L141" s="6"/>
      <c r="M141" s="6"/>
      <c r="N141" s="7"/>
      <c r="O141" s="6"/>
      <c r="P141" s="6"/>
      <c r="Q141" s="6"/>
      <c r="R141" s="6" t="s">
        <v>963</v>
      </c>
      <c r="S141" s="6" t="s">
        <v>963</v>
      </c>
      <c r="T141" s="6"/>
      <c r="U141" s="6"/>
      <c r="V141" s="6"/>
      <c r="W141" s="6"/>
      <c r="X141" s="6"/>
      <c r="Y141" s="6"/>
      <c r="Z141" s="6"/>
      <c r="AA141" s="6"/>
      <c r="AB141" s="6"/>
      <c r="AC141" s="6"/>
      <c r="AD141" t="s">
        <v>19</v>
      </c>
      <c r="AE141" t="s">
        <v>20</v>
      </c>
      <c r="AG141">
        <v>1</v>
      </c>
    </row>
    <row r="142" spans="1:33" ht="58">
      <c r="A142" t="s">
        <v>209</v>
      </c>
      <c r="B142" s="3" t="s">
        <v>638</v>
      </c>
      <c r="C142" s="3" t="s">
        <v>637</v>
      </c>
      <c r="G142" s="6" t="s">
        <v>25</v>
      </c>
      <c r="H142" s="6"/>
      <c r="I142" s="6">
        <v>8</v>
      </c>
      <c r="J142" s="6">
        <v>33</v>
      </c>
      <c r="K142" s="6"/>
      <c r="L142" s="6" t="s">
        <v>803</v>
      </c>
      <c r="M142" s="6" t="s">
        <v>873</v>
      </c>
      <c r="N142" s="7" t="s">
        <v>894</v>
      </c>
      <c r="O142" s="6"/>
      <c r="P142" s="6">
        <v>8</v>
      </c>
      <c r="Q142" s="6"/>
      <c r="R142" s="6" t="s">
        <v>963</v>
      </c>
      <c r="S142" s="6" t="s">
        <v>963</v>
      </c>
      <c r="T142" s="6"/>
      <c r="U142" s="6"/>
      <c r="V142" s="6"/>
      <c r="W142" s="6"/>
      <c r="X142" s="6"/>
      <c r="Y142" s="6"/>
      <c r="Z142" s="6"/>
      <c r="AA142" s="6"/>
      <c r="AB142" s="6"/>
      <c r="AC142" s="6"/>
      <c r="AD142" t="s">
        <v>19</v>
      </c>
      <c r="AE142" t="s">
        <v>19</v>
      </c>
      <c r="AG142">
        <v>1</v>
      </c>
    </row>
    <row r="143" spans="1:33">
      <c r="A143" t="s">
        <v>210</v>
      </c>
      <c r="B143" s="3" t="s">
        <v>640</v>
      </c>
      <c r="C143" s="3" t="s">
        <v>639</v>
      </c>
      <c r="F143" t="s">
        <v>19</v>
      </c>
      <c r="G143" s="6" t="s">
        <v>851</v>
      </c>
      <c r="H143" s="6"/>
      <c r="I143" s="6"/>
      <c r="J143" s="6"/>
      <c r="K143" s="6"/>
      <c r="L143" s="6"/>
      <c r="M143" s="6"/>
      <c r="N143" s="7"/>
      <c r="O143" s="6"/>
      <c r="P143" s="6"/>
      <c r="Q143" s="6"/>
      <c r="R143" s="6" t="s">
        <v>963</v>
      </c>
      <c r="S143" s="6" t="s">
        <v>963</v>
      </c>
      <c r="T143" s="6"/>
      <c r="U143" s="6"/>
      <c r="V143" s="6"/>
      <c r="W143" s="6"/>
      <c r="X143" s="6"/>
      <c r="Y143" s="6"/>
      <c r="Z143" s="6"/>
      <c r="AA143" s="6"/>
      <c r="AB143" s="6"/>
      <c r="AC143" s="6"/>
      <c r="AD143" t="s">
        <v>20</v>
      </c>
      <c r="AE143" t="s">
        <v>20</v>
      </c>
      <c r="AG143">
        <v>0</v>
      </c>
    </row>
    <row r="144" spans="1:33">
      <c r="A144" t="s">
        <v>211</v>
      </c>
      <c r="B144" s="3" t="s">
        <v>212</v>
      </c>
      <c r="C144" s="3" t="s">
        <v>213</v>
      </c>
      <c r="F144" t="s">
        <v>19</v>
      </c>
      <c r="G144" s="6" t="s">
        <v>851</v>
      </c>
      <c r="H144" s="6"/>
      <c r="I144" s="6"/>
      <c r="J144" s="6"/>
      <c r="K144" s="6"/>
      <c r="L144" s="6"/>
      <c r="M144" s="6"/>
      <c r="N144" s="7"/>
      <c r="O144" s="6"/>
      <c r="P144" s="6"/>
      <c r="Q144" s="6"/>
      <c r="R144" s="6" t="s">
        <v>963</v>
      </c>
      <c r="S144" s="6" t="s">
        <v>963</v>
      </c>
      <c r="T144" s="6"/>
      <c r="U144" s="6"/>
      <c r="V144" s="6"/>
      <c r="W144" s="6"/>
      <c r="X144" s="6"/>
      <c r="Y144" s="6"/>
      <c r="Z144" s="6"/>
      <c r="AA144" s="6"/>
      <c r="AB144" s="6"/>
      <c r="AC144" s="6"/>
      <c r="AD144" t="s">
        <v>20</v>
      </c>
      <c r="AE144" t="s">
        <v>20</v>
      </c>
      <c r="AG144">
        <v>0</v>
      </c>
    </row>
    <row r="145" spans="1:33" ht="58">
      <c r="A145" t="s">
        <v>214</v>
      </c>
      <c r="B145" s="3" t="s">
        <v>902</v>
      </c>
      <c r="C145" s="3" t="s">
        <v>904</v>
      </c>
      <c r="G145" s="6" t="s">
        <v>25</v>
      </c>
      <c r="H145" s="6"/>
      <c r="I145" s="6">
        <v>1</v>
      </c>
      <c r="J145" s="6">
        <v>5</v>
      </c>
      <c r="K145" s="6" t="s">
        <v>802</v>
      </c>
      <c r="L145" s="6" t="s">
        <v>809</v>
      </c>
      <c r="M145" s="6"/>
      <c r="N145" s="7"/>
      <c r="O145" s="6"/>
      <c r="P145" s="6">
        <v>266</v>
      </c>
      <c r="Q145" s="6"/>
      <c r="R145" s="6" t="s">
        <v>963</v>
      </c>
      <c r="S145" s="6" t="s">
        <v>963</v>
      </c>
      <c r="T145" s="6"/>
      <c r="U145" s="6"/>
      <c r="V145" s="6"/>
      <c r="W145" s="6"/>
      <c r="X145" s="6"/>
      <c r="Y145" s="6"/>
      <c r="Z145" s="6"/>
      <c r="AA145" s="6"/>
      <c r="AB145" s="6"/>
      <c r="AC145" s="6"/>
      <c r="AD145" t="s">
        <v>19</v>
      </c>
      <c r="AE145" t="s">
        <v>20</v>
      </c>
      <c r="AG145">
        <v>1</v>
      </c>
    </row>
    <row r="146" spans="1:33" ht="58">
      <c r="A146" t="s">
        <v>214</v>
      </c>
      <c r="B146" s="3" t="s">
        <v>906</v>
      </c>
      <c r="C146" s="3" t="s">
        <v>904</v>
      </c>
      <c r="G146" s="6" t="s">
        <v>25</v>
      </c>
      <c r="H146" s="6"/>
      <c r="I146" s="6">
        <v>4</v>
      </c>
      <c r="J146" s="6">
        <v>13</v>
      </c>
      <c r="K146" s="6"/>
      <c r="L146" s="6" t="s">
        <v>809</v>
      </c>
      <c r="M146" s="6"/>
      <c r="N146" s="7"/>
      <c r="O146" s="6"/>
      <c r="P146" s="6">
        <v>3</v>
      </c>
      <c r="Q146" s="6"/>
      <c r="R146" s="6" t="s">
        <v>963</v>
      </c>
      <c r="S146" s="6" t="s">
        <v>963</v>
      </c>
      <c r="T146" s="6"/>
      <c r="U146" s="6"/>
      <c r="V146" s="6"/>
      <c r="W146" s="6"/>
      <c r="X146" s="6"/>
      <c r="Y146" s="6"/>
      <c r="Z146" s="6"/>
      <c r="AA146" s="6"/>
      <c r="AB146" s="6"/>
      <c r="AC146" s="6"/>
      <c r="AD146" t="s">
        <v>19</v>
      </c>
      <c r="AE146" t="s">
        <v>19</v>
      </c>
      <c r="AG146">
        <v>1</v>
      </c>
    </row>
    <row r="147" spans="1:33">
      <c r="A147" t="s">
        <v>214</v>
      </c>
      <c r="B147" s="3" t="s">
        <v>647</v>
      </c>
      <c r="C147" s="3" t="s">
        <v>644</v>
      </c>
      <c r="G147" s="6" t="s">
        <v>25</v>
      </c>
      <c r="H147" s="6"/>
      <c r="I147" s="6">
        <v>2</v>
      </c>
      <c r="J147" s="6">
        <v>3</v>
      </c>
      <c r="K147" s="6"/>
      <c r="L147" s="6" t="s">
        <v>809</v>
      </c>
      <c r="M147" s="6"/>
      <c r="N147" s="7"/>
      <c r="O147" s="6"/>
      <c r="P147" s="6">
        <v>250</v>
      </c>
      <c r="Q147" s="6"/>
      <c r="R147" s="6" t="s">
        <v>963</v>
      </c>
      <c r="S147" s="6" t="s">
        <v>963</v>
      </c>
      <c r="T147" s="6" t="s">
        <v>848</v>
      </c>
      <c r="U147" s="6"/>
      <c r="V147" s="6"/>
      <c r="W147" s="6"/>
      <c r="X147" s="6"/>
      <c r="Y147" s="6"/>
      <c r="Z147" s="6"/>
      <c r="AA147" s="6"/>
      <c r="AB147" s="6"/>
      <c r="AC147" s="6"/>
      <c r="AD147" t="s">
        <v>19</v>
      </c>
      <c r="AE147" t="s">
        <v>19</v>
      </c>
      <c r="AG147">
        <v>1</v>
      </c>
    </row>
    <row r="148" spans="1:33">
      <c r="A148" t="s">
        <v>216</v>
      </c>
      <c r="B148" s="3" t="s">
        <v>648</v>
      </c>
      <c r="C148" s="3" t="s">
        <v>649</v>
      </c>
      <c r="G148" s="6" t="s">
        <v>25</v>
      </c>
      <c r="H148" s="6"/>
      <c r="I148" s="6">
        <v>1</v>
      </c>
      <c r="J148" s="6">
        <v>4</v>
      </c>
      <c r="K148" s="6" t="s">
        <v>808</v>
      </c>
      <c r="L148" s="6" t="s">
        <v>803</v>
      </c>
      <c r="M148" s="6" t="s">
        <v>868</v>
      </c>
      <c r="N148" s="7" t="s">
        <v>867</v>
      </c>
      <c r="O148" s="6"/>
      <c r="P148" s="6">
        <v>2475</v>
      </c>
      <c r="Q148" s="6"/>
      <c r="R148" s="6" t="s">
        <v>963</v>
      </c>
      <c r="S148" s="6" t="s">
        <v>963</v>
      </c>
      <c r="T148" s="6"/>
      <c r="U148" s="6"/>
      <c r="V148" s="6"/>
      <c r="W148" s="6"/>
      <c r="X148" s="6"/>
      <c r="Y148" s="6"/>
      <c r="Z148" s="6"/>
      <c r="AA148" s="6"/>
      <c r="AB148" s="6"/>
      <c r="AC148" s="6"/>
      <c r="AD148" t="s">
        <v>19</v>
      </c>
      <c r="AE148" t="s">
        <v>20</v>
      </c>
      <c r="AG148">
        <v>1</v>
      </c>
    </row>
    <row r="149" spans="1:33">
      <c r="A149" t="s">
        <v>220</v>
      </c>
      <c r="B149" s="3" t="s">
        <v>651</v>
      </c>
      <c r="C149" s="3" t="s">
        <v>652</v>
      </c>
      <c r="G149" s="6" t="s">
        <v>24</v>
      </c>
      <c r="H149" s="6"/>
      <c r="I149" s="6">
        <v>1</v>
      </c>
      <c r="J149" s="6">
        <v>1</v>
      </c>
      <c r="K149" s="6" t="s">
        <v>808</v>
      </c>
      <c r="L149" s="6" t="s">
        <v>850</v>
      </c>
      <c r="M149" s="6"/>
      <c r="N149" s="7"/>
      <c r="O149" s="6"/>
      <c r="P149" s="6">
        <v>2475</v>
      </c>
      <c r="Q149" s="6"/>
      <c r="R149" s="6" t="s">
        <v>963</v>
      </c>
      <c r="S149" s="6" t="s">
        <v>963</v>
      </c>
      <c r="T149" s="6" t="s">
        <v>4</v>
      </c>
      <c r="U149" s="6"/>
      <c r="V149" s="6"/>
      <c r="W149" s="6"/>
      <c r="X149" s="6"/>
      <c r="Y149" s="6"/>
      <c r="Z149" s="6"/>
      <c r="AA149" s="6"/>
      <c r="AB149" s="6"/>
      <c r="AC149" s="6"/>
      <c r="AD149" t="s">
        <v>19</v>
      </c>
      <c r="AE149" t="s">
        <v>19</v>
      </c>
      <c r="AG149">
        <v>1</v>
      </c>
    </row>
    <row r="150" spans="1:33" ht="29">
      <c r="A150" t="s">
        <v>221</v>
      </c>
      <c r="B150" s="3" t="s">
        <v>654</v>
      </c>
      <c r="C150" s="3" t="s">
        <v>653</v>
      </c>
      <c r="G150" s="6" t="s">
        <v>26</v>
      </c>
      <c r="H150" s="6"/>
      <c r="I150" s="6"/>
      <c r="J150" s="6"/>
      <c r="K150" s="6"/>
      <c r="L150" s="6"/>
      <c r="M150" s="6"/>
      <c r="N150" s="7"/>
      <c r="O150" s="6"/>
      <c r="P150" s="6"/>
      <c r="Q150" s="6"/>
      <c r="R150" s="6" t="s">
        <v>963</v>
      </c>
      <c r="S150" s="6" t="s">
        <v>963</v>
      </c>
      <c r="T150" s="6"/>
      <c r="U150" s="6"/>
      <c r="V150" s="6"/>
      <c r="W150" s="6"/>
      <c r="X150" s="6"/>
      <c r="Y150" s="6"/>
      <c r="Z150" s="6"/>
      <c r="AA150" s="6"/>
      <c r="AB150" s="6"/>
      <c r="AC150" s="6"/>
      <c r="AD150" t="s">
        <v>19</v>
      </c>
      <c r="AE150" t="s">
        <v>19</v>
      </c>
      <c r="AG150">
        <v>1</v>
      </c>
    </row>
    <row r="151" spans="1:33">
      <c r="A151" t="s">
        <v>222</v>
      </c>
      <c r="B151" s="3" t="s">
        <v>655</v>
      </c>
      <c r="C151" s="3" t="s">
        <v>656</v>
      </c>
      <c r="G151" s="6" t="s">
        <v>849</v>
      </c>
      <c r="H151" s="6"/>
      <c r="I151" s="6"/>
      <c r="J151" s="6"/>
      <c r="K151" s="6"/>
      <c r="L151" s="6"/>
      <c r="M151" s="6"/>
      <c r="N151" s="7"/>
      <c r="O151" s="6"/>
      <c r="P151" s="6"/>
      <c r="Q151" s="6">
        <v>3</v>
      </c>
      <c r="R151" s="6">
        <v>3</v>
      </c>
      <c r="S151" s="6">
        <v>6</v>
      </c>
      <c r="T151" s="6"/>
      <c r="U151" s="6"/>
      <c r="V151" s="6"/>
      <c r="W151" s="6"/>
      <c r="X151" s="6"/>
      <c r="Y151" s="6"/>
      <c r="Z151" s="6"/>
      <c r="AA151" s="6"/>
      <c r="AB151" s="6"/>
      <c r="AC151" s="6"/>
      <c r="AD151" t="s">
        <v>19</v>
      </c>
      <c r="AE151" t="s">
        <v>19</v>
      </c>
      <c r="AG151">
        <v>1</v>
      </c>
    </row>
    <row r="152" spans="1:33">
      <c r="A152" t="s">
        <v>223</v>
      </c>
      <c r="B152" s="3" t="s">
        <v>657</v>
      </c>
      <c r="C152" s="3" t="s">
        <v>658</v>
      </c>
      <c r="G152" s="6" t="s">
        <v>851</v>
      </c>
      <c r="H152" s="6"/>
      <c r="I152" s="6"/>
      <c r="J152" s="6"/>
      <c r="K152" s="6"/>
      <c r="L152" s="6"/>
      <c r="M152" s="6"/>
      <c r="N152" s="7"/>
      <c r="O152" s="6"/>
      <c r="P152" s="6"/>
      <c r="Q152" s="6"/>
      <c r="R152" s="6" t="s">
        <v>963</v>
      </c>
      <c r="S152" s="6" t="s">
        <v>963</v>
      </c>
      <c r="T152" s="6"/>
      <c r="U152" s="6"/>
      <c r="V152" s="6"/>
      <c r="W152" s="6"/>
      <c r="X152" s="6"/>
      <c r="Y152" s="6"/>
      <c r="Z152" s="6"/>
      <c r="AA152" s="6"/>
      <c r="AB152" s="6"/>
      <c r="AC152" s="6"/>
      <c r="AD152" t="s">
        <v>19</v>
      </c>
      <c r="AE152" t="s">
        <v>19</v>
      </c>
      <c r="AG152">
        <v>1</v>
      </c>
    </row>
    <row r="153" spans="1:33">
      <c r="A153" t="s">
        <v>226</v>
      </c>
      <c r="B153" s="3" t="s">
        <v>227</v>
      </c>
      <c r="C153" s="3" t="s">
        <v>228</v>
      </c>
      <c r="G153" s="6" t="s">
        <v>849</v>
      </c>
      <c r="H153" s="6"/>
      <c r="I153" s="6"/>
      <c r="J153" s="6"/>
      <c r="K153" s="6"/>
      <c r="L153" s="6"/>
      <c r="M153" s="6"/>
      <c r="N153" s="7"/>
      <c r="O153" s="6"/>
      <c r="P153" s="6"/>
      <c r="Q153" s="6">
        <v>0</v>
      </c>
      <c r="R153" s="6">
        <v>1</v>
      </c>
      <c r="S153" s="6">
        <v>1</v>
      </c>
      <c r="T153" s="6"/>
      <c r="U153" s="6"/>
      <c r="V153" s="6"/>
      <c r="W153" s="6"/>
      <c r="X153" s="6"/>
      <c r="Y153" s="6"/>
      <c r="Z153" s="6"/>
      <c r="AA153" s="6"/>
      <c r="AB153" s="6"/>
      <c r="AC153" s="6"/>
      <c r="AD153" t="s">
        <v>19</v>
      </c>
      <c r="AE153" t="s">
        <v>19</v>
      </c>
      <c r="AG153">
        <v>1</v>
      </c>
    </row>
    <row r="154" spans="1:33">
      <c r="A154" t="s">
        <v>229</v>
      </c>
      <c r="B154" s="3" t="s">
        <v>660</v>
      </c>
      <c r="C154" s="3" t="s">
        <v>659</v>
      </c>
      <c r="G154" s="6" t="s">
        <v>24</v>
      </c>
      <c r="H154" s="6"/>
      <c r="I154" s="6">
        <v>1</v>
      </c>
      <c r="J154" s="6">
        <v>3</v>
      </c>
      <c r="K154" s="6" t="s">
        <v>825</v>
      </c>
      <c r="L154" s="6" t="s">
        <v>809</v>
      </c>
      <c r="M154" s="6"/>
      <c r="N154" s="7"/>
      <c r="O154" s="6"/>
      <c r="P154" s="6">
        <v>743</v>
      </c>
      <c r="Q154" s="6"/>
      <c r="R154" s="6" t="s">
        <v>963</v>
      </c>
      <c r="S154" s="6" t="s">
        <v>963</v>
      </c>
      <c r="T154" s="6"/>
      <c r="U154" s="6"/>
      <c r="V154" s="6"/>
      <c r="W154" s="6"/>
      <c r="X154" s="6"/>
      <c r="Y154" s="6"/>
      <c r="Z154" s="6"/>
      <c r="AA154" s="6"/>
      <c r="AB154" s="6"/>
      <c r="AC154" s="6"/>
      <c r="AD154" t="s">
        <v>19</v>
      </c>
      <c r="AE154" t="s">
        <v>19</v>
      </c>
      <c r="AG154">
        <v>1</v>
      </c>
    </row>
    <row r="155" spans="1:33" ht="29">
      <c r="A155" t="s">
        <v>229</v>
      </c>
      <c r="B155" s="3" t="s">
        <v>661</v>
      </c>
      <c r="C155" s="3" t="s">
        <v>662</v>
      </c>
      <c r="G155" s="6" t="s">
        <v>26</v>
      </c>
      <c r="H155" s="6"/>
      <c r="I155" s="6"/>
      <c r="J155" s="6"/>
      <c r="K155" s="6"/>
      <c r="L155" s="6"/>
      <c r="M155" s="6"/>
      <c r="N155" s="7"/>
      <c r="O155" s="6"/>
      <c r="P155" s="6"/>
      <c r="Q155" s="6"/>
      <c r="R155" s="6" t="s">
        <v>963</v>
      </c>
      <c r="S155" s="6" t="s">
        <v>963</v>
      </c>
      <c r="T155" s="6"/>
      <c r="U155" s="6"/>
      <c r="V155" s="6"/>
      <c r="W155" s="6"/>
      <c r="X155" s="6"/>
      <c r="Y155" s="6"/>
      <c r="Z155" s="6"/>
      <c r="AA155" s="6"/>
      <c r="AB155" s="6"/>
      <c r="AC155" s="6"/>
      <c r="AD155" t="s">
        <v>19</v>
      </c>
      <c r="AE155" t="s">
        <v>19</v>
      </c>
      <c r="AG155">
        <v>1</v>
      </c>
    </row>
    <row r="156" spans="1:33" ht="29">
      <c r="A156" t="s">
        <v>229</v>
      </c>
      <c r="B156" s="3" t="s">
        <v>666</v>
      </c>
      <c r="C156" s="3" t="s">
        <v>665</v>
      </c>
      <c r="G156" s="6" t="s">
        <v>25</v>
      </c>
      <c r="H156" s="6"/>
      <c r="I156" s="6">
        <v>1</v>
      </c>
      <c r="J156" s="6">
        <v>1</v>
      </c>
      <c r="K156" s="6" t="s">
        <v>808</v>
      </c>
      <c r="L156" s="6" t="s">
        <v>850</v>
      </c>
      <c r="M156" s="6"/>
      <c r="N156" s="7"/>
      <c r="O156" s="6"/>
      <c r="P156" s="6">
        <v>2475</v>
      </c>
      <c r="Q156" s="6"/>
      <c r="R156" s="6" t="s">
        <v>963</v>
      </c>
      <c r="S156" s="6" t="s">
        <v>963</v>
      </c>
      <c r="T156" s="6"/>
      <c r="U156" s="6"/>
      <c r="V156" s="6"/>
      <c r="W156" s="6"/>
      <c r="X156" s="6"/>
      <c r="Y156" s="6"/>
      <c r="Z156" s="6"/>
      <c r="AA156" s="6"/>
      <c r="AB156" s="6"/>
      <c r="AC156" s="6"/>
      <c r="AD156" t="s">
        <v>19</v>
      </c>
      <c r="AE156" t="s">
        <v>19</v>
      </c>
      <c r="AG156">
        <v>1</v>
      </c>
    </row>
    <row r="157" spans="1:33" ht="29">
      <c r="A157" t="s">
        <v>229</v>
      </c>
      <c r="B157" s="3" t="s">
        <v>670</v>
      </c>
      <c r="C157" s="3" t="s">
        <v>669</v>
      </c>
      <c r="G157" s="6" t="s">
        <v>851</v>
      </c>
      <c r="H157" s="6"/>
      <c r="I157" s="6"/>
      <c r="J157" s="6"/>
      <c r="K157" s="6"/>
      <c r="L157" s="6"/>
      <c r="M157" s="6"/>
      <c r="N157" s="7"/>
      <c r="O157" s="6"/>
      <c r="P157" s="6"/>
      <c r="Q157" s="6"/>
      <c r="R157" s="6" t="s">
        <v>963</v>
      </c>
      <c r="S157" s="6" t="s">
        <v>963</v>
      </c>
      <c r="T157" s="6"/>
      <c r="U157" s="6"/>
      <c r="V157" s="6"/>
      <c r="W157" s="6"/>
      <c r="X157" s="6"/>
      <c r="Y157" s="6"/>
      <c r="Z157" s="6"/>
      <c r="AA157" s="6"/>
      <c r="AB157" s="6"/>
      <c r="AC157" s="6"/>
      <c r="AD157" t="s">
        <v>19</v>
      </c>
      <c r="AE157" t="s">
        <v>19</v>
      </c>
      <c r="AG157">
        <v>1</v>
      </c>
    </row>
    <row r="158" spans="1:33" ht="29">
      <c r="A158" t="s">
        <v>230</v>
      </c>
      <c r="B158" s="3" t="s">
        <v>672</v>
      </c>
      <c r="C158" s="3" t="s">
        <v>671</v>
      </c>
      <c r="G158" s="6" t="s">
        <v>851</v>
      </c>
      <c r="H158" s="6"/>
      <c r="I158" s="6"/>
      <c r="J158" s="6"/>
      <c r="K158" s="6"/>
      <c r="L158" s="6"/>
      <c r="M158" s="6"/>
      <c r="N158" s="7"/>
      <c r="O158" s="6"/>
      <c r="P158" s="6"/>
      <c r="Q158" s="6"/>
      <c r="R158" s="6" t="s">
        <v>963</v>
      </c>
      <c r="S158" s="6" t="s">
        <v>963</v>
      </c>
      <c r="T158" s="6"/>
      <c r="U158" s="6"/>
      <c r="V158" s="6"/>
      <c r="W158" s="6"/>
      <c r="X158" s="6"/>
      <c r="Y158" s="6"/>
      <c r="Z158" s="6"/>
      <c r="AA158" s="6"/>
      <c r="AB158" s="6"/>
      <c r="AC158" s="6"/>
      <c r="AD158" t="s">
        <v>19</v>
      </c>
      <c r="AE158" t="s">
        <v>19</v>
      </c>
      <c r="AG158">
        <v>1</v>
      </c>
    </row>
    <row r="159" spans="1:33" ht="72.5">
      <c r="A159" t="s">
        <v>230</v>
      </c>
      <c r="B159" s="3" t="s">
        <v>674</v>
      </c>
      <c r="C159" s="3" t="s">
        <v>675</v>
      </c>
      <c r="G159" s="6" t="s">
        <v>851</v>
      </c>
      <c r="H159" s="6"/>
      <c r="I159" s="6"/>
      <c r="J159" s="6"/>
      <c r="K159" s="6"/>
      <c r="L159" s="6"/>
      <c r="M159" s="6"/>
      <c r="N159" s="7"/>
      <c r="O159" s="6"/>
      <c r="P159" s="6"/>
      <c r="Q159" s="6"/>
      <c r="R159" s="6" t="s">
        <v>963</v>
      </c>
      <c r="S159" s="6" t="s">
        <v>963</v>
      </c>
      <c r="T159" s="6"/>
      <c r="U159" s="6"/>
      <c r="V159" s="6"/>
      <c r="W159" s="6"/>
      <c r="X159" s="6"/>
      <c r="Y159" s="6"/>
      <c r="Z159" s="6"/>
      <c r="AA159" s="6"/>
      <c r="AB159" s="6"/>
      <c r="AC159" s="6"/>
      <c r="AD159" t="s">
        <v>19</v>
      </c>
      <c r="AE159" t="s">
        <v>19</v>
      </c>
      <c r="AG159">
        <v>1</v>
      </c>
    </row>
    <row r="160" spans="1:33" ht="72.5">
      <c r="A160" t="s">
        <v>230</v>
      </c>
      <c r="B160" s="3" t="s">
        <v>677</v>
      </c>
      <c r="C160" s="3" t="s">
        <v>676</v>
      </c>
      <c r="G160" s="6" t="s">
        <v>851</v>
      </c>
      <c r="H160" s="6"/>
      <c r="I160" s="6"/>
      <c r="J160" s="6"/>
      <c r="K160" s="6"/>
      <c r="L160" s="6"/>
      <c r="M160" s="6"/>
      <c r="N160" s="7"/>
      <c r="O160" s="6"/>
      <c r="P160" s="6"/>
      <c r="Q160" s="6"/>
      <c r="R160" s="6" t="s">
        <v>963</v>
      </c>
      <c r="S160" s="6" t="s">
        <v>963</v>
      </c>
      <c r="T160" s="6"/>
      <c r="U160" s="6"/>
      <c r="V160" s="6"/>
      <c r="W160" s="6"/>
      <c r="X160" s="6"/>
      <c r="Y160" s="6"/>
      <c r="Z160" s="6"/>
      <c r="AA160" s="6"/>
      <c r="AB160" s="6"/>
      <c r="AC160" s="6"/>
      <c r="AD160" t="s">
        <v>19</v>
      </c>
      <c r="AE160" t="s">
        <v>19</v>
      </c>
      <c r="AG160">
        <v>1</v>
      </c>
    </row>
    <row r="161" spans="1:33" ht="72.5">
      <c r="A161" t="s">
        <v>230</v>
      </c>
      <c r="B161" s="3" t="s">
        <v>678</v>
      </c>
      <c r="C161" s="3" t="s">
        <v>673</v>
      </c>
      <c r="G161" s="6" t="s">
        <v>25</v>
      </c>
      <c r="H161" s="6"/>
      <c r="I161" s="6">
        <v>2</v>
      </c>
      <c r="J161" s="6">
        <v>5</v>
      </c>
      <c r="K161" s="6"/>
      <c r="L161" s="6" t="s">
        <v>809</v>
      </c>
      <c r="M161" s="6"/>
      <c r="N161" s="7"/>
      <c r="O161" s="6"/>
      <c r="P161" s="6"/>
      <c r="Q161" s="6"/>
      <c r="R161" s="6" t="s">
        <v>963</v>
      </c>
      <c r="S161" s="6" t="s">
        <v>963</v>
      </c>
      <c r="T161" s="6"/>
      <c r="U161" s="6"/>
      <c r="V161" s="6"/>
      <c r="W161" s="6"/>
      <c r="X161" s="6"/>
      <c r="Y161" s="6"/>
      <c r="Z161" s="6"/>
      <c r="AA161" s="6"/>
      <c r="AB161" s="6"/>
      <c r="AC161" s="6"/>
      <c r="AD161" t="s">
        <v>19</v>
      </c>
      <c r="AE161" t="s">
        <v>19</v>
      </c>
      <c r="AG161">
        <v>1</v>
      </c>
    </row>
    <row r="162" spans="1:33" ht="72.5">
      <c r="A162" t="s">
        <v>230</v>
      </c>
      <c r="B162" s="3" t="s">
        <v>679</v>
      </c>
      <c r="C162" s="3" t="s">
        <v>680</v>
      </c>
      <c r="G162" s="6" t="s">
        <v>26</v>
      </c>
      <c r="H162" s="6"/>
      <c r="I162" s="6"/>
      <c r="J162" s="6"/>
      <c r="K162" s="6"/>
      <c r="L162" s="6"/>
      <c r="M162" s="6"/>
      <c r="N162" s="7"/>
      <c r="O162" s="6"/>
      <c r="P162" s="6"/>
      <c r="Q162" s="6"/>
      <c r="R162" s="6" t="s">
        <v>963</v>
      </c>
      <c r="S162" s="6" t="s">
        <v>963</v>
      </c>
      <c r="T162" s="6"/>
      <c r="U162" s="6"/>
      <c r="V162" s="6"/>
      <c r="W162" s="6"/>
      <c r="X162" s="6"/>
      <c r="Y162" s="6"/>
      <c r="Z162" s="6"/>
      <c r="AA162" s="6"/>
      <c r="AB162" s="6"/>
      <c r="AC162" s="6"/>
      <c r="AD162" t="s">
        <v>19</v>
      </c>
      <c r="AE162" t="s">
        <v>19</v>
      </c>
      <c r="AG162">
        <v>1</v>
      </c>
    </row>
    <row r="163" spans="1:33">
      <c r="A163" t="s">
        <v>231</v>
      </c>
      <c r="B163" s="3" t="s">
        <v>684</v>
      </c>
      <c r="C163" s="3" t="s">
        <v>683</v>
      </c>
      <c r="G163" s="6" t="s">
        <v>24</v>
      </c>
      <c r="H163" s="6"/>
      <c r="I163" s="6">
        <v>1</v>
      </c>
      <c r="J163" s="6">
        <v>4</v>
      </c>
      <c r="K163" s="6" t="s">
        <v>808</v>
      </c>
      <c r="L163" s="6" t="s">
        <v>803</v>
      </c>
      <c r="M163" s="6" t="s">
        <v>868</v>
      </c>
      <c r="N163" s="7" t="s">
        <v>867</v>
      </c>
      <c r="O163" s="6"/>
      <c r="P163" s="6">
        <v>2475</v>
      </c>
      <c r="Q163" s="6"/>
      <c r="R163" s="6" t="s">
        <v>963</v>
      </c>
      <c r="S163" s="6" t="s">
        <v>963</v>
      </c>
      <c r="T163" s="6"/>
      <c r="U163" s="6"/>
      <c r="V163" s="6"/>
      <c r="W163" s="6"/>
      <c r="X163" s="6"/>
      <c r="Y163" s="6"/>
      <c r="Z163" s="6"/>
      <c r="AA163" s="6"/>
      <c r="AB163" s="6"/>
      <c r="AC163" s="6"/>
      <c r="AD163" t="s">
        <v>19</v>
      </c>
      <c r="AE163" t="s">
        <v>19</v>
      </c>
      <c r="AG163">
        <v>1</v>
      </c>
    </row>
    <row r="164" spans="1:33">
      <c r="A164" t="s">
        <v>237</v>
      </c>
      <c r="B164" s="3" t="s">
        <v>238</v>
      </c>
      <c r="C164" s="3" t="s">
        <v>685</v>
      </c>
      <c r="G164" s="6" t="s">
        <v>849</v>
      </c>
      <c r="H164" s="6"/>
      <c r="I164" s="6"/>
      <c r="J164" s="6"/>
      <c r="K164" s="6"/>
      <c r="L164" s="6"/>
      <c r="M164" s="6"/>
      <c r="N164" s="7"/>
      <c r="O164" s="6"/>
      <c r="P164" s="6"/>
      <c r="Q164" s="6">
        <v>0</v>
      </c>
      <c r="R164" s="6">
        <v>1</v>
      </c>
      <c r="S164" s="6">
        <v>1</v>
      </c>
      <c r="T164" s="6"/>
      <c r="U164" s="6"/>
      <c r="V164" s="6"/>
      <c r="W164" s="6"/>
      <c r="X164" s="6"/>
      <c r="Y164" s="6"/>
      <c r="Z164" s="6"/>
      <c r="AA164" s="6"/>
      <c r="AB164" s="6"/>
      <c r="AC164" s="6"/>
      <c r="AD164" t="s">
        <v>19</v>
      </c>
      <c r="AE164" t="s">
        <v>19</v>
      </c>
      <c r="AG164">
        <v>1</v>
      </c>
    </row>
    <row r="165" spans="1:33" ht="29">
      <c r="A165" t="s">
        <v>239</v>
      </c>
      <c r="B165" s="3" t="s">
        <v>687</v>
      </c>
      <c r="C165" s="3" t="s">
        <v>686</v>
      </c>
      <c r="G165" s="6" t="s">
        <v>24</v>
      </c>
      <c r="H165" s="6"/>
      <c r="I165" s="6">
        <v>1</v>
      </c>
      <c r="J165" s="6">
        <v>3</v>
      </c>
      <c r="K165" s="6" t="s">
        <v>818</v>
      </c>
      <c r="L165" s="6" t="s">
        <v>809</v>
      </c>
      <c r="M165" s="6"/>
      <c r="N165" s="7"/>
      <c r="O165" s="6"/>
      <c r="P165" s="6">
        <v>1701</v>
      </c>
      <c r="Q165" s="6"/>
      <c r="R165" s="6" t="s">
        <v>963</v>
      </c>
      <c r="S165" s="6" t="s">
        <v>963</v>
      </c>
      <c r="T165" s="6"/>
      <c r="U165" s="6"/>
      <c r="V165" s="6"/>
      <c r="W165" s="6"/>
      <c r="X165" s="6"/>
      <c r="Y165" s="6"/>
      <c r="Z165" s="6"/>
      <c r="AA165" s="6"/>
      <c r="AB165" s="6"/>
      <c r="AC165" s="6"/>
      <c r="AD165" t="s">
        <v>19</v>
      </c>
      <c r="AE165" t="s">
        <v>19</v>
      </c>
      <c r="AG165">
        <v>1</v>
      </c>
    </row>
    <row r="166" spans="1:33" ht="29">
      <c r="A166" t="s">
        <v>240</v>
      </c>
      <c r="B166" s="3" t="s">
        <v>689</v>
      </c>
      <c r="C166" s="3" t="s">
        <v>688</v>
      </c>
      <c r="G166" s="6" t="s">
        <v>25</v>
      </c>
      <c r="H166" s="6"/>
      <c r="I166" s="6">
        <v>1</v>
      </c>
      <c r="J166" s="6">
        <v>5</v>
      </c>
      <c r="K166" s="6" t="s">
        <v>825</v>
      </c>
      <c r="L166" s="6" t="s">
        <v>809</v>
      </c>
      <c r="M166" s="6"/>
      <c r="N166" s="7"/>
      <c r="O166" s="6"/>
      <c r="P166" s="6">
        <v>830</v>
      </c>
      <c r="Q166" s="6"/>
      <c r="R166" s="6" t="s">
        <v>963</v>
      </c>
      <c r="S166" s="6" t="s">
        <v>963</v>
      </c>
      <c r="T166" s="6"/>
      <c r="U166" s="6"/>
      <c r="V166" s="6"/>
      <c r="W166" s="6"/>
      <c r="X166" s="6"/>
      <c r="Y166" s="6"/>
      <c r="Z166" s="6"/>
      <c r="AA166" s="6"/>
      <c r="AB166" s="6"/>
      <c r="AC166" s="6"/>
      <c r="AD166" t="s">
        <v>19</v>
      </c>
      <c r="AE166" t="s">
        <v>19</v>
      </c>
      <c r="AG166">
        <v>1</v>
      </c>
    </row>
    <row r="167" spans="1:33">
      <c r="A167" t="s">
        <v>240</v>
      </c>
      <c r="B167" s="3" t="s">
        <v>691</v>
      </c>
      <c r="C167" s="3" t="s">
        <v>690</v>
      </c>
      <c r="G167" s="6" t="s">
        <v>26</v>
      </c>
      <c r="H167" s="6"/>
      <c r="I167" s="6"/>
      <c r="J167" s="6"/>
      <c r="K167" s="6"/>
      <c r="L167" s="6"/>
      <c r="M167" s="6"/>
      <c r="N167" s="7"/>
      <c r="O167" s="6"/>
      <c r="P167" s="6"/>
      <c r="Q167" s="6"/>
      <c r="R167" s="6" t="s">
        <v>963</v>
      </c>
      <c r="S167" s="6" t="s">
        <v>963</v>
      </c>
      <c r="T167" s="6"/>
      <c r="U167" s="6"/>
      <c r="V167" s="6"/>
      <c r="W167" s="6"/>
      <c r="X167" s="6"/>
      <c r="Y167" s="6"/>
      <c r="Z167" s="6"/>
      <c r="AA167" s="6"/>
      <c r="AB167" s="6"/>
      <c r="AC167" s="6"/>
      <c r="AD167" t="s">
        <v>19</v>
      </c>
      <c r="AE167" t="s">
        <v>19</v>
      </c>
      <c r="AG167">
        <v>1</v>
      </c>
    </row>
    <row r="168" spans="1:33">
      <c r="A168" t="s">
        <v>240</v>
      </c>
      <c r="B168" s="3" t="s">
        <v>241</v>
      </c>
      <c r="C168" s="3" t="s">
        <v>242</v>
      </c>
      <c r="G168" s="6" t="s">
        <v>851</v>
      </c>
      <c r="H168" s="6"/>
      <c r="I168" s="6"/>
      <c r="J168" s="6"/>
      <c r="K168" s="6"/>
      <c r="L168" s="6"/>
      <c r="M168" s="6"/>
      <c r="N168" s="7"/>
      <c r="O168" s="6"/>
      <c r="P168" s="6"/>
      <c r="Q168" s="6"/>
      <c r="R168" s="6" t="s">
        <v>963</v>
      </c>
      <c r="S168" s="6" t="s">
        <v>963</v>
      </c>
      <c r="T168" s="6"/>
      <c r="U168" s="6"/>
      <c r="V168" s="6"/>
      <c r="W168" s="6"/>
      <c r="X168" s="6"/>
      <c r="Y168" s="6"/>
      <c r="Z168" s="6"/>
      <c r="AA168" s="6"/>
      <c r="AB168" s="6"/>
      <c r="AC168" s="6"/>
      <c r="AD168" t="s">
        <v>20</v>
      </c>
      <c r="AE168" t="s">
        <v>20</v>
      </c>
      <c r="AG168">
        <v>0</v>
      </c>
    </row>
    <row r="169" spans="1:33" ht="29">
      <c r="A169" t="s">
        <v>243</v>
      </c>
      <c r="B169" s="3" t="s">
        <v>693</v>
      </c>
      <c r="C169" s="3" t="s">
        <v>692</v>
      </c>
      <c r="G169" s="6" t="s">
        <v>26</v>
      </c>
      <c r="H169" s="6"/>
      <c r="I169" s="6"/>
      <c r="J169" s="6"/>
      <c r="K169" s="6"/>
      <c r="L169" s="6"/>
      <c r="M169" s="6"/>
      <c r="N169" s="7"/>
      <c r="O169" s="6"/>
      <c r="P169" s="6"/>
      <c r="Q169" s="6"/>
      <c r="R169" s="6" t="s">
        <v>963</v>
      </c>
      <c r="S169" s="6" t="s">
        <v>963</v>
      </c>
      <c r="T169" s="6"/>
      <c r="U169" s="6"/>
      <c r="V169" s="6"/>
      <c r="W169" s="6"/>
      <c r="X169" s="6"/>
      <c r="Y169" s="6"/>
      <c r="Z169" s="6"/>
      <c r="AA169" s="6"/>
      <c r="AB169" s="6"/>
      <c r="AC169" s="6"/>
      <c r="AD169" t="s">
        <v>19</v>
      </c>
      <c r="AE169" t="s">
        <v>19</v>
      </c>
      <c r="AG169">
        <v>1</v>
      </c>
    </row>
    <row r="170" spans="1:33">
      <c r="A170" t="s">
        <v>243</v>
      </c>
      <c r="B170" s="3" t="s">
        <v>694</v>
      </c>
      <c r="C170" s="3" t="s">
        <v>695</v>
      </c>
      <c r="G170" s="6" t="s">
        <v>849</v>
      </c>
      <c r="H170" s="6"/>
      <c r="I170" s="6"/>
      <c r="J170" s="6"/>
      <c r="K170" s="6"/>
      <c r="L170" s="6"/>
      <c r="M170" s="6"/>
      <c r="N170" s="7"/>
      <c r="O170" s="6"/>
      <c r="P170" s="6"/>
      <c r="Q170" s="6">
        <v>10</v>
      </c>
      <c r="R170" s="6">
        <v>7</v>
      </c>
      <c r="S170" s="6">
        <v>17</v>
      </c>
      <c r="T170" s="6"/>
      <c r="U170" s="6"/>
      <c r="V170" s="6"/>
      <c r="W170" s="6"/>
      <c r="X170" s="6"/>
      <c r="Y170" s="6"/>
      <c r="Z170" s="6"/>
      <c r="AA170" s="6"/>
      <c r="AB170" s="6"/>
      <c r="AC170" s="6"/>
      <c r="AD170" t="s">
        <v>19</v>
      </c>
      <c r="AE170" t="s">
        <v>19</v>
      </c>
      <c r="AG170">
        <v>1</v>
      </c>
    </row>
    <row r="171" spans="1:33" ht="43.5">
      <c r="A171" t="s">
        <v>243</v>
      </c>
      <c r="B171" s="3" t="s">
        <v>696</v>
      </c>
      <c r="C171" s="3" t="s">
        <v>697</v>
      </c>
      <c r="G171" s="6" t="s">
        <v>26</v>
      </c>
      <c r="H171" s="6"/>
      <c r="I171" s="6"/>
      <c r="J171" s="6"/>
      <c r="K171" s="6"/>
      <c r="L171" s="6"/>
      <c r="M171" s="6"/>
      <c r="N171" s="7"/>
      <c r="O171" s="6"/>
      <c r="P171" s="6"/>
      <c r="Q171" s="6"/>
      <c r="R171" s="6" t="s">
        <v>963</v>
      </c>
      <c r="S171" s="6" t="s">
        <v>963</v>
      </c>
      <c r="T171" s="6"/>
      <c r="U171" s="6"/>
      <c r="V171" s="6"/>
      <c r="W171" s="6"/>
      <c r="X171" s="6"/>
      <c r="Y171" s="6"/>
      <c r="Z171" s="6"/>
      <c r="AA171" s="6"/>
      <c r="AB171" s="6"/>
      <c r="AC171" s="6"/>
      <c r="AD171" t="s">
        <v>19</v>
      </c>
      <c r="AE171" t="s">
        <v>19</v>
      </c>
      <c r="AG171">
        <v>1</v>
      </c>
    </row>
    <row r="172" spans="1:33" ht="43.5">
      <c r="A172" t="s">
        <v>243</v>
      </c>
      <c r="B172" s="3" t="s">
        <v>699</v>
      </c>
      <c r="C172" s="3" t="s">
        <v>698</v>
      </c>
      <c r="G172" s="6" t="s">
        <v>851</v>
      </c>
      <c r="H172" s="6"/>
      <c r="I172" s="6"/>
      <c r="J172" s="6"/>
      <c r="K172" s="6"/>
      <c r="L172" s="6"/>
      <c r="M172" s="6"/>
      <c r="N172" s="7"/>
      <c r="O172" s="6"/>
      <c r="P172" s="6"/>
      <c r="Q172" s="6"/>
      <c r="R172" s="6" t="s">
        <v>963</v>
      </c>
      <c r="S172" s="6" t="s">
        <v>963</v>
      </c>
      <c r="T172" s="6"/>
      <c r="U172" s="6"/>
      <c r="V172" s="6"/>
      <c r="W172" s="6"/>
      <c r="X172" s="6"/>
      <c r="Y172" s="6"/>
      <c r="Z172" s="6"/>
      <c r="AA172" s="6"/>
      <c r="AB172" s="6"/>
      <c r="AC172" s="6"/>
      <c r="AD172" t="s">
        <v>19</v>
      </c>
      <c r="AE172" t="s">
        <v>20</v>
      </c>
      <c r="AG172">
        <v>1</v>
      </c>
    </row>
    <row r="173" spans="1:33">
      <c r="A173" t="s">
        <v>244</v>
      </c>
      <c r="B173" s="3" t="s">
        <v>245</v>
      </c>
      <c r="C173" s="3" t="s">
        <v>246</v>
      </c>
      <c r="G173" s="6" t="s">
        <v>851</v>
      </c>
      <c r="H173" s="6"/>
      <c r="I173" s="6"/>
      <c r="J173" s="6"/>
      <c r="K173" s="6"/>
      <c r="L173" s="6"/>
      <c r="M173" s="6"/>
      <c r="N173" s="7"/>
      <c r="O173" s="6"/>
      <c r="P173" s="6"/>
      <c r="Q173" s="6"/>
      <c r="R173" s="6" t="s">
        <v>963</v>
      </c>
      <c r="S173" s="6" t="s">
        <v>963</v>
      </c>
      <c r="T173" s="6"/>
      <c r="U173" s="6"/>
      <c r="V173" s="6"/>
      <c r="W173" s="6"/>
      <c r="X173" s="6"/>
      <c r="Y173" s="6"/>
      <c r="Z173" s="6"/>
      <c r="AA173" s="6"/>
      <c r="AB173" s="6"/>
      <c r="AC173" s="6"/>
      <c r="AD173" t="s">
        <v>19</v>
      </c>
      <c r="AE173" t="s">
        <v>19</v>
      </c>
      <c r="AG173">
        <v>1</v>
      </c>
    </row>
    <row r="174" spans="1:33">
      <c r="A174" t="s">
        <v>247</v>
      </c>
      <c r="B174" s="3" t="s">
        <v>701</v>
      </c>
      <c r="C174" s="3" t="s">
        <v>700</v>
      </c>
      <c r="G174" s="6" t="s">
        <v>849</v>
      </c>
      <c r="H174" s="6"/>
      <c r="I174" s="6"/>
      <c r="J174" s="6"/>
      <c r="K174" s="6"/>
      <c r="L174" s="6"/>
      <c r="M174" s="6"/>
      <c r="N174" s="7"/>
      <c r="O174" s="6"/>
      <c r="P174" s="6"/>
      <c r="Q174" s="6">
        <v>28</v>
      </c>
      <c r="R174" s="6">
        <v>1</v>
      </c>
      <c r="S174" s="6">
        <v>29</v>
      </c>
      <c r="T174" s="6"/>
      <c r="U174" s="6"/>
      <c r="V174" s="6"/>
      <c r="W174" s="6"/>
      <c r="X174" s="6"/>
      <c r="Y174" s="6"/>
      <c r="Z174" s="6"/>
      <c r="AA174" s="6"/>
      <c r="AB174" s="6"/>
      <c r="AC174" s="6"/>
      <c r="AD174" t="s">
        <v>19</v>
      </c>
      <c r="AE174" t="s">
        <v>20</v>
      </c>
      <c r="AG174">
        <v>1</v>
      </c>
    </row>
    <row r="175" spans="1:33">
      <c r="A175" t="s">
        <v>247</v>
      </c>
      <c r="B175" s="3" t="s">
        <v>703</v>
      </c>
      <c r="C175" s="3" t="s">
        <v>702</v>
      </c>
      <c r="G175" s="6" t="s">
        <v>24</v>
      </c>
      <c r="H175" s="6"/>
      <c r="I175" s="6">
        <v>1</v>
      </c>
      <c r="J175" s="6">
        <v>3</v>
      </c>
      <c r="K175" s="6" t="s">
        <v>818</v>
      </c>
      <c r="L175" s="6" t="s">
        <v>809</v>
      </c>
      <c r="M175" s="6"/>
      <c r="N175" s="7"/>
      <c r="O175" s="6"/>
      <c r="P175" s="6">
        <v>1701</v>
      </c>
      <c r="Q175" s="6"/>
      <c r="R175" s="6" t="s">
        <v>963</v>
      </c>
      <c r="S175" s="6" t="s">
        <v>963</v>
      </c>
      <c r="T175" s="6"/>
      <c r="U175" s="6"/>
      <c r="V175" s="6"/>
      <c r="W175" s="6"/>
      <c r="X175" s="6"/>
      <c r="Y175" s="6"/>
      <c r="Z175" s="6"/>
      <c r="AA175" s="6"/>
      <c r="AB175" s="6"/>
      <c r="AC175" s="6"/>
      <c r="AD175" t="s">
        <v>19</v>
      </c>
      <c r="AE175" t="s">
        <v>20</v>
      </c>
      <c r="AG175">
        <v>1</v>
      </c>
    </row>
    <row r="176" spans="1:33">
      <c r="A176" t="s">
        <v>248</v>
      </c>
      <c r="B176" s="3" t="s">
        <v>705</v>
      </c>
      <c r="C176" s="3" t="s">
        <v>704</v>
      </c>
      <c r="G176" s="6" t="s">
        <v>25</v>
      </c>
      <c r="H176" s="6"/>
      <c r="I176" s="6">
        <v>1</v>
      </c>
      <c r="J176" s="6">
        <v>3</v>
      </c>
      <c r="K176" s="6" t="s">
        <v>808</v>
      </c>
      <c r="L176" s="6" t="s">
        <v>809</v>
      </c>
      <c r="M176" s="6"/>
      <c r="N176" s="7"/>
      <c r="O176" s="6"/>
      <c r="P176" s="6">
        <v>2475</v>
      </c>
      <c r="Q176" s="6"/>
      <c r="R176" s="6" t="s">
        <v>963</v>
      </c>
      <c r="S176" s="6" t="s">
        <v>963</v>
      </c>
      <c r="T176" s="6"/>
      <c r="U176" s="6"/>
      <c r="V176" s="6"/>
      <c r="W176" s="6"/>
      <c r="X176" s="6"/>
      <c r="Y176" s="6"/>
      <c r="Z176" s="6"/>
      <c r="AA176" s="6"/>
      <c r="AB176" s="6"/>
      <c r="AC176" s="6"/>
      <c r="AD176" t="s">
        <v>19</v>
      </c>
      <c r="AE176" t="s">
        <v>19</v>
      </c>
      <c r="AG176">
        <v>1</v>
      </c>
    </row>
    <row r="177" spans="1:33">
      <c r="A177" t="s">
        <v>248</v>
      </c>
      <c r="B177" s="3" t="s">
        <v>706</v>
      </c>
      <c r="C177" s="3" t="s">
        <v>707</v>
      </c>
      <c r="G177" s="6" t="s">
        <v>849</v>
      </c>
      <c r="H177" s="6"/>
      <c r="I177" s="6"/>
      <c r="J177" s="6"/>
      <c r="K177" s="6"/>
      <c r="L177" s="6"/>
      <c r="M177" s="6"/>
      <c r="N177" s="7"/>
      <c r="O177" s="6"/>
      <c r="P177" s="6"/>
      <c r="Q177" s="6">
        <v>118</v>
      </c>
      <c r="R177" s="6">
        <v>132</v>
      </c>
      <c r="S177" s="6">
        <v>250</v>
      </c>
      <c r="T177" s="6"/>
      <c r="U177" s="6"/>
      <c r="V177" s="6"/>
      <c r="W177" s="6"/>
      <c r="X177" s="6"/>
      <c r="Y177" s="6"/>
      <c r="Z177" s="6"/>
      <c r="AA177" s="6"/>
      <c r="AB177" s="6"/>
      <c r="AC177" s="6"/>
      <c r="AD177" t="s">
        <v>19</v>
      </c>
      <c r="AE177" t="s">
        <v>19</v>
      </c>
      <c r="AG177">
        <v>1</v>
      </c>
    </row>
    <row r="178" spans="1:33">
      <c r="A178" t="s">
        <v>248</v>
      </c>
      <c r="B178" s="3" t="s">
        <v>708</v>
      </c>
      <c r="C178" s="3" t="s">
        <v>709</v>
      </c>
      <c r="G178" s="6" t="s">
        <v>851</v>
      </c>
      <c r="H178" s="6"/>
      <c r="I178" s="6"/>
      <c r="J178" s="6"/>
      <c r="K178" s="6"/>
      <c r="L178" s="6"/>
      <c r="M178" s="6"/>
      <c r="N178" s="7"/>
      <c r="O178" s="6"/>
      <c r="P178" s="6"/>
      <c r="Q178" s="6"/>
      <c r="R178" s="6" t="s">
        <v>963</v>
      </c>
      <c r="S178" s="6" t="s">
        <v>963</v>
      </c>
      <c r="T178" s="6"/>
      <c r="U178" s="6"/>
      <c r="V178" s="6"/>
      <c r="W178" s="6"/>
      <c r="X178" s="6"/>
      <c r="Y178" s="6"/>
      <c r="Z178" s="6"/>
      <c r="AA178" s="6"/>
      <c r="AB178" s="6"/>
      <c r="AC178" s="6"/>
      <c r="AD178" t="s">
        <v>19</v>
      </c>
      <c r="AE178" t="s">
        <v>19</v>
      </c>
      <c r="AG178">
        <v>1</v>
      </c>
    </row>
    <row r="179" spans="1:33" ht="29">
      <c r="A179" t="s">
        <v>252</v>
      </c>
      <c r="B179" s="3" t="s">
        <v>710</v>
      </c>
      <c r="C179" s="3" t="s">
        <v>711</v>
      </c>
      <c r="G179" s="6" t="s">
        <v>24</v>
      </c>
      <c r="H179" s="6"/>
      <c r="I179" s="6">
        <v>1</v>
      </c>
      <c r="J179" s="6">
        <v>3</v>
      </c>
      <c r="K179" s="6" t="s">
        <v>818</v>
      </c>
      <c r="L179" s="6" t="s">
        <v>809</v>
      </c>
      <c r="M179" s="6"/>
      <c r="N179" s="7"/>
      <c r="O179" s="6"/>
      <c r="P179" s="6">
        <v>86</v>
      </c>
      <c r="Q179" s="6"/>
      <c r="R179" s="6" t="s">
        <v>963</v>
      </c>
      <c r="S179" s="6" t="s">
        <v>963</v>
      </c>
      <c r="T179" s="6"/>
      <c r="U179" s="6"/>
      <c r="V179" s="6"/>
      <c r="W179" s="6"/>
      <c r="X179" s="6"/>
      <c r="Y179" s="6"/>
      <c r="Z179" s="6"/>
      <c r="AA179" s="6"/>
      <c r="AB179" s="6"/>
      <c r="AC179" s="6"/>
      <c r="AD179" t="s">
        <v>19</v>
      </c>
      <c r="AE179" t="s">
        <v>19</v>
      </c>
      <c r="AG179">
        <v>1</v>
      </c>
    </row>
    <row r="180" spans="1:33" ht="29">
      <c r="A180" t="s">
        <v>252</v>
      </c>
      <c r="B180" s="3" t="s">
        <v>710</v>
      </c>
      <c r="C180" s="3" t="s">
        <v>712</v>
      </c>
      <c r="G180" s="6" t="s">
        <v>24</v>
      </c>
      <c r="H180" s="6"/>
      <c r="I180" s="6">
        <v>1</v>
      </c>
      <c r="J180" s="6">
        <v>3</v>
      </c>
      <c r="K180" s="6" t="s">
        <v>825</v>
      </c>
      <c r="L180" s="6" t="s">
        <v>809</v>
      </c>
      <c r="M180" s="6"/>
      <c r="N180" s="7"/>
      <c r="O180" s="6"/>
      <c r="P180" s="6">
        <v>743</v>
      </c>
      <c r="Q180" s="6"/>
      <c r="R180" s="6" t="s">
        <v>963</v>
      </c>
      <c r="S180" s="6" t="s">
        <v>963</v>
      </c>
      <c r="T180" s="6"/>
      <c r="U180" s="6"/>
      <c r="V180" s="6"/>
      <c r="W180" s="6"/>
      <c r="X180" s="6"/>
      <c r="Y180" s="6"/>
      <c r="Z180" s="6"/>
      <c r="AA180" s="6"/>
      <c r="AB180" s="6"/>
      <c r="AC180" s="6"/>
      <c r="AD180" t="s">
        <v>19</v>
      </c>
      <c r="AE180" t="s">
        <v>19</v>
      </c>
      <c r="AG180">
        <v>1</v>
      </c>
    </row>
    <row r="181" spans="1:33">
      <c r="A181" t="s">
        <v>252</v>
      </c>
      <c r="B181" s="3" t="s">
        <v>713</v>
      </c>
      <c r="C181" s="3" t="s">
        <v>714</v>
      </c>
      <c r="G181" s="6" t="s">
        <v>849</v>
      </c>
      <c r="H181" s="6"/>
      <c r="I181" s="6"/>
      <c r="J181" s="6"/>
      <c r="K181" s="6"/>
      <c r="L181" s="6"/>
      <c r="M181" s="6"/>
      <c r="N181" s="7"/>
      <c r="O181" s="6"/>
      <c r="P181" s="6"/>
      <c r="Q181" s="6">
        <v>1676</v>
      </c>
      <c r="R181" s="6">
        <v>25</v>
      </c>
      <c r="S181" s="6">
        <v>1701</v>
      </c>
      <c r="T181" s="6"/>
      <c r="U181" s="6"/>
      <c r="V181" s="6"/>
      <c r="W181" s="6"/>
      <c r="X181" s="6"/>
      <c r="Y181" s="6"/>
      <c r="Z181" s="6"/>
      <c r="AA181" s="6"/>
      <c r="AB181" s="6"/>
      <c r="AC181" s="6"/>
      <c r="AD181" t="s">
        <v>19</v>
      </c>
      <c r="AE181" t="s">
        <v>19</v>
      </c>
      <c r="AG181">
        <v>1</v>
      </c>
    </row>
    <row r="182" spans="1:33" ht="29">
      <c r="A182" t="s">
        <v>252</v>
      </c>
      <c r="B182" s="3" t="s">
        <v>715</v>
      </c>
      <c r="C182" s="3" t="s">
        <v>716</v>
      </c>
      <c r="G182" s="6" t="s">
        <v>849</v>
      </c>
      <c r="H182" s="6"/>
      <c r="I182" s="6"/>
      <c r="J182" s="6"/>
      <c r="K182" s="6"/>
      <c r="L182" s="6"/>
      <c r="M182" s="6"/>
      <c r="N182" s="7"/>
      <c r="O182" s="6"/>
      <c r="P182" s="6"/>
      <c r="Q182" s="6">
        <v>51</v>
      </c>
      <c r="R182" s="6">
        <v>48</v>
      </c>
      <c r="S182" s="6">
        <v>99</v>
      </c>
      <c r="T182" s="6"/>
      <c r="U182" s="6"/>
      <c r="V182" s="6"/>
      <c r="W182" s="6"/>
      <c r="X182" s="6"/>
      <c r="Y182" s="6"/>
      <c r="Z182" s="6"/>
      <c r="AA182" s="6"/>
      <c r="AB182" s="6"/>
      <c r="AC182" s="6"/>
      <c r="AD182" t="s">
        <v>19</v>
      </c>
      <c r="AE182" t="s">
        <v>20</v>
      </c>
      <c r="AG182">
        <v>1</v>
      </c>
    </row>
    <row r="183" spans="1:33" ht="29">
      <c r="A183" t="s">
        <v>253</v>
      </c>
      <c r="B183" s="3" t="s">
        <v>717</v>
      </c>
      <c r="C183" s="3" t="s">
        <v>718</v>
      </c>
      <c r="G183" s="6" t="s">
        <v>25</v>
      </c>
      <c r="H183" s="6"/>
      <c r="I183" s="6">
        <v>1</v>
      </c>
      <c r="J183" s="6">
        <v>3</v>
      </c>
      <c r="K183" s="6" t="s">
        <v>818</v>
      </c>
      <c r="L183" s="6" t="s">
        <v>809</v>
      </c>
      <c r="M183" s="6"/>
      <c r="N183" s="7"/>
      <c r="O183" s="6"/>
      <c r="P183" s="6">
        <v>86</v>
      </c>
      <c r="Q183" s="6"/>
      <c r="R183" s="6" t="s">
        <v>963</v>
      </c>
      <c r="S183" s="6" t="s">
        <v>963</v>
      </c>
      <c r="T183" s="6"/>
      <c r="U183" s="6"/>
      <c r="V183" s="6"/>
      <c r="W183" s="6"/>
      <c r="X183" s="6"/>
      <c r="Y183" s="6"/>
      <c r="Z183" s="6"/>
      <c r="AA183" s="6"/>
      <c r="AB183" s="6"/>
      <c r="AC183" s="6"/>
      <c r="AD183" t="s">
        <v>19</v>
      </c>
      <c r="AE183" t="s">
        <v>19</v>
      </c>
      <c r="AG183">
        <v>1</v>
      </c>
    </row>
    <row r="184" spans="1:33">
      <c r="A184" t="s">
        <v>254</v>
      </c>
      <c r="B184" s="3" t="s">
        <v>720</v>
      </c>
      <c r="C184" s="3" t="s">
        <v>719</v>
      </c>
      <c r="G184" s="6" t="s">
        <v>25</v>
      </c>
      <c r="H184" s="6"/>
      <c r="I184" s="6">
        <v>1</v>
      </c>
      <c r="J184" s="6">
        <v>3</v>
      </c>
      <c r="K184" s="6" t="s">
        <v>823</v>
      </c>
      <c r="L184" s="6" t="s">
        <v>809</v>
      </c>
      <c r="M184" s="6"/>
      <c r="N184" s="7"/>
      <c r="O184" s="6"/>
      <c r="P184" s="6">
        <v>2</v>
      </c>
      <c r="Q184" s="6"/>
      <c r="R184" s="6" t="s">
        <v>963</v>
      </c>
      <c r="S184" s="6" t="s">
        <v>963</v>
      </c>
      <c r="T184" s="6"/>
      <c r="U184" s="6"/>
      <c r="V184" s="6"/>
      <c r="W184" s="6"/>
      <c r="X184" s="6"/>
      <c r="Y184" s="6"/>
      <c r="Z184" s="6"/>
      <c r="AA184" s="6"/>
      <c r="AB184" s="6"/>
      <c r="AC184" s="6"/>
      <c r="AD184" t="s">
        <v>19</v>
      </c>
      <c r="AE184" t="s">
        <v>19</v>
      </c>
      <c r="AG184">
        <v>1</v>
      </c>
    </row>
    <row r="185" spans="1:33">
      <c r="A185" t="s">
        <v>258</v>
      </c>
      <c r="B185" s="3" t="s">
        <v>722</v>
      </c>
      <c r="C185" s="3" t="s">
        <v>721</v>
      </c>
      <c r="G185" s="6" t="s">
        <v>849</v>
      </c>
      <c r="H185" s="6"/>
      <c r="I185" s="6"/>
      <c r="J185" s="6"/>
      <c r="K185" s="6"/>
      <c r="L185" s="6"/>
      <c r="M185" s="6"/>
      <c r="N185" s="7"/>
      <c r="O185" s="6"/>
      <c r="P185" s="6"/>
      <c r="Q185" s="6">
        <v>-80</v>
      </c>
      <c r="R185" s="6">
        <v>105</v>
      </c>
      <c r="S185" s="6">
        <v>25</v>
      </c>
      <c r="T185" s="6"/>
      <c r="U185" s="6"/>
      <c r="V185" s="6"/>
      <c r="W185" s="6"/>
      <c r="X185" s="6"/>
      <c r="Y185" s="6"/>
      <c r="Z185" s="6"/>
      <c r="AA185" s="6"/>
      <c r="AB185" s="6"/>
      <c r="AC185" s="6"/>
      <c r="AD185" t="s">
        <v>19</v>
      </c>
      <c r="AE185" t="s">
        <v>20</v>
      </c>
      <c r="AG185">
        <v>1</v>
      </c>
    </row>
    <row r="186" spans="1:33" ht="29">
      <c r="A186" t="s">
        <v>258</v>
      </c>
      <c r="B186" s="3" t="s">
        <v>724</v>
      </c>
      <c r="C186" s="3" t="s">
        <v>725</v>
      </c>
      <c r="G186" s="6" t="s">
        <v>24</v>
      </c>
      <c r="H186" s="6"/>
      <c r="I186" s="6">
        <v>1</v>
      </c>
      <c r="J186" s="6">
        <v>3</v>
      </c>
      <c r="K186" s="6" t="s">
        <v>808</v>
      </c>
      <c r="L186" s="6" t="s">
        <v>809</v>
      </c>
      <c r="M186" s="6"/>
      <c r="N186" s="7"/>
      <c r="O186" s="6"/>
      <c r="P186" s="6">
        <v>2475</v>
      </c>
      <c r="Q186" s="6"/>
      <c r="R186" s="6" t="s">
        <v>963</v>
      </c>
      <c r="S186" s="6" t="s">
        <v>963</v>
      </c>
      <c r="T186" s="6"/>
      <c r="U186" s="6"/>
      <c r="V186" s="6"/>
      <c r="W186" s="6"/>
      <c r="X186" s="6"/>
      <c r="Y186" s="6"/>
      <c r="Z186" s="6"/>
      <c r="AA186" s="6"/>
      <c r="AB186" s="6"/>
      <c r="AC186" s="6"/>
      <c r="AD186" t="s">
        <v>19</v>
      </c>
      <c r="AE186" t="s">
        <v>19</v>
      </c>
      <c r="AG186">
        <v>1</v>
      </c>
    </row>
    <row r="187" spans="1:33" ht="29">
      <c r="A187" t="s">
        <v>258</v>
      </c>
      <c r="B187" s="3" t="s">
        <v>726</v>
      </c>
      <c r="C187" s="3" t="s">
        <v>723</v>
      </c>
      <c r="G187" s="6" t="s">
        <v>25</v>
      </c>
      <c r="H187" s="6"/>
      <c r="I187" s="6">
        <v>1</v>
      </c>
      <c r="J187" s="6">
        <v>2</v>
      </c>
      <c r="K187" s="6" t="s">
        <v>829</v>
      </c>
      <c r="L187" s="6" t="s">
        <v>850</v>
      </c>
      <c r="M187" s="6"/>
      <c r="N187" s="7"/>
      <c r="O187" s="6"/>
      <c r="P187" s="6">
        <v>295</v>
      </c>
      <c r="Q187" s="6"/>
      <c r="R187" s="6" t="s">
        <v>963</v>
      </c>
      <c r="S187" s="6" t="s">
        <v>963</v>
      </c>
      <c r="T187" s="6"/>
      <c r="U187" s="6"/>
      <c r="V187" s="6"/>
      <c r="W187" s="6"/>
      <c r="X187" s="6"/>
      <c r="Y187" s="6"/>
      <c r="Z187" s="6"/>
      <c r="AA187" s="6"/>
      <c r="AB187" s="6"/>
      <c r="AC187" s="6"/>
      <c r="AD187" t="s">
        <v>19</v>
      </c>
      <c r="AE187" t="s">
        <v>19</v>
      </c>
      <c r="AG187">
        <v>1</v>
      </c>
    </row>
    <row r="188" spans="1:33">
      <c r="A188" t="s">
        <v>258</v>
      </c>
      <c r="B188" s="3" t="s">
        <v>728</v>
      </c>
      <c r="C188" s="3" t="s">
        <v>727</v>
      </c>
      <c r="G188" s="6" t="s">
        <v>25</v>
      </c>
      <c r="H188" s="6"/>
      <c r="I188" s="6">
        <v>1</v>
      </c>
      <c r="J188" s="6">
        <v>3</v>
      </c>
      <c r="K188" s="6" t="s">
        <v>825</v>
      </c>
      <c r="L188" s="6" t="s">
        <v>809</v>
      </c>
      <c r="M188" s="6"/>
      <c r="N188" s="7"/>
      <c r="O188" s="6"/>
      <c r="P188" s="6">
        <v>743</v>
      </c>
      <c r="Q188" s="6"/>
      <c r="R188" s="6" t="s">
        <v>963</v>
      </c>
      <c r="S188" s="6" t="s">
        <v>963</v>
      </c>
      <c r="T188" s="6"/>
      <c r="U188" s="6"/>
      <c r="V188" s="6"/>
      <c r="W188" s="6"/>
      <c r="X188" s="6"/>
      <c r="Y188" s="6"/>
      <c r="Z188" s="6"/>
      <c r="AA188" s="6"/>
      <c r="AB188" s="6"/>
      <c r="AC188" s="6"/>
      <c r="AD188" t="s">
        <v>19</v>
      </c>
      <c r="AE188" t="s">
        <v>19</v>
      </c>
      <c r="AG188">
        <v>1</v>
      </c>
    </row>
    <row r="189" spans="1:33">
      <c r="A189" t="s">
        <v>261</v>
      </c>
      <c r="B189" s="3" t="s">
        <v>729</v>
      </c>
      <c r="C189" s="3" t="s">
        <v>730</v>
      </c>
      <c r="G189" s="6" t="s">
        <v>25</v>
      </c>
      <c r="H189" s="6"/>
      <c r="I189" s="6">
        <v>1</v>
      </c>
      <c r="J189" s="6">
        <v>3</v>
      </c>
      <c r="K189" s="6" t="s">
        <v>825</v>
      </c>
      <c r="L189" s="6" t="s">
        <v>809</v>
      </c>
      <c r="M189" s="6"/>
      <c r="N189" s="7"/>
      <c r="O189" s="6"/>
      <c r="P189" s="6">
        <v>743</v>
      </c>
      <c r="Q189" s="6"/>
      <c r="R189" s="6" t="s">
        <v>963</v>
      </c>
      <c r="S189" s="6" t="s">
        <v>963</v>
      </c>
      <c r="T189" s="6"/>
      <c r="U189" s="6"/>
      <c r="V189" s="6"/>
      <c r="W189" s="6"/>
      <c r="X189" s="6"/>
      <c r="Y189" s="6"/>
      <c r="Z189" s="6"/>
      <c r="AA189" s="6"/>
      <c r="AB189" s="6"/>
      <c r="AC189" s="6"/>
      <c r="AD189" t="s">
        <v>19</v>
      </c>
      <c r="AE189" t="s">
        <v>19</v>
      </c>
      <c r="AG189">
        <v>1</v>
      </c>
    </row>
    <row r="190" spans="1:33">
      <c r="A190" t="s">
        <v>262</v>
      </c>
      <c r="B190" s="3" t="s">
        <v>732</v>
      </c>
      <c r="C190" s="3" t="s">
        <v>731</v>
      </c>
      <c r="G190" s="6" t="s">
        <v>25</v>
      </c>
      <c r="H190" s="6"/>
      <c r="I190" s="6">
        <v>1</v>
      </c>
      <c r="J190" s="6">
        <v>4</v>
      </c>
      <c r="K190" s="6" t="s">
        <v>854</v>
      </c>
      <c r="L190" s="6" t="s">
        <v>809</v>
      </c>
      <c r="M190" s="6"/>
      <c r="N190" s="7"/>
      <c r="O190" s="6"/>
      <c r="P190" s="6">
        <v>2</v>
      </c>
      <c r="Q190" s="6"/>
      <c r="R190" s="6" t="s">
        <v>963</v>
      </c>
      <c r="S190" s="6" t="s">
        <v>963</v>
      </c>
      <c r="T190" s="6"/>
      <c r="U190" s="6"/>
      <c r="V190" s="6"/>
      <c r="W190" s="6"/>
      <c r="X190" s="6"/>
      <c r="Y190" s="6"/>
      <c r="Z190" s="6"/>
      <c r="AA190" s="6"/>
      <c r="AB190" s="6"/>
      <c r="AC190" s="6"/>
      <c r="AD190" t="s">
        <v>19</v>
      </c>
      <c r="AE190" t="s">
        <v>19</v>
      </c>
      <c r="AG190">
        <v>1</v>
      </c>
    </row>
    <row r="191" spans="1:33">
      <c r="A191" t="s">
        <v>263</v>
      </c>
      <c r="B191" s="3" t="s">
        <v>733</v>
      </c>
      <c r="C191" s="3" t="s">
        <v>734</v>
      </c>
      <c r="G191" s="6" t="s">
        <v>25</v>
      </c>
      <c r="H191" s="6"/>
      <c r="I191" s="6">
        <v>1</v>
      </c>
      <c r="J191" s="6">
        <v>2</v>
      </c>
      <c r="K191" s="6" t="s">
        <v>854</v>
      </c>
      <c r="L191" s="6" t="s">
        <v>850</v>
      </c>
      <c r="M191" s="6"/>
      <c r="N191" s="7"/>
      <c r="O191" s="6"/>
      <c r="P191" s="6">
        <v>29</v>
      </c>
      <c r="Q191" s="6"/>
      <c r="R191" s="6" t="s">
        <v>963</v>
      </c>
      <c r="S191" s="6" t="s">
        <v>963</v>
      </c>
      <c r="T191" s="6"/>
      <c r="U191" s="6"/>
      <c r="V191" s="6"/>
      <c r="W191" s="6"/>
      <c r="X191" s="6"/>
      <c r="Y191" s="6"/>
      <c r="Z191" s="6"/>
      <c r="AA191" s="6"/>
      <c r="AB191" s="6"/>
      <c r="AC191" s="6"/>
      <c r="AD191" t="s">
        <v>19</v>
      </c>
      <c r="AE191" t="s">
        <v>19</v>
      </c>
      <c r="AG191">
        <v>1</v>
      </c>
    </row>
    <row r="192" spans="1:33">
      <c r="A192" t="s">
        <v>264</v>
      </c>
      <c r="B192" s="3" t="s">
        <v>265</v>
      </c>
      <c r="C192" s="3" t="s">
        <v>266</v>
      </c>
      <c r="G192" s="6" t="s">
        <v>851</v>
      </c>
      <c r="H192" s="6"/>
      <c r="I192" s="6"/>
      <c r="J192" s="6"/>
      <c r="K192" s="6"/>
      <c r="L192" s="6"/>
      <c r="M192" s="6"/>
      <c r="N192" s="7"/>
      <c r="O192" s="6"/>
      <c r="P192" s="6"/>
      <c r="Q192" s="6"/>
      <c r="R192" s="6" t="s">
        <v>963</v>
      </c>
      <c r="S192" s="6" t="s">
        <v>963</v>
      </c>
      <c r="T192" s="6"/>
      <c r="U192" s="6"/>
      <c r="V192" s="6"/>
      <c r="W192" s="6"/>
      <c r="X192" s="6"/>
      <c r="Y192" s="6"/>
      <c r="Z192" s="6"/>
      <c r="AA192" s="6"/>
      <c r="AB192" s="6"/>
      <c r="AC192" s="6"/>
      <c r="AD192" t="s">
        <v>19</v>
      </c>
      <c r="AE192" t="s">
        <v>19</v>
      </c>
      <c r="AG192">
        <v>1</v>
      </c>
    </row>
    <row r="193" spans="1:33">
      <c r="A193" t="s">
        <v>264</v>
      </c>
      <c r="B193" s="3" t="s">
        <v>736</v>
      </c>
      <c r="C193" s="3" t="s">
        <v>735</v>
      </c>
      <c r="G193" s="6" t="s">
        <v>25</v>
      </c>
      <c r="H193" s="6"/>
      <c r="I193" s="6">
        <v>1</v>
      </c>
      <c r="J193" s="6">
        <v>3</v>
      </c>
      <c r="K193" s="6" t="s">
        <v>825</v>
      </c>
      <c r="L193" s="6" t="s">
        <v>809</v>
      </c>
      <c r="M193" s="6"/>
      <c r="N193" s="7"/>
      <c r="O193" s="6"/>
      <c r="P193" s="6">
        <v>743</v>
      </c>
      <c r="Q193" s="6"/>
      <c r="R193" s="6" t="s">
        <v>963</v>
      </c>
      <c r="S193" s="6" t="s">
        <v>963</v>
      </c>
      <c r="T193" s="6"/>
      <c r="U193" s="6"/>
      <c r="V193" s="6"/>
      <c r="W193" s="6"/>
      <c r="X193" s="6"/>
      <c r="Y193" s="6"/>
      <c r="Z193" s="6"/>
      <c r="AA193" s="6"/>
      <c r="AB193" s="6"/>
      <c r="AC193" s="6"/>
      <c r="AD193" t="s">
        <v>19</v>
      </c>
      <c r="AE193" t="s">
        <v>20</v>
      </c>
      <c r="AG193">
        <v>1</v>
      </c>
    </row>
    <row r="194" spans="1:33">
      <c r="A194" t="s">
        <v>270</v>
      </c>
      <c r="B194" s="3" t="s">
        <v>738</v>
      </c>
      <c r="C194" s="3" t="s">
        <v>737</v>
      </c>
      <c r="G194" s="6" t="s">
        <v>24</v>
      </c>
      <c r="H194" s="6"/>
      <c r="I194" s="6">
        <v>1</v>
      </c>
      <c r="J194" s="6">
        <v>1</v>
      </c>
      <c r="K194" s="6" t="s">
        <v>808</v>
      </c>
      <c r="L194" s="6" t="s">
        <v>850</v>
      </c>
      <c r="M194" s="6"/>
      <c r="N194" s="7"/>
      <c r="O194" s="6"/>
      <c r="P194" s="6">
        <v>2475</v>
      </c>
      <c r="Q194" s="6"/>
      <c r="R194" s="6" t="s">
        <v>963</v>
      </c>
      <c r="S194" s="6" t="s">
        <v>963</v>
      </c>
      <c r="T194" s="6"/>
      <c r="U194" s="6"/>
      <c r="V194" s="6"/>
      <c r="W194" s="6"/>
      <c r="X194" s="6"/>
      <c r="Y194" s="6"/>
      <c r="Z194" s="6"/>
      <c r="AA194" s="6"/>
      <c r="AB194" s="6"/>
      <c r="AC194" s="6"/>
      <c r="AD194" t="s">
        <v>19</v>
      </c>
      <c r="AE194" t="s">
        <v>19</v>
      </c>
      <c r="AG194">
        <v>1</v>
      </c>
    </row>
    <row r="195" spans="1:33">
      <c r="A195" t="s">
        <v>271</v>
      </c>
      <c r="B195" s="3" t="s">
        <v>739</v>
      </c>
      <c r="C195" s="3" t="s">
        <v>740</v>
      </c>
      <c r="G195" s="6" t="s">
        <v>25</v>
      </c>
      <c r="H195" s="6"/>
      <c r="I195" s="6">
        <v>1</v>
      </c>
      <c r="J195" s="6">
        <v>3</v>
      </c>
      <c r="K195" s="6" t="s">
        <v>818</v>
      </c>
      <c r="L195" s="6" t="s">
        <v>809</v>
      </c>
      <c r="M195" s="6"/>
      <c r="N195" s="7"/>
      <c r="O195" s="6"/>
      <c r="P195" s="6">
        <v>86</v>
      </c>
      <c r="Q195" s="6"/>
      <c r="R195" s="6" t="s">
        <v>963</v>
      </c>
      <c r="S195" s="6" t="s">
        <v>963</v>
      </c>
      <c r="T195" s="6"/>
      <c r="U195" s="6"/>
      <c r="V195" s="6"/>
      <c r="W195" s="6"/>
      <c r="X195" s="6"/>
      <c r="Y195" s="6"/>
      <c r="Z195" s="6"/>
      <c r="AA195" s="6"/>
      <c r="AB195" s="6"/>
      <c r="AC195" s="6"/>
      <c r="AD195" t="s">
        <v>19</v>
      </c>
      <c r="AE195" t="s">
        <v>19</v>
      </c>
      <c r="AG195">
        <v>1</v>
      </c>
    </row>
    <row r="196" spans="1:33">
      <c r="A196" t="s">
        <v>272</v>
      </c>
      <c r="B196" s="3" t="s">
        <v>273</v>
      </c>
      <c r="C196" s="3" t="s">
        <v>215</v>
      </c>
      <c r="G196" s="6" t="s">
        <v>851</v>
      </c>
      <c r="H196" s="6"/>
      <c r="I196" s="6"/>
      <c r="J196" s="6"/>
      <c r="K196" s="6"/>
      <c r="L196" s="6"/>
      <c r="M196" s="6"/>
      <c r="N196" s="7"/>
      <c r="O196" s="6"/>
      <c r="P196" s="6"/>
      <c r="Q196" s="6"/>
      <c r="R196" s="6" t="s">
        <v>963</v>
      </c>
      <c r="S196" s="6" t="s">
        <v>963</v>
      </c>
      <c r="T196" s="6"/>
      <c r="U196" s="6"/>
      <c r="V196" s="6"/>
      <c r="W196" s="6"/>
      <c r="X196" s="6"/>
      <c r="Y196" s="6"/>
      <c r="Z196" s="6"/>
      <c r="AA196" s="6"/>
      <c r="AB196" s="6"/>
      <c r="AC196" s="6"/>
      <c r="AD196" t="s">
        <v>19</v>
      </c>
      <c r="AE196" t="s">
        <v>20</v>
      </c>
      <c r="AG196">
        <v>1</v>
      </c>
    </row>
    <row r="197" spans="1:33">
      <c r="A197" t="s">
        <v>274</v>
      </c>
      <c r="B197" s="3" t="s">
        <v>741</v>
      </c>
      <c r="C197" s="3" t="s">
        <v>742</v>
      </c>
      <c r="G197" s="6" t="s">
        <v>25</v>
      </c>
      <c r="H197" s="6"/>
      <c r="I197" s="6">
        <v>1</v>
      </c>
      <c r="J197" s="6">
        <v>1</v>
      </c>
      <c r="K197" s="6" t="s">
        <v>808</v>
      </c>
      <c r="L197" s="6" t="s">
        <v>850</v>
      </c>
      <c r="M197" s="6"/>
      <c r="N197" s="7"/>
      <c r="O197" s="6"/>
      <c r="P197" s="6">
        <v>2475</v>
      </c>
      <c r="Q197" s="6"/>
      <c r="R197" s="6" t="s">
        <v>963</v>
      </c>
      <c r="S197" s="6" t="s">
        <v>963</v>
      </c>
      <c r="T197" s="6"/>
      <c r="U197" s="6"/>
      <c r="V197" s="6"/>
      <c r="W197" s="6"/>
      <c r="X197" s="6"/>
      <c r="Y197" s="6"/>
      <c r="Z197" s="6"/>
      <c r="AA197" s="6"/>
      <c r="AB197" s="6"/>
      <c r="AC197" s="6"/>
      <c r="AD197" t="s">
        <v>19</v>
      </c>
      <c r="AE197" t="s">
        <v>19</v>
      </c>
      <c r="AG197">
        <v>1</v>
      </c>
    </row>
    <row r="198" spans="1:33" ht="29">
      <c r="A198" t="s">
        <v>274</v>
      </c>
      <c r="B198" s="3" t="s">
        <v>746</v>
      </c>
      <c r="C198" s="3" t="s">
        <v>745</v>
      </c>
      <c r="G198" s="6" t="s">
        <v>849</v>
      </c>
      <c r="H198" s="6"/>
      <c r="I198" s="6"/>
      <c r="J198" s="6"/>
      <c r="K198" s="6"/>
      <c r="L198" s="6"/>
      <c r="M198" s="6"/>
      <c r="N198" s="7"/>
      <c r="O198" s="6"/>
      <c r="P198" s="6"/>
      <c r="Q198" s="6">
        <v>-4</v>
      </c>
      <c r="R198" s="6">
        <v>8</v>
      </c>
      <c r="S198" s="6">
        <v>4</v>
      </c>
      <c r="T198" s="6"/>
      <c r="U198" s="6"/>
      <c r="V198" s="6"/>
      <c r="W198" s="6"/>
      <c r="X198" s="6"/>
      <c r="Y198" s="6"/>
      <c r="Z198" s="6"/>
      <c r="AA198" s="6"/>
      <c r="AB198" s="6"/>
      <c r="AC198" s="6"/>
      <c r="AD198" t="s">
        <v>19</v>
      </c>
      <c r="AE198" t="s">
        <v>20</v>
      </c>
      <c r="AG198">
        <v>1</v>
      </c>
    </row>
    <row r="199" spans="1:33" ht="29">
      <c r="A199" t="s">
        <v>275</v>
      </c>
      <c r="B199" s="3" t="s">
        <v>910</v>
      </c>
      <c r="C199" s="3" t="s">
        <v>911</v>
      </c>
      <c r="G199" s="6" t="s">
        <v>26</v>
      </c>
      <c r="H199" s="6"/>
      <c r="I199" s="6"/>
      <c r="J199" s="6"/>
      <c r="K199" s="6"/>
      <c r="L199" s="6"/>
      <c r="M199" s="6"/>
      <c r="N199" s="7"/>
      <c r="O199" s="6"/>
      <c r="P199" s="6"/>
      <c r="Q199" s="6"/>
      <c r="R199" s="6" t="s">
        <v>963</v>
      </c>
      <c r="S199" s="6" t="s">
        <v>963</v>
      </c>
      <c r="T199" s="6"/>
      <c r="U199" s="6"/>
      <c r="V199" s="6"/>
      <c r="W199" s="6"/>
      <c r="X199" s="6"/>
      <c r="Y199" s="6"/>
      <c r="Z199" s="6"/>
      <c r="AA199" s="6"/>
      <c r="AB199" s="6"/>
      <c r="AC199" s="6"/>
      <c r="AD199" t="s">
        <v>19</v>
      </c>
      <c r="AE199" t="s">
        <v>19</v>
      </c>
      <c r="AG199">
        <v>1</v>
      </c>
    </row>
    <row r="200" spans="1:33" ht="29">
      <c r="A200" t="s">
        <v>280</v>
      </c>
      <c r="B200" s="3" t="s">
        <v>750</v>
      </c>
      <c r="C200" s="3" t="s">
        <v>751</v>
      </c>
      <c r="G200" s="6" t="s">
        <v>849</v>
      </c>
      <c r="H200" s="6"/>
      <c r="I200" s="6"/>
      <c r="J200" s="6"/>
      <c r="K200" s="6"/>
      <c r="L200" s="6"/>
      <c r="M200" s="6"/>
      <c r="N200" s="7"/>
      <c r="O200" s="6"/>
      <c r="P200" s="6"/>
      <c r="Q200" s="6">
        <v>-85</v>
      </c>
      <c r="R200" s="6">
        <v>171</v>
      </c>
      <c r="S200" s="6">
        <v>86</v>
      </c>
      <c r="T200" s="6"/>
      <c r="U200" s="6"/>
      <c r="V200" s="6"/>
      <c r="W200" s="6"/>
      <c r="X200" s="6"/>
      <c r="Y200" s="6"/>
      <c r="Z200" s="6"/>
      <c r="AA200" s="6"/>
      <c r="AB200" s="6"/>
      <c r="AC200" s="6"/>
      <c r="AD200" t="s">
        <v>19</v>
      </c>
      <c r="AE200" t="s">
        <v>19</v>
      </c>
      <c r="AG200">
        <v>1</v>
      </c>
    </row>
    <row r="201" spans="1:33">
      <c r="A201" t="s">
        <v>280</v>
      </c>
      <c r="B201" s="3" t="s">
        <v>754</v>
      </c>
      <c r="C201" s="3" t="s">
        <v>755</v>
      </c>
      <c r="G201" s="6" t="s">
        <v>849</v>
      </c>
      <c r="H201" s="6"/>
      <c r="I201" s="6"/>
      <c r="J201" s="6"/>
      <c r="K201" s="6"/>
      <c r="L201" s="6"/>
      <c r="M201" s="6"/>
      <c r="N201" s="7"/>
      <c r="O201" s="6"/>
      <c r="P201" s="6"/>
      <c r="Q201" s="6">
        <v>2450</v>
      </c>
      <c r="R201" s="6">
        <v>25</v>
      </c>
      <c r="S201" s="6">
        <v>2475</v>
      </c>
      <c r="T201" s="6"/>
      <c r="U201" s="6"/>
      <c r="V201" s="6"/>
      <c r="W201" s="6"/>
      <c r="X201" s="6"/>
      <c r="Y201" s="6"/>
      <c r="Z201" s="6"/>
      <c r="AA201" s="6"/>
      <c r="AB201" s="6"/>
      <c r="AC201" s="6"/>
      <c r="AD201" t="s">
        <v>19</v>
      </c>
      <c r="AE201" t="s">
        <v>20</v>
      </c>
      <c r="AG201">
        <v>1</v>
      </c>
    </row>
    <row r="202" spans="1:33">
      <c r="A202" t="s">
        <v>280</v>
      </c>
      <c r="B202" s="3" t="s">
        <v>757</v>
      </c>
      <c r="C202" s="3" t="s">
        <v>756</v>
      </c>
      <c r="G202" s="6" t="s">
        <v>25</v>
      </c>
      <c r="H202" s="6"/>
      <c r="I202" s="6">
        <v>1</v>
      </c>
      <c r="J202" s="6">
        <v>5</v>
      </c>
      <c r="K202" s="6" t="s">
        <v>825</v>
      </c>
      <c r="L202" s="6" t="s">
        <v>809</v>
      </c>
      <c r="M202" s="6"/>
      <c r="N202" s="7"/>
      <c r="O202" s="6"/>
      <c r="P202" s="6">
        <v>830</v>
      </c>
      <c r="Q202" s="6"/>
      <c r="R202" s="6" t="s">
        <v>963</v>
      </c>
      <c r="S202" s="6" t="s">
        <v>963</v>
      </c>
      <c r="T202" s="6" t="s">
        <v>848</v>
      </c>
      <c r="U202" s="6"/>
      <c r="V202" s="6"/>
      <c r="W202" s="6"/>
      <c r="X202" s="6"/>
      <c r="Y202" s="6"/>
      <c r="Z202" s="6"/>
      <c r="AA202" s="6"/>
      <c r="AB202" s="6"/>
      <c r="AC202" s="6"/>
      <c r="AD202" t="s">
        <v>19</v>
      </c>
      <c r="AE202" t="s">
        <v>19</v>
      </c>
      <c r="AG202">
        <v>1</v>
      </c>
    </row>
    <row r="203" spans="1:33">
      <c r="A203" t="s">
        <v>281</v>
      </c>
      <c r="B203" s="3" t="s">
        <v>759</v>
      </c>
      <c r="C203" s="3" t="s">
        <v>758</v>
      </c>
      <c r="G203" s="6" t="s">
        <v>25</v>
      </c>
      <c r="H203" s="6"/>
      <c r="I203" s="6">
        <v>1</v>
      </c>
      <c r="J203" s="6">
        <v>2</v>
      </c>
      <c r="K203" s="6" t="s">
        <v>825</v>
      </c>
      <c r="L203" s="6" t="s">
        <v>850</v>
      </c>
      <c r="M203" s="6"/>
      <c r="N203" s="7"/>
      <c r="O203" s="6"/>
      <c r="P203" s="6">
        <v>312</v>
      </c>
      <c r="Q203" s="6"/>
      <c r="R203" s="6" t="s">
        <v>963</v>
      </c>
      <c r="S203" s="6" t="s">
        <v>963</v>
      </c>
      <c r="T203" s="6"/>
      <c r="U203" s="6"/>
      <c r="V203" s="6"/>
      <c r="W203" s="6"/>
      <c r="X203" s="6"/>
      <c r="Y203" s="6"/>
      <c r="Z203" s="6"/>
      <c r="AA203" s="6"/>
      <c r="AB203" s="6"/>
      <c r="AC203" s="6"/>
      <c r="AD203" t="s">
        <v>19</v>
      </c>
      <c r="AE203" t="s">
        <v>19</v>
      </c>
      <c r="AG203">
        <v>1</v>
      </c>
    </row>
    <row r="204" spans="1:33">
      <c r="A204" t="s">
        <v>282</v>
      </c>
      <c r="B204" s="3" t="s">
        <v>761</v>
      </c>
      <c r="C204" s="3" t="s">
        <v>760</v>
      </c>
      <c r="G204" s="6" t="s">
        <v>849</v>
      </c>
      <c r="H204" s="6"/>
      <c r="I204" s="6"/>
      <c r="J204" s="6"/>
      <c r="K204" s="6"/>
      <c r="L204" s="6"/>
      <c r="M204" s="6"/>
      <c r="N204" s="7"/>
      <c r="O204" s="6"/>
      <c r="P204" s="6"/>
      <c r="Q204" s="6">
        <v>-3</v>
      </c>
      <c r="R204" s="6">
        <v>5</v>
      </c>
      <c r="S204" s="6">
        <v>2</v>
      </c>
      <c r="T204" s="6"/>
      <c r="U204" s="6"/>
      <c r="V204" s="6"/>
      <c r="W204" s="6"/>
      <c r="X204" s="6"/>
      <c r="Y204" s="6"/>
      <c r="Z204" s="6"/>
      <c r="AA204" s="6"/>
      <c r="AB204" s="6"/>
      <c r="AC204" s="6"/>
      <c r="AD204" t="s">
        <v>19</v>
      </c>
      <c r="AE204" t="s">
        <v>19</v>
      </c>
      <c r="AG204">
        <v>1</v>
      </c>
    </row>
    <row r="205" spans="1:33">
      <c r="A205" t="s">
        <v>282</v>
      </c>
      <c r="B205" s="3" t="s">
        <v>40</v>
      </c>
      <c r="C205" s="3" t="s">
        <v>39</v>
      </c>
      <c r="G205" s="6" t="s">
        <v>851</v>
      </c>
      <c r="H205" s="6"/>
      <c r="I205" s="6"/>
      <c r="J205" s="6"/>
      <c r="K205" s="6"/>
      <c r="L205" s="6"/>
      <c r="M205" s="6"/>
      <c r="N205" s="7"/>
      <c r="O205" s="6"/>
      <c r="P205" s="6"/>
      <c r="Q205" s="6"/>
      <c r="R205" s="6" t="s">
        <v>963</v>
      </c>
      <c r="S205" s="6" t="s">
        <v>963</v>
      </c>
      <c r="T205" s="6"/>
      <c r="U205" s="6"/>
      <c r="V205" s="6"/>
      <c r="W205" s="6"/>
      <c r="X205" s="6"/>
      <c r="Y205" s="6"/>
      <c r="Z205" s="6"/>
      <c r="AA205" s="6"/>
      <c r="AB205" s="6"/>
      <c r="AC205" s="6"/>
      <c r="AD205" t="s">
        <v>19</v>
      </c>
      <c r="AE205" t="s">
        <v>19</v>
      </c>
      <c r="AG205">
        <v>1</v>
      </c>
    </row>
    <row r="206" spans="1:33" ht="29">
      <c r="A206" t="s">
        <v>283</v>
      </c>
      <c r="B206" s="3" t="s">
        <v>762</v>
      </c>
      <c r="C206" s="3" t="s">
        <v>763</v>
      </c>
      <c r="G206" s="6" t="s">
        <v>24</v>
      </c>
      <c r="H206" s="6"/>
      <c r="I206" s="6">
        <v>1</v>
      </c>
      <c r="J206" s="6">
        <v>1</v>
      </c>
      <c r="K206" s="6" t="s">
        <v>808</v>
      </c>
      <c r="L206" s="6" t="s">
        <v>850</v>
      </c>
      <c r="M206" s="6"/>
      <c r="N206" s="7"/>
      <c r="O206" s="6"/>
      <c r="P206" s="6">
        <v>2475</v>
      </c>
      <c r="Q206" s="6"/>
      <c r="R206" s="6" t="s">
        <v>963</v>
      </c>
      <c r="S206" s="6" t="s">
        <v>963</v>
      </c>
      <c r="T206" s="6"/>
      <c r="U206" s="6"/>
      <c r="V206" s="6"/>
      <c r="W206" s="6"/>
      <c r="X206" s="6"/>
      <c r="Y206" s="6"/>
      <c r="Z206" s="6"/>
      <c r="AA206" s="6"/>
      <c r="AB206" s="6"/>
      <c r="AC206" s="6"/>
      <c r="AD206" t="s">
        <v>19</v>
      </c>
      <c r="AE206" t="s">
        <v>19</v>
      </c>
      <c r="AG206">
        <v>1</v>
      </c>
    </row>
    <row r="207" spans="1:33" ht="29">
      <c r="A207" t="s">
        <v>283</v>
      </c>
      <c r="B207" s="3" t="s">
        <v>765</v>
      </c>
      <c r="C207" s="3" t="s">
        <v>764</v>
      </c>
      <c r="G207" s="6" t="s">
        <v>849</v>
      </c>
      <c r="H207" s="6"/>
      <c r="I207" s="6"/>
      <c r="J207" s="6"/>
      <c r="K207" s="6"/>
      <c r="L207" s="6"/>
      <c r="M207" s="6"/>
      <c r="N207" s="7"/>
      <c r="O207" s="6"/>
      <c r="P207" s="6"/>
      <c r="Q207" s="6">
        <v>-118</v>
      </c>
      <c r="R207" s="6">
        <v>250</v>
      </c>
      <c r="S207" s="6">
        <v>132</v>
      </c>
      <c r="T207" s="6"/>
      <c r="U207" s="6"/>
      <c r="V207" s="6"/>
      <c r="W207" s="6"/>
      <c r="X207" s="6"/>
      <c r="Y207" s="6"/>
      <c r="Z207" s="6"/>
      <c r="AA207" s="6"/>
      <c r="AB207" s="6"/>
      <c r="AC207" s="6"/>
      <c r="AD207" t="s">
        <v>19</v>
      </c>
      <c r="AE207" t="s">
        <v>19</v>
      </c>
      <c r="AG207">
        <v>1</v>
      </c>
    </row>
    <row r="208" spans="1:33">
      <c r="A208" t="s">
        <v>284</v>
      </c>
      <c r="B208" s="3" t="s">
        <v>766</v>
      </c>
      <c r="C208" s="3" t="s">
        <v>767</v>
      </c>
      <c r="G208" s="6" t="s">
        <v>24</v>
      </c>
      <c r="H208" s="6"/>
      <c r="I208" s="6">
        <v>1</v>
      </c>
      <c r="J208" s="6">
        <v>2</v>
      </c>
      <c r="K208" s="6" t="s">
        <v>818</v>
      </c>
      <c r="L208" s="6" t="s">
        <v>850</v>
      </c>
      <c r="M208" s="6"/>
      <c r="N208" s="7"/>
      <c r="O208" s="6"/>
      <c r="P208" s="6">
        <v>171</v>
      </c>
      <c r="Q208" s="6"/>
      <c r="R208" s="6" t="s">
        <v>963</v>
      </c>
      <c r="S208" s="6" t="s">
        <v>963</v>
      </c>
      <c r="T208" s="6"/>
      <c r="U208" s="6"/>
      <c r="V208" s="6"/>
      <c r="W208" s="6"/>
      <c r="X208" s="6"/>
      <c r="Y208" s="6"/>
      <c r="Z208" s="6"/>
      <c r="AA208" s="6"/>
      <c r="AB208" s="6"/>
      <c r="AC208" s="6"/>
      <c r="AD208" t="s">
        <v>19</v>
      </c>
      <c r="AE208" t="s">
        <v>19</v>
      </c>
      <c r="AG208">
        <v>1</v>
      </c>
    </row>
    <row r="209" spans="1:33">
      <c r="A209" t="s">
        <v>287</v>
      </c>
      <c r="B209" s="3" t="s">
        <v>769</v>
      </c>
      <c r="C209" s="3" t="s">
        <v>768</v>
      </c>
      <c r="G209" s="6" t="s">
        <v>24</v>
      </c>
      <c r="H209" s="6"/>
      <c r="I209" s="6">
        <v>1</v>
      </c>
      <c r="J209" s="6">
        <v>3</v>
      </c>
      <c r="K209" s="6" t="s">
        <v>818</v>
      </c>
      <c r="L209" s="6" t="s">
        <v>809</v>
      </c>
      <c r="M209" s="6"/>
      <c r="N209" s="7"/>
      <c r="O209" s="6"/>
      <c r="P209" s="6">
        <v>1701</v>
      </c>
      <c r="Q209" s="6"/>
      <c r="R209" s="6" t="s">
        <v>963</v>
      </c>
      <c r="S209" s="6" t="s">
        <v>963</v>
      </c>
      <c r="T209" s="6"/>
      <c r="U209" s="6"/>
      <c r="V209" s="6"/>
      <c r="W209" s="6"/>
      <c r="X209" s="6"/>
      <c r="Y209" s="6"/>
      <c r="Z209" s="6"/>
      <c r="AA209" s="6"/>
      <c r="AB209" s="6"/>
      <c r="AC209" s="6"/>
      <c r="AD209" t="s">
        <v>20</v>
      </c>
      <c r="AE209" t="s">
        <v>19</v>
      </c>
      <c r="AG209">
        <v>0</v>
      </c>
    </row>
    <row r="210" spans="1:33">
      <c r="A210" t="s">
        <v>290</v>
      </c>
      <c r="B210" s="3" t="s">
        <v>771</v>
      </c>
      <c r="C210" s="3" t="s">
        <v>770</v>
      </c>
      <c r="G210" s="6" t="s">
        <v>26</v>
      </c>
      <c r="H210" s="6"/>
      <c r="I210" s="6"/>
      <c r="J210" s="6"/>
      <c r="K210" s="6"/>
      <c r="L210" s="6"/>
      <c r="M210" s="6"/>
      <c r="N210" s="7"/>
      <c r="O210" s="6"/>
      <c r="P210" s="6"/>
      <c r="Q210" s="6"/>
      <c r="R210" s="6" t="s">
        <v>963</v>
      </c>
      <c r="S210" s="6" t="s">
        <v>963</v>
      </c>
      <c r="T210" s="6"/>
      <c r="U210" s="6"/>
      <c r="V210" s="6"/>
      <c r="W210" s="6"/>
      <c r="X210" s="6"/>
      <c r="Y210" s="6"/>
      <c r="Z210" s="6"/>
      <c r="AA210" s="6"/>
      <c r="AB210" s="6"/>
      <c r="AC210" s="6"/>
      <c r="AD210" t="s">
        <v>19</v>
      </c>
      <c r="AE210" t="s">
        <v>19</v>
      </c>
      <c r="AG210">
        <v>1</v>
      </c>
    </row>
    <row r="211" spans="1:33" ht="29">
      <c r="A211" t="s">
        <v>291</v>
      </c>
      <c r="B211" s="3" t="s">
        <v>772</v>
      </c>
      <c r="C211" s="3" t="s">
        <v>773</v>
      </c>
      <c r="D211" t="s">
        <v>28</v>
      </c>
      <c r="F211" t="s">
        <v>19</v>
      </c>
      <c r="G211" s="6" t="s">
        <v>849</v>
      </c>
      <c r="H211" s="6"/>
      <c r="I211" s="6"/>
      <c r="J211" s="6"/>
      <c r="K211" s="6"/>
      <c r="L211" s="6"/>
      <c r="M211" s="6"/>
      <c r="N211" s="7"/>
      <c r="O211" s="6"/>
      <c r="P211" s="6"/>
      <c r="Q211" s="6">
        <v>1645</v>
      </c>
      <c r="R211" s="6">
        <v>830</v>
      </c>
      <c r="S211" s="6">
        <v>2475</v>
      </c>
      <c r="T211" s="6"/>
      <c r="U211" s="6"/>
      <c r="V211" s="6"/>
      <c r="W211" s="6"/>
      <c r="X211" s="6"/>
      <c r="Y211" s="6"/>
      <c r="Z211" s="6"/>
      <c r="AA211" s="6"/>
      <c r="AB211" s="6"/>
      <c r="AC211" s="6"/>
      <c r="AD211" t="s">
        <v>20</v>
      </c>
      <c r="AE211" t="s">
        <v>20</v>
      </c>
      <c r="AG211">
        <v>0</v>
      </c>
    </row>
    <row r="212" spans="1:33">
      <c r="A212" t="s">
        <v>291</v>
      </c>
      <c r="B212" s="3" t="s">
        <v>774</v>
      </c>
      <c r="C212" s="3" t="s">
        <v>775</v>
      </c>
      <c r="G212" s="6" t="s">
        <v>25</v>
      </c>
      <c r="H212" s="6"/>
      <c r="I212" s="6">
        <v>1</v>
      </c>
      <c r="J212" s="6">
        <v>3</v>
      </c>
      <c r="K212" s="6" t="s">
        <v>808</v>
      </c>
      <c r="L212" s="6" t="s">
        <v>809</v>
      </c>
      <c r="M212" s="6"/>
      <c r="N212" s="7"/>
      <c r="O212" s="6"/>
      <c r="P212" s="6">
        <v>2475</v>
      </c>
      <c r="Q212" s="6"/>
      <c r="R212" s="6" t="s">
        <v>963</v>
      </c>
      <c r="S212" s="6" t="s">
        <v>963</v>
      </c>
      <c r="T212" s="6"/>
      <c r="U212" s="6"/>
      <c r="V212" s="6"/>
      <c r="W212" s="6"/>
      <c r="X212" s="6"/>
      <c r="Y212" s="6"/>
      <c r="Z212" s="6"/>
      <c r="AA212" s="6"/>
      <c r="AB212" s="6"/>
      <c r="AC212" s="6"/>
      <c r="AD212" t="s">
        <v>19</v>
      </c>
      <c r="AE212" t="s">
        <v>19</v>
      </c>
      <c r="AG212">
        <v>1</v>
      </c>
    </row>
    <row r="213" spans="1:33" ht="29">
      <c r="A213" t="s">
        <v>294</v>
      </c>
      <c r="B213" s="3" t="s">
        <v>777</v>
      </c>
      <c r="C213" s="3" t="s">
        <v>776</v>
      </c>
      <c r="G213" s="6" t="s">
        <v>26</v>
      </c>
      <c r="H213" s="6"/>
      <c r="I213" s="6"/>
      <c r="J213" s="6"/>
      <c r="K213" s="6"/>
      <c r="L213" s="6"/>
      <c r="M213" s="6"/>
      <c r="N213" s="7"/>
      <c r="O213" s="6"/>
      <c r="P213" s="6"/>
      <c r="Q213" s="6"/>
      <c r="R213" s="6" t="s">
        <v>963</v>
      </c>
      <c r="S213" s="6" t="s">
        <v>963</v>
      </c>
      <c r="T213" s="6"/>
      <c r="U213" s="6"/>
      <c r="V213" s="6"/>
      <c r="W213" s="6"/>
      <c r="X213" s="6"/>
      <c r="Y213" s="6"/>
      <c r="Z213" s="6"/>
      <c r="AA213" s="6"/>
      <c r="AB213" s="6"/>
      <c r="AC213" s="6"/>
      <c r="AD213" t="s">
        <v>19</v>
      </c>
      <c r="AE213" t="s">
        <v>19</v>
      </c>
      <c r="AG213">
        <v>1</v>
      </c>
    </row>
    <row r="214" spans="1:33" ht="43.5">
      <c r="A214" t="s">
        <v>298</v>
      </c>
      <c r="B214" s="3" t="s">
        <v>778</v>
      </c>
      <c r="C214" s="3" t="s">
        <v>779</v>
      </c>
      <c r="G214" s="6" t="s">
        <v>851</v>
      </c>
      <c r="H214" s="6"/>
      <c r="I214" s="6"/>
      <c r="J214" s="6"/>
      <c r="K214" s="6"/>
      <c r="L214" s="6"/>
      <c r="M214" s="6"/>
      <c r="N214" s="7"/>
      <c r="O214" s="6"/>
      <c r="P214" s="6"/>
      <c r="Q214" s="6"/>
      <c r="R214" s="6" t="s">
        <v>963</v>
      </c>
      <c r="S214" s="6" t="s">
        <v>963</v>
      </c>
      <c r="T214" s="6"/>
      <c r="U214" s="6"/>
      <c r="V214" s="6"/>
      <c r="W214" s="6"/>
      <c r="X214" s="6"/>
      <c r="Y214" s="6"/>
      <c r="Z214" s="6"/>
      <c r="AA214" s="6"/>
      <c r="AB214" s="6"/>
      <c r="AC214" s="6"/>
      <c r="AD214" t="s">
        <v>19</v>
      </c>
      <c r="AE214" t="s">
        <v>19</v>
      </c>
      <c r="AG214">
        <v>1</v>
      </c>
    </row>
    <row r="215" spans="1:33" ht="43.5">
      <c r="A215" t="s">
        <v>298</v>
      </c>
      <c r="B215" s="3" t="s">
        <v>781</v>
      </c>
      <c r="C215" s="3" t="s">
        <v>780</v>
      </c>
      <c r="G215" s="6" t="s">
        <v>26</v>
      </c>
      <c r="H215" s="6"/>
      <c r="I215" s="6"/>
      <c r="J215" s="6"/>
      <c r="K215" s="6"/>
      <c r="L215" s="6"/>
      <c r="M215" s="6"/>
      <c r="N215" s="7"/>
      <c r="O215" s="6"/>
      <c r="P215" s="6"/>
      <c r="Q215" s="6"/>
      <c r="R215" s="6" t="s">
        <v>963</v>
      </c>
      <c r="S215" s="6" t="s">
        <v>963</v>
      </c>
      <c r="T215" s="6"/>
      <c r="U215" s="6"/>
      <c r="V215" s="6"/>
      <c r="W215" s="6"/>
      <c r="X215" s="6"/>
      <c r="Y215" s="6"/>
      <c r="Z215" s="6"/>
      <c r="AA215" s="6"/>
      <c r="AB215" s="6"/>
      <c r="AC215" s="6"/>
      <c r="AD215" t="s">
        <v>19</v>
      </c>
      <c r="AE215" t="s">
        <v>19</v>
      </c>
      <c r="AG215">
        <v>1</v>
      </c>
    </row>
    <row r="216" spans="1:33">
      <c r="A216" t="s">
        <v>303</v>
      </c>
      <c r="B216" s="3" t="s">
        <v>783</v>
      </c>
      <c r="C216" s="3" t="s">
        <v>782</v>
      </c>
      <c r="G216" s="6" t="s">
        <v>25</v>
      </c>
      <c r="H216" s="6"/>
      <c r="I216" s="6">
        <v>1</v>
      </c>
      <c r="J216" s="6">
        <v>3</v>
      </c>
      <c r="K216" s="6" t="s">
        <v>825</v>
      </c>
      <c r="L216" s="6" t="s">
        <v>809</v>
      </c>
      <c r="M216" s="6"/>
      <c r="N216" s="7"/>
      <c r="O216" s="6"/>
      <c r="P216" s="6">
        <v>743</v>
      </c>
      <c r="Q216" s="6"/>
      <c r="R216" s="6" t="s">
        <v>963</v>
      </c>
      <c r="S216" s="6" t="s">
        <v>963</v>
      </c>
      <c r="T216" s="6"/>
      <c r="U216" s="6"/>
      <c r="V216" s="6"/>
      <c r="W216" s="6"/>
      <c r="X216" s="6"/>
      <c r="Y216" s="6"/>
      <c r="Z216" s="6"/>
      <c r="AA216" s="6"/>
      <c r="AB216" s="6"/>
      <c r="AC216" s="6"/>
      <c r="AD216" t="s">
        <v>19</v>
      </c>
      <c r="AE216" t="s">
        <v>19</v>
      </c>
      <c r="AG216">
        <v>1</v>
      </c>
    </row>
    <row r="217" spans="1:33">
      <c r="A217" t="s">
        <v>304</v>
      </c>
      <c r="B217" s="3" t="s">
        <v>784</v>
      </c>
      <c r="C217" s="3" t="s">
        <v>785</v>
      </c>
      <c r="G217" s="6" t="s">
        <v>849</v>
      </c>
      <c r="H217" s="6"/>
      <c r="I217" s="6"/>
      <c r="J217" s="6"/>
      <c r="K217" s="6"/>
      <c r="L217" s="6"/>
      <c r="M217" s="6"/>
      <c r="N217" s="7"/>
      <c r="O217" s="6"/>
      <c r="P217" s="6"/>
      <c r="Q217" s="6">
        <v>-2400</v>
      </c>
      <c r="R217" s="6">
        <v>2475</v>
      </c>
      <c r="S217" s="6">
        <v>75</v>
      </c>
      <c r="T217" s="6"/>
      <c r="U217" s="6"/>
      <c r="V217" s="6"/>
      <c r="W217" s="6"/>
      <c r="X217" s="6"/>
      <c r="Y217" s="6"/>
      <c r="Z217" s="6"/>
      <c r="AA217" s="6"/>
      <c r="AB217" s="6"/>
      <c r="AC217" s="6"/>
      <c r="AD217" t="s">
        <v>19</v>
      </c>
      <c r="AE217" t="s">
        <v>20</v>
      </c>
      <c r="AG217">
        <v>1</v>
      </c>
    </row>
    <row r="218" spans="1:33" ht="29">
      <c r="A218" t="s">
        <v>305</v>
      </c>
      <c r="B218" s="3" t="s">
        <v>787</v>
      </c>
      <c r="C218" s="3" t="s">
        <v>786</v>
      </c>
      <c r="G218" s="6" t="s">
        <v>26</v>
      </c>
      <c r="H218" s="6"/>
      <c r="I218" s="6"/>
      <c r="J218" s="6"/>
      <c r="K218" s="6"/>
      <c r="L218" s="6"/>
      <c r="M218" s="6"/>
      <c r="N218" s="7"/>
      <c r="O218" s="6"/>
      <c r="P218" s="6"/>
      <c r="Q218" s="6"/>
      <c r="R218" s="6" t="s">
        <v>963</v>
      </c>
      <c r="S218" s="6" t="s">
        <v>963</v>
      </c>
      <c r="T218" s="6"/>
      <c r="U218" s="6"/>
      <c r="V218" s="6"/>
      <c r="W218" s="6"/>
      <c r="X218" s="6"/>
      <c r="Y218" s="6"/>
      <c r="Z218" s="6"/>
      <c r="AA218" s="6"/>
      <c r="AB218" s="6"/>
      <c r="AC218" s="6"/>
      <c r="AD218" t="s">
        <v>19</v>
      </c>
      <c r="AE218" t="s">
        <v>19</v>
      </c>
      <c r="AG218">
        <v>1</v>
      </c>
    </row>
    <row r="219" spans="1:33">
      <c r="A219" t="s">
        <v>306</v>
      </c>
      <c r="B219" s="3" t="s">
        <v>788</v>
      </c>
      <c r="C219" s="3" t="s">
        <v>789</v>
      </c>
      <c r="G219" s="6" t="s">
        <v>25</v>
      </c>
      <c r="H219" s="6"/>
      <c r="I219" s="6">
        <v>1</v>
      </c>
      <c r="J219" s="6">
        <v>5</v>
      </c>
      <c r="K219" s="6" t="s">
        <v>825</v>
      </c>
      <c r="L219" s="6" t="s">
        <v>809</v>
      </c>
      <c r="M219" s="6"/>
      <c r="N219" s="7"/>
      <c r="O219" s="6"/>
      <c r="P219" s="6">
        <v>830</v>
      </c>
      <c r="Q219" s="6"/>
      <c r="R219" s="6" t="s">
        <v>963</v>
      </c>
      <c r="S219" s="6" t="s">
        <v>963</v>
      </c>
      <c r="T219" s="6"/>
      <c r="U219" s="6"/>
      <c r="V219" s="6"/>
      <c r="W219" s="6"/>
      <c r="X219" s="6"/>
      <c r="Y219" s="6"/>
      <c r="Z219" s="6"/>
      <c r="AA219" s="6"/>
      <c r="AB219" s="6"/>
      <c r="AC219" s="6"/>
      <c r="AD219" t="s">
        <v>19</v>
      </c>
      <c r="AE219" t="s">
        <v>19</v>
      </c>
      <c r="AG219">
        <v>1</v>
      </c>
    </row>
    <row r="220" spans="1:33" ht="29">
      <c r="A220" t="s">
        <v>306</v>
      </c>
      <c r="B220" s="3" t="s">
        <v>791</v>
      </c>
      <c r="C220" s="3" t="s">
        <v>790</v>
      </c>
      <c r="G220" s="6" t="s">
        <v>25</v>
      </c>
      <c r="H220" s="6"/>
      <c r="I220" s="6">
        <v>1</v>
      </c>
      <c r="J220" s="6">
        <v>5</v>
      </c>
      <c r="K220" s="6" t="s">
        <v>860</v>
      </c>
      <c r="L220" s="6" t="s">
        <v>809</v>
      </c>
      <c r="M220" s="6"/>
      <c r="N220" s="7"/>
      <c r="O220" s="6"/>
      <c r="P220" s="6">
        <v>295</v>
      </c>
      <c r="Q220" s="6"/>
      <c r="R220" s="6" t="s">
        <v>963</v>
      </c>
      <c r="S220" s="6" t="s">
        <v>963</v>
      </c>
      <c r="T220" s="6"/>
      <c r="U220" s="6"/>
      <c r="V220" s="6"/>
      <c r="W220" s="6"/>
      <c r="X220" s="6"/>
      <c r="Y220" s="6"/>
      <c r="Z220" s="6"/>
      <c r="AA220" s="6"/>
      <c r="AB220" s="6"/>
      <c r="AC220" s="6"/>
      <c r="AD220" t="s">
        <v>19</v>
      </c>
      <c r="AE220" t="s">
        <v>19</v>
      </c>
      <c r="AG220">
        <v>1</v>
      </c>
    </row>
    <row r="221" spans="1:33" ht="29">
      <c r="A221" t="s">
        <v>306</v>
      </c>
      <c r="B221" s="3" t="s">
        <v>792</v>
      </c>
      <c r="C221" s="3" t="s">
        <v>790</v>
      </c>
      <c r="G221" s="6" t="s">
        <v>25</v>
      </c>
      <c r="H221" s="6"/>
      <c r="I221" s="6">
        <v>1</v>
      </c>
      <c r="J221" s="6">
        <v>3</v>
      </c>
      <c r="K221" s="6" t="s">
        <v>825</v>
      </c>
      <c r="L221" s="6" t="s">
        <v>809</v>
      </c>
      <c r="M221" s="6"/>
      <c r="N221" s="7"/>
      <c r="O221" s="6"/>
      <c r="P221" s="6">
        <v>312</v>
      </c>
      <c r="Q221" s="6"/>
      <c r="R221" s="6" t="s">
        <v>963</v>
      </c>
      <c r="S221" s="6" t="s">
        <v>963</v>
      </c>
      <c r="T221" s="6"/>
      <c r="U221" s="6"/>
      <c r="V221" s="6"/>
      <c r="W221" s="6"/>
      <c r="X221" s="6"/>
      <c r="Y221" s="6"/>
      <c r="Z221" s="6"/>
      <c r="AA221" s="6"/>
      <c r="AB221" s="6"/>
      <c r="AC221" s="6"/>
      <c r="AD221" t="s">
        <v>19</v>
      </c>
      <c r="AE221" t="s">
        <v>19</v>
      </c>
      <c r="AG221">
        <v>1</v>
      </c>
    </row>
    <row r="222" spans="1:33">
      <c r="A222" t="s">
        <v>311</v>
      </c>
      <c r="B222" s="3" t="s">
        <v>794</v>
      </c>
      <c r="C222" s="3" t="s">
        <v>793</v>
      </c>
      <c r="G222" s="6" t="s">
        <v>24</v>
      </c>
      <c r="H222" s="6"/>
      <c r="I222" s="6">
        <v>1</v>
      </c>
      <c r="J222" s="6">
        <v>3</v>
      </c>
      <c r="K222" s="6" t="s">
        <v>808</v>
      </c>
      <c r="L222" s="6" t="s">
        <v>809</v>
      </c>
      <c r="M222" s="6"/>
      <c r="N222" s="7"/>
      <c r="O222" s="6"/>
      <c r="P222" s="6">
        <v>2475</v>
      </c>
      <c r="Q222" s="6"/>
      <c r="R222" s="6" t="s">
        <v>963</v>
      </c>
      <c r="S222" s="6" t="s">
        <v>963</v>
      </c>
      <c r="T222" s="6"/>
      <c r="U222" s="6"/>
      <c r="V222" s="6"/>
      <c r="W222" s="6"/>
      <c r="X222" s="6"/>
      <c r="Y222" s="6"/>
      <c r="Z222" s="6"/>
      <c r="AA222" s="6"/>
      <c r="AB222" s="6"/>
      <c r="AC222" s="6"/>
      <c r="AD222" t="s">
        <v>19</v>
      </c>
      <c r="AE222" t="s">
        <v>19</v>
      </c>
      <c r="AG222">
        <v>1</v>
      </c>
    </row>
    <row r="223" spans="1:33">
      <c r="R223" s="6"/>
      <c r="S223" s="6"/>
    </row>
    <row r="224" spans="1:33">
      <c r="R224" s="6"/>
      <c r="S224" s="6"/>
    </row>
    <row r="225" spans="6:19">
      <c r="R225" s="6"/>
      <c r="S225" s="6"/>
    </row>
    <row r="226" spans="6:19">
      <c r="F226">
        <f>COUNTIF(F2:F222,"Yes")</f>
        <v>14</v>
      </c>
      <c r="R226" s="6"/>
      <c r="S226" s="6"/>
    </row>
    <row r="227" spans="6:19">
      <c r="R227" s="6"/>
      <c r="S227" s="6"/>
    </row>
    <row r="228" spans="6:19">
      <c r="R228" s="6"/>
      <c r="S228" s="6"/>
    </row>
    <row r="229" spans="6:19">
      <c r="R229" s="6"/>
      <c r="S229" s="6"/>
    </row>
    <row r="230" spans="6:19">
      <c r="R230" s="6"/>
      <c r="S230" s="6"/>
    </row>
    <row r="231" spans="6:19">
      <c r="R231" s="6"/>
      <c r="S231" s="6"/>
    </row>
    <row r="232" spans="6:19">
      <c r="R232" s="6"/>
      <c r="S232" s="6"/>
    </row>
    <row r="233" spans="6:19">
      <c r="R233" s="6"/>
      <c r="S233" s="6"/>
    </row>
    <row r="234" spans="6:19">
      <c r="R234" s="6"/>
      <c r="S234" s="6"/>
    </row>
    <row r="235" spans="6:19">
      <c r="R235" s="6"/>
      <c r="S235" s="6"/>
    </row>
    <row r="236" spans="6:19">
      <c r="R236" s="6"/>
      <c r="S236" s="6"/>
    </row>
    <row r="237" spans="6:19">
      <c r="R237" s="6"/>
      <c r="S237" s="6"/>
    </row>
    <row r="238" spans="6:19">
      <c r="R238" s="6"/>
      <c r="S238" s="6"/>
    </row>
    <row r="239" spans="6:19">
      <c r="R239" s="6"/>
      <c r="S239" s="6"/>
    </row>
    <row r="240" spans="6:19">
      <c r="R240" s="6"/>
      <c r="S240" s="6"/>
    </row>
    <row r="241" spans="18:19">
      <c r="R241" s="6"/>
      <c r="S241" s="6"/>
    </row>
    <row r="242" spans="18:19">
      <c r="R242" s="6"/>
      <c r="S242" s="6"/>
    </row>
    <row r="243" spans="18:19">
      <c r="R243" s="6"/>
      <c r="S243" s="6"/>
    </row>
    <row r="244" spans="18:19">
      <c r="R244" s="6"/>
      <c r="S244" s="6"/>
    </row>
    <row r="245" spans="18:19">
      <c r="R245" s="6"/>
      <c r="S245" s="6"/>
    </row>
    <row r="246" spans="18:19">
      <c r="R246" s="6"/>
      <c r="S246" s="6"/>
    </row>
    <row r="247" spans="18:19">
      <c r="R247" s="6"/>
      <c r="S247" s="6"/>
    </row>
    <row r="248" spans="18:19">
      <c r="R248" s="6"/>
      <c r="S248" s="6"/>
    </row>
    <row r="249" spans="18:19">
      <c r="R249" s="6"/>
      <c r="S249" s="6"/>
    </row>
  </sheetData>
  <autoFilter ref="A1:AG1" xr:uid="{F4DCCB5C-ECB3-4E5F-AD9B-6D1F25C6C7EC}"/>
  <conditionalFormatting sqref="G2:G222">
    <cfRule type="expression" dxfId="311" priority="9">
      <formula>$I2&lt;&gt;""</formula>
    </cfRule>
    <cfRule type="expression" dxfId="310" priority="10">
      <formula>$I2=""</formula>
    </cfRule>
  </conditionalFormatting>
  <conditionalFormatting sqref="H2:L222 O2:P222">
    <cfRule type="expression" dxfId="309" priority="21">
      <formula>AND(OR($I2="Addition",$I2="Omission"), H2="")</formula>
    </cfRule>
    <cfRule type="expression" dxfId="308" priority="22">
      <formula>AND($I2&lt;&gt;"Addition",$I2&lt;&gt;"Omission",$I2&lt;&gt;"Substitution - Word")</formula>
    </cfRule>
  </conditionalFormatting>
  <conditionalFormatting sqref="H2:P222">
    <cfRule type="expression" dxfId="307" priority="20">
      <formula>AND(OR($I2="Addition",$I2="Omission"), H2&lt;&gt;"")</formula>
    </cfRule>
  </conditionalFormatting>
  <conditionalFormatting sqref="K2:K222">
    <cfRule type="expression" dxfId="306" priority="18">
      <formula>AND($K2&lt;&gt;"",$K2&gt;1)</formula>
    </cfRule>
  </conditionalFormatting>
  <conditionalFormatting sqref="M2:N222">
    <cfRule type="expression" dxfId="305" priority="14">
      <formula>$N2="Absent"</formula>
    </cfRule>
    <cfRule type="expression" dxfId="304" priority="15">
      <formula>$N2="NA"</formula>
    </cfRule>
    <cfRule type="expression" dxfId="303" priority="16">
      <formula>AND(OR($I2="Addition",$I2="Omission"), M2="")</formula>
    </cfRule>
    <cfRule type="expression" dxfId="302" priority="17">
      <formula>AND($I2&lt;&gt;"Addition",$I2&lt;&gt;"Omission")</formula>
    </cfRule>
  </conditionalFormatting>
  <conditionalFormatting sqref="O2:O222">
    <cfRule type="expression" dxfId="301" priority="19">
      <formula>OR($I2="Addition",$I2="Omission",$I2 = "Substitution - Word")</formula>
    </cfRule>
  </conditionalFormatting>
  <conditionalFormatting sqref="Q2:Q160 R2:S249 Q162:Q222">
    <cfRule type="expression" dxfId="300" priority="29">
      <formula>AND(AND(LEFT($I2,3)="Sub", RIGHT($I2,4)&lt;&gt;"Form"),$S2="")</formula>
    </cfRule>
    <cfRule type="expression" dxfId="299" priority="30">
      <formula>"&lt;&gt;AND(LEFT($J2,3)=""Sub"", RIGHT($J2,4)&lt;&gt;""Form"")"</formula>
    </cfRule>
  </conditionalFormatting>
  <conditionalFormatting sqref="Q161">
    <cfRule type="expression" dxfId="298" priority="4">
      <formula>AND(AND(LEFT($I161,3)="Sub", RIGHT($I161,4)&lt;&gt;"Form"),$U161&lt;&gt;"")</formula>
    </cfRule>
    <cfRule type="expression" dxfId="297" priority="5">
      <formula>AND(AND(LEFT($I161,3)="Sub", RIGHT($I161,4)&lt;&gt;"Form"),$U161="")</formula>
    </cfRule>
    <cfRule type="expression" dxfId="296" priority="6">
      <formula>"&lt;&gt;AND(LEFT($J2,3)=""Sub"", RIGHT($J2,4)&lt;&gt;""Form"")"</formula>
    </cfRule>
  </conditionalFormatting>
  <conditionalFormatting sqref="R2:S249 Q2:Q160 Q162:Q222">
    <cfRule type="expression" dxfId="295" priority="28">
      <formula>AND(AND(LEFT($I2,3)="Sub", RIGHT($I2,4)&lt;&gt;"Form"),$S2&lt;&gt;"")</formula>
    </cfRule>
  </conditionalFormatting>
  <conditionalFormatting sqref="R161:S161">
    <cfRule type="expression" dxfId="294" priority="1">
      <formula>AND(AND(LEFT($I161,3)="Sub", RIGHT($I161,4)&lt;&gt;"Form"),$S161&lt;&gt;"")</formula>
    </cfRule>
    <cfRule type="expression" dxfId="293" priority="2">
      <formula>AND(AND(LEFT($I161,3)="Sub", RIGHT($I161,4)&lt;&gt;"Form"),$S161="")</formula>
    </cfRule>
    <cfRule type="expression" dxfId="292" priority="3">
      <formula>"&lt;&gt;AND(LEFT($J2,3)=""Sub"", RIGHT($J2,4)&lt;&gt;""Form"")"</formula>
    </cfRule>
  </conditionalFormatting>
  <conditionalFormatting sqref="T2:T222">
    <cfRule type="expression" dxfId="291" priority="12">
      <formula>AND($V2&lt;&gt;"",OR($AC2="Yes",$AD2&lt;&gt;""))</formula>
    </cfRule>
    <cfRule type="expression" dxfId="290" priority="13">
      <formula>OR($AC2="Yes",$AD2&lt;&gt;"")</formula>
    </cfRule>
    <cfRule type="expression" dxfId="289" priority="25">
      <formula>AND($AC2&lt;&gt;"Yes",$AD2="")</formula>
    </cfRule>
  </conditionalFormatting>
  <conditionalFormatting sqref="T2:AC160 T161:U161 T162:AC222">
    <cfRule type="expression" dxfId="288" priority="23">
      <formula>AND($I2&lt;&gt;"",$I2&lt;&gt;"Unclear due to correction")</formula>
    </cfRule>
    <cfRule type="expression" dxfId="287" priority="24">
      <formula>OR($I2="",$I2="Unclear due to correction")</formula>
    </cfRule>
  </conditionalFormatting>
  <conditionalFormatting sqref="U2:U222">
    <cfRule type="expression" dxfId="286" priority="11">
      <formula>AND($I2&lt;&gt;"",$I2&lt;&gt;"Unclear due to correction",$W2="")</formula>
    </cfRule>
  </conditionalFormatting>
  <conditionalFormatting sqref="V2:V222">
    <cfRule type="expression" dxfId="285" priority="26">
      <formula>AND($W2="Yes",$X2="")</formula>
    </cfRule>
    <cfRule type="expression" dxfId="284" priority="27">
      <formula>$W2=""</formula>
    </cfRule>
  </conditionalFormatting>
  <conditionalFormatting sqref="V161:AC161">
    <cfRule type="expression" dxfId="283" priority="7">
      <formula>AND($I161&lt;&gt;"",$I161&lt;&gt;"Unclear due to correction")</formula>
    </cfRule>
    <cfRule type="expression" dxfId="282" priority="8">
      <formula>OR($I161="",$I161="Unclear due to correction")</formula>
    </cfRule>
  </conditionalFormatting>
  <conditionalFormatting sqref="AA2:AA222">
    <cfRule type="expression" dxfId="281" priority="31">
      <formula>AND(OR($AA2&lt;&gt;"",$AB2&lt;&gt;""),$AC2="")</formula>
    </cfRule>
  </conditionalFormatting>
  <dataValidations count="1">
    <dataValidation allowBlank="1" showInputMessage="1" sqref="U2:U222" xr:uid="{D368545B-C320-4642-85CB-79D3287D1A4F}"/>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4DC7E97D-A79D-4C0A-86F5-BD7BA5EAA95F}">
          <x14:formula1>
            <xm:f>'Data Regularization'!$Q$2:$Q$4</xm:f>
          </x14:formula1>
          <xm:sqref>AD2:AD222 AF2:AF222</xm:sqref>
        </x14:dataValidation>
        <x14:dataValidation type="list" allowBlank="1" showInputMessage="1" showErrorMessage="1" xr:uid="{F5978F70-FF7F-4590-B470-84121DFD3B8A}">
          <x14:formula1>
            <xm:f>'Data Regularization'!$D$2:$D$1048576</xm:f>
          </x14:formula1>
          <xm:sqref>G2:G222</xm:sqref>
        </x14:dataValidation>
        <x14:dataValidation type="list" allowBlank="1" showInputMessage="1" showErrorMessage="1" xr:uid="{23290A50-3F50-428A-8253-76ED14D685DE}">
          <x14:formula1>
            <xm:f>'Data Regularization'!$E$2:$E$1048576</xm:f>
          </x14:formula1>
          <xm:sqref>K2:K222</xm:sqref>
        </x14:dataValidation>
        <x14:dataValidation type="list" allowBlank="1" showInputMessage="1" showErrorMessage="1" xr:uid="{92F25D64-7CBE-46A2-82F4-6ADC69EE8209}">
          <x14:formula1>
            <xm:f>'Data Regularization'!$F$2:$F$1048576</xm:f>
          </x14:formula1>
          <xm:sqref>L2:L222</xm:sqref>
        </x14:dataValidation>
        <x14:dataValidation type="list" allowBlank="1" showInputMessage="1" showErrorMessage="1" xr:uid="{D4C6E765-5EC9-41B4-A8F1-B2075357747A}">
          <x14:formula1>
            <xm:f>'Data Regularization'!$G$2:$G$1048576</xm:f>
          </x14:formula1>
          <xm:sqref>O2:O222</xm:sqref>
        </x14:dataValidation>
        <x14:dataValidation type="list" allowBlank="1" showInputMessage="1" showErrorMessage="1" xr:uid="{EF735FD2-EF56-492E-BFAA-21710CC7FB6A}">
          <x14:formula1>
            <xm:f>'Data Regularization'!$K$2:$K$1048576</xm:f>
          </x14:formula1>
          <xm:sqref>T2:T222 V2:V222</xm:sqref>
        </x14:dataValidation>
        <x14:dataValidation type="list" allowBlank="1" showInputMessage="1" showErrorMessage="1" xr:uid="{3A238757-1839-41B4-BA79-ED515C87A66D}">
          <x14:formula1>
            <xm:f>'Data Regularization'!$L$2:$L$1048576</xm:f>
          </x14:formula1>
          <xm:sqref>W2:W222</xm:sqref>
        </x14:dataValidation>
        <x14:dataValidation type="list" allowBlank="1" showInputMessage="1" showErrorMessage="1" xr:uid="{CC568413-4045-4C2C-AC1D-A078E5677D6E}">
          <x14:formula1>
            <xm:f>'Data Regularization'!$M$2:$M$1048576</xm:f>
          </x14:formula1>
          <xm:sqref>X2:X222</xm:sqref>
        </x14:dataValidation>
        <x14:dataValidation type="list" allowBlank="1" showInputMessage="1" showErrorMessage="1" xr:uid="{7A2FBD84-9EEB-4E52-8880-D5303A7D3B5F}">
          <x14:formula1>
            <xm:f>'Data Regularization'!$N$2:$N$1048576</xm:f>
          </x14:formula1>
          <xm:sqref>Y2:Y222</xm:sqref>
        </x14:dataValidation>
        <x14:dataValidation type="list" allowBlank="1" showInputMessage="1" showErrorMessage="1" xr:uid="{31CA22EC-31B9-45AB-8FF0-A78C9B8DCD5C}">
          <x14:formula1>
            <xm:f>'Data Regularization'!$O$2:$O$1048576</xm:f>
          </x14:formula1>
          <xm:sqref>AA2:AA222</xm:sqref>
        </x14:dataValidation>
        <x14:dataValidation type="list" allowBlank="1" showInputMessage="1" showErrorMessage="1" xr:uid="{15A24214-2F73-446E-A4CF-C0AD03C03DB5}">
          <x14:formula1>
            <xm:f>'Data Regularization'!$P$2:$P$1048576</xm:f>
          </x14:formula1>
          <xm:sqref>AB2:AB222</xm:sqref>
        </x14:dataValidation>
        <x14:dataValidation type="list" allowBlank="1" showInputMessage="1" showErrorMessage="1" xr:uid="{734F7F26-8194-44F9-B35C-4599D5AD4927}">
          <x14:formula1>
            <xm:f>'Data Regularization'!$Q$2:$Q$1048576</xm:f>
          </x14:formula1>
          <xm:sqref>AC2:AC222</xm:sqref>
        </x14:dataValidation>
        <x14:dataValidation type="list" allowBlank="1" showInputMessage="1" showErrorMessage="1" xr:uid="{20BB1F9E-8DDA-494B-A2FF-F5D8DDF688D3}">
          <x14:formula1>
            <xm:f>'Data Regularization'!$C$2:$C$29</xm:f>
          </x14:formula1>
          <xm:sqref>F2:F222</xm:sqref>
        </x14:dataValidation>
        <x14:dataValidation type="list" allowBlank="1" showInputMessage="1" showErrorMessage="1" xr:uid="{7A14AAD1-E16C-4EA7-8C27-D45FCEE9B199}">
          <x14:formula1>
            <xm:f>'Data Regularization'!$A$2:$A$1048576</xm:f>
          </x14:formula1>
          <xm:sqref>D2:D222</xm:sqref>
        </x14:dataValidation>
        <x14:dataValidation type="list" allowBlank="1" showInputMessage="1" showErrorMessage="1" xr:uid="{C42B75F8-6296-46C5-AF36-0108EC4BDC68}">
          <x14:formula1>
            <xm:f>'Data Regularization'!$B$2:$B$1048576</xm:f>
          </x14:formula1>
          <xm:sqref>E2:E222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ED65-7908-497E-BD70-9113D77BEBD5}">
  <dimension ref="A1:AH165"/>
  <sheetViews>
    <sheetView workbookViewId="0">
      <pane xSplit="3" ySplit="1" topLeftCell="D106" activePane="bottomRight" state="frozen"/>
      <selection pane="topRight" activeCell="D1" sqref="D1"/>
      <selection pane="bottomLeft" activeCell="A2" sqref="A2"/>
      <selection pane="bottomRight" activeCell="A106" sqref="A106"/>
    </sheetView>
  </sheetViews>
  <sheetFormatPr defaultRowHeight="14.5"/>
  <sheetData>
    <row r="1" spans="1:34" s="1" customFormat="1" ht="29">
      <c r="A1" s="1" t="s">
        <v>0</v>
      </c>
      <c r="B1" s="1" t="s">
        <v>5</v>
      </c>
      <c r="C1" s="2" t="s">
        <v>6</v>
      </c>
      <c r="D1" s="1" t="s">
        <v>831</v>
      </c>
      <c r="E1" s="1" t="s">
        <v>832</v>
      </c>
      <c r="F1" s="1" t="s">
        <v>833</v>
      </c>
      <c r="G1" s="1" t="s">
        <v>3</v>
      </c>
      <c r="H1" s="1" t="s">
        <v>834</v>
      </c>
      <c r="I1" s="1" t="s">
        <v>835</v>
      </c>
      <c r="J1" s="1" t="s">
        <v>836</v>
      </c>
      <c r="K1" s="1" t="s">
        <v>837</v>
      </c>
      <c r="L1" s="1" t="s">
        <v>796</v>
      </c>
      <c r="M1" s="1" t="s">
        <v>838</v>
      </c>
      <c r="N1" s="5" t="s">
        <v>839</v>
      </c>
      <c r="O1" s="1" t="s">
        <v>797</v>
      </c>
      <c r="P1" s="1" t="s">
        <v>840</v>
      </c>
      <c r="Q1" s="1" t="s">
        <v>964</v>
      </c>
      <c r="R1" s="1" t="s">
        <v>841</v>
      </c>
      <c r="S1" s="1" t="s">
        <v>961</v>
      </c>
      <c r="T1" s="1" t="s">
        <v>962</v>
      </c>
      <c r="U1" s="1" t="s">
        <v>844</v>
      </c>
      <c r="V1" s="1" t="s">
        <v>845</v>
      </c>
      <c r="W1" s="1" t="s">
        <v>846</v>
      </c>
      <c r="X1" s="1" t="s">
        <v>798</v>
      </c>
      <c r="Y1" s="1" t="s">
        <v>799</v>
      </c>
      <c r="Z1" s="1" t="s">
        <v>800</v>
      </c>
      <c r="AA1" s="1" t="s">
        <v>842</v>
      </c>
      <c r="AB1" s="1" t="s">
        <v>847</v>
      </c>
      <c r="AC1" s="1" t="s">
        <v>801</v>
      </c>
      <c r="AD1" s="1" t="s">
        <v>843</v>
      </c>
      <c r="AE1" s="1" t="s">
        <v>859</v>
      </c>
      <c r="AF1" s="1" t="s">
        <v>857</v>
      </c>
      <c r="AG1" s="1" t="s">
        <v>858</v>
      </c>
    </row>
    <row r="2" spans="1:34" ht="58">
      <c r="A2" t="s">
        <v>41</v>
      </c>
      <c r="B2" s="3" t="s">
        <v>317</v>
      </c>
      <c r="C2" s="3" t="s">
        <v>318</v>
      </c>
      <c r="G2" s="6" t="s">
        <v>24</v>
      </c>
      <c r="H2" s="6"/>
      <c r="I2" s="6">
        <v>1</v>
      </c>
      <c r="J2" s="6">
        <v>5</v>
      </c>
      <c r="K2" s="6" t="s">
        <v>829</v>
      </c>
      <c r="L2" s="6" t="s">
        <v>809</v>
      </c>
      <c r="M2" s="6"/>
      <c r="N2" s="7"/>
      <c r="O2" s="6"/>
      <c r="P2" s="6">
        <v>3</v>
      </c>
      <c r="Q2" s="6">
        <f>IF(ISNUMBER(P2), (P2/$F$158)*10000, "")</f>
        <v>1.4750712951125973</v>
      </c>
      <c r="R2" s="6"/>
      <c r="S2" s="6" t="s">
        <v>963</v>
      </c>
      <c r="T2" s="6" t="s">
        <v>963</v>
      </c>
      <c r="U2" s="6"/>
      <c r="V2" s="6"/>
      <c r="W2" s="6"/>
      <c r="X2" s="6"/>
      <c r="Y2" s="6"/>
      <c r="Z2" s="6"/>
      <c r="AA2" s="6"/>
      <c r="AB2" s="6"/>
      <c r="AC2" s="6"/>
      <c r="AD2" s="6"/>
      <c r="AE2" t="s">
        <v>19</v>
      </c>
      <c r="AF2" t="s">
        <v>19</v>
      </c>
      <c r="AH2">
        <v>1</v>
      </c>
    </row>
    <row r="3" spans="1:34" ht="58">
      <c r="A3" t="s">
        <v>41</v>
      </c>
      <c r="B3" s="3" t="s">
        <v>319</v>
      </c>
      <c r="C3" s="3" t="s">
        <v>316</v>
      </c>
      <c r="G3" s="6" t="s">
        <v>25</v>
      </c>
      <c r="H3" s="6"/>
      <c r="I3" s="6">
        <v>1</v>
      </c>
      <c r="J3" s="6">
        <v>3</v>
      </c>
      <c r="K3" s="6" t="s">
        <v>854</v>
      </c>
      <c r="L3" s="6" t="s">
        <v>809</v>
      </c>
      <c r="M3" s="6"/>
      <c r="N3" s="7"/>
      <c r="O3" s="6"/>
      <c r="P3" s="6">
        <v>0</v>
      </c>
      <c r="Q3" s="6">
        <f t="shared" ref="Q3:Q66" si="0">IF(ISNUMBER(P3), (P3/$F$158)*10000, "")</f>
        <v>0</v>
      </c>
      <c r="R3" s="6"/>
      <c r="S3" s="6" t="s">
        <v>963</v>
      </c>
      <c r="T3" s="6" t="s">
        <v>963</v>
      </c>
      <c r="U3" s="6"/>
      <c r="V3" s="6"/>
      <c r="W3" s="6"/>
      <c r="X3" s="6"/>
      <c r="Y3" s="6"/>
      <c r="Z3" s="6"/>
      <c r="AA3" s="6"/>
      <c r="AB3" s="6"/>
      <c r="AC3" s="6"/>
      <c r="AD3" s="6"/>
      <c r="AE3" t="s">
        <v>19</v>
      </c>
      <c r="AF3" t="s">
        <v>19</v>
      </c>
      <c r="AH3">
        <v>1</v>
      </c>
    </row>
    <row r="4" spans="1:34" ht="72.5">
      <c r="A4" t="s">
        <v>41</v>
      </c>
      <c r="B4" s="3" t="s">
        <v>321</v>
      </c>
      <c r="C4" s="3" t="s">
        <v>320</v>
      </c>
      <c r="G4" s="6" t="s">
        <v>25</v>
      </c>
      <c r="H4" s="6"/>
      <c r="I4" s="6">
        <v>1</v>
      </c>
      <c r="J4" s="6">
        <v>2</v>
      </c>
      <c r="K4" s="6" t="s">
        <v>827</v>
      </c>
      <c r="L4" s="6" t="s">
        <v>850</v>
      </c>
      <c r="M4" s="6"/>
      <c r="N4" s="7"/>
      <c r="O4" s="6"/>
      <c r="P4" s="6">
        <v>613</v>
      </c>
      <c r="Q4" s="6">
        <f t="shared" si="0"/>
        <v>301.40623463467404</v>
      </c>
      <c r="R4" s="6"/>
      <c r="S4" s="6" t="s">
        <v>963</v>
      </c>
      <c r="T4" s="6" t="s">
        <v>963</v>
      </c>
      <c r="U4" s="6"/>
      <c r="V4" s="6"/>
      <c r="W4" s="6"/>
      <c r="X4" s="6"/>
      <c r="Y4" s="6"/>
      <c r="Z4" s="6"/>
      <c r="AA4" s="6"/>
      <c r="AB4" s="6"/>
      <c r="AC4" s="6"/>
      <c r="AD4" s="6"/>
      <c r="AE4" t="s">
        <v>19</v>
      </c>
      <c r="AF4" t="s">
        <v>19</v>
      </c>
      <c r="AH4">
        <v>1</v>
      </c>
    </row>
    <row r="5" spans="1:34" ht="58">
      <c r="A5" t="s">
        <v>44</v>
      </c>
      <c r="B5" s="3" t="s">
        <v>322</v>
      </c>
      <c r="C5" s="3" t="s">
        <v>323</v>
      </c>
      <c r="G5" s="6" t="s">
        <v>25</v>
      </c>
      <c r="H5" s="6"/>
      <c r="I5" s="6">
        <v>1</v>
      </c>
      <c r="J5" s="6">
        <v>3</v>
      </c>
      <c r="K5" s="6" t="s">
        <v>818</v>
      </c>
      <c r="L5" s="6" t="s">
        <v>809</v>
      </c>
      <c r="M5" s="6"/>
      <c r="N5" s="7"/>
      <c r="O5" s="6"/>
      <c r="P5" s="6">
        <v>1701</v>
      </c>
      <c r="Q5" s="6">
        <f t="shared" si="0"/>
        <v>836.36542432884255</v>
      </c>
      <c r="R5" s="6"/>
      <c r="S5" s="6" t="s">
        <v>963</v>
      </c>
      <c r="T5" s="6" t="s">
        <v>963</v>
      </c>
      <c r="U5" s="6"/>
      <c r="V5" s="6"/>
      <c r="W5" s="6"/>
      <c r="X5" s="6"/>
      <c r="Y5" s="6"/>
      <c r="Z5" s="6"/>
      <c r="AA5" s="6"/>
      <c r="AB5" s="6"/>
      <c r="AC5" s="6"/>
      <c r="AD5" s="6"/>
      <c r="AE5" t="s">
        <v>19</v>
      </c>
      <c r="AF5" t="s">
        <v>19</v>
      </c>
      <c r="AH5">
        <v>1</v>
      </c>
    </row>
    <row r="6" spans="1:34" ht="58">
      <c r="A6" t="s">
        <v>45</v>
      </c>
      <c r="B6" s="3" t="s">
        <v>329</v>
      </c>
      <c r="C6" s="3" t="s">
        <v>330</v>
      </c>
      <c r="G6" s="6" t="s">
        <v>24</v>
      </c>
      <c r="H6" s="6"/>
      <c r="I6" s="6">
        <v>1</v>
      </c>
      <c r="J6" s="6">
        <v>5</v>
      </c>
      <c r="K6" s="6" t="s">
        <v>823</v>
      </c>
      <c r="L6" s="6" t="s">
        <v>803</v>
      </c>
      <c r="M6" s="6" t="s">
        <v>866</v>
      </c>
      <c r="N6" s="7" t="s">
        <v>869</v>
      </c>
      <c r="O6" s="6" t="s">
        <v>804</v>
      </c>
      <c r="P6" s="6">
        <v>5</v>
      </c>
      <c r="Q6" s="6">
        <f t="shared" si="0"/>
        <v>2.4584521585209949</v>
      </c>
      <c r="R6" s="6"/>
      <c r="S6" s="6" t="s">
        <v>963</v>
      </c>
      <c r="T6" s="6" t="s">
        <v>963</v>
      </c>
      <c r="U6" s="6"/>
      <c r="V6" s="6"/>
      <c r="W6" s="6"/>
      <c r="X6" s="6"/>
      <c r="Y6" s="6"/>
      <c r="Z6" s="6"/>
      <c r="AA6" s="6"/>
      <c r="AB6" s="6"/>
      <c r="AC6" s="6"/>
      <c r="AD6" s="6"/>
      <c r="AE6" t="s">
        <v>19</v>
      </c>
      <c r="AF6" t="s">
        <v>19</v>
      </c>
      <c r="AH6">
        <v>1</v>
      </c>
    </row>
    <row r="7" spans="1:34" ht="43.5">
      <c r="A7" t="s">
        <v>50</v>
      </c>
      <c r="B7" s="3" t="s">
        <v>332</v>
      </c>
      <c r="C7" s="3" t="s">
        <v>331</v>
      </c>
      <c r="G7" s="6" t="s">
        <v>25</v>
      </c>
      <c r="H7" s="6"/>
      <c r="I7" s="6">
        <v>1</v>
      </c>
      <c r="J7" s="6">
        <v>4</v>
      </c>
      <c r="K7" s="6" t="s">
        <v>825</v>
      </c>
      <c r="L7" s="6" t="s">
        <v>809</v>
      </c>
      <c r="M7" s="6"/>
      <c r="N7" s="7"/>
      <c r="O7" s="6"/>
      <c r="P7" s="6">
        <v>743</v>
      </c>
      <c r="Q7" s="6">
        <f t="shared" si="0"/>
        <v>365.32599075621988</v>
      </c>
      <c r="R7" s="6"/>
      <c r="S7" s="6" t="s">
        <v>963</v>
      </c>
      <c r="T7" s="6" t="s">
        <v>963</v>
      </c>
      <c r="U7" s="6"/>
      <c r="V7" s="6"/>
      <c r="W7" s="6"/>
      <c r="X7" s="6"/>
      <c r="Y7" s="6"/>
      <c r="Z7" s="6"/>
      <c r="AA7" s="6"/>
      <c r="AB7" s="6"/>
      <c r="AC7" s="6"/>
      <c r="AD7" s="6"/>
      <c r="AE7" t="s">
        <v>19</v>
      </c>
      <c r="AF7" t="s">
        <v>20</v>
      </c>
      <c r="AH7">
        <v>1</v>
      </c>
    </row>
    <row r="8" spans="1:34" ht="87">
      <c r="A8" t="s">
        <v>54</v>
      </c>
      <c r="B8" s="3" t="s">
        <v>334</v>
      </c>
      <c r="C8" s="3" t="s">
        <v>335</v>
      </c>
      <c r="G8" s="6" t="s">
        <v>24</v>
      </c>
      <c r="H8" s="6"/>
      <c r="I8" s="6">
        <v>1</v>
      </c>
      <c r="J8" s="6">
        <v>2</v>
      </c>
      <c r="K8" s="6" t="s">
        <v>827</v>
      </c>
      <c r="L8" s="6" t="s">
        <v>850</v>
      </c>
      <c r="M8" s="6"/>
      <c r="N8" s="7"/>
      <c r="O8" s="6"/>
      <c r="P8" s="6">
        <v>613</v>
      </c>
      <c r="Q8" s="6">
        <f t="shared" si="0"/>
        <v>301.40623463467404</v>
      </c>
      <c r="R8" s="6"/>
      <c r="S8" s="6" t="s">
        <v>963</v>
      </c>
      <c r="T8" s="6" t="s">
        <v>963</v>
      </c>
      <c r="U8" s="6"/>
      <c r="V8" s="6"/>
      <c r="W8" s="6"/>
      <c r="X8" s="6"/>
      <c r="Y8" s="6"/>
      <c r="Z8" s="6"/>
      <c r="AA8" s="6"/>
      <c r="AB8" s="6"/>
      <c r="AC8" s="6"/>
      <c r="AD8" s="6"/>
      <c r="AE8" t="s">
        <v>19</v>
      </c>
      <c r="AF8" t="s">
        <v>20</v>
      </c>
      <c r="AH8">
        <v>1</v>
      </c>
    </row>
    <row r="9" spans="1:34" ht="29">
      <c r="A9" t="s">
        <v>57</v>
      </c>
      <c r="B9" s="3" t="s">
        <v>340</v>
      </c>
      <c r="C9" s="3" t="s">
        <v>341</v>
      </c>
      <c r="G9" s="6" t="s">
        <v>25</v>
      </c>
      <c r="H9" s="6"/>
      <c r="I9" s="6">
        <v>1</v>
      </c>
      <c r="J9" s="6">
        <v>2</v>
      </c>
      <c r="K9" s="6" t="s">
        <v>808</v>
      </c>
      <c r="L9" s="6" t="s">
        <v>850</v>
      </c>
      <c r="M9" s="6"/>
      <c r="N9" s="7"/>
      <c r="O9" s="6"/>
      <c r="P9" s="6">
        <v>2475</v>
      </c>
      <c r="Q9" s="6">
        <f t="shared" si="0"/>
        <v>1216.9338184678927</v>
      </c>
      <c r="R9" s="6"/>
      <c r="S9" s="6" t="s">
        <v>963</v>
      </c>
      <c r="T9" s="6" t="s">
        <v>963</v>
      </c>
      <c r="U9" s="6"/>
      <c r="V9" s="6"/>
      <c r="W9" s="6"/>
      <c r="X9" s="6"/>
      <c r="Y9" s="6"/>
      <c r="Z9" s="6"/>
      <c r="AA9" s="6"/>
      <c r="AB9" s="6"/>
      <c r="AC9" s="6"/>
      <c r="AD9" s="6"/>
      <c r="AE9" t="s">
        <v>19</v>
      </c>
      <c r="AF9" t="s">
        <v>19</v>
      </c>
      <c r="AH9">
        <v>1</v>
      </c>
    </row>
    <row r="10" spans="1:34" ht="29">
      <c r="A10" t="s">
        <v>63</v>
      </c>
      <c r="B10" s="3" t="s">
        <v>349</v>
      </c>
      <c r="C10" s="3" t="s">
        <v>350</v>
      </c>
      <c r="G10" s="6" t="s">
        <v>25</v>
      </c>
      <c r="H10" s="6"/>
      <c r="I10" s="6">
        <v>1</v>
      </c>
      <c r="J10" s="6">
        <v>3</v>
      </c>
      <c r="K10" s="6" t="s">
        <v>825</v>
      </c>
      <c r="L10" s="6" t="s">
        <v>809</v>
      </c>
      <c r="M10" s="6"/>
      <c r="N10" s="7"/>
      <c r="O10" s="6"/>
      <c r="P10" s="6">
        <v>2475</v>
      </c>
      <c r="Q10" s="6">
        <f t="shared" si="0"/>
        <v>1216.9338184678927</v>
      </c>
      <c r="R10" s="6"/>
      <c r="S10" s="6" t="s">
        <v>963</v>
      </c>
      <c r="T10" s="6" t="s">
        <v>963</v>
      </c>
      <c r="U10" s="6" t="s">
        <v>848</v>
      </c>
      <c r="V10" s="6"/>
      <c r="W10" s="6"/>
      <c r="X10" s="6"/>
      <c r="Y10" s="6"/>
      <c r="Z10" s="6"/>
      <c r="AA10" s="6"/>
      <c r="AB10" s="6"/>
      <c r="AC10" s="6"/>
      <c r="AD10" s="6"/>
      <c r="AE10" t="s">
        <v>19</v>
      </c>
      <c r="AF10" t="s">
        <v>20</v>
      </c>
      <c r="AH10">
        <v>1</v>
      </c>
    </row>
    <row r="11" spans="1:34" ht="29">
      <c r="A11" t="s">
        <v>63</v>
      </c>
      <c r="B11" s="3" t="s">
        <v>352</v>
      </c>
      <c r="C11" s="3" t="s">
        <v>351</v>
      </c>
      <c r="G11" s="6" t="s">
        <v>24</v>
      </c>
      <c r="H11" s="6"/>
      <c r="I11" s="6">
        <v>1</v>
      </c>
      <c r="J11" s="6">
        <v>1</v>
      </c>
      <c r="K11" s="6" t="s">
        <v>808</v>
      </c>
      <c r="L11" s="6" t="s">
        <v>850</v>
      </c>
      <c r="M11" s="6"/>
      <c r="N11" s="7"/>
      <c r="O11" s="6"/>
      <c r="P11" s="6">
        <v>2475</v>
      </c>
      <c r="Q11" s="6">
        <f t="shared" si="0"/>
        <v>1216.9338184678927</v>
      </c>
      <c r="R11" s="6"/>
      <c r="S11" s="6" t="s">
        <v>963</v>
      </c>
      <c r="T11" s="6" t="s">
        <v>963</v>
      </c>
      <c r="U11" s="6"/>
      <c r="V11" s="6"/>
      <c r="W11" s="6"/>
      <c r="X11" s="6"/>
      <c r="Y11" s="6"/>
      <c r="Z11" s="6"/>
      <c r="AA11" s="6"/>
      <c r="AB11" s="6"/>
      <c r="AC11" s="6"/>
      <c r="AD11" s="6"/>
      <c r="AE11" t="s">
        <v>19</v>
      </c>
      <c r="AF11" t="s">
        <v>19</v>
      </c>
      <c r="AH11">
        <v>1</v>
      </c>
    </row>
    <row r="12" spans="1:34" ht="29">
      <c r="A12" t="s">
        <v>64</v>
      </c>
      <c r="B12" s="3" t="s">
        <v>356</v>
      </c>
      <c r="C12" s="3" t="s">
        <v>355</v>
      </c>
      <c r="G12" s="6" t="s">
        <v>25</v>
      </c>
      <c r="H12" s="6"/>
      <c r="I12" s="6">
        <v>1</v>
      </c>
      <c r="J12" s="6">
        <v>2</v>
      </c>
      <c r="K12" s="6" t="s">
        <v>825</v>
      </c>
      <c r="L12" s="6" t="s">
        <v>850</v>
      </c>
      <c r="M12" s="6"/>
      <c r="N12" s="7"/>
      <c r="O12" s="6"/>
      <c r="P12" s="6">
        <v>312</v>
      </c>
      <c r="Q12" s="6">
        <f t="shared" si="0"/>
        <v>153.4074146917101</v>
      </c>
      <c r="R12" s="6"/>
      <c r="S12" s="6" t="s">
        <v>963</v>
      </c>
      <c r="T12" s="6" t="s">
        <v>963</v>
      </c>
      <c r="U12" s="6"/>
      <c r="V12" s="6"/>
      <c r="W12" s="6"/>
      <c r="X12" s="6"/>
      <c r="Y12" s="6"/>
      <c r="Z12" s="6"/>
      <c r="AA12" s="6"/>
      <c r="AB12" s="6"/>
      <c r="AC12" s="6"/>
      <c r="AD12" s="6"/>
      <c r="AE12" t="s">
        <v>19</v>
      </c>
      <c r="AF12" t="s">
        <v>19</v>
      </c>
      <c r="AH12">
        <v>1</v>
      </c>
    </row>
    <row r="13" spans="1:34" ht="72.5">
      <c r="A13" t="s">
        <v>67</v>
      </c>
      <c r="B13" s="3" t="s">
        <v>362</v>
      </c>
      <c r="C13" s="3" t="s">
        <v>359</v>
      </c>
      <c r="G13" s="6" t="s">
        <v>25</v>
      </c>
      <c r="H13" s="6"/>
      <c r="I13" s="6">
        <v>1</v>
      </c>
      <c r="J13" s="6">
        <v>5</v>
      </c>
      <c r="K13" s="6" t="s">
        <v>825</v>
      </c>
      <c r="L13" s="6" t="s">
        <v>803</v>
      </c>
      <c r="M13" s="6" t="s">
        <v>868</v>
      </c>
      <c r="N13" s="7" t="s">
        <v>867</v>
      </c>
      <c r="O13" s="6"/>
      <c r="P13" s="6">
        <v>830</v>
      </c>
      <c r="Q13" s="6">
        <f t="shared" si="0"/>
        <v>408.10305831448517</v>
      </c>
      <c r="R13" s="6"/>
      <c r="S13" s="6" t="s">
        <v>963</v>
      </c>
      <c r="T13" s="6" t="s">
        <v>963</v>
      </c>
      <c r="U13" s="6"/>
      <c r="V13" s="6"/>
      <c r="W13" s="6"/>
      <c r="X13" s="6"/>
      <c r="Y13" s="6"/>
      <c r="Z13" s="6"/>
      <c r="AA13" s="6"/>
      <c r="AB13" s="6"/>
      <c r="AC13" s="6"/>
      <c r="AD13" s="6"/>
      <c r="AE13" t="s">
        <v>19</v>
      </c>
      <c r="AF13" t="s">
        <v>19</v>
      </c>
      <c r="AH13">
        <v>1</v>
      </c>
    </row>
    <row r="14" spans="1:34" ht="43.5">
      <c r="A14" t="s">
        <v>75</v>
      </c>
      <c r="B14" s="3" t="s">
        <v>363</v>
      </c>
      <c r="C14" s="3" t="s">
        <v>364</v>
      </c>
      <c r="G14" s="6" t="s">
        <v>24</v>
      </c>
      <c r="H14" s="6"/>
      <c r="I14" s="6">
        <v>1</v>
      </c>
      <c r="J14" s="6">
        <v>3</v>
      </c>
      <c r="K14" s="6" t="s">
        <v>818</v>
      </c>
      <c r="L14" s="6" t="s">
        <v>809</v>
      </c>
      <c r="M14" s="6"/>
      <c r="N14" s="7"/>
      <c r="O14" s="6"/>
      <c r="P14" s="6">
        <v>186</v>
      </c>
      <c r="Q14" s="6">
        <f t="shared" si="0"/>
        <v>91.454420296981013</v>
      </c>
      <c r="R14" s="6"/>
      <c r="S14" s="6" t="s">
        <v>963</v>
      </c>
      <c r="T14" s="6" t="s">
        <v>963</v>
      </c>
      <c r="U14" s="6"/>
      <c r="V14" s="6"/>
      <c r="W14" s="6"/>
      <c r="X14" s="6"/>
      <c r="Y14" s="6"/>
      <c r="Z14" s="6"/>
      <c r="AA14" s="6"/>
      <c r="AB14" s="6"/>
      <c r="AC14" s="6"/>
      <c r="AD14" s="6"/>
      <c r="AE14" t="s">
        <v>19</v>
      </c>
      <c r="AF14" t="s">
        <v>19</v>
      </c>
      <c r="AH14">
        <v>1</v>
      </c>
    </row>
    <row r="15" spans="1:34" ht="29">
      <c r="A15" t="s">
        <v>75</v>
      </c>
      <c r="B15" s="3" t="s">
        <v>368</v>
      </c>
      <c r="C15" s="3" t="s">
        <v>367</v>
      </c>
      <c r="G15" s="6" t="s">
        <v>24</v>
      </c>
      <c r="H15" s="6"/>
      <c r="I15" s="6">
        <v>1</v>
      </c>
      <c r="J15" s="6">
        <v>1</v>
      </c>
      <c r="K15" s="6" t="s">
        <v>808</v>
      </c>
      <c r="L15" s="6" t="s">
        <v>850</v>
      </c>
      <c r="M15" s="6"/>
      <c r="N15" s="7"/>
      <c r="O15" s="6"/>
      <c r="P15" s="6">
        <v>2475</v>
      </c>
      <c r="Q15" s="6">
        <f t="shared" si="0"/>
        <v>1216.9338184678927</v>
      </c>
      <c r="R15" s="6"/>
      <c r="S15" s="6" t="s">
        <v>963</v>
      </c>
      <c r="T15" s="6" t="s">
        <v>963</v>
      </c>
      <c r="U15" s="6" t="s">
        <v>4</v>
      </c>
      <c r="V15" s="6"/>
      <c r="W15" s="6"/>
      <c r="X15" s="6"/>
      <c r="Y15" s="6"/>
      <c r="Z15" s="6"/>
      <c r="AA15" s="6"/>
      <c r="AB15" s="6"/>
      <c r="AC15" s="6"/>
      <c r="AD15" s="6"/>
      <c r="AE15" t="s">
        <v>19</v>
      </c>
      <c r="AF15" t="s">
        <v>19</v>
      </c>
      <c r="AH15">
        <v>1</v>
      </c>
    </row>
    <row r="16" spans="1:34" ht="29">
      <c r="A16" t="s">
        <v>76</v>
      </c>
      <c r="B16" s="3" t="s">
        <v>371</v>
      </c>
      <c r="C16" s="3" t="s">
        <v>372</v>
      </c>
      <c r="G16" s="6" t="s">
        <v>25</v>
      </c>
      <c r="H16" s="6"/>
      <c r="I16" s="6">
        <v>1</v>
      </c>
      <c r="J16" s="6">
        <v>3</v>
      </c>
      <c r="K16" s="6" t="s">
        <v>818</v>
      </c>
      <c r="L16" s="6" t="s">
        <v>809</v>
      </c>
      <c r="M16" s="6"/>
      <c r="N16" s="7"/>
      <c r="O16" s="6"/>
      <c r="P16" s="6">
        <v>186</v>
      </c>
      <c r="Q16" s="6">
        <f t="shared" si="0"/>
        <v>91.454420296981013</v>
      </c>
      <c r="R16" s="6"/>
      <c r="S16" s="6" t="s">
        <v>963</v>
      </c>
      <c r="T16" s="6" t="s">
        <v>963</v>
      </c>
      <c r="U16" s="6"/>
      <c r="V16" s="6"/>
      <c r="W16" s="6"/>
      <c r="X16" s="6"/>
      <c r="Y16" s="6"/>
      <c r="Z16" s="6"/>
      <c r="AA16" s="6"/>
      <c r="AB16" s="6"/>
      <c r="AC16" s="6"/>
      <c r="AD16" s="6"/>
      <c r="AE16" t="s">
        <v>19</v>
      </c>
      <c r="AF16" t="s">
        <v>19</v>
      </c>
      <c r="AH16">
        <v>1</v>
      </c>
    </row>
    <row r="17" spans="1:34" ht="116">
      <c r="A17" t="s">
        <v>79</v>
      </c>
      <c r="B17" s="3" t="s">
        <v>375</v>
      </c>
      <c r="C17" s="3" t="s">
        <v>883</v>
      </c>
      <c r="G17" s="6" t="s">
        <v>24</v>
      </c>
      <c r="H17" s="6"/>
      <c r="I17" s="6">
        <v>1</v>
      </c>
      <c r="J17" s="6">
        <v>3</v>
      </c>
      <c r="K17" s="6" t="s">
        <v>818</v>
      </c>
      <c r="L17" s="6" t="s">
        <v>803</v>
      </c>
      <c r="M17" s="6" t="s">
        <v>866</v>
      </c>
      <c r="N17" s="7" t="s">
        <v>867</v>
      </c>
      <c r="O17" s="6"/>
      <c r="P17" s="6">
        <v>1701</v>
      </c>
      <c r="Q17" s="6">
        <f t="shared" si="0"/>
        <v>836.36542432884255</v>
      </c>
      <c r="R17" s="6"/>
      <c r="S17" s="6" t="s">
        <v>963</v>
      </c>
      <c r="T17" s="6" t="s">
        <v>963</v>
      </c>
      <c r="U17" s="6"/>
      <c r="V17" s="6"/>
      <c r="W17" s="6"/>
      <c r="X17" s="6"/>
      <c r="Y17" s="6"/>
      <c r="Z17" s="6"/>
      <c r="AA17" s="6"/>
      <c r="AB17" s="6"/>
      <c r="AC17" s="6"/>
      <c r="AD17" s="6"/>
      <c r="AE17" t="s">
        <v>19</v>
      </c>
      <c r="AF17" t="s">
        <v>20</v>
      </c>
      <c r="AH17">
        <v>1</v>
      </c>
    </row>
    <row r="18" spans="1:34" ht="409.5">
      <c r="A18" t="s">
        <v>80</v>
      </c>
      <c r="B18" s="3" t="s">
        <v>886</v>
      </c>
      <c r="C18" s="3" t="s">
        <v>891</v>
      </c>
      <c r="G18" s="6" t="s">
        <v>24</v>
      </c>
      <c r="H18" s="6"/>
      <c r="I18" s="6">
        <v>1</v>
      </c>
      <c r="J18" s="6">
        <v>4</v>
      </c>
      <c r="K18" s="6" t="s">
        <v>818</v>
      </c>
      <c r="L18" s="6" t="s">
        <v>809</v>
      </c>
      <c r="M18" s="6"/>
      <c r="N18" s="7"/>
      <c r="O18" s="6"/>
      <c r="P18" s="6">
        <v>55</v>
      </c>
      <c r="Q18" s="6">
        <f t="shared" si="0"/>
        <v>27.042973743730947</v>
      </c>
      <c r="R18" s="6"/>
      <c r="S18" s="6" t="s">
        <v>963</v>
      </c>
      <c r="T18" s="6" t="s">
        <v>963</v>
      </c>
      <c r="U18" s="6"/>
      <c r="V18" s="6"/>
      <c r="W18" s="6"/>
      <c r="X18" s="6"/>
      <c r="Y18" s="6"/>
      <c r="Z18" s="6"/>
      <c r="AA18" s="6"/>
      <c r="AB18" s="6"/>
      <c r="AC18" s="6"/>
      <c r="AD18" s="6"/>
      <c r="AE18" t="s">
        <v>19</v>
      </c>
      <c r="AF18" t="s">
        <v>20</v>
      </c>
      <c r="AH18">
        <v>1</v>
      </c>
    </row>
    <row r="19" spans="1:34" ht="409.5">
      <c r="A19" t="s">
        <v>81</v>
      </c>
      <c r="B19" s="3" t="s">
        <v>892</v>
      </c>
      <c r="C19" s="3" t="s">
        <v>887</v>
      </c>
      <c r="G19" s="6" t="s">
        <v>25</v>
      </c>
      <c r="H19" s="6"/>
      <c r="I19" s="6">
        <v>5</v>
      </c>
      <c r="J19" s="6">
        <v>20</v>
      </c>
      <c r="K19" s="6"/>
      <c r="L19" s="6" t="s">
        <v>809</v>
      </c>
      <c r="M19" s="6"/>
      <c r="N19" s="7"/>
      <c r="O19" s="6"/>
      <c r="P19" s="6">
        <v>34</v>
      </c>
      <c r="Q19" s="6">
        <f t="shared" si="0"/>
        <v>16.717474677942768</v>
      </c>
      <c r="R19" s="6"/>
      <c r="S19" s="6" t="s">
        <v>963</v>
      </c>
      <c r="T19" s="6" t="s">
        <v>963</v>
      </c>
      <c r="U19" s="6"/>
      <c r="V19" s="6"/>
      <c r="W19" s="6"/>
      <c r="X19" s="6"/>
      <c r="Y19" s="6"/>
      <c r="Z19" s="6"/>
      <c r="AA19" s="6"/>
      <c r="AB19" s="6"/>
      <c r="AC19" s="6"/>
      <c r="AD19" s="6"/>
      <c r="AE19" t="s">
        <v>19</v>
      </c>
      <c r="AF19" t="s">
        <v>20</v>
      </c>
      <c r="AH19">
        <v>1</v>
      </c>
    </row>
    <row r="20" spans="1:34" ht="58">
      <c r="A20" t="s">
        <v>84</v>
      </c>
      <c r="B20" s="3" t="s">
        <v>380</v>
      </c>
      <c r="C20" s="3" t="s">
        <v>379</v>
      </c>
      <c r="G20" s="6" t="s">
        <v>25</v>
      </c>
      <c r="H20" s="6"/>
      <c r="I20" s="6">
        <v>1</v>
      </c>
      <c r="J20" s="6">
        <v>5</v>
      </c>
      <c r="K20" s="6" t="s">
        <v>825</v>
      </c>
      <c r="L20" s="6" t="s">
        <v>809</v>
      </c>
      <c r="M20" s="6"/>
      <c r="N20" s="7"/>
      <c r="O20" s="6"/>
      <c r="P20" s="6">
        <v>830</v>
      </c>
      <c r="Q20" s="6">
        <f t="shared" si="0"/>
        <v>408.10305831448517</v>
      </c>
      <c r="R20" s="6"/>
      <c r="S20" s="6" t="s">
        <v>963</v>
      </c>
      <c r="T20" s="6" t="s">
        <v>963</v>
      </c>
      <c r="U20" s="6"/>
      <c r="V20" s="6"/>
      <c r="W20" s="6"/>
      <c r="X20" s="6"/>
      <c r="Y20" s="6"/>
      <c r="Z20" s="6"/>
      <c r="AA20" s="6"/>
      <c r="AB20" s="6"/>
      <c r="AC20" s="6"/>
      <c r="AD20" s="6"/>
      <c r="AE20" t="s">
        <v>19</v>
      </c>
      <c r="AF20" t="s">
        <v>20</v>
      </c>
      <c r="AH20">
        <v>1</v>
      </c>
    </row>
    <row r="21" spans="1:34" ht="43.5">
      <c r="A21" t="s">
        <v>84</v>
      </c>
      <c r="B21" s="3" t="s">
        <v>382</v>
      </c>
      <c r="C21" s="3" t="s">
        <v>385</v>
      </c>
      <c r="G21" s="6" t="s">
        <v>24</v>
      </c>
      <c r="H21" s="6"/>
      <c r="I21" s="6">
        <v>1</v>
      </c>
      <c r="J21" s="6">
        <v>5</v>
      </c>
      <c r="K21" s="6" t="s">
        <v>825</v>
      </c>
      <c r="L21" s="6" t="s">
        <v>809</v>
      </c>
      <c r="M21" s="6"/>
      <c r="N21" s="7"/>
      <c r="O21" s="6"/>
      <c r="P21" s="6">
        <v>830</v>
      </c>
      <c r="Q21" s="6">
        <f t="shared" si="0"/>
        <v>408.10305831448517</v>
      </c>
      <c r="R21" s="6"/>
      <c r="S21" s="6" t="s">
        <v>963</v>
      </c>
      <c r="T21" s="6" t="s">
        <v>963</v>
      </c>
      <c r="U21" s="6"/>
      <c r="V21" s="6"/>
      <c r="W21" s="6"/>
      <c r="X21" s="6"/>
      <c r="Y21" s="6"/>
      <c r="Z21" s="6"/>
      <c r="AA21" s="6"/>
      <c r="AB21" s="6"/>
      <c r="AC21" s="6"/>
      <c r="AD21" s="6"/>
      <c r="AE21" t="s">
        <v>19</v>
      </c>
      <c r="AF21" t="s">
        <v>19</v>
      </c>
      <c r="AH21">
        <v>1</v>
      </c>
    </row>
    <row r="22" spans="1:34" ht="43.5">
      <c r="A22" t="s">
        <v>87</v>
      </c>
      <c r="B22" s="3" t="s">
        <v>389</v>
      </c>
      <c r="C22" s="3" t="s">
        <v>386</v>
      </c>
      <c r="G22" s="6" t="s">
        <v>25</v>
      </c>
      <c r="H22" s="6"/>
      <c r="I22" s="6">
        <v>1</v>
      </c>
      <c r="J22" s="6">
        <v>5</v>
      </c>
      <c r="K22" s="6" t="s">
        <v>825</v>
      </c>
      <c r="L22" s="6" t="s">
        <v>803</v>
      </c>
      <c r="M22" s="6" t="s">
        <v>868</v>
      </c>
      <c r="N22" s="7" t="s">
        <v>867</v>
      </c>
      <c r="O22" s="6"/>
      <c r="P22" s="6">
        <v>830</v>
      </c>
      <c r="Q22" s="6">
        <f t="shared" si="0"/>
        <v>408.10305831448517</v>
      </c>
      <c r="R22" s="6"/>
      <c r="S22" s="6" t="s">
        <v>963</v>
      </c>
      <c r="T22" s="6" t="s">
        <v>963</v>
      </c>
      <c r="U22" s="6"/>
      <c r="V22" s="6"/>
      <c r="W22" s="6"/>
      <c r="X22" s="6"/>
      <c r="Y22" s="6"/>
      <c r="Z22" s="6"/>
      <c r="AA22" s="6"/>
      <c r="AB22" s="6"/>
      <c r="AC22" s="6"/>
      <c r="AD22" s="6"/>
      <c r="AE22" t="s">
        <v>19</v>
      </c>
      <c r="AF22" t="s">
        <v>19</v>
      </c>
      <c r="AH22">
        <v>1</v>
      </c>
    </row>
    <row r="23" spans="1:34" ht="159.5">
      <c r="A23" t="s">
        <v>87</v>
      </c>
      <c r="B23" s="3" t="s">
        <v>390</v>
      </c>
      <c r="C23" s="3" t="s">
        <v>394</v>
      </c>
      <c r="G23" s="6" t="s">
        <v>24</v>
      </c>
      <c r="H23" s="6"/>
      <c r="I23" s="6">
        <v>1</v>
      </c>
      <c r="J23" s="6">
        <v>3</v>
      </c>
      <c r="K23" s="6" t="s">
        <v>808</v>
      </c>
      <c r="L23" s="6" t="s">
        <v>809</v>
      </c>
      <c r="M23" s="6"/>
      <c r="N23" s="7"/>
      <c r="O23" s="6"/>
      <c r="P23" s="6">
        <v>2475</v>
      </c>
      <c r="Q23" s="6">
        <f t="shared" si="0"/>
        <v>1216.9338184678927</v>
      </c>
      <c r="R23" s="6"/>
      <c r="S23" s="6" t="s">
        <v>963</v>
      </c>
      <c r="T23" s="6" t="s">
        <v>963</v>
      </c>
      <c r="U23" s="6"/>
      <c r="V23" s="6"/>
      <c r="W23" s="6"/>
      <c r="X23" s="6"/>
      <c r="Y23" s="6"/>
      <c r="Z23" s="6"/>
      <c r="AA23" s="6"/>
      <c r="AB23" s="6"/>
      <c r="AC23" s="6"/>
      <c r="AD23" s="6"/>
      <c r="AE23" t="s">
        <v>19</v>
      </c>
      <c r="AF23" t="s">
        <v>19</v>
      </c>
      <c r="AH23">
        <v>1</v>
      </c>
    </row>
    <row r="24" spans="1:34" ht="159.5">
      <c r="A24" t="s">
        <v>87</v>
      </c>
      <c r="B24" s="3" t="s">
        <v>395</v>
      </c>
      <c r="C24" s="3" t="s">
        <v>391</v>
      </c>
      <c r="G24" s="6" t="s">
        <v>25</v>
      </c>
      <c r="H24" s="6"/>
      <c r="I24" s="6">
        <v>1</v>
      </c>
      <c r="J24" s="6">
        <v>5</v>
      </c>
      <c r="K24" s="6" t="s">
        <v>829</v>
      </c>
      <c r="L24" s="6" t="s">
        <v>809</v>
      </c>
      <c r="M24" s="6"/>
      <c r="N24" s="7"/>
      <c r="O24" s="6"/>
      <c r="P24" s="6">
        <v>168</v>
      </c>
      <c r="Q24" s="6">
        <f t="shared" si="0"/>
        <v>82.603992526305433</v>
      </c>
      <c r="R24" s="6"/>
      <c r="S24" s="6" t="s">
        <v>963</v>
      </c>
      <c r="T24" s="6" t="s">
        <v>963</v>
      </c>
      <c r="U24" s="6"/>
      <c r="V24" s="6"/>
      <c r="W24" s="6"/>
      <c r="X24" s="6"/>
      <c r="Y24" s="6"/>
      <c r="Z24" s="6"/>
      <c r="AA24" s="6"/>
      <c r="AB24" s="6"/>
      <c r="AC24" s="6"/>
      <c r="AD24" s="6"/>
      <c r="AE24" t="s">
        <v>19</v>
      </c>
      <c r="AF24" t="s">
        <v>20</v>
      </c>
      <c r="AH24">
        <v>1</v>
      </c>
    </row>
    <row r="25" spans="1:34" ht="72.5">
      <c r="A25" t="s">
        <v>88</v>
      </c>
      <c r="B25" s="3" t="s">
        <v>401</v>
      </c>
      <c r="C25" s="3" t="s">
        <v>398</v>
      </c>
      <c r="G25" s="6" t="s">
        <v>25</v>
      </c>
      <c r="H25" s="6"/>
      <c r="I25" s="6">
        <v>3</v>
      </c>
      <c r="J25" s="6">
        <v>10</v>
      </c>
      <c r="K25" s="6"/>
      <c r="L25" s="6" t="s">
        <v>809</v>
      </c>
      <c r="M25" s="6"/>
      <c r="N25" s="7"/>
      <c r="O25" s="6"/>
      <c r="P25" s="6">
        <v>7</v>
      </c>
      <c r="Q25" s="6">
        <f t="shared" si="0"/>
        <v>3.4418330219293933</v>
      </c>
      <c r="R25" s="6"/>
      <c r="S25" s="6" t="s">
        <v>963</v>
      </c>
      <c r="T25" s="6" t="s">
        <v>963</v>
      </c>
      <c r="U25" s="6"/>
      <c r="V25" s="6"/>
      <c r="W25" s="6"/>
      <c r="X25" s="6"/>
      <c r="Y25" s="6"/>
      <c r="Z25" s="6"/>
      <c r="AA25" s="6"/>
      <c r="AB25" s="6"/>
      <c r="AC25" s="6"/>
      <c r="AD25" s="6"/>
      <c r="AE25" t="s">
        <v>19</v>
      </c>
      <c r="AF25" t="s">
        <v>19</v>
      </c>
      <c r="AH25">
        <v>1</v>
      </c>
    </row>
    <row r="26" spans="1:34" ht="43.5">
      <c r="A26" t="s">
        <v>88</v>
      </c>
      <c r="B26" s="3" t="s">
        <v>408</v>
      </c>
      <c r="C26" s="3" t="s">
        <v>409</v>
      </c>
      <c r="G26" s="6" t="s">
        <v>25</v>
      </c>
      <c r="H26" s="6"/>
      <c r="I26" s="6">
        <v>1</v>
      </c>
      <c r="J26" s="6">
        <v>3</v>
      </c>
      <c r="K26" s="6" t="s">
        <v>818</v>
      </c>
      <c r="L26" s="6" t="s">
        <v>809</v>
      </c>
      <c r="M26" s="6"/>
      <c r="N26" s="7"/>
      <c r="O26" s="6"/>
      <c r="P26" s="6">
        <v>1701</v>
      </c>
      <c r="Q26" s="6">
        <f t="shared" si="0"/>
        <v>836.36542432884255</v>
      </c>
      <c r="R26" s="6"/>
      <c r="S26" s="6" t="s">
        <v>963</v>
      </c>
      <c r="T26" s="6" t="s">
        <v>963</v>
      </c>
      <c r="U26" s="6"/>
      <c r="V26" s="6"/>
      <c r="W26" s="6"/>
      <c r="X26" s="6"/>
      <c r="Y26" s="6"/>
      <c r="Z26" s="6"/>
      <c r="AA26" s="6"/>
      <c r="AB26" s="6"/>
      <c r="AC26" s="6"/>
      <c r="AD26" s="6"/>
      <c r="AE26" t="s">
        <v>19</v>
      </c>
      <c r="AF26" t="s">
        <v>19</v>
      </c>
      <c r="AH26">
        <v>1</v>
      </c>
    </row>
    <row r="27" spans="1:34" ht="43.5">
      <c r="A27" t="s">
        <v>92</v>
      </c>
      <c r="B27" s="3" t="s">
        <v>412</v>
      </c>
      <c r="C27" s="3" t="s">
        <v>413</v>
      </c>
      <c r="G27" s="6" t="s">
        <v>24</v>
      </c>
      <c r="H27" s="6"/>
      <c r="I27" s="6">
        <v>1</v>
      </c>
      <c r="J27" s="6">
        <v>2</v>
      </c>
      <c r="K27" s="6" t="s">
        <v>808</v>
      </c>
      <c r="L27" s="6" t="s">
        <v>850</v>
      </c>
      <c r="M27" s="6"/>
      <c r="N27" s="7"/>
      <c r="O27" s="6"/>
      <c r="P27" s="6">
        <v>2475</v>
      </c>
      <c r="Q27" s="6">
        <f t="shared" si="0"/>
        <v>1216.9338184678927</v>
      </c>
      <c r="R27" s="6"/>
      <c r="S27" s="6" t="s">
        <v>963</v>
      </c>
      <c r="T27" s="6" t="s">
        <v>963</v>
      </c>
      <c r="U27" s="6"/>
      <c r="V27" s="6"/>
      <c r="W27" s="6"/>
      <c r="X27" s="6"/>
      <c r="Y27" s="6"/>
      <c r="Z27" s="6"/>
      <c r="AA27" s="6"/>
      <c r="AB27" s="6"/>
      <c r="AC27" s="6"/>
      <c r="AD27" s="6"/>
      <c r="AE27" t="s">
        <v>20</v>
      </c>
      <c r="AF27" t="s">
        <v>19</v>
      </c>
      <c r="AH27">
        <v>0</v>
      </c>
    </row>
    <row r="28" spans="1:34" ht="29">
      <c r="A28" t="s">
        <v>92</v>
      </c>
      <c r="B28" s="3" t="s">
        <v>417</v>
      </c>
      <c r="C28" s="3" t="s">
        <v>416</v>
      </c>
      <c r="G28" s="6" t="s">
        <v>24</v>
      </c>
      <c r="H28" s="6"/>
      <c r="I28" s="6">
        <v>1</v>
      </c>
      <c r="J28" s="6">
        <v>2</v>
      </c>
      <c r="K28" s="6" t="s">
        <v>854</v>
      </c>
      <c r="L28" s="6" t="s">
        <v>850</v>
      </c>
      <c r="M28" s="6"/>
      <c r="N28" s="7"/>
      <c r="O28" s="6"/>
      <c r="P28" s="6">
        <v>0</v>
      </c>
      <c r="Q28" s="6">
        <f t="shared" si="0"/>
        <v>0</v>
      </c>
      <c r="R28" s="6"/>
      <c r="S28" s="6" t="s">
        <v>963</v>
      </c>
      <c r="T28" s="6" t="s">
        <v>963</v>
      </c>
      <c r="U28" s="6"/>
      <c r="V28" s="6"/>
      <c r="W28" s="6"/>
      <c r="X28" s="6"/>
      <c r="Y28" s="6"/>
      <c r="Z28" s="6"/>
      <c r="AA28" s="6"/>
      <c r="AB28" s="6"/>
      <c r="AC28" s="6"/>
      <c r="AD28" s="6"/>
      <c r="AE28" t="s">
        <v>19</v>
      </c>
      <c r="AF28" t="s">
        <v>19</v>
      </c>
      <c r="AH28">
        <v>1</v>
      </c>
    </row>
    <row r="29" spans="1:34" ht="43.5">
      <c r="A29" t="s">
        <v>94</v>
      </c>
      <c r="B29" s="3" t="s">
        <v>418</v>
      </c>
      <c r="C29" s="3" t="s">
        <v>419</v>
      </c>
      <c r="F29" t="s">
        <v>19</v>
      </c>
      <c r="G29" s="6" t="s">
        <v>25</v>
      </c>
      <c r="H29" s="6"/>
      <c r="I29" s="6">
        <v>1</v>
      </c>
      <c r="J29" s="6">
        <v>5</v>
      </c>
      <c r="K29" s="6" t="s">
        <v>860</v>
      </c>
      <c r="L29" s="6" t="s">
        <v>809</v>
      </c>
      <c r="M29" s="6"/>
      <c r="N29" s="7"/>
      <c r="O29" s="6"/>
      <c r="P29" s="6">
        <v>4</v>
      </c>
      <c r="Q29" s="6">
        <f t="shared" si="0"/>
        <v>1.9667617268167963</v>
      </c>
      <c r="R29" s="6"/>
      <c r="S29" s="6" t="s">
        <v>963</v>
      </c>
      <c r="T29" s="6" t="s">
        <v>963</v>
      </c>
      <c r="U29" s="6"/>
      <c r="V29" s="6"/>
      <c r="W29" s="6"/>
      <c r="X29" s="6"/>
      <c r="Y29" s="6"/>
      <c r="Z29" s="6"/>
      <c r="AA29" s="6"/>
      <c r="AB29" s="6"/>
      <c r="AC29" s="6"/>
      <c r="AD29" s="6"/>
      <c r="AE29" t="s">
        <v>20</v>
      </c>
      <c r="AF29" t="s">
        <v>20</v>
      </c>
      <c r="AH29">
        <v>0</v>
      </c>
    </row>
    <row r="30" spans="1:34" ht="29">
      <c r="A30" t="s">
        <v>101</v>
      </c>
      <c r="B30" s="3" t="s">
        <v>424</v>
      </c>
      <c r="C30" s="3" t="s">
        <v>425</v>
      </c>
      <c r="F30" t="s">
        <v>19</v>
      </c>
      <c r="G30" s="6" t="s">
        <v>24</v>
      </c>
      <c r="H30" s="6"/>
      <c r="I30" s="6">
        <v>1</v>
      </c>
      <c r="J30" s="6">
        <v>2</v>
      </c>
      <c r="K30" s="6" t="s">
        <v>818</v>
      </c>
      <c r="L30" s="6" t="s">
        <v>850</v>
      </c>
      <c r="M30" s="6"/>
      <c r="N30" s="7"/>
      <c r="O30" s="6"/>
      <c r="P30" s="6">
        <v>171</v>
      </c>
      <c r="Q30" s="6">
        <f t="shared" si="0"/>
        <v>84.079063821418046</v>
      </c>
      <c r="R30" s="6"/>
      <c r="S30" s="6" t="s">
        <v>963</v>
      </c>
      <c r="T30" s="6" t="s">
        <v>963</v>
      </c>
      <c r="U30" s="6"/>
      <c r="V30" s="6"/>
      <c r="W30" s="6"/>
      <c r="X30" s="6"/>
      <c r="Y30" s="6"/>
      <c r="Z30" s="6"/>
      <c r="AA30" s="6"/>
      <c r="AB30" s="6"/>
      <c r="AC30" s="6"/>
      <c r="AD30" s="6"/>
      <c r="AE30" t="s">
        <v>20</v>
      </c>
      <c r="AF30" t="s">
        <v>20</v>
      </c>
      <c r="AH30">
        <v>0</v>
      </c>
    </row>
    <row r="31" spans="1:34" ht="58">
      <c r="A31" t="s">
        <v>110</v>
      </c>
      <c r="B31" s="3" t="s">
        <v>428</v>
      </c>
      <c r="C31" s="3" t="s">
        <v>429</v>
      </c>
      <c r="G31" s="6" t="s">
        <v>25</v>
      </c>
      <c r="H31" s="6"/>
      <c r="I31" s="6">
        <v>2</v>
      </c>
      <c r="J31" s="6">
        <v>8</v>
      </c>
      <c r="K31" s="6"/>
      <c r="L31" s="6" t="s">
        <v>809</v>
      </c>
      <c r="M31" s="6"/>
      <c r="N31" s="7"/>
      <c r="O31" s="6"/>
      <c r="P31" s="6">
        <v>115</v>
      </c>
      <c r="Q31" s="6">
        <f t="shared" si="0"/>
        <v>56.544399645982892</v>
      </c>
      <c r="R31" s="6"/>
      <c r="S31" s="6" t="s">
        <v>963</v>
      </c>
      <c r="T31" s="6" t="s">
        <v>963</v>
      </c>
      <c r="U31" s="6"/>
      <c r="V31" s="6"/>
      <c r="W31" s="6"/>
      <c r="X31" s="6"/>
      <c r="Y31" s="6"/>
      <c r="Z31" s="6"/>
      <c r="AA31" s="6"/>
      <c r="AB31" s="6"/>
      <c r="AC31" s="6"/>
      <c r="AD31" s="6"/>
      <c r="AE31" t="s">
        <v>19</v>
      </c>
      <c r="AF31" t="s">
        <v>19</v>
      </c>
      <c r="AH31">
        <v>1</v>
      </c>
    </row>
    <row r="32" spans="1:34" ht="43.5">
      <c r="A32" t="s">
        <v>114</v>
      </c>
      <c r="B32" s="3" t="s">
        <v>444</v>
      </c>
      <c r="C32" s="3" t="s">
        <v>443</v>
      </c>
      <c r="G32" s="6" t="s">
        <v>24</v>
      </c>
      <c r="H32" s="6"/>
      <c r="I32" s="6">
        <v>1</v>
      </c>
      <c r="J32" s="6">
        <v>5</v>
      </c>
      <c r="K32" s="6" t="s">
        <v>825</v>
      </c>
      <c r="L32" s="6" t="s">
        <v>809</v>
      </c>
      <c r="M32" s="6"/>
      <c r="N32" s="7"/>
      <c r="O32" s="6"/>
      <c r="P32" s="6">
        <v>830</v>
      </c>
      <c r="Q32" s="6">
        <f t="shared" si="0"/>
        <v>408.10305831448517</v>
      </c>
      <c r="R32" s="6"/>
      <c r="S32" s="6" t="s">
        <v>963</v>
      </c>
      <c r="T32" s="6" t="s">
        <v>963</v>
      </c>
      <c r="U32" s="6"/>
      <c r="V32" s="6"/>
      <c r="W32" s="6"/>
      <c r="X32" s="6"/>
      <c r="Y32" s="6"/>
      <c r="Z32" s="6"/>
      <c r="AA32" s="6"/>
      <c r="AB32" s="6"/>
      <c r="AC32" s="6"/>
      <c r="AD32" s="6"/>
      <c r="AE32" t="s">
        <v>19</v>
      </c>
      <c r="AF32" t="s">
        <v>19</v>
      </c>
      <c r="AH32">
        <v>1</v>
      </c>
    </row>
    <row r="33" spans="1:34" ht="58">
      <c r="A33" t="s">
        <v>122</v>
      </c>
      <c r="B33" s="3" t="s">
        <v>456</v>
      </c>
      <c r="C33" s="3" t="s">
        <v>455</v>
      </c>
      <c r="G33" s="6" t="s">
        <v>24</v>
      </c>
      <c r="H33" s="6"/>
      <c r="I33" s="6">
        <v>1</v>
      </c>
      <c r="J33" s="6">
        <v>3</v>
      </c>
      <c r="K33" s="6" t="s">
        <v>808</v>
      </c>
      <c r="L33" s="6" t="s">
        <v>809</v>
      </c>
      <c r="M33" s="6"/>
      <c r="N33" s="7"/>
      <c r="O33" s="6"/>
      <c r="P33" s="6">
        <v>2475</v>
      </c>
      <c r="Q33" s="6">
        <f t="shared" si="0"/>
        <v>1216.9338184678927</v>
      </c>
      <c r="R33" s="6"/>
      <c r="S33" s="6" t="s">
        <v>963</v>
      </c>
      <c r="T33" s="6" t="s">
        <v>963</v>
      </c>
      <c r="U33" s="6"/>
      <c r="V33" s="6"/>
      <c r="W33" s="6"/>
      <c r="X33" s="6"/>
      <c r="Y33" s="6"/>
      <c r="Z33" s="6"/>
      <c r="AA33" s="6"/>
      <c r="AB33" s="6"/>
      <c r="AC33" s="6"/>
      <c r="AD33" s="6"/>
      <c r="AE33" t="s">
        <v>19</v>
      </c>
      <c r="AF33" t="s">
        <v>20</v>
      </c>
      <c r="AH33">
        <v>1</v>
      </c>
    </row>
    <row r="34" spans="1:34" ht="43.5">
      <c r="A34" t="s">
        <v>123</v>
      </c>
      <c r="B34" s="3" t="s">
        <v>458</v>
      </c>
      <c r="C34" s="3" t="s">
        <v>457</v>
      </c>
      <c r="G34" s="6" t="s">
        <v>24</v>
      </c>
      <c r="H34" s="6"/>
      <c r="I34" s="6">
        <v>1</v>
      </c>
      <c r="J34" s="6">
        <v>3</v>
      </c>
      <c r="K34" s="6" t="s">
        <v>818</v>
      </c>
      <c r="L34" s="6" t="s">
        <v>809</v>
      </c>
      <c r="M34" s="6"/>
      <c r="N34" s="7"/>
      <c r="O34" s="6"/>
      <c r="P34" s="6">
        <v>86</v>
      </c>
      <c r="Q34" s="6">
        <f t="shared" si="0"/>
        <v>42.285377126561116</v>
      </c>
      <c r="R34" s="6"/>
      <c r="S34" s="6" t="s">
        <v>963</v>
      </c>
      <c r="T34" s="6" t="s">
        <v>963</v>
      </c>
      <c r="U34" s="6"/>
      <c r="V34" s="6"/>
      <c r="W34" s="6"/>
      <c r="X34" s="6"/>
      <c r="Y34" s="6"/>
      <c r="Z34" s="6"/>
      <c r="AA34" s="6"/>
      <c r="AB34" s="6"/>
      <c r="AC34" s="6"/>
      <c r="AD34" s="6"/>
      <c r="AE34" t="s">
        <v>19</v>
      </c>
      <c r="AF34" t="s">
        <v>19</v>
      </c>
      <c r="AH34">
        <v>1</v>
      </c>
    </row>
    <row r="35" spans="1:34" ht="72.5">
      <c r="A35" t="s">
        <v>125</v>
      </c>
      <c r="B35" s="3" t="s">
        <v>460</v>
      </c>
      <c r="C35" s="3" t="s">
        <v>461</v>
      </c>
      <c r="G35" s="6" t="s">
        <v>25</v>
      </c>
      <c r="H35" s="6"/>
      <c r="I35" s="6">
        <v>1</v>
      </c>
      <c r="J35" s="6">
        <v>3</v>
      </c>
      <c r="K35" s="6" t="s">
        <v>818</v>
      </c>
      <c r="L35" s="6" t="s">
        <v>809</v>
      </c>
      <c r="M35" s="6"/>
      <c r="N35" s="7"/>
      <c r="O35" s="6"/>
      <c r="P35" s="6">
        <v>1701</v>
      </c>
      <c r="Q35" s="6">
        <f t="shared" si="0"/>
        <v>836.36542432884255</v>
      </c>
      <c r="R35" s="6"/>
      <c r="S35" s="6" t="s">
        <v>963</v>
      </c>
      <c r="T35" s="6" t="s">
        <v>963</v>
      </c>
      <c r="U35" s="6"/>
      <c r="V35" s="6"/>
      <c r="W35" s="6"/>
      <c r="X35" s="6"/>
      <c r="Y35" s="6"/>
      <c r="Z35" s="6"/>
      <c r="AA35" s="6"/>
      <c r="AB35" s="6"/>
      <c r="AC35" s="6"/>
      <c r="AD35" s="6"/>
      <c r="AE35" t="s">
        <v>19</v>
      </c>
      <c r="AF35" t="s">
        <v>19</v>
      </c>
      <c r="AH35">
        <v>1</v>
      </c>
    </row>
    <row r="36" spans="1:34" ht="72.5">
      <c r="A36" t="s">
        <v>125</v>
      </c>
      <c r="B36" s="3" t="s">
        <v>463</v>
      </c>
      <c r="C36" s="3" t="s">
        <v>462</v>
      </c>
      <c r="G36" s="6" t="s">
        <v>25</v>
      </c>
      <c r="H36" s="6"/>
      <c r="I36" s="6">
        <v>2</v>
      </c>
      <c r="J36" s="6">
        <v>8</v>
      </c>
      <c r="K36" s="6"/>
      <c r="L36" s="6" t="s">
        <v>809</v>
      </c>
      <c r="M36" s="6"/>
      <c r="N36" s="7"/>
      <c r="O36" s="6"/>
      <c r="P36" s="6">
        <v>115</v>
      </c>
      <c r="Q36" s="6">
        <f t="shared" si="0"/>
        <v>56.544399645982892</v>
      </c>
      <c r="R36" s="6"/>
      <c r="S36" s="6" t="s">
        <v>963</v>
      </c>
      <c r="T36" s="6" t="s">
        <v>963</v>
      </c>
      <c r="U36" s="6"/>
      <c r="V36" s="6"/>
      <c r="W36" s="6"/>
      <c r="X36" s="6"/>
      <c r="Y36" s="6"/>
      <c r="Z36" s="6"/>
      <c r="AA36" s="6"/>
      <c r="AB36" s="6"/>
      <c r="AC36" s="6"/>
      <c r="AD36" s="6"/>
      <c r="AE36" t="s">
        <v>19</v>
      </c>
      <c r="AF36" t="s">
        <v>19</v>
      </c>
      <c r="AH36">
        <v>1</v>
      </c>
    </row>
    <row r="37" spans="1:34" ht="29">
      <c r="A37" t="s">
        <v>129</v>
      </c>
      <c r="B37" s="3" t="s">
        <v>474</v>
      </c>
      <c r="C37" s="3" t="s">
        <v>475</v>
      </c>
      <c r="G37" s="6" t="s">
        <v>25</v>
      </c>
      <c r="H37" s="6"/>
      <c r="I37" s="6">
        <v>1</v>
      </c>
      <c r="J37" s="6">
        <v>3</v>
      </c>
      <c r="K37" s="6" t="s">
        <v>808</v>
      </c>
      <c r="L37" s="6" t="s">
        <v>809</v>
      </c>
      <c r="M37" s="6"/>
      <c r="N37" s="7"/>
      <c r="O37" s="6"/>
      <c r="P37" s="6">
        <v>2475</v>
      </c>
      <c r="Q37" s="6">
        <f t="shared" si="0"/>
        <v>1216.9338184678927</v>
      </c>
      <c r="R37" s="6"/>
      <c r="S37" s="6" t="s">
        <v>963</v>
      </c>
      <c r="T37" s="6" t="s">
        <v>963</v>
      </c>
      <c r="U37" s="6"/>
      <c r="V37" s="6"/>
      <c r="W37" s="6"/>
      <c r="X37" s="6"/>
      <c r="Y37" s="6"/>
      <c r="Z37" s="6"/>
      <c r="AA37" s="6"/>
      <c r="AB37" s="6"/>
      <c r="AC37" s="6"/>
      <c r="AD37" s="6"/>
      <c r="AE37" t="s">
        <v>19</v>
      </c>
      <c r="AF37" t="s">
        <v>19</v>
      </c>
      <c r="AH37">
        <v>1</v>
      </c>
    </row>
    <row r="38" spans="1:34" ht="58">
      <c r="A38" t="s">
        <v>130</v>
      </c>
      <c r="B38" s="3" t="s">
        <v>477</v>
      </c>
      <c r="C38" s="3" t="s">
        <v>476</v>
      </c>
      <c r="G38" s="6" t="s">
        <v>25</v>
      </c>
      <c r="H38" s="6"/>
      <c r="I38" s="6">
        <v>2</v>
      </c>
      <c r="J38" s="6">
        <v>4</v>
      </c>
      <c r="K38" s="6"/>
      <c r="L38" s="6" t="s">
        <v>809</v>
      </c>
      <c r="M38" s="6"/>
      <c r="N38" s="7"/>
      <c r="O38" s="6"/>
      <c r="P38" s="6">
        <v>99</v>
      </c>
      <c r="Q38" s="6">
        <f t="shared" si="0"/>
        <v>48.677352738715705</v>
      </c>
      <c r="R38" s="6"/>
      <c r="S38" s="6" t="s">
        <v>963</v>
      </c>
      <c r="T38" s="6" t="s">
        <v>963</v>
      </c>
      <c r="U38" s="6"/>
      <c r="V38" s="6"/>
      <c r="W38" s="6"/>
      <c r="X38" s="6"/>
      <c r="Y38" s="6"/>
      <c r="Z38" s="6"/>
      <c r="AA38" s="6"/>
      <c r="AB38" s="6"/>
      <c r="AC38" s="6"/>
      <c r="AD38" s="6"/>
      <c r="AE38" t="s">
        <v>19</v>
      </c>
      <c r="AF38" t="s">
        <v>20</v>
      </c>
      <c r="AH38">
        <v>1</v>
      </c>
    </row>
    <row r="39" spans="1:34" ht="101.5">
      <c r="A39" t="s">
        <v>131</v>
      </c>
      <c r="B39" s="3" t="s">
        <v>481</v>
      </c>
      <c r="C39" s="3" t="s">
        <v>480</v>
      </c>
      <c r="G39" s="6" t="s">
        <v>25</v>
      </c>
      <c r="H39" s="6"/>
      <c r="I39" s="6">
        <v>1</v>
      </c>
      <c r="J39" s="6">
        <v>2</v>
      </c>
      <c r="K39" s="6" t="s">
        <v>808</v>
      </c>
      <c r="L39" s="6" t="s">
        <v>850</v>
      </c>
      <c r="M39" s="6"/>
      <c r="N39" s="7"/>
      <c r="O39" s="6"/>
      <c r="P39" s="6">
        <v>2475</v>
      </c>
      <c r="Q39" s="6">
        <f t="shared" si="0"/>
        <v>1216.9338184678927</v>
      </c>
      <c r="R39" s="6"/>
      <c r="S39" s="6" t="s">
        <v>963</v>
      </c>
      <c r="T39" s="6" t="s">
        <v>963</v>
      </c>
      <c r="U39" s="6"/>
      <c r="V39" s="6"/>
      <c r="W39" s="6"/>
      <c r="X39" s="6"/>
      <c r="Y39" s="6"/>
      <c r="Z39" s="6"/>
      <c r="AA39" s="6"/>
      <c r="AB39" s="6"/>
      <c r="AC39" s="6"/>
      <c r="AD39" s="6"/>
      <c r="AE39" t="s">
        <v>19</v>
      </c>
      <c r="AF39" t="s">
        <v>19</v>
      </c>
      <c r="AH39">
        <v>1</v>
      </c>
    </row>
    <row r="40" spans="1:34" ht="58">
      <c r="A40" t="s">
        <v>131</v>
      </c>
      <c r="B40" s="3" t="s">
        <v>484</v>
      </c>
      <c r="C40" s="3" t="s">
        <v>485</v>
      </c>
      <c r="G40" s="6" t="s">
        <v>25</v>
      </c>
      <c r="H40" s="6"/>
      <c r="I40" s="6">
        <v>3</v>
      </c>
      <c r="J40" s="6">
        <v>8</v>
      </c>
      <c r="K40" s="6"/>
      <c r="L40" s="6" t="s">
        <v>803</v>
      </c>
      <c r="M40" s="6" t="s">
        <v>873</v>
      </c>
      <c r="N40" s="7" t="s">
        <v>894</v>
      </c>
      <c r="O40" s="6"/>
      <c r="P40" s="6">
        <v>86</v>
      </c>
      <c r="Q40" s="6">
        <f t="shared" si="0"/>
        <v>42.285377126561116</v>
      </c>
      <c r="R40" s="6"/>
      <c r="S40" s="6" t="s">
        <v>963</v>
      </c>
      <c r="T40" s="6" t="s">
        <v>963</v>
      </c>
      <c r="U40" s="6"/>
      <c r="V40" s="6"/>
      <c r="W40" s="6"/>
      <c r="X40" s="6"/>
      <c r="Y40" s="6"/>
      <c r="Z40" s="6"/>
      <c r="AA40" s="6"/>
      <c r="AB40" s="6"/>
      <c r="AC40" s="6"/>
      <c r="AD40" s="6"/>
      <c r="AE40" t="s">
        <v>19</v>
      </c>
      <c r="AF40" t="s">
        <v>20</v>
      </c>
      <c r="AH40">
        <v>1</v>
      </c>
    </row>
    <row r="41" spans="1:34" ht="43.5">
      <c r="A41" t="s">
        <v>151</v>
      </c>
      <c r="B41" s="3" t="s">
        <v>500</v>
      </c>
      <c r="C41" s="3" t="s">
        <v>501</v>
      </c>
      <c r="G41" s="6" t="s">
        <v>24</v>
      </c>
      <c r="H41" s="6"/>
      <c r="I41" s="6">
        <v>1</v>
      </c>
      <c r="J41" s="6">
        <v>3</v>
      </c>
      <c r="K41" s="6" t="s">
        <v>808</v>
      </c>
      <c r="L41" s="6" t="s">
        <v>809</v>
      </c>
      <c r="M41" s="6"/>
      <c r="N41" s="7"/>
      <c r="O41" s="6"/>
      <c r="P41" s="6">
        <v>2475</v>
      </c>
      <c r="Q41" s="6">
        <f t="shared" si="0"/>
        <v>1216.9338184678927</v>
      </c>
      <c r="R41" s="6"/>
      <c r="S41" s="6" t="s">
        <v>963</v>
      </c>
      <c r="T41" s="6" t="s">
        <v>963</v>
      </c>
      <c r="U41" s="6"/>
      <c r="V41" s="6"/>
      <c r="W41" s="6"/>
      <c r="X41" s="6"/>
      <c r="Y41" s="6"/>
      <c r="Z41" s="6"/>
      <c r="AA41" s="6"/>
      <c r="AB41" s="6"/>
      <c r="AC41" s="6"/>
      <c r="AD41" s="6"/>
      <c r="AE41" t="s">
        <v>19</v>
      </c>
      <c r="AF41" t="s">
        <v>20</v>
      </c>
      <c r="AH41">
        <v>1</v>
      </c>
    </row>
    <row r="42" spans="1:34" ht="29">
      <c r="A42" t="s">
        <v>152</v>
      </c>
      <c r="B42" s="3" t="s">
        <v>502</v>
      </c>
      <c r="C42" s="3" t="s">
        <v>315</v>
      </c>
      <c r="G42" s="6" t="s">
        <v>25</v>
      </c>
      <c r="H42" s="6"/>
      <c r="I42" s="6">
        <v>1</v>
      </c>
      <c r="J42" s="6">
        <v>3</v>
      </c>
      <c r="K42" s="6" t="s">
        <v>808</v>
      </c>
      <c r="L42" s="6" t="s">
        <v>809</v>
      </c>
      <c r="M42" s="6"/>
      <c r="N42" s="7"/>
      <c r="O42" s="6"/>
      <c r="P42" s="6">
        <v>2475</v>
      </c>
      <c r="Q42" s="6">
        <f t="shared" si="0"/>
        <v>1216.9338184678927</v>
      </c>
      <c r="R42" s="6"/>
      <c r="S42" s="6" t="s">
        <v>963</v>
      </c>
      <c r="T42" s="6" t="s">
        <v>963</v>
      </c>
      <c r="U42" s="6"/>
      <c r="V42" s="6"/>
      <c r="W42" s="6"/>
      <c r="X42" s="6"/>
      <c r="Y42" s="6"/>
      <c r="Z42" s="6"/>
      <c r="AA42" s="6"/>
      <c r="AB42" s="6"/>
      <c r="AC42" s="6"/>
      <c r="AD42" s="6"/>
      <c r="AE42" t="s">
        <v>19</v>
      </c>
      <c r="AF42" t="s">
        <v>19</v>
      </c>
      <c r="AH42">
        <v>1</v>
      </c>
    </row>
    <row r="43" spans="1:34" ht="72.5">
      <c r="A43" t="s">
        <v>152</v>
      </c>
      <c r="B43" s="3" t="s">
        <v>503</v>
      </c>
      <c r="C43" s="3" t="s">
        <v>504</v>
      </c>
      <c r="G43" s="6" t="s">
        <v>24</v>
      </c>
      <c r="H43" s="6"/>
      <c r="I43" s="6">
        <v>1</v>
      </c>
      <c r="J43" s="6">
        <v>4</v>
      </c>
      <c r="K43" s="6" t="s">
        <v>825</v>
      </c>
      <c r="L43" s="6" t="s">
        <v>809</v>
      </c>
      <c r="M43" s="6"/>
      <c r="N43" s="7"/>
      <c r="O43" s="6"/>
      <c r="P43" s="6">
        <v>312</v>
      </c>
      <c r="Q43" s="6">
        <f t="shared" si="0"/>
        <v>153.4074146917101</v>
      </c>
      <c r="R43" s="6"/>
      <c r="S43" s="6" t="s">
        <v>963</v>
      </c>
      <c r="T43" s="6" t="s">
        <v>963</v>
      </c>
      <c r="U43" s="6"/>
      <c r="V43" s="6"/>
      <c r="W43" s="6"/>
      <c r="X43" s="6"/>
      <c r="Y43" s="6"/>
      <c r="Z43" s="6"/>
      <c r="AA43" s="6"/>
      <c r="AB43" s="6"/>
      <c r="AC43" s="6"/>
      <c r="AD43" s="6"/>
      <c r="AE43" t="s">
        <v>19</v>
      </c>
      <c r="AF43" t="s">
        <v>19</v>
      </c>
      <c r="AH43">
        <v>1</v>
      </c>
    </row>
    <row r="44" spans="1:34" ht="72.5">
      <c r="A44" t="s">
        <v>158</v>
      </c>
      <c r="B44" s="3" t="s">
        <v>510</v>
      </c>
      <c r="C44" s="3" t="s">
        <v>509</v>
      </c>
      <c r="G44" s="6" t="s">
        <v>25</v>
      </c>
      <c r="H44" s="6"/>
      <c r="I44" s="6">
        <v>3</v>
      </c>
      <c r="J44" s="6">
        <v>14</v>
      </c>
      <c r="K44" s="6"/>
      <c r="L44" s="6" t="s">
        <v>803</v>
      </c>
      <c r="M44" s="6" t="s">
        <v>873</v>
      </c>
      <c r="N44" s="7" t="s">
        <v>895</v>
      </c>
      <c r="O44" s="6"/>
      <c r="P44" s="6">
        <v>7</v>
      </c>
      <c r="Q44" s="6">
        <f t="shared" si="0"/>
        <v>3.4418330219293933</v>
      </c>
      <c r="R44" s="6"/>
      <c r="S44" s="6" t="s">
        <v>963</v>
      </c>
      <c r="T44" s="6" t="s">
        <v>963</v>
      </c>
      <c r="U44" s="6"/>
      <c r="V44" s="6"/>
      <c r="W44" s="6"/>
      <c r="X44" s="6"/>
      <c r="Y44" s="6"/>
      <c r="Z44" s="6"/>
      <c r="AA44" s="6"/>
      <c r="AB44" s="6"/>
      <c r="AC44" s="6"/>
      <c r="AD44" s="6"/>
      <c r="AE44" t="s">
        <v>19</v>
      </c>
      <c r="AF44" t="s">
        <v>20</v>
      </c>
      <c r="AH44">
        <v>1</v>
      </c>
    </row>
    <row r="45" spans="1:34" ht="87">
      <c r="A45" t="s">
        <v>159</v>
      </c>
      <c r="B45" s="3" t="s">
        <v>511</v>
      </c>
      <c r="C45" s="3" t="s">
        <v>512</v>
      </c>
      <c r="G45" s="6" t="s">
        <v>24</v>
      </c>
      <c r="H45" s="6"/>
      <c r="I45" s="6">
        <v>1</v>
      </c>
      <c r="J45" s="6">
        <v>2</v>
      </c>
      <c r="K45" s="6" t="s">
        <v>827</v>
      </c>
      <c r="L45" s="6" t="s">
        <v>850</v>
      </c>
      <c r="M45" s="6"/>
      <c r="N45" s="7"/>
      <c r="O45" s="6"/>
      <c r="P45" s="6">
        <v>613</v>
      </c>
      <c r="Q45" s="6">
        <f t="shared" si="0"/>
        <v>301.40623463467404</v>
      </c>
      <c r="R45" s="6"/>
      <c r="S45" s="6" t="s">
        <v>963</v>
      </c>
      <c r="T45" s="6" t="s">
        <v>963</v>
      </c>
      <c r="U45" s="6"/>
      <c r="V45" s="6"/>
      <c r="W45" s="6"/>
      <c r="X45" s="6"/>
      <c r="Y45" s="6"/>
      <c r="Z45" s="6"/>
      <c r="AA45" s="6"/>
      <c r="AB45" s="6"/>
      <c r="AC45" s="6"/>
      <c r="AD45" s="6"/>
      <c r="AE45" t="s">
        <v>19</v>
      </c>
      <c r="AF45" t="s">
        <v>20</v>
      </c>
      <c r="AH45">
        <v>1</v>
      </c>
    </row>
    <row r="46" spans="1:34" ht="87">
      <c r="A46" t="s">
        <v>159</v>
      </c>
      <c r="B46" s="3" t="s">
        <v>511</v>
      </c>
      <c r="C46" s="3" t="s">
        <v>513</v>
      </c>
      <c r="G46" s="6" t="s">
        <v>24</v>
      </c>
      <c r="H46" s="6"/>
      <c r="I46" s="6">
        <v>1</v>
      </c>
      <c r="J46" s="6">
        <v>1</v>
      </c>
      <c r="K46" s="6" t="s">
        <v>802</v>
      </c>
      <c r="L46" s="6" t="s">
        <v>850</v>
      </c>
      <c r="M46" s="6"/>
      <c r="N46" s="7"/>
      <c r="O46" s="6"/>
      <c r="P46" s="6">
        <v>9</v>
      </c>
      <c r="Q46" s="6">
        <f t="shared" si="0"/>
        <v>4.4252138853377909</v>
      </c>
      <c r="R46" s="6"/>
      <c r="S46" s="6" t="s">
        <v>963</v>
      </c>
      <c r="T46" s="6" t="s">
        <v>963</v>
      </c>
      <c r="U46" s="6"/>
      <c r="V46" s="6"/>
      <c r="W46" s="6"/>
      <c r="X46" s="6"/>
      <c r="Y46" s="6"/>
      <c r="Z46" s="6"/>
      <c r="AA46" s="6"/>
      <c r="AB46" s="6"/>
      <c r="AC46" s="6"/>
      <c r="AD46" s="6"/>
      <c r="AE46" t="s">
        <v>19</v>
      </c>
      <c r="AF46" t="s">
        <v>19</v>
      </c>
      <c r="AH46">
        <v>1</v>
      </c>
    </row>
    <row r="47" spans="1:34" ht="87">
      <c r="A47" t="s">
        <v>159</v>
      </c>
      <c r="B47" s="3" t="s">
        <v>511</v>
      </c>
      <c r="C47" s="3" t="s">
        <v>514</v>
      </c>
      <c r="G47" s="6" t="s">
        <v>24</v>
      </c>
      <c r="H47" s="6"/>
      <c r="I47" s="6">
        <v>1</v>
      </c>
      <c r="J47" s="6">
        <v>3</v>
      </c>
      <c r="K47" s="6" t="s">
        <v>808</v>
      </c>
      <c r="L47" s="6" t="s">
        <v>809</v>
      </c>
      <c r="M47" s="6"/>
      <c r="N47" s="7"/>
      <c r="O47" s="6"/>
      <c r="P47" s="6">
        <v>2475</v>
      </c>
      <c r="Q47" s="6">
        <f t="shared" si="0"/>
        <v>1216.9338184678927</v>
      </c>
      <c r="R47" s="6"/>
      <c r="S47" s="6" t="s">
        <v>963</v>
      </c>
      <c r="T47" s="6" t="s">
        <v>963</v>
      </c>
      <c r="U47" s="6"/>
      <c r="V47" s="6"/>
      <c r="W47" s="6"/>
      <c r="X47" s="6"/>
      <c r="Y47" s="6"/>
      <c r="Z47" s="6"/>
      <c r="AA47" s="6"/>
      <c r="AB47" s="6"/>
      <c r="AC47" s="6"/>
      <c r="AD47" s="6"/>
      <c r="AE47" t="s">
        <v>19</v>
      </c>
      <c r="AF47" t="s">
        <v>19</v>
      </c>
      <c r="AH47">
        <v>1</v>
      </c>
    </row>
    <row r="48" spans="1:34" ht="101.5">
      <c r="A48" t="s">
        <v>162</v>
      </c>
      <c r="B48" s="3" t="s">
        <v>515</v>
      </c>
      <c r="C48" s="3" t="s">
        <v>516</v>
      </c>
      <c r="G48" s="6" t="s">
        <v>24</v>
      </c>
      <c r="H48" s="6"/>
      <c r="I48" s="6">
        <v>1</v>
      </c>
      <c r="J48" s="6">
        <v>2</v>
      </c>
      <c r="K48" s="6" t="s">
        <v>825</v>
      </c>
      <c r="L48" s="6" t="s">
        <v>850</v>
      </c>
      <c r="M48" s="6"/>
      <c r="N48" s="7"/>
      <c r="O48" s="6"/>
      <c r="P48" s="6">
        <v>35</v>
      </c>
      <c r="Q48" s="6">
        <f t="shared" si="0"/>
        <v>17.209165109646968</v>
      </c>
      <c r="R48" s="6"/>
      <c r="S48" s="6" t="s">
        <v>963</v>
      </c>
      <c r="T48" s="6" t="s">
        <v>963</v>
      </c>
      <c r="U48" s="6"/>
      <c r="V48" s="6"/>
      <c r="W48" s="6"/>
      <c r="X48" s="6"/>
      <c r="Y48" s="6"/>
      <c r="Z48" s="6"/>
      <c r="AA48" s="6"/>
      <c r="AB48" s="6"/>
      <c r="AC48" s="6"/>
      <c r="AD48" s="6"/>
      <c r="AE48" t="s">
        <v>19</v>
      </c>
      <c r="AF48" t="s">
        <v>19</v>
      </c>
      <c r="AH48">
        <v>1</v>
      </c>
    </row>
    <row r="49" spans="1:34" ht="58">
      <c r="A49" t="s">
        <v>165</v>
      </c>
      <c r="B49" s="3" t="s">
        <v>524</v>
      </c>
      <c r="C49" s="3" t="s">
        <v>523</v>
      </c>
      <c r="G49" s="6" t="s">
        <v>25</v>
      </c>
      <c r="H49" s="6"/>
      <c r="I49" s="6">
        <v>1</v>
      </c>
      <c r="J49" s="6">
        <v>3</v>
      </c>
      <c r="K49" s="6" t="s">
        <v>808</v>
      </c>
      <c r="L49" s="6" t="s">
        <v>809</v>
      </c>
      <c r="M49" s="6"/>
      <c r="N49" s="7"/>
      <c r="O49" s="6"/>
      <c r="P49" s="6">
        <v>2475</v>
      </c>
      <c r="Q49" s="6">
        <f t="shared" si="0"/>
        <v>1216.9338184678927</v>
      </c>
      <c r="R49" s="6"/>
      <c r="S49" s="6" t="s">
        <v>963</v>
      </c>
      <c r="T49" s="6" t="s">
        <v>963</v>
      </c>
      <c r="U49" s="6"/>
      <c r="V49" s="6"/>
      <c r="W49" s="6"/>
      <c r="X49" s="6"/>
      <c r="Y49" s="6"/>
      <c r="Z49" s="6"/>
      <c r="AA49" s="6"/>
      <c r="AB49" s="6"/>
      <c r="AC49" s="6"/>
      <c r="AD49" s="6"/>
      <c r="AE49" t="s">
        <v>19</v>
      </c>
      <c r="AF49" t="s">
        <v>20</v>
      </c>
      <c r="AH49">
        <v>1</v>
      </c>
    </row>
    <row r="50" spans="1:34" ht="43.5">
      <c r="A50" t="s">
        <v>167</v>
      </c>
      <c r="B50" s="3" t="s">
        <v>529</v>
      </c>
      <c r="C50" s="3" t="s">
        <v>530</v>
      </c>
      <c r="G50" s="6" t="s">
        <v>24</v>
      </c>
      <c r="H50" s="6"/>
      <c r="I50" s="6">
        <v>1</v>
      </c>
      <c r="J50" s="6">
        <v>2</v>
      </c>
      <c r="K50" s="6" t="s">
        <v>808</v>
      </c>
      <c r="L50" s="6" t="s">
        <v>850</v>
      </c>
      <c r="M50" s="6"/>
      <c r="N50" s="7"/>
      <c r="O50" s="6" t="s">
        <v>804</v>
      </c>
      <c r="P50" s="6">
        <v>2475</v>
      </c>
      <c r="Q50" s="6">
        <f t="shared" si="0"/>
        <v>1216.9338184678927</v>
      </c>
      <c r="R50" s="6"/>
      <c r="S50" s="6" t="s">
        <v>963</v>
      </c>
      <c r="T50" s="6" t="s">
        <v>963</v>
      </c>
      <c r="U50" s="6"/>
      <c r="V50" s="6"/>
      <c r="W50" s="6"/>
      <c r="X50" s="6"/>
      <c r="Y50" s="6"/>
      <c r="Z50" s="6"/>
      <c r="AA50" s="6"/>
      <c r="AB50" s="6"/>
      <c r="AC50" s="6"/>
      <c r="AD50" s="6"/>
      <c r="AE50" t="s">
        <v>19</v>
      </c>
      <c r="AF50" t="s">
        <v>19</v>
      </c>
      <c r="AH50">
        <v>1</v>
      </c>
    </row>
    <row r="51" spans="1:34" ht="58">
      <c r="A51" t="s">
        <v>170</v>
      </c>
      <c r="B51" s="3" t="s">
        <v>533</v>
      </c>
      <c r="C51" s="3" t="s">
        <v>536</v>
      </c>
      <c r="G51" s="6" t="s">
        <v>24</v>
      </c>
      <c r="H51" s="6"/>
      <c r="I51" s="6">
        <v>1</v>
      </c>
      <c r="J51" s="6">
        <v>1</v>
      </c>
      <c r="K51" s="6" t="s">
        <v>808</v>
      </c>
      <c r="L51" s="6" t="s">
        <v>850</v>
      </c>
      <c r="M51" s="6"/>
      <c r="N51" s="7"/>
      <c r="O51" s="6"/>
      <c r="P51" s="6">
        <v>2475</v>
      </c>
      <c r="Q51" s="6">
        <f t="shared" si="0"/>
        <v>1216.9338184678927</v>
      </c>
      <c r="R51" s="6"/>
      <c r="S51" s="6" t="s">
        <v>963</v>
      </c>
      <c r="T51" s="6" t="s">
        <v>963</v>
      </c>
      <c r="U51" s="6"/>
      <c r="V51" s="6"/>
      <c r="W51" s="6"/>
      <c r="X51" s="6"/>
      <c r="Y51" s="6"/>
      <c r="Z51" s="6"/>
      <c r="AA51" s="6"/>
      <c r="AB51" s="6"/>
      <c r="AC51" s="6"/>
      <c r="AD51" s="6"/>
      <c r="AE51" t="s">
        <v>19</v>
      </c>
      <c r="AF51" t="s">
        <v>19</v>
      </c>
      <c r="AH51">
        <v>1</v>
      </c>
    </row>
    <row r="52" spans="1:34" ht="58">
      <c r="A52" t="s">
        <v>171</v>
      </c>
      <c r="B52" s="3" t="s">
        <v>546</v>
      </c>
      <c r="C52" s="3" t="s">
        <v>545</v>
      </c>
      <c r="G52" s="6" t="s">
        <v>25</v>
      </c>
      <c r="H52" s="6"/>
      <c r="I52" s="6">
        <v>1</v>
      </c>
      <c r="J52" s="6">
        <v>3</v>
      </c>
      <c r="K52" s="6" t="s">
        <v>854</v>
      </c>
      <c r="L52" s="6" t="s">
        <v>809</v>
      </c>
      <c r="M52" s="6"/>
      <c r="N52" s="7"/>
      <c r="O52" s="6"/>
      <c r="P52" s="6">
        <v>14</v>
      </c>
      <c r="Q52" s="6">
        <f t="shared" si="0"/>
        <v>6.8836660438587867</v>
      </c>
      <c r="R52" s="6"/>
      <c r="S52" s="6" t="s">
        <v>963</v>
      </c>
      <c r="T52" s="6" t="s">
        <v>963</v>
      </c>
      <c r="U52" s="6" t="s">
        <v>4</v>
      </c>
      <c r="V52" s="6"/>
      <c r="W52" s="6"/>
      <c r="X52" s="6"/>
      <c r="Y52" s="6"/>
      <c r="Z52" s="6"/>
      <c r="AA52" s="6"/>
      <c r="AB52" s="6"/>
      <c r="AC52" s="6"/>
      <c r="AD52" s="6"/>
      <c r="AE52" t="s">
        <v>19</v>
      </c>
      <c r="AF52" t="s">
        <v>19</v>
      </c>
      <c r="AH52">
        <v>1</v>
      </c>
    </row>
    <row r="53" spans="1:34" ht="43.5">
      <c r="A53" t="s">
        <v>172</v>
      </c>
      <c r="B53" s="3" t="s">
        <v>549</v>
      </c>
      <c r="C53" s="3" t="s">
        <v>550</v>
      </c>
      <c r="G53" s="6" t="s">
        <v>25</v>
      </c>
      <c r="H53" s="6"/>
      <c r="I53" s="6">
        <v>1</v>
      </c>
      <c r="J53" s="6">
        <v>3</v>
      </c>
      <c r="K53" s="6" t="s">
        <v>818</v>
      </c>
      <c r="L53" s="6" t="s">
        <v>809</v>
      </c>
      <c r="M53" s="6"/>
      <c r="N53" s="7"/>
      <c r="O53" s="6"/>
      <c r="P53" s="6">
        <v>1701</v>
      </c>
      <c r="Q53" s="6">
        <f t="shared" si="0"/>
        <v>836.36542432884255</v>
      </c>
      <c r="R53" s="6"/>
      <c r="S53" s="6" t="s">
        <v>963</v>
      </c>
      <c r="T53" s="6" t="s">
        <v>963</v>
      </c>
      <c r="U53" s="6"/>
      <c r="V53" s="6"/>
      <c r="W53" s="6"/>
      <c r="X53" s="6"/>
      <c r="Y53" s="6"/>
      <c r="Z53" s="6"/>
      <c r="AA53" s="6"/>
      <c r="AB53" s="6"/>
      <c r="AC53" s="6"/>
      <c r="AD53" s="6"/>
      <c r="AE53" t="s">
        <v>19</v>
      </c>
      <c r="AF53" t="s">
        <v>19</v>
      </c>
      <c r="AH53">
        <v>1</v>
      </c>
    </row>
    <row r="54" spans="1:34" ht="87">
      <c r="A54" t="s">
        <v>172</v>
      </c>
      <c r="B54" s="3" t="s">
        <v>552</v>
      </c>
      <c r="C54" s="3" t="s">
        <v>555</v>
      </c>
      <c r="G54" s="6" t="s">
        <v>24</v>
      </c>
      <c r="H54" s="6"/>
      <c r="I54" s="6">
        <v>1</v>
      </c>
      <c r="J54" s="6">
        <v>2</v>
      </c>
      <c r="K54" s="6" t="s">
        <v>808</v>
      </c>
      <c r="L54" s="6" t="s">
        <v>850</v>
      </c>
      <c r="M54" s="6"/>
      <c r="N54" s="7"/>
      <c r="O54" s="6"/>
      <c r="P54" s="6">
        <v>2475</v>
      </c>
      <c r="Q54" s="6">
        <f t="shared" si="0"/>
        <v>1216.9338184678927</v>
      </c>
      <c r="R54" s="6"/>
      <c r="S54" s="6" t="s">
        <v>963</v>
      </c>
      <c r="T54" s="6" t="s">
        <v>963</v>
      </c>
      <c r="U54" s="6"/>
      <c r="V54" s="6"/>
      <c r="W54" s="6"/>
      <c r="X54" s="6"/>
      <c r="Y54" s="6"/>
      <c r="Z54" s="6"/>
      <c r="AA54" s="6"/>
      <c r="AB54" s="6"/>
      <c r="AC54" s="6"/>
      <c r="AD54" s="6"/>
      <c r="AE54" t="s">
        <v>19</v>
      </c>
      <c r="AF54" t="s">
        <v>19</v>
      </c>
      <c r="AH54">
        <v>1</v>
      </c>
    </row>
    <row r="55" spans="1:34" ht="29">
      <c r="A55" t="s">
        <v>177</v>
      </c>
      <c r="B55" s="3" t="s">
        <v>564</v>
      </c>
      <c r="C55" s="3" t="s">
        <v>563</v>
      </c>
      <c r="G55" s="6" t="s">
        <v>25</v>
      </c>
      <c r="H55" s="6"/>
      <c r="I55" s="6">
        <v>1</v>
      </c>
      <c r="J55" s="6">
        <v>1</v>
      </c>
      <c r="K55" s="6" t="s">
        <v>808</v>
      </c>
      <c r="L55" s="6" t="s">
        <v>850</v>
      </c>
      <c r="M55" s="6"/>
      <c r="N55" s="7"/>
      <c r="O55" s="6"/>
      <c r="P55" s="6">
        <v>2475</v>
      </c>
      <c r="Q55" s="6">
        <f t="shared" si="0"/>
        <v>1216.9338184678927</v>
      </c>
      <c r="R55" s="6"/>
      <c r="S55" s="6" t="s">
        <v>963</v>
      </c>
      <c r="T55" s="6" t="s">
        <v>963</v>
      </c>
      <c r="U55" s="6"/>
      <c r="V55" s="6"/>
      <c r="W55" s="6"/>
      <c r="X55" s="6"/>
      <c r="Y55" s="6"/>
      <c r="Z55" s="6"/>
      <c r="AA55" s="6"/>
      <c r="AB55" s="6"/>
      <c r="AC55" s="6"/>
      <c r="AD55" s="6"/>
      <c r="AE55" t="s">
        <v>19</v>
      </c>
      <c r="AH55">
        <v>1</v>
      </c>
    </row>
    <row r="56" spans="1:34" ht="29">
      <c r="A56" t="s">
        <v>178</v>
      </c>
      <c r="B56" s="3" t="s">
        <v>567</v>
      </c>
      <c r="C56" s="3" t="s">
        <v>568</v>
      </c>
      <c r="G56" s="6" t="s">
        <v>24</v>
      </c>
      <c r="H56" s="6"/>
      <c r="I56" s="6">
        <v>1</v>
      </c>
      <c r="J56" s="6">
        <v>2</v>
      </c>
      <c r="K56" s="6" t="s">
        <v>818</v>
      </c>
      <c r="L56" s="6" t="s">
        <v>850</v>
      </c>
      <c r="M56" s="6"/>
      <c r="N56" s="7"/>
      <c r="O56" s="6"/>
      <c r="P56" s="6">
        <v>171</v>
      </c>
      <c r="Q56" s="6">
        <f t="shared" si="0"/>
        <v>84.079063821418046</v>
      </c>
      <c r="R56" s="6"/>
      <c r="S56" s="6" t="s">
        <v>963</v>
      </c>
      <c r="T56" s="6" t="s">
        <v>963</v>
      </c>
      <c r="U56" s="6"/>
      <c r="V56" s="6"/>
      <c r="W56" s="6"/>
      <c r="X56" s="6"/>
      <c r="Y56" s="6"/>
      <c r="Z56" s="6"/>
      <c r="AA56" s="6"/>
      <c r="AB56" s="6"/>
      <c r="AC56" s="6"/>
      <c r="AD56" s="6"/>
      <c r="AE56" t="s">
        <v>19</v>
      </c>
      <c r="AF56" t="s">
        <v>19</v>
      </c>
      <c r="AH56">
        <v>1</v>
      </c>
    </row>
    <row r="57" spans="1:34" ht="58">
      <c r="A57" t="s">
        <v>180</v>
      </c>
      <c r="B57" s="3" t="s">
        <v>574</v>
      </c>
      <c r="C57" s="3" t="s">
        <v>573</v>
      </c>
      <c r="G57" s="6" t="s">
        <v>25</v>
      </c>
      <c r="H57" s="6"/>
      <c r="I57" s="6">
        <v>1</v>
      </c>
      <c r="J57" s="6">
        <v>4</v>
      </c>
      <c r="K57" s="6" t="s">
        <v>808</v>
      </c>
      <c r="L57" s="6" t="s">
        <v>803</v>
      </c>
      <c r="M57" s="6" t="s">
        <v>868</v>
      </c>
      <c r="N57" s="7" t="s">
        <v>867</v>
      </c>
      <c r="O57" s="6"/>
      <c r="P57" s="6">
        <v>2475</v>
      </c>
      <c r="Q57" s="6">
        <f t="shared" si="0"/>
        <v>1216.9338184678927</v>
      </c>
      <c r="R57" s="6"/>
      <c r="S57" s="6" t="s">
        <v>963</v>
      </c>
      <c r="T57" s="6" t="s">
        <v>963</v>
      </c>
      <c r="U57" s="6"/>
      <c r="V57" s="6"/>
      <c r="W57" s="6"/>
      <c r="X57" s="6"/>
      <c r="Y57" s="6"/>
      <c r="Z57" s="6"/>
      <c r="AA57" s="6"/>
      <c r="AB57" s="6"/>
      <c r="AC57" s="6"/>
      <c r="AD57" s="6"/>
      <c r="AE57" t="s">
        <v>19</v>
      </c>
      <c r="AF57" t="s">
        <v>19</v>
      </c>
      <c r="AH57">
        <v>1</v>
      </c>
    </row>
    <row r="58" spans="1:34" ht="58">
      <c r="A58" t="s">
        <v>185</v>
      </c>
      <c r="B58" s="3" t="s">
        <v>587</v>
      </c>
      <c r="C58" s="3" t="s">
        <v>586</v>
      </c>
      <c r="G58" s="6" t="s">
        <v>24</v>
      </c>
      <c r="H58" s="6"/>
      <c r="I58" s="6">
        <v>1</v>
      </c>
      <c r="J58" s="6">
        <v>5</v>
      </c>
      <c r="K58" s="6" t="s">
        <v>860</v>
      </c>
      <c r="L58" s="6" t="s">
        <v>809</v>
      </c>
      <c r="M58" s="6"/>
      <c r="N58" s="7"/>
      <c r="O58" s="6"/>
      <c r="P58" s="6">
        <v>295</v>
      </c>
      <c r="Q58" s="6">
        <f t="shared" si="0"/>
        <v>145.04867735273871</v>
      </c>
      <c r="R58" s="6"/>
      <c r="S58" s="6" t="s">
        <v>963</v>
      </c>
      <c r="T58" s="6" t="s">
        <v>963</v>
      </c>
      <c r="U58" s="6"/>
      <c r="V58" s="6"/>
      <c r="W58" s="6"/>
      <c r="X58" s="6"/>
      <c r="Y58" s="6"/>
      <c r="Z58" s="6"/>
      <c r="AA58" s="6"/>
      <c r="AB58" s="6"/>
      <c r="AC58" s="6"/>
      <c r="AD58" s="6"/>
      <c r="AE58" t="s">
        <v>19</v>
      </c>
      <c r="AF58" t="s">
        <v>19</v>
      </c>
      <c r="AH58">
        <v>1</v>
      </c>
    </row>
    <row r="59" spans="1:34" ht="43.5">
      <c r="A59" t="s">
        <v>186</v>
      </c>
      <c r="B59" s="3" t="s">
        <v>589</v>
      </c>
      <c r="C59" s="3" t="s">
        <v>588</v>
      </c>
      <c r="G59" s="6" t="s">
        <v>25</v>
      </c>
      <c r="H59" s="6"/>
      <c r="I59" s="6">
        <v>1</v>
      </c>
      <c r="J59" s="6">
        <v>3</v>
      </c>
      <c r="K59" s="6" t="s">
        <v>818</v>
      </c>
      <c r="L59" s="6" t="s">
        <v>809</v>
      </c>
      <c r="M59" s="6"/>
      <c r="N59" s="7"/>
      <c r="O59" s="6"/>
      <c r="P59" s="6">
        <v>86</v>
      </c>
      <c r="Q59" s="6">
        <f t="shared" si="0"/>
        <v>42.285377126561116</v>
      </c>
      <c r="R59" s="6"/>
      <c r="S59" s="6" t="s">
        <v>963</v>
      </c>
      <c r="T59" s="6" t="s">
        <v>963</v>
      </c>
      <c r="U59" s="6"/>
      <c r="V59" s="6"/>
      <c r="W59" s="6"/>
      <c r="X59" s="6"/>
      <c r="Y59" s="6"/>
      <c r="Z59" s="6"/>
      <c r="AA59" s="6"/>
      <c r="AB59" s="6"/>
      <c r="AC59" s="6"/>
      <c r="AD59" s="6"/>
      <c r="AE59" t="s">
        <v>19</v>
      </c>
      <c r="AF59" t="s">
        <v>19</v>
      </c>
      <c r="AH59">
        <v>1</v>
      </c>
    </row>
    <row r="60" spans="1:34" ht="101.5">
      <c r="A60" t="s">
        <v>186</v>
      </c>
      <c r="B60" s="3" t="s">
        <v>1011</v>
      </c>
      <c r="C60" s="3" t="s">
        <v>590</v>
      </c>
      <c r="G60" s="6" t="s">
        <v>25</v>
      </c>
      <c r="H60" s="6"/>
      <c r="I60" s="6">
        <v>4</v>
      </c>
      <c r="J60" s="6">
        <v>18</v>
      </c>
      <c r="K60" s="6"/>
      <c r="L60" s="6" t="s">
        <v>809</v>
      </c>
      <c r="M60" s="6"/>
      <c r="N60" s="7"/>
      <c r="O60" s="6"/>
      <c r="P60" s="6">
        <v>3</v>
      </c>
      <c r="Q60" s="6">
        <f t="shared" si="0"/>
        <v>1.4750712951125973</v>
      </c>
      <c r="R60" s="6"/>
      <c r="S60" s="6" t="s">
        <v>963</v>
      </c>
      <c r="T60" s="6" t="s">
        <v>963</v>
      </c>
      <c r="U60" s="6"/>
      <c r="V60" s="6"/>
      <c r="W60" s="6"/>
      <c r="X60" s="6"/>
      <c r="Y60" s="6"/>
      <c r="Z60" s="6"/>
      <c r="AA60" s="6"/>
      <c r="AB60" s="6"/>
      <c r="AC60" s="6"/>
      <c r="AD60" s="6"/>
      <c r="AE60" t="s">
        <v>19</v>
      </c>
      <c r="AF60" t="s">
        <v>19</v>
      </c>
      <c r="AH60">
        <v>1</v>
      </c>
    </row>
    <row r="61" spans="1:34" ht="101.5">
      <c r="A61" t="s">
        <v>193</v>
      </c>
      <c r="B61" s="3" t="s">
        <v>595</v>
      </c>
      <c r="C61" s="3" t="s">
        <v>594</v>
      </c>
      <c r="G61" s="6" t="s">
        <v>25</v>
      </c>
      <c r="H61" s="6"/>
      <c r="I61" s="6">
        <v>1</v>
      </c>
      <c r="J61" s="6">
        <v>2</v>
      </c>
      <c r="K61" s="6" t="s">
        <v>854</v>
      </c>
      <c r="L61" s="6" t="s">
        <v>850</v>
      </c>
      <c r="M61" s="6"/>
      <c r="N61" s="7"/>
      <c r="O61" s="6"/>
      <c r="P61" s="6">
        <v>124</v>
      </c>
      <c r="Q61" s="6">
        <f t="shared" si="0"/>
        <v>60.969613531320682</v>
      </c>
      <c r="R61" s="6"/>
      <c r="S61" s="6" t="s">
        <v>963</v>
      </c>
      <c r="T61" s="6" t="s">
        <v>963</v>
      </c>
      <c r="U61" s="6"/>
      <c r="V61" s="6"/>
      <c r="W61" s="6"/>
      <c r="X61" s="6"/>
      <c r="Y61" s="6"/>
      <c r="Z61" s="6"/>
      <c r="AA61" s="6"/>
      <c r="AB61" s="6"/>
      <c r="AC61" s="6"/>
      <c r="AD61" s="6"/>
      <c r="AE61" t="s">
        <v>19</v>
      </c>
      <c r="AF61" t="s">
        <v>19</v>
      </c>
      <c r="AH61">
        <v>1</v>
      </c>
    </row>
    <row r="62" spans="1:34" ht="101.5">
      <c r="A62" t="s">
        <v>193</v>
      </c>
      <c r="B62" s="3" t="s">
        <v>593</v>
      </c>
      <c r="C62" s="3" t="s">
        <v>598</v>
      </c>
      <c r="G62" s="6" t="s">
        <v>24</v>
      </c>
      <c r="H62" s="6"/>
      <c r="I62" s="6">
        <v>1</v>
      </c>
      <c r="J62" s="6">
        <v>6</v>
      </c>
      <c r="K62" s="6" t="s">
        <v>823</v>
      </c>
      <c r="L62" s="6" t="s">
        <v>809</v>
      </c>
      <c r="M62" s="6"/>
      <c r="N62" s="7"/>
      <c r="O62" s="6"/>
      <c r="P62" s="6">
        <v>250</v>
      </c>
      <c r="Q62" s="6">
        <f t="shared" si="0"/>
        <v>122.92260792604976</v>
      </c>
      <c r="R62" s="6"/>
      <c r="S62" s="6" t="s">
        <v>963</v>
      </c>
      <c r="T62" s="6" t="s">
        <v>963</v>
      </c>
      <c r="U62" s="6"/>
      <c r="V62" s="6"/>
      <c r="W62" s="6"/>
      <c r="X62" s="6"/>
      <c r="Y62" s="6"/>
      <c r="Z62" s="6"/>
      <c r="AA62" s="6"/>
      <c r="AB62" s="6"/>
      <c r="AC62" s="6"/>
      <c r="AD62" s="6"/>
      <c r="AE62" t="s">
        <v>19</v>
      </c>
      <c r="AF62" t="s">
        <v>19</v>
      </c>
      <c r="AH62">
        <v>1</v>
      </c>
    </row>
    <row r="63" spans="1:34" ht="145">
      <c r="A63" t="s">
        <v>194</v>
      </c>
      <c r="B63" s="3" t="s">
        <v>1012</v>
      </c>
      <c r="C63" s="3" t="s">
        <v>1013</v>
      </c>
      <c r="G63" s="6" t="s">
        <v>25</v>
      </c>
      <c r="H63" s="6"/>
      <c r="I63" s="6">
        <v>1</v>
      </c>
      <c r="J63" s="6">
        <v>4</v>
      </c>
      <c r="K63" s="6" t="s">
        <v>823</v>
      </c>
      <c r="L63" s="6" t="s">
        <v>809</v>
      </c>
      <c r="M63" s="6"/>
      <c r="N63" s="7"/>
      <c r="O63" s="6"/>
      <c r="P63" s="6">
        <v>109</v>
      </c>
      <c r="Q63" s="6">
        <f t="shared" si="0"/>
        <v>53.594257055757701</v>
      </c>
      <c r="R63" s="6"/>
      <c r="S63" s="6"/>
      <c r="T63" s="6"/>
      <c r="U63" s="6"/>
      <c r="V63" s="6"/>
      <c r="W63" s="6"/>
      <c r="X63" s="6"/>
      <c r="Y63" s="6"/>
      <c r="Z63" s="6"/>
      <c r="AA63" s="6"/>
      <c r="AB63" s="6"/>
      <c r="AC63" s="6"/>
      <c r="AD63" s="6"/>
      <c r="AE63" t="s">
        <v>19</v>
      </c>
      <c r="AF63" t="s">
        <v>20</v>
      </c>
      <c r="AH63">
        <v>1</v>
      </c>
    </row>
    <row r="64" spans="1:34" ht="43.5">
      <c r="A64" t="s">
        <v>195</v>
      </c>
      <c r="B64" s="3" t="s">
        <v>607</v>
      </c>
      <c r="C64" s="3" t="s">
        <v>610</v>
      </c>
      <c r="F64" t="s">
        <v>19</v>
      </c>
      <c r="G64" s="6" t="s">
        <v>24</v>
      </c>
      <c r="H64" s="6"/>
      <c r="I64" s="6">
        <v>1</v>
      </c>
      <c r="J64" s="6">
        <v>1</v>
      </c>
      <c r="K64" s="6" t="s">
        <v>802</v>
      </c>
      <c r="L64" s="6" t="s">
        <v>850</v>
      </c>
      <c r="M64" s="6"/>
      <c r="N64" s="7"/>
      <c r="O64" s="6"/>
      <c r="P64" s="6">
        <v>6</v>
      </c>
      <c r="Q64" s="6">
        <f t="shared" si="0"/>
        <v>2.9501425902251945</v>
      </c>
      <c r="R64" s="6"/>
      <c r="S64" s="6" t="s">
        <v>963</v>
      </c>
      <c r="T64" s="6" t="s">
        <v>963</v>
      </c>
      <c r="U64" s="6"/>
      <c r="V64" s="6"/>
      <c r="W64" s="6"/>
      <c r="X64" s="6"/>
      <c r="Y64" s="6"/>
      <c r="Z64" s="6"/>
      <c r="AA64" s="6"/>
      <c r="AB64" s="6"/>
      <c r="AC64" s="6"/>
      <c r="AD64" s="6"/>
      <c r="AE64" t="s">
        <v>20</v>
      </c>
      <c r="AF64" t="s">
        <v>20</v>
      </c>
      <c r="AH64">
        <v>0</v>
      </c>
    </row>
    <row r="65" spans="1:34" ht="72.5">
      <c r="A65" t="s">
        <v>204</v>
      </c>
      <c r="B65" s="3" t="s">
        <v>620</v>
      </c>
      <c r="C65" s="3" t="s">
        <v>617</v>
      </c>
      <c r="G65" s="6" t="s">
        <v>25</v>
      </c>
      <c r="H65" s="6"/>
      <c r="I65" s="6">
        <v>1</v>
      </c>
      <c r="J65" s="6">
        <v>3</v>
      </c>
      <c r="K65" s="6" t="s">
        <v>818</v>
      </c>
      <c r="L65" s="6" t="s">
        <v>809</v>
      </c>
      <c r="M65" s="6"/>
      <c r="N65" s="7"/>
      <c r="O65" s="6"/>
      <c r="P65" s="6">
        <v>1701</v>
      </c>
      <c r="Q65" s="6">
        <f t="shared" si="0"/>
        <v>836.36542432884255</v>
      </c>
      <c r="R65" s="6"/>
      <c r="S65" s="6" t="s">
        <v>963</v>
      </c>
      <c r="T65" s="6" t="s">
        <v>963</v>
      </c>
      <c r="U65" s="6"/>
      <c r="V65" s="6"/>
      <c r="W65" s="6"/>
      <c r="X65" s="6"/>
      <c r="Y65" s="6"/>
      <c r="Z65" s="6"/>
      <c r="AA65" s="6"/>
      <c r="AB65" s="6"/>
      <c r="AC65" s="6"/>
      <c r="AD65" s="6"/>
      <c r="AE65" t="s">
        <v>19</v>
      </c>
      <c r="AF65" t="s">
        <v>20</v>
      </c>
      <c r="AH65">
        <v>1</v>
      </c>
    </row>
    <row r="66" spans="1:34" ht="72.5">
      <c r="A66" t="s">
        <v>207</v>
      </c>
      <c r="B66" s="3" t="s">
        <v>629</v>
      </c>
      <c r="C66" s="3" t="s">
        <v>630</v>
      </c>
      <c r="G66" s="6" t="s">
        <v>24</v>
      </c>
      <c r="H66" s="6"/>
      <c r="I66" s="6">
        <v>1</v>
      </c>
      <c r="J66" s="6">
        <v>3</v>
      </c>
      <c r="K66" s="6" t="s">
        <v>818</v>
      </c>
      <c r="L66" s="6" t="s">
        <v>809</v>
      </c>
      <c r="M66" s="6"/>
      <c r="N66" s="7"/>
      <c r="O66" s="6"/>
      <c r="P66" s="6">
        <v>1701</v>
      </c>
      <c r="Q66" s="6">
        <f t="shared" si="0"/>
        <v>836.36542432884255</v>
      </c>
      <c r="R66" s="6"/>
      <c r="S66" s="6" t="s">
        <v>963</v>
      </c>
      <c r="T66" s="6" t="s">
        <v>963</v>
      </c>
      <c r="U66" s="6"/>
      <c r="V66" s="6"/>
      <c r="W66" s="6"/>
      <c r="X66" s="6"/>
      <c r="Y66" s="6"/>
      <c r="Z66" s="6"/>
      <c r="AA66" s="6"/>
      <c r="AB66" s="6"/>
      <c r="AC66" s="6"/>
      <c r="AD66" s="6"/>
      <c r="AE66" t="s">
        <v>19</v>
      </c>
      <c r="AF66" t="s">
        <v>20</v>
      </c>
      <c r="AH66">
        <v>1</v>
      </c>
    </row>
    <row r="67" spans="1:34" ht="29">
      <c r="A67" t="s">
        <v>208</v>
      </c>
      <c r="B67" s="3" t="s">
        <v>634</v>
      </c>
      <c r="C67" s="3" t="s">
        <v>633</v>
      </c>
      <c r="G67" s="6" t="s">
        <v>25</v>
      </c>
      <c r="H67" s="6"/>
      <c r="I67" s="6">
        <v>1</v>
      </c>
      <c r="J67" s="6">
        <v>3</v>
      </c>
      <c r="K67" s="6" t="s">
        <v>818</v>
      </c>
      <c r="L67" s="6" t="s">
        <v>809</v>
      </c>
      <c r="M67" s="6"/>
      <c r="N67" s="7"/>
      <c r="O67" s="6"/>
      <c r="P67" s="6">
        <v>86</v>
      </c>
      <c r="Q67" s="6">
        <f t="shared" ref="Q67:Q106" si="1">IF(ISNUMBER(P67), (P67/$F$158)*10000, "")</f>
        <v>42.285377126561116</v>
      </c>
      <c r="R67" s="6"/>
      <c r="S67" s="6" t="s">
        <v>963</v>
      </c>
      <c r="T67" s="6" t="s">
        <v>963</v>
      </c>
      <c r="U67" s="6"/>
      <c r="V67" s="6"/>
      <c r="W67" s="6"/>
      <c r="X67" s="6"/>
      <c r="Y67" s="6"/>
      <c r="Z67" s="6"/>
      <c r="AA67" s="6"/>
      <c r="AB67" s="6"/>
      <c r="AC67" s="6"/>
      <c r="AD67" s="6"/>
      <c r="AE67" t="s">
        <v>19</v>
      </c>
      <c r="AF67" t="s">
        <v>19</v>
      </c>
      <c r="AH67">
        <v>1</v>
      </c>
    </row>
    <row r="68" spans="1:34" ht="159.5">
      <c r="A68" t="s">
        <v>209</v>
      </c>
      <c r="B68" s="3" t="s">
        <v>638</v>
      </c>
      <c r="C68" s="3" t="s">
        <v>637</v>
      </c>
      <c r="G68" s="6" t="s">
        <v>25</v>
      </c>
      <c r="H68" s="6"/>
      <c r="I68" s="6">
        <v>8</v>
      </c>
      <c r="J68" s="6">
        <v>33</v>
      </c>
      <c r="K68" s="6"/>
      <c r="L68" s="6" t="s">
        <v>803</v>
      </c>
      <c r="M68" s="6" t="s">
        <v>873</v>
      </c>
      <c r="N68" s="7" t="s">
        <v>894</v>
      </c>
      <c r="O68" s="6"/>
      <c r="P68" s="6">
        <v>8</v>
      </c>
      <c r="Q68" s="6">
        <f t="shared" si="1"/>
        <v>3.9335234536335926</v>
      </c>
      <c r="R68" s="6"/>
      <c r="S68" s="6" t="s">
        <v>963</v>
      </c>
      <c r="T68" s="6" t="s">
        <v>963</v>
      </c>
      <c r="U68" s="6"/>
      <c r="V68" s="6"/>
      <c r="W68" s="6"/>
      <c r="X68" s="6"/>
      <c r="Y68" s="6"/>
      <c r="Z68" s="6"/>
      <c r="AA68" s="6"/>
      <c r="AB68" s="6"/>
      <c r="AC68" s="6"/>
      <c r="AD68" s="6"/>
      <c r="AE68" t="s">
        <v>19</v>
      </c>
      <c r="AF68" t="s">
        <v>19</v>
      </c>
      <c r="AH68">
        <v>1</v>
      </c>
    </row>
    <row r="69" spans="1:34" ht="130.5">
      <c r="A69" t="s">
        <v>214</v>
      </c>
      <c r="B69" s="3" t="s">
        <v>902</v>
      </c>
      <c r="C69" s="3" t="s">
        <v>904</v>
      </c>
      <c r="G69" s="6" t="s">
        <v>25</v>
      </c>
      <c r="H69" s="6"/>
      <c r="I69" s="6">
        <v>1</v>
      </c>
      <c r="J69" s="6">
        <v>5</v>
      </c>
      <c r="K69" s="6" t="s">
        <v>802</v>
      </c>
      <c r="L69" s="6" t="s">
        <v>809</v>
      </c>
      <c r="M69" s="6"/>
      <c r="N69" s="7"/>
      <c r="O69" s="6"/>
      <c r="P69" s="6">
        <v>266</v>
      </c>
      <c r="Q69" s="6">
        <f t="shared" si="1"/>
        <v>130.78965483331694</v>
      </c>
      <c r="R69" s="6"/>
      <c r="S69" s="6" t="s">
        <v>963</v>
      </c>
      <c r="T69" s="6" t="s">
        <v>963</v>
      </c>
      <c r="U69" s="6"/>
      <c r="V69" s="6"/>
      <c r="W69" s="6"/>
      <c r="X69" s="6"/>
      <c r="Y69" s="6"/>
      <c r="Z69" s="6"/>
      <c r="AA69" s="6"/>
      <c r="AB69" s="6"/>
      <c r="AC69" s="6"/>
      <c r="AD69" s="6"/>
      <c r="AE69" t="s">
        <v>19</v>
      </c>
      <c r="AF69" t="s">
        <v>20</v>
      </c>
      <c r="AH69">
        <v>1</v>
      </c>
    </row>
    <row r="70" spans="1:34" ht="130.5">
      <c r="A70" t="s">
        <v>214</v>
      </c>
      <c r="B70" s="3" t="s">
        <v>906</v>
      </c>
      <c r="C70" s="3" t="s">
        <v>904</v>
      </c>
      <c r="G70" s="6" t="s">
        <v>25</v>
      </c>
      <c r="H70" s="6"/>
      <c r="I70" s="6">
        <v>4</v>
      </c>
      <c r="J70" s="6">
        <v>13</v>
      </c>
      <c r="K70" s="6"/>
      <c r="L70" s="6" t="s">
        <v>809</v>
      </c>
      <c r="M70" s="6"/>
      <c r="N70" s="7"/>
      <c r="O70" s="6"/>
      <c r="P70" s="6">
        <v>3</v>
      </c>
      <c r="Q70" s="6">
        <f t="shared" si="1"/>
        <v>1.4750712951125973</v>
      </c>
      <c r="R70" s="6"/>
      <c r="S70" s="6" t="s">
        <v>963</v>
      </c>
      <c r="T70" s="6" t="s">
        <v>963</v>
      </c>
      <c r="U70" s="6"/>
      <c r="V70" s="6"/>
      <c r="W70" s="6"/>
      <c r="X70" s="6"/>
      <c r="Y70" s="6"/>
      <c r="Z70" s="6"/>
      <c r="AA70" s="6"/>
      <c r="AB70" s="6"/>
      <c r="AC70" s="6"/>
      <c r="AD70" s="6"/>
      <c r="AE70" t="s">
        <v>19</v>
      </c>
      <c r="AF70" t="s">
        <v>19</v>
      </c>
      <c r="AH70">
        <v>1</v>
      </c>
    </row>
    <row r="71" spans="1:34" ht="43.5">
      <c r="A71" t="s">
        <v>214</v>
      </c>
      <c r="B71" s="3" t="s">
        <v>647</v>
      </c>
      <c r="C71" s="3" t="s">
        <v>644</v>
      </c>
      <c r="G71" s="6" t="s">
        <v>25</v>
      </c>
      <c r="H71" s="6"/>
      <c r="I71" s="6">
        <v>2</v>
      </c>
      <c r="J71" s="6">
        <v>3</v>
      </c>
      <c r="K71" s="6"/>
      <c r="L71" s="6" t="s">
        <v>809</v>
      </c>
      <c r="M71" s="6"/>
      <c r="N71" s="7"/>
      <c r="O71" s="6"/>
      <c r="P71" s="6">
        <v>250</v>
      </c>
      <c r="Q71" s="6">
        <f t="shared" si="1"/>
        <v>122.92260792604976</v>
      </c>
      <c r="R71" s="6"/>
      <c r="S71" s="6" t="s">
        <v>963</v>
      </c>
      <c r="T71" s="6" t="s">
        <v>963</v>
      </c>
      <c r="U71" s="6" t="s">
        <v>848</v>
      </c>
      <c r="V71" s="6"/>
      <c r="W71" s="6"/>
      <c r="X71" s="6"/>
      <c r="Y71" s="6"/>
      <c r="Z71" s="6"/>
      <c r="AA71" s="6"/>
      <c r="AB71" s="6"/>
      <c r="AC71" s="6"/>
      <c r="AD71" s="6"/>
      <c r="AE71" t="s">
        <v>19</v>
      </c>
      <c r="AF71" t="s">
        <v>19</v>
      </c>
      <c r="AH71">
        <v>1</v>
      </c>
    </row>
    <row r="72" spans="1:34" ht="43.5">
      <c r="A72" t="s">
        <v>216</v>
      </c>
      <c r="B72" s="3" t="s">
        <v>648</v>
      </c>
      <c r="C72" s="3" t="s">
        <v>649</v>
      </c>
      <c r="G72" s="6" t="s">
        <v>25</v>
      </c>
      <c r="H72" s="6"/>
      <c r="I72" s="6">
        <v>1</v>
      </c>
      <c r="J72" s="6">
        <v>4</v>
      </c>
      <c r="K72" s="6" t="s">
        <v>808</v>
      </c>
      <c r="L72" s="6" t="s">
        <v>803</v>
      </c>
      <c r="M72" s="6" t="s">
        <v>868</v>
      </c>
      <c r="N72" s="7" t="s">
        <v>867</v>
      </c>
      <c r="O72" s="6"/>
      <c r="P72" s="6">
        <v>2475</v>
      </c>
      <c r="Q72" s="6">
        <f t="shared" si="1"/>
        <v>1216.9338184678927</v>
      </c>
      <c r="R72" s="6"/>
      <c r="S72" s="6" t="s">
        <v>963</v>
      </c>
      <c r="T72" s="6" t="s">
        <v>963</v>
      </c>
      <c r="U72" s="6"/>
      <c r="V72" s="6"/>
      <c r="W72" s="6"/>
      <c r="X72" s="6"/>
      <c r="Y72" s="6"/>
      <c r="Z72" s="6"/>
      <c r="AA72" s="6"/>
      <c r="AB72" s="6"/>
      <c r="AC72" s="6"/>
      <c r="AD72" s="6"/>
      <c r="AE72" t="s">
        <v>19</v>
      </c>
      <c r="AF72" t="s">
        <v>20</v>
      </c>
      <c r="AH72">
        <v>1</v>
      </c>
    </row>
    <row r="73" spans="1:34" ht="29">
      <c r="A73" t="s">
        <v>220</v>
      </c>
      <c r="B73" s="3" t="s">
        <v>651</v>
      </c>
      <c r="C73" s="3" t="s">
        <v>652</v>
      </c>
      <c r="G73" s="6" t="s">
        <v>24</v>
      </c>
      <c r="H73" s="6"/>
      <c r="I73" s="6">
        <v>1</v>
      </c>
      <c r="J73" s="6">
        <v>1</v>
      </c>
      <c r="K73" s="6" t="s">
        <v>808</v>
      </c>
      <c r="L73" s="6" t="s">
        <v>850</v>
      </c>
      <c r="M73" s="6"/>
      <c r="N73" s="7"/>
      <c r="O73" s="6"/>
      <c r="P73" s="6">
        <v>2475</v>
      </c>
      <c r="Q73" s="6">
        <f t="shared" si="1"/>
        <v>1216.9338184678927</v>
      </c>
      <c r="R73" s="6"/>
      <c r="S73" s="6" t="s">
        <v>963</v>
      </c>
      <c r="T73" s="6" t="s">
        <v>963</v>
      </c>
      <c r="U73" s="6" t="s">
        <v>4</v>
      </c>
      <c r="V73" s="6"/>
      <c r="W73" s="6"/>
      <c r="X73" s="6"/>
      <c r="Y73" s="6"/>
      <c r="Z73" s="6"/>
      <c r="AA73" s="6"/>
      <c r="AB73" s="6"/>
      <c r="AC73" s="6"/>
      <c r="AD73" s="6"/>
      <c r="AE73" t="s">
        <v>19</v>
      </c>
      <c r="AF73" t="s">
        <v>19</v>
      </c>
      <c r="AH73">
        <v>1</v>
      </c>
    </row>
    <row r="74" spans="1:34" ht="29">
      <c r="A74" t="s">
        <v>229</v>
      </c>
      <c r="B74" s="3" t="s">
        <v>660</v>
      </c>
      <c r="C74" s="3" t="s">
        <v>659</v>
      </c>
      <c r="G74" s="6" t="s">
        <v>24</v>
      </c>
      <c r="H74" s="6"/>
      <c r="I74" s="6">
        <v>1</v>
      </c>
      <c r="J74" s="6">
        <v>3</v>
      </c>
      <c r="K74" s="6" t="s">
        <v>825</v>
      </c>
      <c r="L74" s="6" t="s">
        <v>809</v>
      </c>
      <c r="M74" s="6"/>
      <c r="N74" s="7"/>
      <c r="O74" s="6"/>
      <c r="P74" s="6">
        <v>743</v>
      </c>
      <c r="Q74" s="6">
        <f t="shared" si="1"/>
        <v>365.32599075621988</v>
      </c>
      <c r="R74" s="6"/>
      <c r="S74" s="6" t="s">
        <v>963</v>
      </c>
      <c r="T74" s="6" t="s">
        <v>963</v>
      </c>
      <c r="U74" s="6"/>
      <c r="V74" s="6"/>
      <c r="W74" s="6"/>
      <c r="X74" s="6"/>
      <c r="Y74" s="6"/>
      <c r="Z74" s="6"/>
      <c r="AA74" s="6"/>
      <c r="AB74" s="6"/>
      <c r="AC74" s="6"/>
      <c r="AD74" s="6"/>
      <c r="AE74" t="s">
        <v>19</v>
      </c>
      <c r="AF74" t="s">
        <v>19</v>
      </c>
      <c r="AH74">
        <v>1</v>
      </c>
    </row>
    <row r="75" spans="1:34" ht="58">
      <c r="A75" t="s">
        <v>229</v>
      </c>
      <c r="B75" s="3" t="s">
        <v>666</v>
      </c>
      <c r="C75" s="3" t="s">
        <v>665</v>
      </c>
      <c r="G75" s="6" t="s">
        <v>25</v>
      </c>
      <c r="H75" s="6"/>
      <c r="I75" s="6">
        <v>1</v>
      </c>
      <c r="J75" s="6">
        <v>1</v>
      </c>
      <c r="K75" s="6" t="s">
        <v>808</v>
      </c>
      <c r="L75" s="6" t="s">
        <v>850</v>
      </c>
      <c r="M75" s="6"/>
      <c r="N75" s="7"/>
      <c r="O75" s="6"/>
      <c r="P75" s="6">
        <v>2475</v>
      </c>
      <c r="Q75" s="6">
        <f t="shared" si="1"/>
        <v>1216.9338184678927</v>
      </c>
      <c r="R75" s="6"/>
      <c r="S75" s="6" t="s">
        <v>963</v>
      </c>
      <c r="T75" s="6" t="s">
        <v>963</v>
      </c>
      <c r="U75" s="6"/>
      <c r="V75" s="6"/>
      <c r="W75" s="6"/>
      <c r="X75" s="6"/>
      <c r="Y75" s="6"/>
      <c r="Z75" s="6"/>
      <c r="AA75" s="6"/>
      <c r="AB75" s="6"/>
      <c r="AC75" s="6"/>
      <c r="AD75" s="6"/>
      <c r="AE75" t="s">
        <v>19</v>
      </c>
      <c r="AF75" t="s">
        <v>19</v>
      </c>
      <c r="AH75">
        <v>1</v>
      </c>
    </row>
    <row r="76" spans="1:34" ht="174">
      <c r="A76" t="s">
        <v>230</v>
      </c>
      <c r="B76" s="3" t="s">
        <v>678</v>
      </c>
      <c r="C76" s="3" t="s">
        <v>673</v>
      </c>
      <c r="G76" s="6" t="s">
        <v>25</v>
      </c>
      <c r="H76" s="6"/>
      <c r="I76" s="6">
        <v>2</v>
      </c>
      <c r="J76" s="6">
        <v>5</v>
      </c>
      <c r="K76" s="6"/>
      <c r="L76" s="6" t="s">
        <v>809</v>
      </c>
      <c r="M76" s="6"/>
      <c r="N76" s="7"/>
      <c r="O76" s="6"/>
      <c r="P76" s="6"/>
      <c r="Q76" s="6" t="str">
        <f t="shared" si="1"/>
        <v/>
      </c>
      <c r="R76" s="6"/>
      <c r="S76" s="6" t="s">
        <v>963</v>
      </c>
      <c r="T76" s="6" t="s">
        <v>963</v>
      </c>
      <c r="U76" s="6"/>
      <c r="V76" s="6"/>
      <c r="W76" s="6"/>
      <c r="X76" s="6"/>
      <c r="Y76" s="6"/>
      <c r="Z76" s="6"/>
      <c r="AA76" s="6"/>
      <c r="AB76" s="6"/>
      <c r="AC76" s="6"/>
      <c r="AD76" s="6"/>
      <c r="AE76" t="s">
        <v>19</v>
      </c>
      <c r="AF76" t="s">
        <v>19</v>
      </c>
      <c r="AH76">
        <v>1</v>
      </c>
    </row>
    <row r="77" spans="1:34" ht="43.5">
      <c r="A77" t="s">
        <v>231</v>
      </c>
      <c r="B77" s="3" t="s">
        <v>684</v>
      </c>
      <c r="C77" s="3" t="s">
        <v>683</v>
      </c>
      <c r="G77" s="6" t="s">
        <v>24</v>
      </c>
      <c r="H77" s="6"/>
      <c r="I77" s="6">
        <v>1</v>
      </c>
      <c r="J77" s="6">
        <v>4</v>
      </c>
      <c r="K77" s="6" t="s">
        <v>808</v>
      </c>
      <c r="L77" s="6" t="s">
        <v>803</v>
      </c>
      <c r="M77" s="6" t="s">
        <v>868</v>
      </c>
      <c r="N77" s="7" t="s">
        <v>867</v>
      </c>
      <c r="O77" s="6"/>
      <c r="P77" s="6">
        <v>2475</v>
      </c>
      <c r="Q77" s="6">
        <f t="shared" si="1"/>
        <v>1216.9338184678927</v>
      </c>
      <c r="R77" s="6"/>
      <c r="S77" s="6" t="s">
        <v>963</v>
      </c>
      <c r="T77" s="6" t="s">
        <v>963</v>
      </c>
      <c r="U77" s="6"/>
      <c r="V77" s="6"/>
      <c r="W77" s="6"/>
      <c r="X77" s="6"/>
      <c r="Y77" s="6"/>
      <c r="Z77" s="6"/>
      <c r="AA77" s="6"/>
      <c r="AB77" s="6"/>
      <c r="AC77" s="6"/>
      <c r="AD77" s="6"/>
      <c r="AE77" t="s">
        <v>19</v>
      </c>
      <c r="AF77" t="s">
        <v>19</v>
      </c>
      <c r="AH77">
        <v>1</v>
      </c>
    </row>
    <row r="78" spans="1:34" ht="58">
      <c r="A78" t="s">
        <v>239</v>
      </c>
      <c r="B78" s="3" t="s">
        <v>687</v>
      </c>
      <c r="C78" s="3" t="s">
        <v>686</v>
      </c>
      <c r="G78" s="6" t="s">
        <v>24</v>
      </c>
      <c r="H78" s="6"/>
      <c r="I78" s="6">
        <v>1</v>
      </c>
      <c r="J78" s="6">
        <v>3</v>
      </c>
      <c r="K78" s="6" t="s">
        <v>818</v>
      </c>
      <c r="L78" s="6" t="s">
        <v>809</v>
      </c>
      <c r="M78" s="6"/>
      <c r="N78" s="7"/>
      <c r="O78" s="6"/>
      <c r="P78" s="6">
        <v>1701</v>
      </c>
      <c r="Q78" s="6">
        <f t="shared" si="1"/>
        <v>836.36542432884255</v>
      </c>
      <c r="R78" s="6"/>
      <c r="S78" s="6" t="s">
        <v>963</v>
      </c>
      <c r="T78" s="6" t="s">
        <v>963</v>
      </c>
      <c r="U78" s="6"/>
      <c r="V78" s="6"/>
      <c r="W78" s="6"/>
      <c r="X78" s="6"/>
      <c r="Y78" s="6"/>
      <c r="Z78" s="6"/>
      <c r="AA78" s="6"/>
      <c r="AB78" s="6"/>
      <c r="AC78" s="6"/>
      <c r="AD78" s="6"/>
      <c r="AE78" t="s">
        <v>19</v>
      </c>
      <c r="AF78" t="s">
        <v>19</v>
      </c>
      <c r="AH78">
        <v>1</v>
      </c>
    </row>
    <row r="79" spans="1:34" ht="58">
      <c r="A79" t="s">
        <v>240</v>
      </c>
      <c r="B79" s="3" t="s">
        <v>689</v>
      </c>
      <c r="C79" s="3" t="s">
        <v>688</v>
      </c>
      <c r="G79" s="6" t="s">
        <v>25</v>
      </c>
      <c r="H79" s="6"/>
      <c r="I79" s="6">
        <v>1</v>
      </c>
      <c r="J79" s="6">
        <v>5</v>
      </c>
      <c r="K79" s="6" t="s">
        <v>825</v>
      </c>
      <c r="L79" s="6" t="s">
        <v>809</v>
      </c>
      <c r="M79" s="6"/>
      <c r="N79" s="7"/>
      <c r="O79" s="6"/>
      <c r="P79" s="6">
        <v>830</v>
      </c>
      <c r="Q79" s="6">
        <f t="shared" si="1"/>
        <v>408.10305831448517</v>
      </c>
      <c r="R79" s="6"/>
      <c r="S79" s="6" t="s">
        <v>963</v>
      </c>
      <c r="T79" s="6" t="s">
        <v>963</v>
      </c>
      <c r="U79" s="6"/>
      <c r="V79" s="6"/>
      <c r="W79" s="6"/>
      <c r="X79" s="6"/>
      <c r="Y79" s="6"/>
      <c r="Z79" s="6"/>
      <c r="AA79" s="6"/>
      <c r="AB79" s="6"/>
      <c r="AC79" s="6"/>
      <c r="AD79" s="6"/>
      <c r="AE79" t="s">
        <v>19</v>
      </c>
      <c r="AF79" t="s">
        <v>19</v>
      </c>
      <c r="AH79">
        <v>1</v>
      </c>
    </row>
    <row r="80" spans="1:34" ht="43.5">
      <c r="A80" t="s">
        <v>247</v>
      </c>
      <c r="B80" s="3" t="s">
        <v>703</v>
      </c>
      <c r="C80" s="3" t="s">
        <v>702</v>
      </c>
      <c r="G80" s="6" t="s">
        <v>24</v>
      </c>
      <c r="H80" s="6"/>
      <c r="I80" s="6">
        <v>1</v>
      </c>
      <c r="J80" s="6">
        <v>3</v>
      </c>
      <c r="K80" s="6" t="s">
        <v>818</v>
      </c>
      <c r="L80" s="6" t="s">
        <v>809</v>
      </c>
      <c r="M80" s="6"/>
      <c r="N80" s="7"/>
      <c r="O80" s="6"/>
      <c r="P80" s="6">
        <v>1701</v>
      </c>
      <c r="Q80" s="6">
        <f t="shared" si="1"/>
        <v>836.36542432884255</v>
      </c>
      <c r="R80" s="6"/>
      <c r="S80" s="6" t="s">
        <v>963</v>
      </c>
      <c r="T80" s="6" t="s">
        <v>963</v>
      </c>
      <c r="U80" s="6"/>
      <c r="V80" s="6"/>
      <c r="W80" s="6"/>
      <c r="X80" s="6"/>
      <c r="Y80" s="6"/>
      <c r="Z80" s="6"/>
      <c r="AA80" s="6"/>
      <c r="AB80" s="6"/>
      <c r="AC80" s="6"/>
      <c r="AD80" s="6"/>
      <c r="AE80" t="s">
        <v>19</v>
      </c>
      <c r="AF80" t="s">
        <v>20</v>
      </c>
      <c r="AH80">
        <v>1</v>
      </c>
    </row>
    <row r="81" spans="1:34" ht="43.5">
      <c r="A81" t="s">
        <v>248</v>
      </c>
      <c r="B81" s="3" t="s">
        <v>705</v>
      </c>
      <c r="C81" s="3" t="s">
        <v>704</v>
      </c>
      <c r="G81" s="6" t="s">
        <v>25</v>
      </c>
      <c r="H81" s="6"/>
      <c r="I81" s="6">
        <v>1</v>
      </c>
      <c r="J81" s="6">
        <v>3</v>
      </c>
      <c r="K81" s="6" t="s">
        <v>808</v>
      </c>
      <c r="L81" s="6" t="s">
        <v>809</v>
      </c>
      <c r="M81" s="6"/>
      <c r="N81" s="7"/>
      <c r="O81" s="6"/>
      <c r="P81" s="6">
        <v>2475</v>
      </c>
      <c r="Q81" s="6">
        <f t="shared" si="1"/>
        <v>1216.9338184678927</v>
      </c>
      <c r="R81" s="6"/>
      <c r="S81" s="6" t="s">
        <v>963</v>
      </c>
      <c r="T81" s="6" t="s">
        <v>963</v>
      </c>
      <c r="U81" s="6"/>
      <c r="V81" s="6"/>
      <c r="W81" s="6"/>
      <c r="X81" s="6"/>
      <c r="Y81" s="6"/>
      <c r="Z81" s="6"/>
      <c r="AA81" s="6"/>
      <c r="AB81" s="6"/>
      <c r="AC81" s="6"/>
      <c r="AD81" s="6"/>
      <c r="AE81" t="s">
        <v>19</v>
      </c>
      <c r="AF81" t="s">
        <v>19</v>
      </c>
      <c r="AH81">
        <v>1</v>
      </c>
    </row>
    <row r="82" spans="1:34" ht="58">
      <c r="A82" t="s">
        <v>252</v>
      </c>
      <c r="B82" s="3" t="s">
        <v>710</v>
      </c>
      <c r="C82" s="3" t="s">
        <v>711</v>
      </c>
      <c r="G82" s="6" t="s">
        <v>24</v>
      </c>
      <c r="H82" s="6"/>
      <c r="I82" s="6">
        <v>1</v>
      </c>
      <c r="J82" s="6">
        <v>3</v>
      </c>
      <c r="K82" s="6" t="s">
        <v>818</v>
      </c>
      <c r="L82" s="6" t="s">
        <v>809</v>
      </c>
      <c r="M82" s="6"/>
      <c r="N82" s="7"/>
      <c r="O82" s="6"/>
      <c r="P82" s="6">
        <v>86</v>
      </c>
      <c r="Q82" s="6">
        <f t="shared" si="1"/>
        <v>42.285377126561116</v>
      </c>
      <c r="R82" s="6"/>
      <c r="S82" s="6" t="s">
        <v>963</v>
      </c>
      <c r="T82" s="6" t="s">
        <v>963</v>
      </c>
      <c r="U82" s="6"/>
      <c r="V82" s="6"/>
      <c r="W82" s="6"/>
      <c r="X82" s="6"/>
      <c r="Y82" s="6"/>
      <c r="Z82" s="6"/>
      <c r="AA82" s="6"/>
      <c r="AB82" s="6"/>
      <c r="AC82" s="6"/>
      <c r="AD82" s="6"/>
      <c r="AE82" t="s">
        <v>19</v>
      </c>
      <c r="AF82" t="s">
        <v>19</v>
      </c>
      <c r="AH82">
        <v>1</v>
      </c>
    </row>
    <row r="83" spans="1:34" ht="58">
      <c r="A83" t="s">
        <v>252</v>
      </c>
      <c r="B83" s="3" t="s">
        <v>710</v>
      </c>
      <c r="C83" s="3" t="s">
        <v>712</v>
      </c>
      <c r="G83" s="6" t="s">
        <v>24</v>
      </c>
      <c r="H83" s="6"/>
      <c r="I83" s="6">
        <v>1</v>
      </c>
      <c r="J83" s="6">
        <v>3</v>
      </c>
      <c r="K83" s="6" t="s">
        <v>825</v>
      </c>
      <c r="L83" s="6" t="s">
        <v>809</v>
      </c>
      <c r="M83" s="6"/>
      <c r="N83" s="7"/>
      <c r="O83" s="6"/>
      <c r="P83" s="6">
        <v>743</v>
      </c>
      <c r="Q83" s="6">
        <f t="shared" si="1"/>
        <v>365.32599075621988</v>
      </c>
      <c r="R83" s="6"/>
      <c r="S83" s="6" t="s">
        <v>963</v>
      </c>
      <c r="T83" s="6" t="s">
        <v>963</v>
      </c>
      <c r="U83" s="6"/>
      <c r="V83" s="6"/>
      <c r="W83" s="6"/>
      <c r="X83" s="6"/>
      <c r="Y83" s="6"/>
      <c r="Z83" s="6"/>
      <c r="AA83" s="6"/>
      <c r="AB83" s="6"/>
      <c r="AC83" s="6"/>
      <c r="AD83" s="6"/>
      <c r="AE83" t="s">
        <v>19</v>
      </c>
      <c r="AF83" t="s">
        <v>19</v>
      </c>
      <c r="AH83">
        <v>1</v>
      </c>
    </row>
    <row r="84" spans="1:34" ht="58">
      <c r="A84" t="s">
        <v>253</v>
      </c>
      <c r="B84" s="3" t="s">
        <v>717</v>
      </c>
      <c r="C84" s="3" t="s">
        <v>718</v>
      </c>
      <c r="G84" s="6" t="s">
        <v>25</v>
      </c>
      <c r="H84" s="6"/>
      <c r="I84" s="6">
        <v>1</v>
      </c>
      <c r="J84" s="6">
        <v>3</v>
      </c>
      <c r="K84" s="6" t="s">
        <v>818</v>
      </c>
      <c r="L84" s="6" t="s">
        <v>809</v>
      </c>
      <c r="M84" s="6"/>
      <c r="N84" s="7"/>
      <c r="O84" s="6"/>
      <c r="P84" s="6">
        <v>86</v>
      </c>
      <c r="Q84" s="6">
        <f t="shared" si="1"/>
        <v>42.285377126561116</v>
      </c>
      <c r="R84" s="6"/>
      <c r="S84" s="6" t="s">
        <v>963</v>
      </c>
      <c r="T84" s="6" t="s">
        <v>963</v>
      </c>
      <c r="U84" s="6"/>
      <c r="V84" s="6"/>
      <c r="W84" s="6"/>
      <c r="X84" s="6"/>
      <c r="Y84" s="6"/>
      <c r="Z84" s="6"/>
      <c r="AA84" s="6"/>
      <c r="AB84" s="6"/>
      <c r="AC84" s="6"/>
      <c r="AD84" s="6"/>
      <c r="AE84" t="s">
        <v>19</v>
      </c>
      <c r="AF84" t="s">
        <v>19</v>
      </c>
      <c r="AH84">
        <v>1</v>
      </c>
    </row>
    <row r="85" spans="1:34" ht="43.5">
      <c r="A85" t="s">
        <v>254</v>
      </c>
      <c r="B85" s="3" t="s">
        <v>720</v>
      </c>
      <c r="C85" s="3" t="s">
        <v>719</v>
      </c>
      <c r="G85" s="6" t="s">
        <v>25</v>
      </c>
      <c r="H85" s="6"/>
      <c r="I85" s="6">
        <v>1</v>
      </c>
      <c r="J85" s="6">
        <v>3</v>
      </c>
      <c r="K85" s="6" t="s">
        <v>823</v>
      </c>
      <c r="L85" s="6" t="s">
        <v>809</v>
      </c>
      <c r="M85" s="6"/>
      <c r="N85" s="7"/>
      <c r="O85" s="6"/>
      <c r="P85" s="6">
        <v>2</v>
      </c>
      <c r="Q85" s="6">
        <f t="shared" si="1"/>
        <v>0.98338086340839814</v>
      </c>
      <c r="R85" s="6"/>
      <c r="S85" s="6" t="s">
        <v>963</v>
      </c>
      <c r="T85" s="6" t="s">
        <v>963</v>
      </c>
      <c r="U85" s="6"/>
      <c r="V85" s="6"/>
      <c r="W85" s="6"/>
      <c r="X85" s="6"/>
      <c r="Y85" s="6"/>
      <c r="Z85" s="6"/>
      <c r="AA85" s="6"/>
      <c r="AB85" s="6"/>
      <c r="AC85" s="6"/>
      <c r="AD85" s="6"/>
      <c r="AE85" t="s">
        <v>19</v>
      </c>
      <c r="AF85" t="s">
        <v>19</v>
      </c>
      <c r="AH85">
        <v>1</v>
      </c>
    </row>
    <row r="86" spans="1:34" ht="58">
      <c r="A86" t="s">
        <v>258</v>
      </c>
      <c r="B86" s="3" t="s">
        <v>724</v>
      </c>
      <c r="C86" s="3" t="s">
        <v>725</v>
      </c>
      <c r="G86" s="6" t="s">
        <v>24</v>
      </c>
      <c r="H86" s="6"/>
      <c r="I86" s="6">
        <v>1</v>
      </c>
      <c r="J86" s="6">
        <v>3</v>
      </c>
      <c r="K86" s="6" t="s">
        <v>808</v>
      </c>
      <c r="L86" s="6" t="s">
        <v>809</v>
      </c>
      <c r="M86" s="6"/>
      <c r="N86" s="7"/>
      <c r="O86" s="6"/>
      <c r="P86" s="6">
        <v>2475</v>
      </c>
      <c r="Q86" s="6">
        <f t="shared" si="1"/>
        <v>1216.9338184678927</v>
      </c>
      <c r="R86" s="6"/>
      <c r="S86" s="6" t="s">
        <v>963</v>
      </c>
      <c r="T86" s="6" t="s">
        <v>963</v>
      </c>
      <c r="U86" s="6"/>
      <c r="V86" s="6"/>
      <c r="W86" s="6"/>
      <c r="X86" s="6"/>
      <c r="Y86" s="6"/>
      <c r="Z86" s="6"/>
      <c r="AA86" s="6"/>
      <c r="AB86" s="6"/>
      <c r="AC86" s="6"/>
      <c r="AD86" s="6"/>
      <c r="AE86" t="s">
        <v>19</v>
      </c>
      <c r="AF86" t="s">
        <v>19</v>
      </c>
      <c r="AH86">
        <v>1</v>
      </c>
    </row>
    <row r="87" spans="1:34" ht="58">
      <c r="A87" t="s">
        <v>258</v>
      </c>
      <c r="B87" s="3" t="s">
        <v>726</v>
      </c>
      <c r="C87" s="3" t="s">
        <v>723</v>
      </c>
      <c r="G87" s="6" t="s">
        <v>25</v>
      </c>
      <c r="H87" s="6"/>
      <c r="I87" s="6">
        <v>1</v>
      </c>
      <c r="J87" s="6">
        <v>2</v>
      </c>
      <c r="K87" s="6" t="s">
        <v>829</v>
      </c>
      <c r="L87" s="6" t="s">
        <v>850</v>
      </c>
      <c r="M87" s="6"/>
      <c r="N87" s="7"/>
      <c r="O87" s="6"/>
      <c r="P87" s="6">
        <v>295</v>
      </c>
      <c r="Q87" s="6">
        <f t="shared" si="1"/>
        <v>145.04867735273871</v>
      </c>
      <c r="R87" s="6"/>
      <c r="S87" s="6" t="s">
        <v>963</v>
      </c>
      <c r="T87" s="6" t="s">
        <v>963</v>
      </c>
      <c r="U87" s="6"/>
      <c r="V87" s="6"/>
      <c r="W87" s="6"/>
      <c r="X87" s="6"/>
      <c r="Y87" s="6"/>
      <c r="Z87" s="6"/>
      <c r="AA87" s="6"/>
      <c r="AB87" s="6"/>
      <c r="AC87" s="6"/>
      <c r="AD87" s="6"/>
      <c r="AE87" t="s">
        <v>19</v>
      </c>
      <c r="AF87" t="s">
        <v>19</v>
      </c>
      <c r="AH87">
        <v>1</v>
      </c>
    </row>
    <row r="88" spans="1:34" ht="29">
      <c r="A88" t="s">
        <v>258</v>
      </c>
      <c r="B88" s="3" t="s">
        <v>728</v>
      </c>
      <c r="C88" s="3" t="s">
        <v>727</v>
      </c>
      <c r="G88" s="6" t="s">
        <v>25</v>
      </c>
      <c r="H88" s="6"/>
      <c r="I88" s="6">
        <v>1</v>
      </c>
      <c r="J88" s="6">
        <v>3</v>
      </c>
      <c r="K88" s="6" t="s">
        <v>825</v>
      </c>
      <c r="L88" s="6" t="s">
        <v>809</v>
      </c>
      <c r="M88" s="6"/>
      <c r="N88" s="7"/>
      <c r="O88" s="6"/>
      <c r="P88" s="6">
        <v>743</v>
      </c>
      <c r="Q88" s="6">
        <f t="shared" si="1"/>
        <v>365.32599075621988</v>
      </c>
      <c r="R88" s="6"/>
      <c r="S88" s="6" t="s">
        <v>963</v>
      </c>
      <c r="T88" s="6" t="s">
        <v>963</v>
      </c>
      <c r="U88" s="6"/>
      <c r="V88" s="6"/>
      <c r="W88" s="6"/>
      <c r="X88" s="6"/>
      <c r="Y88" s="6"/>
      <c r="Z88" s="6"/>
      <c r="AA88" s="6"/>
      <c r="AB88" s="6"/>
      <c r="AC88" s="6"/>
      <c r="AD88" s="6"/>
      <c r="AE88" t="s">
        <v>19</v>
      </c>
      <c r="AF88" t="s">
        <v>19</v>
      </c>
      <c r="AH88">
        <v>1</v>
      </c>
    </row>
    <row r="89" spans="1:34" ht="29">
      <c r="A89" t="s">
        <v>261</v>
      </c>
      <c r="B89" s="3" t="s">
        <v>729</v>
      </c>
      <c r="C89" s="3" t="s">
        <v>730</v>
      </c>
      <c r="G89" s="6" t="s">
        <v>25</v>
      </c>
      <c r="H89" s="6"/>
      <c r="I89" s="6">
        <v>1</v>
      </c>
      <c r="J89" s="6">
        <v>3</v>
      </c>
      <c r="K89" s="6" t="s">
        <v>825</v>
      </c>
      <c r="L89" s="6" t="s">
        <v>809</v>
      </c>
      <c r="M89" s="6"/>
      <c r="N89" s="7"/>
      <c r="O89" s="6"/>
      <c r="P89" s="6">
        <v>743</v>
      </c>
      <c r="Q89" s="6">
        <f t="shared" si="1"/>
        <v>365.32599075621988</v>
      </c>
      <c r="R89" s="6"/>
      <c r="S89" s="6" t="s">
        <v>963</v>
      </c>
      <c r="T89" s="6" t="s">
        <v>963</v>
      </c>
      <c r="U89" s="6"/>
      <c r="V89" s="6"/>
      <c r="W89" s="6"/>
      <c r="X89" s="6"/>
      <c r="Y89" s="6"/>
      <c r="Z89" s="6"/>
      <c r="AA89" s="6"/>
      <c r="AB89" s="6"/>
      <c r="AC89" s="6"/>
      <c r="AD89" s="6"/>
      <c r="AE89" t="s">
        <v>19</v>
      </c>
      <c r="AF89" t="s">
        <v>19</v>
      </c>
      <c r="AH89">
        <v>1</v>
      </c>
    </row>
    <row r="90" spans="1:34" ht="43.5">
      <c r="A90" t="s">
        <v>262</v>
      </c>
      <c r="B90" s="3" t="s">
        <v>732</v>
      </c>
      <c r="C90" s="3" t="s">
        <v>731</v>
      </c>
      <c r="G90" s="6" t="s">
        <v>25</v>
      </c>
      <c r="H90" s="6"/>
      <c r="I90" s="6">
        <v>1</v>
      </c>
      <c r="J90" s="6">
        <v>4</v>
      </c>
      <c r="K90" s="6" t="s">
        <v>854</v>
      </c>
      <c r="L90" s="6" t="s">
        <v>809</v>
      </c>
      <c r="M90" s="6"/>
      <c r="N90" s="7"/>
      <c r="O90" s="6"/>
      <c r="P90" s="6">
        <v>2</v>
      </c>
      <c r="Q90" s="6">
        <f t="shared" si="1"/>
        <v>0.98338086340839814</v>
      </c>
      <c r="R90" s="6"/>
      <c r="S90" s="6" t="s">
        <v>963</v>
      </c>
      <c r="T90" s="6" t="s">
        <v>963</v>
      </c>
      <c r="U90" s="6"/>
      <c r="V90" s="6"/>
      <c r="W90" s="6"/>
      <c r="X90" s="6"/>
      <c r="Y90" s="6"/>
      <c r="Z90" s="6"/>
      <c r="AA90" s="6"/>
      <c r="AB90" s="6"/>
      <c r="AC90" s="6"/>
      <c r="AD90" s="6"/>
      <c r="AE90" t="s">
        <v>19</v>
      </c>
      <c r="AF90" t="s">
        <v>19</v>
      </c>
      <c r="AH90">
        <v>1</v>
      </c>
    </row>
    <row r="91" spans="1:34" ht="29">
      <c r="A91" t="s">
        <v>263</v>
      </c>
      <c r="B91" s="3" t="s">
        <v>733</v>
      </c>
      <c r="C91" s="3" t="s">
        <v>734</v>
      </c>
      <c r="G91" s="6" t="s">
        <v>25</v>
      </c>
      <c r="H91" s="6"/>
      <c r="I91" s="6">
        <v>1</v>
      </c>
      <c r="J91" s="6">
        <v>2</v>
      </c>
      <c r="K91" s="6" t="s">
        <v>854</v>
      </c>
      <c r="L91" s="6" t="s">
        <v>850</v>
      </c>
      <c r="M91" s="6"/>
      <c r="N91" s="7"/>
      <c r="O91" s="6"/>
      <c r="P91" s="6">
        <v>29</v>
      </c>
      <c r="Q91" s="6">
        <f t="shared" si="1"/>
        <v>14.259022519421771</v>
      </c>
      <c r="R91" s="6"/>
      <c r="S91" s="6" t="s">
        <v>963</v>
      </c>
      <c r="T91" s="6" t="s">
        <v>963</v>
      </c>
      <c r="U91" s="6"/>
      <c r="V91" s="6"/>
      <c r="W91" s="6"/>
      <c r="X91" s="6"/>
      <c r="Y91" s="6"/>
      <c r="Z91" s="6"/>
      <c r="AA91" s="6"/>
      <c r="AB91" s="6"/>
      <c r="AC91" s="6"/>
      <c r="AD91" s="6"/>
      <c r="AE91" t="s">
        <v>19</v>
      </c>
      <c r="AF91" t="s">
        <v>19</v>
      </c>
      <c r="AH91">
        <v>1</v>
      </c>
    </row>
    <row r="92" spans="1:34" ht="29">
      <c r="A92" t="s">
        <v>264</v>
      </c>
      <c r="B92" s="3" t="s">
        <v>736</v>
      </c>
      <c r="C92" s="3" t="s">
        <v>735</v>
      </c>
      <c r="G92" s="6" t="s">
        <v>25</v>
      </c>
      <c r="H92" s="6"/>
      <c r="I92" s="6">
        <v>1</v>
      </c>
      <c r="J92" s="6">
        <v>3</v>
      </c>
      <c r="K92" s="6" t="s">
        <v>825</v>
      </c>
      <c r="L92" s="6" t="s">
        <v>809</v>
      </c>
      <c r="M92" s="6"/>
      <c r="N92" s="7"/>
      <c r="O92" s="6"/>
      <c r="P92" s="6">
        <v>743</v>
      </c>
      <c r="Q92" s="6">
        <f t="shared" si="1"/>
        <v>365.32599075621988</v>
      </c>
      <c r="R92" s="6"/>
      <c r="S92" s="6" t="s">
        <v>963</v>
      </c>
      <c r="T92" s="6" t="s">
        <v>963</v>
      </c>
      <c r="U92" s="6"/>
      <c r="V92" s="6"/>
      <c r="W92" s="6"/>
      <c r="X92" s="6"/>
      <c r="Y92" s="6"/>
      <c r="Z92" s="6"/>
      <c r="AA92" s="6"/>
      <c r="AB92" s="6"/>
      <c r="AC92" s="6"/>
      <c r="AD92" s="6"/>
      <c r="AE92" t="s">
        <v>19</v>
      </c>
      <c r="AF92" t="s">
        <v>20</v>
      </c>
      <c r="AH92">
        <v>1</v>
      </c>
    </row>
    <row r="93" spans="1:34" ht="43.5">
      <c r="A93" t="s">
        <v>270</v>
      </c>
      <c r="B93" s="3" t="s">
        <v>738</v>
      </c>
      <c r="C93" s="3" t="s">
        <v>737</v>
      </c>
      <c r="G93" s="6" t="s">
        <v>24</v>
      </c>
      <c r="H93" s="6"/>
      <c r="I93" s="6">
        <v>1</v>
      </c>
      <c r="J93" s="6">
        <v>1</v>
      </c>
      <c r="K93" s="6" t="s">
        <v>808</v>
      </c>
      <c r="L93" s="6" t="s">
        <v>850</v>
      </c>
      <c r="M93" s="6"/>
      <c r="N93" s="7"/>
      <c r="O93" s="6"/>
      <c r="P93" s="6">
        <v>2475</v>
      </c>
      <c r="Q93" s="6">
        <f t="shared" si="1"/>
        <v>1216.9338184678927</v>
      </c>
      <c r="R93" s="6"/>
      <c r="S93" s="6" t="s">
        <v>963</v>
      </c>
      <c r="T93" s="6" t="s">
        <v>963</v>
      </c>
      <c r="U93" s="6"/>
      <c r="V93" s="6"/>
      <c r="W93" s="6"/>
      <c r="X93" s="6"/>
      <c r="Y93" s="6"/>
      <c r="Z93" s="6"/>
      <c r="AA93" s="6"/>
      <c r="AB93" s="6"/>
      <c r="AC93" s="6"/>
      <c r="AD93" s="6"/>
      <c r="AE93" t="s">
        <v>19</v>
      </c>
      <c r="AF93" t="s">
        <v>19</v>
      </c>
      <c r="AH93">
        <v>1</v>
      </c>
    </row>
    <row r="94" spans="1:34" ht="29">
      <c r="A94" t="s">
        <v>271</v>
      </c>
      <c r="B94" s="3" t="s">
        <v>739</v>
      </c>
      <c r="C94" s="3" t="s">
        <v>740</v>
      </c>
      <c r="G94" s="6" t="s">
        <v>25</v>
      </c>
      <c r="H94" s="6"/>
      <c r="I94" s="6">
        <v>1</v>
      </c>
      <c r="J94" s="6">
        <v>3</v>
      </c>
      <c r="K94" s="6" t="s">
        <v>818</v>
      </c>
      <c r="L94" s="6" t="s">
        <v>809</v>
      </c>
      <c r="M94" s="6"/>
      <c r="N94" s="7"/>
      <c r="O94" s="6"/>
      <c r="P94" s="6">
        <v>86</v>
      </c>
      <c r="Q94" s="6">
        <f t="shared" si="1"/>
        <v>42.285377126561116</v>
      </c>
      <c r="R94" s="6"/>
      <c r="S94" s="6" t="s">
        <v>963</v>
      </c>
      <c r="T94" s="6" t="s">
        <v>963</v>
      </c>
      <c r="U94" s="6"/>
      <c r="V94" s="6"/>
      <c r="W94" s="6"/>
      <c r="X94" s="6"/>
      <c r="Y94" s="6"/>
      <c r="Z94" s="6"/>
      <c r="AA94" s="6"/>
      <c r="AB94" s="6"/>
      <c r="AC94" s="6"/>
      <c r="AD94" s="6"/>
      <c r="AE94" t="s">
        <v>19</v>
      </c>
      <c r="AF94" t="s">
        <v>19</v>
      </c>
      <c r="AH94">
        <v>1</v>
      </c>
    </row>
    <row r="95" spans="1:34" ht="43.5">
      <c r="A95" t="s">
        <v>274</v>
      </c>
      <c r="B95" s="3" t="s">
        <v>741</v>
      </c>
      <c r="C95" s="3" t="s">
        <v>742</v>
      </c>
      <c r="G95" s="6" t="s">
        <v>25</v>
      </c>
      <c r="H95" s="6"/>
      <c r="I95" s="6">
        <v>1</v>
      </c>
      <c r="J95" s="6">
        <v>1</v>
      </c>
      <c r="K95" s="6" t="s">
        <v>808</v>
      </c>
      <c r="L95" s="6" t="s">
        <v>850</v>
      </c>
      <c r="M95" s="6"/>
      <c r="N95" s="7"/>
      <c r="O95" s="6"/>
      <c r="P95" s="6">
        <v>2475</v>
      </c>
      <c r="Q95" s="6">
        <f t="shared" si="1"/>
        <v>1216.9338184678927</v>
      </c>
      <c r="R95" s="6"/>
      <c r="S95" s="6" t="s">
        <v>963</v>
      </c>
      <c r="T95" s="6" t="s">
        <v>963</v>
      </c>
      <c r="U95" s="6"/>
      <c r="V95" s="6"/>
      <c r="W95" s="6"/>
      <c r="X95" s="6"/>
      <c r="Y95" s="6"/>
      <c r="Z95" s="6"/>
      <c r="AA95" s="6"/>
      <c r="AB95" s="6"/>
      <c r="AC95" s="6"/>
      <c r="AD95" s="6"/>
      <c r="AE95" t="s">
        <v>19</v>
      </c>
      <c r="AF95" t="s">
        <v>19</v>
      </c>
      <c r="AH95">
        <v>1</v>
      </c>
    </row>
    <row r="96" spans="1:34" ht="43.5">
      <c r="A96" t="s">
        <v>280</v>
      </c>
      <c r="B96" s="3" t="s">
        <v>757</v>
      </c>
      <c r="C96" s="3" t="s">
        <v>756</v>
      </c>
      <c r="G96" s="6" t="s">
        <v>25</v>
      </c>
      <c r="H96" s="6"/>
      <c r="I96" s="6">
        <v>1</v>
      </c>
      <c r="J96" s="6">
        <v>5</v>
      </c>
      <c r="K96" s="6" t="s">
        <v>825</v>
      </c>
      <c r="L96" s="6" t="s">
        <v>809</v>
      </c>
      <c r="M96" s="6"/>
      <c r="N96" s="7"/>
      <c r="O96" s="6"/>
      <c r="P96" s="6">
        <v>830</v>
      </c>
      <c r="Q96" s="6">
        <f t="shared" si="1"/>
        <v>408.10305831448517</v>
      </c>
      <c r="R96" s="6"/>
      <c r="S96" s="6" t="s">
        <v>963</v>
      </c>
      <c r="T96" s="6" t="s">
        <v>963</v>
      </c>
      <c r="U96" s="6" t="s">
        <v>848</v>
      </c>
      <c r="V96" s="6"/>
      <c r="W96" s="6"/>
      <c r="X96" s="6"/>
      <c r="Y96" s="6"/>
      <c r="Z96" s="6"/>
      <c r="AA96" s="6"/>
      <c r="AB96" s="6"/>
      <c r="AC96" s="6"/>
      <c r="AD96" s="6"/>
      <c r="AE96" t="s">
        <v>19</v>
      </c>
      <c r="AF96" t="s">
        <v>19</v>
      </c>
      <c r="AH96">
        <v>1</v>
      </c>
    </row>
    <row r="97" spans="1:34" ht="29">
      <c r="A97" t="s">
        <v>281</v>
      </c>
      <c r="B97" s="3" t="s">
        <v>759</v>
      </c>
      <c r="C97" s="3" t="s">
        <v>758</v>
      </c>
      <c r="G97" s="6" t="s">
        <v>25</v>
      </c>
      <c r="H97" s="6"/>
      <c r="I97" s="6">
        <v>1</v>
      </c>
      <c r="J97" s="6">
        <v>2</v>
      </c>
      <c r="K97" s="6" t="s">
        <v>825</v>
      </c>
      <c r="L97" s="6" t="s">
        <v>850</v>
      </c>
      <c r="M97" s="6"/>
      <c r="N97" s="7"/>
      <c r="O97" s="6"/>
      <c r="P97" s="6">
        <v>312</v>
      </c>
      <c r="Q97" s="6">
        <f t="shared" si="1"/>
        <v>153.4074146917101</v>
      </c>
      <c r="R97" s="6"/>
      <c r="S97" s="6" t="s">
        <v>963</v>
      </c>
      <c r="T97" s="6" t="s">
        <v>963</v>
      </c>
      <c r="U97" s="6"/>
      <c r="V97" s="6"/>
      <c r="W97" s="6"/>
      <c r="X97" s="6"/>
      <c r="Y97" s="6"/>
      <c r="Z97" s="6"/>
      <c r="AA97" s="6"/>
      <c r="AB97" s="6"/>
      <c r="AC97" s="6"/>
      <c r="AD97" s="6"/>
      <c r="AE97" t="s">
        <v>19</v>
      </c>
      <c r="AF97" t="s">
        <v>19</v>
      </c>
      <c r="AH97">
        <v>1</v>
      </c>
    </row>
    <row r="98" spans="1:34" ht="58">
      <c r="A98" t="s">
        <v>283</v>
      </c>
      <c r="B98" s="3" t="s">
        <v>762</v>
      </c>
      <c r="C98" s="3" t="s">
        <v>763</v>
      </c>
      <c r="G98" s="6" t="s">
        <v>24</v>
      </c>
      <c r="H98" s="6"/>
      <c r="I98" s="6">
        <v>1</v>
      </c>
      <c r="J98" s="6">
        <v>1</v>
      </c>
      <c r="K98" s="6" t="s">
        <v>808</v>
      </c>
      <c r="L98" s="6" t="s">
        <v>850</v>
      </c>
      <c r="M98" s="6"/>
      <c r="N98" s="7"/>
      <c r="O98" s="6"/>
      <c r="P98" s="6">
        <v>2475</v>
      </c>
      <c r="Q98" s="6">
        <f t="shared" si="1"/>
        <v>1216.9338184678927</v>
      </c>
      <c r="R98" s="6"/>
      <c r="S98" s="6" t="s">
        <v>963</v>
      </c>
      <c r="T98" s="6" t="s">
        <v>963</v>
      </c>
      <c r="U98" s="6"/>
      <c r="V98" s="6"/>
      <c r="W98" s="6"/>
      <c r="X98" s="6"/>
      <c r="Y98" s="6"/>
      <c r="Z98" s="6"/>
      <c r="AA98" s="6"/>
      <c r="AB98" s="6"/>
      <c r="AC98" s="6"/>
      <c r="AD98" s="6"/>
      <c r="AE98" t="s">
        <v>19</v>
      </c>
      <c r="AF98" t="s">
        <v>19</v>
      </c>
      <c r="AH98">
        <v>1</v>
      </c>
    </row>
    <row r="99" spans="1:34" ht="43.5">
      <c r="A99" t="s">
        <v>284</v>
      </c>
      <c r="B99" s="3" t="s">
        <v>766</v>
      </c>
      <c r="C99" s="3" t="s">
        <v>767</v>
      </c>
      <c r="G99" s="6" t="s">
        <v>24</v>
      </c>
      <c r="H99" s="6"/>
      <c r="I99" s="6">
        <v>1</v>
      </c>
      <c r="J99" s="6">
        <v>2</v>
      </c>
      <c r="K99" s="6" t="s">
        <v>818</v>
      </c>
      <c r="L99" s="6" t="s">
        <v>850</v>
      </c>
      <c r="M99" s="6"/>
      <c r="N99" s="7"/>
      <c r="O99" s="6"/>
      <c r="P99" s="6">
        <v>171</v>
      </c>
      <c r="Q99" s="6">
        <f t="shared" si="1"/>
        <v>84.079063821418046</v>
      </c>
      <c r="R99" s="6"/>
      <c r="S99" s="6" t="s">
        <v>963</v>
      </c>
      <c r="T99" s="6" t="s">
        <v>963</v>
      </c>
      <c r="U99" s="6"/>
      <c r="V99" s="6"/>
      <c r="W99" s="6"/>
      <c r="X99" s="6"/>
      <c r="Y99" s="6"/>
      <c r="Z99" s="6"/>
      <c r="AA99" s="6"/>
      <c r="AB99" s="6"/>
      <c r="AC99" s="6"/>
      <c r="AD99" s="6"/>
      <c r="AE99" t="s">
        <v>19</v>
      </c>
      <c r="AF99" t="s">
        <v>19</v>
      </c>
      <c r="AH99">
        <v>1</v>
      </c>
    </row>
    <row r="100" spans="1:34" ht="29">
      <c r="A100" t="s">
        <v>287</v>
      </c>
      <c r="B100" s="3" t="s">
        <v>769</v>
      </c>
      <c r="C100" s="3" t="s">
        <v>768</v>
      </c>
      <c r="G100" s="6" t="s">
        <v>24</v>
      </c>
      <c r="H100" s="6"/>
      <c r="I100" s="6">
        <v>1</v>
      </c>
      <c r="J100" s="6">
        <v>3</v>
      </c>
      <c r="K100" s="6" t="s">
        <v>818</v>
      </c>
      <c r="L100" s="6" t="s">
        <v>809</v>
      </c>
      <c r="M100" s="6"/>
      <c r="N100" s="7"/>
      <c r="O100" s="6"/>
      <c r="P100" s="6">
        <v>1701</v>
      </c>
      <c r="Q100" s="6">
        <f t="shared" si="1"/>
        <v>836.36542432884255</v>
      </c>
      <c r="R100" s="6"/>
      <c r="S100" s="6" t="s">
        <v>963</v>
      </c>
      <c r="T100" s="6" t="s">
        <v>963</v>
      </c>
      <c r="U100" s="6"/>
      <c r="V100" s="6"/>
      <c r="W100" s="6"/>
      <c r="X100" s="6"/>
      <c r="Y100" s="6"/>
      <c r="Z100" s="6"/>
      <c r="AA100" s="6"/>
      <c r="AB100" s="6"/>
      <c r="AC100" s="6"/>
      <c r="AD100" s="6"/>
      <c r="AE100" t="s">
        <v>20</v>
      </c>
      <c r="AF100" t="s">
        <v>19</v>
      </c>
      <c r="AH100">
        <v>0</v>
      </c>
    </row>
    <row r="101" spans="1:34" ht="43.5">
      <c r="A101" t="s">
        <v>291</v>
      </c>
      <c r="B101" s="3" t="s">
        <v>774</v>
      </c>
      <c r="C101" s="3" t="s">
        <v>775</v>
      </c>
      <c r="G101" s="6" t="s">
        <v>25</v>
      </c>
      <c r="H101" s="6"/>
      <c r="I101" s="6">
        <v>1</v>
      </c>
      <c r="J101" s="6">
        <v>3</v>
      </c>
      <c r="K101" s="6" t="s">
        <v>808</v>
      </c>
      <c r="L101" s="6" t="s">
        <v>809</v>
      </c>
      <c r="M101" s="6"/>
      <c r="N101" s="7"/>
      <c r="O101" s="6"/>
      <c r="P101" s="6">
        <v>2475</v>
      </c>
      <c r="Q101" s="6">
        <f t="shared" si="1"/>
        <v>1216.9338184678927</v>
      </c>
      <c r="R101" s="6"/>
      <c r="S101" s="6" t="s">
        <v>963</v>
      </c>
      <c r="T101" s="6" t="s">
        <v>963</v>
      </c>
      <c r="U101" s="6"/>
      <c r="V101" s="6"/>
      <c r="W101" s="6"/>
      <c r="X101" s="6"/>
      <c r="Y101" s="6"/>
      <c r="Z101" s="6"/>
      <c r="AA101" s="6"/>
      <c r="AB101" s="6"/>
      <c r="AC101" s="6"/>
      <c r="AD101" s="6"/>
      <c r="AE101" t="s">
        <v>19</v>
      </c>
      <c r="AF101" t="s">
        <v>19</v>
      </c>
      <c r="AH101">
        <v>1</v>
      </c>
    </row>
    <row r="102" spans="1:34" ht="29">
      <c r="A102" t="s">
        <v>303</v>
      </c>
      <c r="B102" s="3" t="s">
        <v>783</v>
      </c>
      <c r="C102" s="3" t="s">
        <v>782</v>
      </c>
      <c r="G102" s="6" t="s">
        <v>25</v>
      </c>
      <c r="H102" s="6"/>
      <c r="I102" s="6">
        <v>1</v>
      </c>
      <c r="J102" s="6">
        <v>3</v>
      </c>
      <c r="K102" s="6" t="s">
        <v>825</v>
      </c>
      <c r="L102" s="6" t="s">
        <v>809</v>
      </c>
      <c r="M102" s="6"/>
      <c r="N102" s="7"/>
      <c r="O102" s="6"/>
      <c r="P102" s="6">
        <v>743</v>
      </c>
      <c r="Q102" s="6">
        <f t="shared" si="1"/>
        <v>365.32599075621988</v>
      </c>
      <c r="R102" s="6"/>
      <c r="S102" s="6" t="s">
        <v>963</v>
      </c>
      <c r="T102" s="6" t="s">
        <v>963</v>
      </c>
      <c r="U102" s="6"/>
      <c r="V102" s="6"/>
      <c r="W102" s="6"/>
      <c r="X102" s="6"/>
      <c r="Y102" s="6"/>
      <c r="Z102" s="6"/>
      <c r="AA102" s="6"/>
      <c r="AB102" s="6"/>
      <c r="AC102" s="6"/>
      <c r="AD102" s="6"/>
      <c r="AE102" t="s">
        <v>19</v>
      </c>
      <c r="AF102" t="s">
        <v>19</v>
      </c>
      <c r="AH102">
        <v>1</v>
      </c>
    </row>
    <row r="103" spans="1:34" ht="43.5">
      <c r="A103" t="s">
        <v>306</v>
      </c>
      <c r="B103" s="3" t="s">
        <v>788</v>
      </c>
      <c r="C103" s="3" t="s">
        <v>789</v>
      </c>
      <c r="G103" s="6" t="s">
        <v>25</v>
      </c>
      <c r="H103" s="6"/>
      <c r="I103" s="6">
        <v>1</v>
      </c>
      <c r="J103" s="6">
        <v>5</v>
      </c>
      <c r="K103" s="6" t="s">
        <v>825</v>
      </c>
      <c r="L103" s="6" t="s">
        <v>809</v>
      </c>
      <c r="M103" s="6"/>
      <c r="N103" s="7"/>
      <c r="O103" s="6"/>
      <c r="P103" s="6">
        <v>830</v>
      </c>
      <c r="Q103" s="6">
        <f t="shared" si="1"/>
        <v>408.10305831448517</v>
      </c>
      <c r="R103" s="6"/>
      <c r="S103" s="6" t="s">
        <v>963</v>
      </c>
      <c r="T103" s="6" t="s">
        <v>963</v>
      </c>
      <c r="U103" s="6"/>
      <c r="V103" s="6"/>
      <c r="W103" s="6"/>
      <c r="X103" s="6"/>
      <c r="Y103" s="6"/>
      <c r="Z103" s="6"/>
      <c r="AA103" s="6"/>
      <c r="AB103" s="6"/>
      <c r="AC103" s="6"/>
      <c r="AD103" s="6"/>
      <c r="AE103" t="s">
        <v>19</v>
      </c>
      <c r="AF103" t="s">
        <v>19</v>
      </c>
      <c r="AH103">
        <v>1</v>
      </c>
    </row>
    <row r="104" spans="1:34" ht="58">
      <c r="A104" t="s">
        <v>306</v>
      </c>
      <c r="B104" s="3" t="s">
        <v>791</v>
      </c>
      <c r="C104" s="3" t="s">
        <v>790</v>
      </c>
      <c r="G104" s="6" t="s">
        <v>25</v>
      </c>
      <c r="H104" s="6"/>
      <c r="I104" s="6">
        <v>1</v>
      </c>
      <c r="J104" s="6">
        <v>5</v>
      </c>
      <c r="K104" s="6" t="s">
        <v>860</v>
      </c>
      <c r="L104" s="6" t="s">
        <v>809</v>
      </c>
      <c r="M104" s="6"/>
      <c r="N104" s="7"/>
      <c r="O104" s="6"/>
      <c r="P104" s="6">
        <v>295</v>
      </c>
      <c r="Q104" s="6">
        <f t="shared" si="1"/>
        <v>145.04867735273871</v>
      </c>
      <c r="R104" s="6"/>
      <c r="S104" s="6" t="s">
        <v>963</v>
      </c>
      <c r="T104" s="6" t="s">
        <v>963</v>
      </c>
      <c r="U104" s="6"/>
      <c r="V104" s="6"/>
      <c r="W104" s="6"/>
      <c r="X104" s="6"/>
      <c r="Y104" s="6"/>
      <c r="Z104" s="6"/>
      <c r="AA104" s="6"/>
      <c r="AB104" s="6"/>
      <c r="AC104" s="6"/>
      <c r="AD104" s="6"/>
      <c r="AE104" t="s">
        <v>19</v>
      </c>
      <c r="AF104" t="s">
        <v>19</v>
      </c>
      <c r="AH104">
        <v>1</v>
      </c>
    </row>
    <row r="105" spans="1:34" ht="58">
      <c r="A105" t="s">
        <v>306</v>
      </c>
      <c r="B105" s="3" t="s">
        <v>792</v>
      </c>
      <c r="C105" s="3" t="s">
        <v>790</v>
      </c>
      <c r="G105" s="6" t="s">
        <v>25</v>
      </c>
      <c r="H105" s="6"/>
      <c r="I105" s="6">
        <v>1</v>
      </c>
      <c r="J105" s="6">
        <v>3</v>
      </c>
      <c r="K105" s="6" t="s">
        <v>825</v>
      </c>
      <c r="L105" s="6" t="s">
        <v>809</v>
      </c>
      <c r="M105" s="6"/>
      <c r="N105" s="7"/>
      <c r="O105" s="6"/>
      <c r="P105" s="6">
        <v>312</v>
      </c>
      <c r="Q105" s="6">
        <f t="shared" si="1"/>
        <v>153.4074146917101</v>
      </c>
      <c r="R105" s="6"/>
      <c r="S105" s="6" t="s">
        <v>963</v>
      </c>
      <c r="T105" s="6" t="s">
        <v>963</v>
      </c>
      <c r="U105" s="6"/>
      <c r="V105" s="6"/>
      <c r="W105" s="6"/>
      <c r="X105" s="6"/>
      <c r="Y105" s="6"/>
      <c r="Z105" s="6"/>
      <c r="AA105" s="6"/>
      <c r="AB105" s="6"/>
      <c r="AC105" s="6"/>
      <c r="AD105" s="6"/>
      <c r="AE105" t="s">
        <v>19</v>
      </c>
      <c r="AF105" t="s">
        <v>19</v>
      </c>
      <c r="AH105">
        <v>1</v>
      </c>
    </row>
    <row r="106" spans="1:34" ht="43.5">
      <c r="A106" t="s">
        <v>311</v>
      </c>
      <c r="B106" s="3" t="s">
        <v>794</v>
      </c>
      <c r="C106" s="3" t="s">
        <v>793</v>
      </c>
      <c r="G106" s="6" t="s">
        <v>24</v>
      </c>
      <c r="H106" s="6"/>
      <c r="I106" s="6">
        <v>1</v>
      </c>
      <c r="J106" s="6">
        <v>3</v>
      </c>
      <c r="K106" s="6" t="s">
        <v>808</v>
      </c>
      <c r="L106" s="6" t="s">
        <v>809</v>
      </c>
      <c r="M106" s="6"/>
      <c r="N106" s="7"/>
      <c r="O106" s="6"/>
      <c r="P106" s="6">
        <v>2475</v>
      </c>
      <c r="Q106" s="6">
        <f t="shared" si="1"/>
        <v>1216.9338184678927</v>
      </c>
      <c r="R106" s="6"/>
      <c r="S106" s="6" t="s">
        <v>963</v>
      </c>
      <c r="T106" s="6" t="s">
        <v>963</v>
      </c>
      <c r="U106" s="6"/>
      <c r="V106" s="6"/>
      <c r="W106" s="6"/>
      <c r="X106" s="6"/>
      <c r="Y106" s="6"/>
      <c r="Z106" s="6"/>
      <c r="AA106" s="6"/>
      <c r="AB106" s="6"/>
      <c r="AC106" s="6"/>
      <c r="AD106" s="6"/>
      <c r="AE106" t="s">
        <v>19</v>
      </c>
      <c r="AF106" t="s">
        <v>19</v>
      </c>
      <c r="AH106">
        <v>1</v>
      </c>
    </row>
    <row r="107" spans="1:34">
      <c r="S107" s="6"/>
      <c r="T107" s="6"/>
    </row>
    <row r="108" spans="1:34">
      <c r="S108" s="6"/>
      <c r="T108" s="6"/>
    </row>
    <row r="109" spans="1:34">
      <c r="E109" t="s">
        <v>932</v>
      </c>
      <c r="F109">
        <f>COUNTIF(G:G,"Addition")</f>
        <v>43</v>
      </c>
      <c r="S109" s="6"/>
      <c r="T109" s="6"/>
    </row>
    <row r="110" spans="1:34">
      <c r="B110" t="s">
        <v>938</v>
      </c>
      <c r="C110" t="s">
        <v>939</v>
      </c>
      <c r="E110" t="s">
        <v>933</v>
      </c>
      <c r="F110">
        <f>COUNTIF(G:G,"Omission")</f>
        <v>62</v>
      </c>
      <c r="S110" s="6"/>
      <c r="T110" s="6"/>
    </row>
    <row r="111" spans="1:34">
      <c r="B111" t="s">
        <v>808</v>
      </c>
      <c r="C111" t="s">
        <v>802</v>
      </c>
      <c r="E111" t="s">
        <v>934</v>
      </c>
      <c r="F111">
        <f>F109/(F109+F110)</f>
        <v>0.40952380952380951</v>
      </c>
      <c r="S111" s="6"/>
      <c r="T111" s="6"/>
    </row>
    <row r="112" spans="1:34">
      <c r="B112" t="s">
        <v>818</v>
      </c>
      <c r="C112" t="s">
        <v>814</v>
      </c>
      <c r="S112" s="6"/>
      <c r="T112" s="6"/>
    </row>
    <row r="113" spans="2:20">
      <c r="B113" t="s">
        <v>825</v>
      </c>
      <c r="C113" t="s">
        <v>823</v>
      </c>
      <c r="S113" s="6"/>
      <c r="T113" s="6"/>
    </row>
    <row r="114" spans="2:20">
      <c r="B114" t="s">
        <v>827</v>
      </c>
      <c r="C114" t="s">
        <v>829</v>
      </c>
      <c r="E114" t="s">
        <v>935</v>
      </c>
      <c r="F114">
        <f>COUNTIFS(G:G,"Addition", K:K,"Article")+COUNTIFS(G:G,"Addition", K:K,"Conjunction")+COUNTIFS(G:G,"Addition", K:K,"Pronoun")+COUNTIFS(G:G,"Addition", K:K,"Preposition")+COUNTIFS(G:G,"Addition", K:K,"Particle")+COUNTIFS(G:G,"Addition", K:K,"Vocative")</f>
        <v>37</v>
      </c>
      <c r="S114" s="6"/>
      <c r="T114" s="6"/>
    </row>
    <row r="115" spans="2:20">
      <c r="B115" t="s">
        <v>854</v>
      </c>
      <c r="C115" t="s">
        <v>860</v>
      </c>
      <c r="E115" t="s">
        <v>936</v>
      </c>
      <c r="F115">
        <f>COUNTIFS(G:G,"Omission", K:K,"Article")+COUNTIFS(G:G,"Omission", K:K,"Conjunction")+COUNTIFS(G:G,"Omission", K:K,"Pronoun")+COUNTIFS(G:G,"Omission", K:K,"Preposition")+COUNTIFS(G:G,"Omission", K:K,"Particle")+COUNTIFS(G:G,"Omission", K:K,"Vocative")</f>
        <v>43</v>
      </c>
      <c r="S115" s="6"/>
      <c r="T115" s="6"/>
    </row>
    <row r="116" spans="2:20">
      <c r="B116" t="s">
        <v>830</v>
      </c>
      <c r="E116" t="s">
        <v>937</v>
      </c>
      <c r="F116">
        <f>F114/(F114+F115)</f>
        <v>0.46250000000000002</v>
      </c>
      <c r="S116" s="6"/>
      <c r="T116" s="6"/>
    </row>
    <row r="117" spans="2:20">
      <c r="S117" s="6"/>
      <c r="T117" s="6"/>
    </row>
    <row r="118" spans="2:20">
      <c r="S118" s="6"/>
      <c r="T118" s="6"/>
    </row>
    <row r="119" spans="2:20">
      <c r="E119" t="s">
        <v>944</v>
      </c>
      <c r="F119">
        <f>COUNTIFS(G:G,"Addition", K:K,"Adjective")+COUNTIFS(G:G,"Addition", K:K,"Adverb")+COUNTIFS(G:G,"Addition", K:K,"Noun")+COUNTIFS(G:G,"Addition", K:K,"Participle")+COUNTIFS(G:G,"Addition", K:K,"Verb")</f>
        <v>6</v>
      </c>
      <c r="S119" s="6"/>
      <c r="T119" s="6"/>
    </row>
    <row r="120" spans="2:20">
      <c r="E120" t="s">
        <v>945</v>
      </c>
      <c r="F120">
        <f>COUNTIFS(G:G,"Omission", K:K,"Adjective")+COUNTIFS(G:G,"Omission", K:K,"Adverb")+COUNTIFS(G:G,"Omission", K:K,"Noun")+COUNTIFS(G:G,"Omission", K:K,"Participle")+COUNTIFS(G:G,"Omission", K:K,"Verb")</f>
        <v>7</v>
      </c>
      <c r="S120" s="6"/>
      <c r="T120" s="6"/>
    </row>
    <row r="121" spans="2:20">
      <c r="E121" t="s">
        <v>946</v>
      </c>
      <c r="F121">
        <f>F119/(F119+F120)</f>
        <v>0.46153846153846156</v>
      </c>
      <c r="S121" s="6"/>
      <c r="T121" s="6"/>
    </row>
    <row r="122" spans="2:20">
      <c r="E122" t="s">
        <v>951</v>
      </c>
      <c r="F122">
        <f>F121-F116</f>
        <v>-9.6153846153845812E-4</v>
      </c>
      <c r="S122" s="6"/>
      <c r="T122" s="6"/>
    </row>
    <row r="123" spans="2:20">
      <c r="S123" s="6"/>
      <c r="T123" s="6"/>
    </row>
    <row r="124" spans="2:20">
      <c r="S124" s="6"/>
      <c r="T124" s="6"/>
    </row>
    <row r="125" spans="2:20">
      <c r="D125" s="10" t="s">
        <v>947</v>
      </c>
      <c r="E125" s="10"/>
      <c r="F125" s="10"/>
      <c r="S125" s="6"/>
      <c r="T125" s="6"/>
    </row>
    <row r="126" spans="2:20">
      <c r="D126" t="s">
        <v>803</v>
      </c>
      <c r="E126" t="s">
        <v>948</v>
      </c>
      <c r="F126" t="s">
        <v>949</v>
      </c>
      <c r="S126" s="6"/>
      <c r="T126" s="6"/>
    </row>
    <row r="127" spans="2:20">
      <c r="C127" t="s">
        <v>941</v>
      </c>
      <c r="D127">
        <f>COUNTIFS(G:G,"Addition", L:L, "Present")</f>
        <v>3</v>
      </c>
      <c r="E127">
        <f>COUNTIFS(G:G,"Addition", L:L, "Absent")</f>
        <v>22</v>
      </c>
      <c r="F127">
        <f>D127/(D127+E127)</f>
        <v>0.12</v>
      </c>
      <c r="S127" s="6"/>
      <c r="T127" s="6"/>
    </row>
    <row r="128" spans="2:20">
      <c r="C128" t="s">
        <v>942</v>
      </c>
      <c r="D128">
        <f>COUNTIFS(G:G,"Omission", L:L, "Present")</f>
        <v>7</v>
      </c>
      <c r="E128">
        <f>COUNTIFS(G:G,"Omission", L:L, "Absent")</f>
        <v>44</v>
      </c>
      <c r="F128">
        <f>D128/(D128+E128)</f>
        <v>0.13725490196078433</v>
      </c>
      <c r="S128" s="6"/>
      <c r="T128" s="6"/>
    </row>
    <row r="129" spans="3:20">
      <c r="C129" t="s">
        <v>950</v>
      </c>
      <c r="D129">
        <f>SUM(D127+D128)</f>
        <v>10</v>
      </c>
      <c r="E129">
        <f>SUM(E127+E128)</f>
        <v>66</v>
      </c>
      <c r="F129">
        <f>D129/(D129+E129)</f>
        <v>0.13157894736842105</v>
      </c>
      <c r="S129" s="6"/>
      <c r="T129" s="6"/>
    </row>
    <row r="130" spans="3:20">
      <c r="S130" s="6"/>
      <c r="T130" s="6"/>
    </row>
    <row r="131" spans="3:20">
      <c r="S131" s="6"/>
      <c r="T131" s="6"/>
    </row>
    <row r="132" spans="3:20">
      <c r="D132" t="s">
        <v>941</v>
      </c>
      <c r="E132" t="s">
        <v>942</v>
      </c>
      <c r="F132" t="s">
        <v>952</v>
      </c>
      <c r="S132" s="6"/>
      <c r="T132" s="6"/>
    </row>
    <row r="133" spans="3:20">
      <c r="C133" t="s">
        <v>953</v>
      </c>
      <c r="D133">
        <f>COUNTIFS(G:G,"Addition", L:L, "Absent")</f>
        <v>22</v>
      </c>
      <c r="E133">
        <f>COUNTIFS(G:G,"Omission", L:L, "Absent")</f>
        <v>44</v>
      </c>
      <c r="F133">
        <f>D133/(D133+E133)</f>
        <v>0.33333333333333331</v>
      </c>
      <c r="S133" s="6"/>
      <c r="T133" s="6"/>
    </row>
    <row r="134" spans="3:20">
      <c r="C134" t="s">
        <v>954</v>
      </c>
      <c r="D134">
        <f>COUNTIFS(G:G,"Addition", L:L, "Present")</f>
        <v>3</v>
      </c>
      <c r="E134">
        <f>COUNTIFS(G:G,"Omission", L:L, "Present")</f>
        <v>7</v>
      </c>
      <c r="F134">
        <f>D134/(D134+E134)</f>
        <v>0.3</v>
      </c>
      <c r="S134" s="6"/>
      <c r="T134" s="6"/>
    </row>
    <row r="135" spans="3:20">
      <c r="E135" t="s">
        <v>1005</v>
      </c>
      <c r="F135">
        <f>F134-F133</f>
        <v>-3.3333333333333326E-2</v>
      </c>
      <c r="S135" s="6"/>
      <c r="T135" s="6"/>
    </row>
    <row r="136" spans="3:20">
      <c r="S136" s="6"/>
      <c r="T136" s="6"/>
    </row>
    <row r="137" spans="3:20">
      <c r="S137" s="6"/>
      <c r="T137" s="6"/>
    </row>
    <row r="138" spans="3:20">
      <c r="D138" t="s">
        <v>941</v>
      </c>
      <c r="E138" t="s">
        <v>942</v>
      </c>
      <c r="F138" t="s">
        <v>952</v>
      </c>
      <c r="S138" s="6"/>
      <c r="T138" s="6"/>
    </row>
    <row r="139" spans="3:20">
      <c r="C139" t="s">
        <v>955</v>
      </c>
      <c r="D139">
        <f>COUNTIFS(G:G,"Addition", O:O, "")</f>
        <v>41</v>
      </c>
      <c r="E139">
        <f>COUNTIFS(G:G,"Omission", O:O, "")</f>
        <v>62</v>
      </c>
      <c r="F139">
        <f>D139/(D139+E139)</f>
        <v>0.39805825242718446</v>
      </c>
      <c r="S139" s="6"/>
      <c r="T139" s="6"/>
    </row>
    <row r="140" spans="3:20">
      <c r="C140" t="s">
        <v>956</v>
      </c>
      <c r="D140">
        <f>COUNTIFS(G:G,"Addition", O:O, "Dittography")</f>
        <v>2</v>
      </c>
      <c r="E140">
        <f>COUNTIFS(G:G,"Omission", O:O, "Dittography")</f>
        <v>0</v>
      </c>
      <c r="F140">
        <f>D140/(D140+E140)</f>
        <v>1</v>
      </c>
      <c r="S140" s="6"/>
      <c r="T140" s="6"/>
    </row>
    <row r="141" spans="3:20">
      <c r="E141" t="s">
        <v>1005</v>
      </c>
      <c r="F141">
        <f>F140-F139</f>
        <v>0.60194174757281549</v>
      </c>
      <c r="S141" s="6"/>
      <c r="T141" s="6"/>
    </row>
    <row r="142" spans="3:20">
      <c r="S142" s="6"/>
      <c r="T142" s="6"/>
    </row>
    <row r="143" spans="3:20">
      <c r="S143" s="6"/>
      <c r="T143" s="6"/>
    </row>
    <row r="144" spans="3:20">
      <c r="C144" t="s">
        <v>940</v>
      </c>
      <c r="D144" t="s">
        <v>941</v>
      </c>
      <c r="E144" t="s">
        <v>942</v>
      </c>
      <c r="F144" t="s">
        <v>952</v>
      </c>
      <c r="S144" s="6"/>
      <c r="T144" s="6"/>
    </row>
    <row r="145" spans="3:20">
      <c r="C145" s="8">
        <v>1</v>
      </c>
      <c r="D145">
        <f>COUNTIFS(G:G,"Addition", I:I, 1)</f>
        <v>43</v>
      </c>
      <c r="E145">
        <f>COUNTIFS(G:G,"Omission", I:I, 1)</f>
        <v>50</v>
      </c>
      <c r="F145">
        <f>D145/(D145+E145)</f>
        <v>0.46236559139784944</v>
      </c>
      <c r="S145" s="6"/>
      <c r="T145" s="6"/>
    </row>
    <row r="146" spans="3:20">
      <c r="C146" s="8" t="s">
        <v>957</v>
      </c>
      <c r="D146">
        <f>COUNTIFS(G:G,"Addition", I:I, "&gt;=2", I:I, "&lt;=3")</f>
        <v>0</v>
      </c>
      <c r="E146">
        <f>COUNTIFS(G:G,"Omission", I:I, "&gt;=2", I:I, "&lt;=3")</f>
        <v>8</v>
      </c>
      <c r="F146">
        <f t="shared" ref="F146:F147" si="2">D146/(D146+E146)</f>
        <v>0</v>
      </c>
      <c r="S146" s="6"/>
      <c r="T146" s="6"/>
    </row>
    <row r="147" spans="3:20">
      <c r="C147" s="8" t="s">
        <v>958</v>
      </c>
      <c r="D147">
        <f>COUNTIFS(G:G,"Addition", I:I, "&gt;=4")</f>
        <v>0</v>
      </c>
      <c r="E147">
        <f>COUNTIFS(G:G,"Omission", I:I, "&gt;=4")</f>
        <v>4</v>
      </c>
      <c r="F147">
        <f t="shared" si="2"/>
        <v>0</v>
      </c>
      <c r="S147" s="6"/>
      <c r="T147" s="6"/>
    </row>
    <row r="148" spans="3:20">
      <c r="S148" s="6"/>
      <c r="T148" s="6"/>
    </row>
    <row r="149" spans="3:20">
      <c r="S149" s="6"/>
      <c r="T149" s="6"/>
    </row>
    <row r="150" spans="3:20">
      <c r="C150" t="s">
        <v>940</v>
      </c>
      <c r="D150" t="s">
        <v>941</v>
      </c>
      <c r="E150" t="s">
        <v>942</v>
      </c>
      <c r="F150" t="s">
        <v>943</v>
      </c>
      <c r="S150" s="6"/>
      <c r="T150" s="6"/>
    </row>
    <row r="151" spans="3:20">
      <c r="C151">
        <v>1</v>
      </c>
      <c r="D151" s="8">
        <f>COUNTIFS(G:G,"Addition", I:I, C151)</f>
        <v>43</v>
      </c>
      <c r="E151">
        <f>COUNTIFS(G:G,"Omission", I:I, C151)</f>
        <v>50</v>
      </c>
      <c r="F151">
        <f>D151/(D151+E151)</f>
        <v>0.46236559139784944</v>
      </c>
      <c r="S151" s="6"/>
      <c r="T151" s="6"/>
    </row>
    <row r="152" spans="3:20">
      <c r="C152">
        <v>2</v>
      </c>
      <c r="D152" s="8">
        <f>COUNTIFS(G:G,"Addition", I:I, C152)</f>
        <v>0</v>
      </c>
      <c r="E152">
        <f>COUNTIFS(G:G,"Omission", I:I, C152)</f>
        <v>5</v>
      </c>
      <c r="F152">
        <f t="shared" ref="F152:F155" si="3">D152/(D152+E152)</f>
        <v>0</v>
      </c>
      <c r="S152" s="6"/>
      <c r="T152" s="6"/>
    </row>
    <row r="153" spans="3:20">
      <c r="C153">
        <v>3</v>
      </c>
      <c r="D153" s="8">
        <f>COUNTIFS(G:G,"Addition", I:I, C153)</f>
        <v>0</v>
      </c>
      <c r="E153">
        <f>COUNTIFS(G:G,"Omission", I:I, C153)</f>
        <v>3</v>
      </c>
      <c r="F153">
        <f t="shared" si="3"/>
        <v>0</v>
      </c>
      <c r="S153" s="6"/>
      <c r="T153" s="6"/>
    </row>
    <row r="154" spans="3:20">
      <c r="C154">
        <v>4</v>
      </c>
      <c r="D154" s="8">
        <f>COUNTIFS(G:G,"Addition", I:I, C154)</f>
        <v>0</v>
      </c>
      <c r="E154">
        <f>COUNTIFS(G:G,"Omission", I:I, C154)</f>
        <v>2</v>
      </c>
      <c r="F154">
        <f t="shared" si="3"/>
        <v>0</v>
      </c>
      <c r="S154" s="6"/>
      <c r="T154" s="6"/>
    </row>
    <row r="155" spans="3:20">
      <c r="C155" t="s">
        <v>959</v>
      </c>
      <c r="D155" s="8">
        <f>COUNTIFS(G:G,"Addition", I:I, C155)</f>
        <v>0</v>
      </c>
      <c r="E155">
        <f>COUNTIFS(G:G,"Omission", I:I, C155)</f>
        <v>2</v>
      </c>
      <c r="F155">
        <f t="shared" si="3"/>
        <v>0</v>
      </c>
      <c r="S155" s="6"/>
      <c r="T155" s="6"/>
    </row>
    <row r="156" spans="3:20">
      <c r="D156" s="8"/>
      <c r="S156" s="6"/>
      <c r="T156" s="6"/>
    </row>
    <row r="157" spans="3:20">
      <c r="S157" s="6"/>
      <c r="T157" s="6"/>
    </row>
    <row r="158" spans="3:20">
      <c r="E158" t="s">
        <v>960</v>
      </c>
      <c r="F158">
        <v>20338</v>
      </c>
      <c r="S158" s="6"/>
      <c r="T158" s="6"/>
    </row>
    <row r="159" spans="3:20">
      <c r="S159" s="6"/>
      <c r="T159" s="6"/>
    </row>
    <row r="160" spans="3:20">
      <c r="S160" s="6"/>
      <c r="T160" s="6"/>
    </row>
    <row r="161" spans="19:20">
      <c r="S161" s="6"/>
      <c r="T161" s="6"/>
    </row>
    <row r="162" spans="19:20">
      <c r="S162" s="6"/>
      <c r="T162" s="6"/>
    </row>
    <row r="163" spans="19:20">
      <c r="S163" s="6"/>
      <c r="T163" s="6"/>
    </row>
    <row r="164" spans="19:20">
      <c r="S164" s="6"/>
      <c r="T164" s="6"/>
    </row>
    <row r="165" spans="19:20">
      <c r="S165" s="6"/>
      <c r="T165" s="6"/>
    </row>
  </sheetData>
  <mergeCells count="1">
    <mergeCell ref="D125:F125"/>
  </mergeCells>
  <conditionalFormatting sqref="G2:G106">
    <cfRule type="expression" dxfId="280" priority="12">
      <formula>$I2&lt;&gt;""</formula>
    </cfRule>
    <cfRule type="expression" dxfId="279" priority="13">
      <formula>$I2=""</formula>
    </cfRule>
  </conditionalFormatting>
  <conditionalFormatting sqref="H2:L106 O2:P106">
    <cfRule type="expression" dxfId="278" priority="25">
      <formula>AND($I2&lt;&gt;"Addition",$I2&lt;&gt;"Omission",$I2&lt;&gt;"Substitution - Word")</formula>
    </cfRule>
    <cfRule type="expression" dxfId="277" priority="24">
      <formula>AND(OR($I2="Addition",$I2="Omission"), H2="")</formula>
    </cfRule>
  </conditionalFormatting>
  <conditionalFormatting sqref="H2:P106">
    <cfRule type="expression" dxfId="276" priority="23">
      <formula>AND(OR($I2="Addition",$I2="Omission"), H2&lt;&gt;"")</formula>
    </cfRule>
  </conditionalFormatting>
  <conditionalFormatting sqref="K2:K106">
    <cfRule type="expression" dxfId="275" priority="21">
      <formula>AND($K2&lt;&gt;"",$K2&gt;1)</formula>
    </cfRule>
  </conditionalFormatting>
  <conditionalFormatting sqref="M2:N106">
    <cfRule type="expression" dxfId="274" priority="18">
      <formula>$N2="NA"</formula>
    </cfRule>
    <cfRule type="expression" dxfId="273" priority="20">
      <formula>AND($I2&lt;&gt;"Addition",$I2&lt;&gt;"Omission")</formula>
    </cfRule>
    <cfRule type="expression" dxfId="272" priority="19">
      <formula>AND(OR($I2="Addition",$I2="Omission"), M2="")</formula>
    </cfRule>
    <cfRule type="expression" dxfId="271" priority="17">
      <formula>$N2="Absent"</formula>
    </cfRule>
  </conditionalFormatting>
  <conditionalFormatting sqref="O2:O106">
    <cfRule type="expression" dxfId="270" priority="22">
      <formula>OR($I2="Addition",$I2="Omission",$I2 = "Substitution - Word")</formula>
    </cfRule>
  </conditionalFormatting>
  <conditionalFormatting sqref="Q2:Q106">
    <cfRule type="expression" dxfId="269" priority="2">
      <formula>AND(OR($I2="Addition",$I2="Omission"), Q2="")</formula>
    </cfRule>
    <cfRule type="expression" dxfId="268" priority="3">
      <formula>AND($I2&lt;&gt;"Addition",$I2&lt;&gt;"Omission",$I2&lt;&gt;"Substitution - Word")</formula>
    </cfRule>
    <cfRule type="expression" dxfId="267" priority="1">
      <formula>AND(OR($I2="Addition",$I2="Omission"), Q2&lt;&gt;"")</formula>
    </cfRule>
  </conditionalFormatting>
  <conditionalFormatting sqref="R76">
    <cfRule type="expression" dxfId="266" priority="7">
      <formula>AND(AND(LEFT($I76,3)="Sub", RIGHT($I76,4)&lt;&gt;"Form"),$V76&lt;&gt;"")</formula>
    </cfRule>
    <cfRule type="expression" dxfId="265" priority="9">
      <formula>"&lt;&gt;AND(LEFT($J2,3)=""Sub"", RIGHT($J2,4)&lt;&gt;""Form"")"</formula>
    </cfRule>
    <cfRule type="expression" dxfId="264" priority="8">
      <formula>AND(AND(LEFT($I76,3)="Sub", RIGHT($I76,4)&lt;&gt;"Form"),$V76="")</formula>
    </cfRule>
  </conditionalFormatting>
  <conditionalFormatting sqref="R2:T75 S76:T165 R77:R106">
    <cfRule type="expression" dxfId="263" priority="32">
      <formula>AND(AND(LEFT($I2,3)="Sub", RIGHT($I2,4)&lt;&gt;"Form"),$T2="")</formula>
    </cfRule>
    <cfRule type="expression" dxfId="262" priority="33">
      <formula>"&lt;&gt;AND(LEFT($J2,3)=""Sub"", RIGHT($J2,4)&lt;&gt;""Form"")"</formula>
    </cfRule>
  </conditionalFormatting>
  <conditionalFormatting sqref="S76:T76">
    <cfRule type="expression" dxfId="261" priority="4">
      <formula>AND(AND(LEFT($I76,3)="Sub", RIGHT($I76,4)&lt;&gt;"Form"),$T76&lt;&gt;"")</formula>
    </cfRule>
    <cfRule type="expression" dxfId="260" priority="5">
      <formula>AND(AND(LEFT($I76,3)="Sub", RIGHT($I76,4)&lt;&gt;"Form"),$T76="")</formula>
    </cfRule>
    <cfRule type="expression" dxfId="259" priority="6">
      <formula>"&lt;&gt;AND(LEFT($J2,3)=""Sub"", RIGHT($J2,4)&lt;&gt;""Form"")"</formula>
    </cfRule>
  </conditionalFormatting>
  <conditionalFormatting sqref="S76:T165 R2:T75 R77:R106">
    <cfRule type="expression" dxfId="258" priority="31">
      <formula>AND(AND(LEFT($I2,3)="Sub", RIGHT($I2,4)&lt;&gt;"Form"),$T2&lt;&gt;"")</formula>
    </cfRule>
  </conditionalFormatting>
  <conditionalFormatting sqref="U2:U106">
    <cfRule type="expression" dxfId="257" priority="16">
      <formula>OR($AD2="Yes",$AE2&lt;&gt;"")</formula>
    </cfRule>
    <cfRule type="expression" dxfId="256" priority="15">
      <formula>AND($W2&lt;&gt;"",OR($AD2="Yes",$AE2&lt;&gt;""))</formula>
    </cfRule>
    <cfRule type="expression" dxfId="255" priority="28">
      <formula>AND($AD2&lt;&gt;"Yes",$AE2="")</formula>
    </cfRule>
  </conditionalFormatting>
  <conditionalFormatting sqref="U2:AD75 U76:V76 U77:AD106">
    <cfRule type="expression" dxfId="254" priority="26">
      <formula>AND($I2&lt;&gt;"",$I2&lt;&gt;"Unclear due to correction")</formula>
    </cfRule>
    <cfRule type="expression" dxfId="253" priority="27">
      <formula>OR($I2="",$I2="Unclear due to correction")</formula>
    </cfRule>
  </conditionalFormatting>
  <conditionalFormatting sqref="V2:V106">
    <cfRule type="expression" dxfId="252" priority="14">
      <formula>AND($I2&lt;&gt;"",$I2&lt;&gt;"Unclear due to correction",$X2="")</formula>
    </cfRule>
  </conditionalFormatting>
  <conditionalFormatting sqref="W2:W106">
    <cfRule type="expression" dxfId="251" priority="29">
      <formula>AND($X2="Yes",$Y2="")</formula>
    </cfRule>
    <cfRule type="expression" dxfId="250" priority="30">
      <formula>$X2=""</formula>
    </cfRule>
  </conditionalFormatting>
  <conditionalFormatting sqref="W76:AD76">
    <cfRule type="expression" dxfId="249" priority="11">
      <formula>OR($I76="",$I76="Unclear due to correction")</formula>
    </cfRule>
    <cfRule type="expression" dxfId="248" priority="10">
      <formula>AND($I76&lt;&gt;"",$I76&lt;&gt;"Unclear due to correction")</formula>
    </cfRule>
  </conditionalFormatting>
  <conditionalFormatting sqref="AB2:AB106">
    <cfRule type="expression" dxfId="247" priority="34">
      <formula>AND(OR($AB2&lt;&gt;"",$AC2&lt;&gt;""),$AD2="")</formula>
    </cfRule>
  </conditionalFormatting>
  <dataValidations count="1">
    <dataValidation allowBlank="1" showInputMessage="1" sqref="V2:V106" xr:uid="{3FF33795-1C2F-4B45-8766-B3C7CFA04273}"/>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D5FC1085-D150-40E4-B83E-7E463DAC22C8}">
          <x14:formula1>
            <xm:f>'Data Regularization'!$Q$2:$Q$4</xm:f>
          </x14:formula1>
          <xm:sqref>AE2:AE106 AG2:AG106</xm:sqref>
        </x14:dataValidation>
        <x14:dataValidation type="list" allowBlank="1" showInputMessage="1" showErrorMessage="1" xr:uid="{C54AF59C-A31D-4658-8C64-E02548FFEBFF}">
          <x14:formula1>
            <xm:f>'Data Regularization'!$D$2:$D$1048576</xm:f>
          </x14:formula1>
          <xm:sqref>G2:G106</xm:sqref>
        </x14:dataValidation>
        <x14:dataValidation type="list" allowBlank="1" showInputMessage="1" showErrorMessage="1" xr:uid="{DAA6296D-0B17-4346-BF8F-8BD376453408}">
          <x14:formula1>
            <xm:f>'Data Regularization'!$E$2:$E$1048576</xm:f>
          </x14:formula1>
          <xm:sqref>K2:K106</xm:sqref>
        </x14:dataValidation>
        <x14:dataValidation type="list" allowBlank="1" showInputMessage="1" showErrorMessage="1" xr:uid="{1E4ACC3C-68B0-4E28-AEB3-3608F6A94433}">
          <x14:formula1>
            <xm:f>'Data Regularization'!$F$2:$F$1048576</xm:f>
          </x14:formula1>
          <xm:sqref>L2:L106</xm:sqref>
        </x14:dataValidation>
        <x14:dataValidation type="list" allowBlank="1" showInputMessage="1" showErrorMessage="1" xr:uid="{2130CD85-116E-4FEF-9020-14A72BDADC70}">
          <x14:formula1>
            <xm:f>'Data Regularization'!$G$2:$G$1048576</xm:f>
          </x14:formula1>
          <xm:sqref>O2:O106</xm:sqref>
        </x14:dataValidation>
        <x14:dataValidation type="list" allowBlank="1" showInputMessage="1" showErrorMessage="1" xr:uid="{A31E0350-227F-4419-A504-F6A3B59E5B71}">
          <x14:formula1>
            <xm:f>'Data Regularization'!$K$2:$K$1048576</xm:f>
          </x14:formula1>
          <xm:sqref>U2:U106 W2:W106</xm:sqref>
        </x14:dataValidation>
        <x14:dataValidation type="list" allowBlank="1" showInputMessage="1" showErrorMessage="1" xr:uid="{CB30885C-2F30-486C-9B39-7877B080398C}">
          <x14:formula1>
            <xm:f>'Data Regularization'!$L$2:$L$1048576</xm:f>
          </x14:formula1>
          <xm:sqref>X2:X106</xm:sqref>
        </x14:dataValidation>
        <x14:dataValidation type="list" allowBlank="1" showInputMessage="1" showErrorMessage="1" xr:uid="{E7308CCB-B721-4452-A005-3D8D34DAF500}">
          <x14:formula1>
            <xm:f>'Data Regularization'!$M$2:$M$1048576</xm:f>
          </x14:formula1>
          <xm:sqref>Y2:Y106</xm:sqref>
        </x14:dataValidation>
        <x14:dataValidation type="list" allowBlank="1" showInputMessage="1" showErrorMessage="1" xr:uid="{B42E2D0D-F1FD-48AD-AA29-00A98399F842}">
          <x14:formula1>
            <xm:f>'Data Regularization'!$N$2:$N$1048576</xm:f>
          </x14:formula1>
          <xm:sqref>Z2:Z106</xm:sqref>
        </x14:dataValidation>
        <x14:dataValidation type="list" allowBlank="1" showInputMessage="1" showErrorMessage="1" xr:uid="{464B8856-9A8E-455D-A8C7-3E852CC72968}">
          <x14:formula1>
            <xm:f>'Data Regularization'!$O$2:$O$1048576</xm:f>
          </x14:formula1>
          <xm:sqref>AB2:AB106</xm:sqref>
        </x14:dataValidation>
        <x14:dataValidation type="list" allowBlank="1" showInputMessage="1" showErrorMessage="1" xr:uid="{2AFE13CF-F8F7-4F26-B737-72DD6F35B11F}">
          <x14:formula1>
            <xm:f>'Data Regularization'!$P$2:$P$1048576</xm:f>
          </x14:formula1>
          <xm:sqref>AC2:AC106</xm:sqref>
        </x14:dataValidation>
        <x14:dataValidation type="list" allowBlank="1" showInputMessage="1" showErrorMessage="1" xr:uid="{E7F73ECD-EC56-4F2E-A9DC-265EEB52713B}">
          <x14:formula1>
            <xm:f>'Data Regularization'!$Q$2:$Q$1048576</xm:f>
          </x14:formula1>
          <xm:sqref>AD2:AD106</xm:sqref>
        </x14:dataValidation>
        <x14:dataValidation type="list" allowBlank="1" showInputMessage="1" showErrorMessage="1" xr:uid="{812067F8-10DB-461F-B78E-C2ADF7FFBA3A}">
          <x14:formula1>
            <xm:f>'Data Regularization'!$C$2:$C$29</xm:f>
          </x14:formula1>
          <xm:sqref>F2:F106</xm:sqref>
        </x14:dataValidation>
        <x14:dataValidation type="list" allowBlank="1" showInputMessage="1" showErrorMessage="1" xr:uid="{BC924FBC-9455-42E2-B023-EF4CD956B81C}">
          <x14:formula1>
            <xm:f>'Data Regularization'!$A$2:$A$1048576</xm:f>
          </x14:formula1>
          <xm:sqref>D2:D106</xm:sqref>
        </x14:dataValidation>
        <x14:dataValidation type="list" allowBlank="1" showInputMessage="1" showErrorMessage="1" xr:uid="{35702434-A8DD-417C-A10E-298247065842}">
          <x14:formula1>
            <xm:f>'Data Regularization'!$B$2:$B$1048576</xm:f>
          </x14:formula1>
          <xm:sqref>E2:E106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5D6F2-3648-46B2-BDDD-1E7F9877217C}">
  <dimension ref="A1:AH9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cols>
    <col min="1" max="1" width="9.453125" bestFit="1" customWidth="1"/>
  </cols>
  <sheetData>
    <row r="1" spans="1:34" s="1" customFormat="1" ht="29">
      <c r="A1" s="1" t="s">
        <v>0</v>
      </c>
      <c r="B1" s="1" t="s">
        <v>5</v>
      </c>
      <c r="C1" s="2" t="s">
        <v>6</v>
      </c>
      <c r="D1" s="1" t="s">
        <v>831</v>
      </c>
      <c r="E1" s="1" t="s">
        <v>832</v>
      </c>
      <c r="F1" s="1" t="s">
        <v>833</v>
      </c>
      <c r="G1" s="1" t="s">
        <v>3</v>
      </c>
      <c r="H1" s="1" t="s">
        <v>834</v>
      </c>
      <c r="I1" s="1" t="s">
        <v>835</v>
      </c>
      <c r="J1" s="1" t="s">
        <v>836</v>
      </c>
      <c r="K1" s="1" t="s">
        <v>837</v>
      </c>
      <c r="L1" s="1" t="s">
        <v>796</v>
      </c>
      <c r="M1" s="1" t="s">
        <v>838</v>
      </c>
      <c r="N1" s="5" t="s">
        <v>839</v>
      </c>
      <c r="O1" s="1" t="s">
        <v>797</v>
      </c>
      <c r="P1" s="1" t="s">
        <v>840</v>
      </c>
      <c r="Q1" s="1" t="s">
        <v>964</v>
      </c>
      <c r="R1" s="1" t="s">
        <v>841</v>
      </c>
      <c r="S1" s="1" t="s">
        <v>961</v>
      </c>
      <c r="T1" s="1" t="s">
        <v>962</v>
      </c>
      <c r="U1" s="1" t="s">
        <v>844</v>
      </c>
      <c r="V1" s="1" t="s">
        <v>845</v>
      </c>
      <c r="W1" s="1" t="s">
        <v>846</v>
      </c>
      <c r="X1" s="1" t="s">
        <v>798</v>
      </c>
      <c r="Y1" s="1" t="s">
        <v>799</v>
      </c>
      <c r="Z1" s="1" t="s">
        <v>800</v>
      </c>
      <c r="AA1" s="1" t="s">
        <v>842</v>
      </c>
      <c r="AB1" s="1" t="s">
        <v>847</v>
      </c>
      <c r="AC1" s="1" t="s">
        <v>801</v>
      </c>
      <c r="AD1" s="1" t="s">
        <v>843</v>
      </c>
      <c r="AE1" s="1" t="s">
        <v>859</v>
      </c>
      <c r="AF1" s="1" t="s">
        <v>857</v>
      </c>
      <c r="AG1" s="1" t="s">
        <v>858</v>
      </c>
    </row>
    <row r="2" spans="1:34" ht="58">
      <c r="A2" t="s">
        <v>41</v>
      </c>
      <c r="B2" s="3" t="s">
        <v>319</v>
      </c>
      <c r="C2" s="3" t="s">
        <v>316</v>
      </c>
      <c r="G2" s="6" t="s">
        <v>25</v>
      </c>
      <c r="H2" s="6"/>
      <c r="I2" s="6">
        <v>1</v>
      </c>
      <c r="J2" s="6">
        <v>3</v>
      </c>
      <c r="K2" s="6" t="s">
        <v>854</v>
      </c>
      <c r="L2" s="6" t="s">
        <v>809</v>
      </c>
      <c r="M2" s="6"/>
      <c r="N2" s="7"/>
      <c r="O2" s="6"/>
      <c r="P2" s="6">
        <v>0</v>
      </c>
      <c r="Q2" s="6">
        <v>0</v>
      </c>
      <c r="R2" s="6"/>
      <c r="S2" s="6" t="s">
        <v>963</v>
      </c>
      <c r="T2" s="6" t="s">
        <v>963</v>
      </c>
      <c r="U2" s="6"/>
      <c r="V2" s="6"/>
      <c r="W2" s="6"/>
      <c r="X2" s="6"/>
      <c r="Y2" s="6"/>
      <c r="Z2" s="6"/>
      <c r="AA2" s="6"/>
      <c r="AB2" s="6"/>
      <c r="AC2" s="6"/>
      <c r="AD2" s="6"/>
      <c r="AE2" t="s">
        <v>19</v>
      </c>
      <c r="AF2" t="s">
        <v>19</v>
      </c>
      <c r="AH2">
        <v>1</v>
      </c>
    </row>
    <row r="3" spans="1:34" ht="72.5">
      <c r="A3" t="s">
        <v>41</v>
      </c>
      <c r="B3" s="3" t="s">
        <v>321</v>
      </c>
      <c r="C3" s="3" t="s">
        <v>320</v>
      </c>
      <c r="G3" s="6" t="s">
        <v>25</v>
      </c>
      <c r="H3" s="6"/>
      <c r="I3" s="6">
        <v>1</v>
      </c>
      <c r="J3" s="6">
        <v>2</v>
      </c>
      <c r="K3" s="6" t="s">
        <v>827</v>
      </c>
      <c r="L3" s="6" t="s">
        <v>850</v>
      </c>
      <c r="M3" s="6"/>
      <c r="N3" s="7"/>
      <c r="O3" s="6"/>
      <c r="P3" s="6">
        <v>613</v>
      </c>
      <c r="Q3" s="6">
        <v>301.40623463467404</v>
      </c>
      <c r="R3" s="6"/>
      <c r="S3" s="6" t="s">
        <v>963</v>
      </c>
      <c r="T3" s="6" t="s">
        <v>963</v>
      </c>
      <c r="U3" s="6"/>
      <c r="V3" s="6"/>
      <c r="W3" s="6"/>
      <c r="X3" s="6"/>
      <c r="Y3" s="6"/>
      <c r="Z3" s="6"/>
      <c r="AA3" s="6"/>
      <c r="AB3" s="6"/>
      <c r="AC3" s="6"/>
      <c r="AD3" s="6"/>
      <c r="AE3" t="s">
        <v>19</v>
      </c>
      <c r="AF3" t="s">
        <v>19</v>
      </c>
      <c r="AH3">
        <v>1</v>
      </c>
    </row>
    <row r="4" spans="1:34" ht="58">
      <c r="A4" t="s">
        <v>44</v>
      </c>
      <c r="B4" s="3" t="s">
        <v>322</v>
      </c>
      <c r="C4" s="3" t="s">
        <v>323</v>
      </c>
      <c r="G4" s="6" t="s">
        <v>25</v>
      </c>
      <c r="H4" s="6"/>
      <c r="I4" s="6">
        <v>1</v>
      </c>
      <c r="J4" s="6">
        <v>3</v>
      </c>
      <c r="K4" s="6" t="s">
        <v>818</v>
      </c>
      <c r="L4" s="6" t="s">
        <v>809</v>
      </c>
      <c r="M4" s="6"/>
      <c r="N4" s="7"/>
      <c r="O4" s="6"/>
      <c r="P4" s="6">
        <v>1701</v>
      </c>
      <c r="Q4" s="6">
        <v>836.36542432884255</v>
      </c>
      <c r="R4" s="6"/>
      <c r="S4" s="6" t="s">
        <v>963</v>
      </c>
      <c r="T4" s="6" t="s">
        <v>963</v>
      </c>
      <c r="U4" s="6"/>
      <c r="V4" s="6"/>
      <c r="W4" s="6"/>
      <c r="X4" s="6"/>
      <c r="Y4" s="6"/>
      <c r="Z4" s="6"/>
      <c r="AA4" s="6"/>
      <c r="AB4" s="6"/>
      <c r="AC4" s="6"/>
      <c r="AD4" s="6"/>
      <c r="AE4" t="s">
        <v>19</v>
      </c>
      <c r="AF4" t="s">
        <v>19</v>
      </c>
      <c r="AH4">
        <v>1</v>
      </c>
    </row>
    <row r="5" spans="1:34" ht="43.5">
      <c r="A5" t="s">
        <v>50</v>
      </c>
      <c r="B5" s="3" t="s">
        <v>332</v>
      </c>
      <c r="C5" s="3" t="s">
        <v>331</v>
      </c>
      <c r="G5" s="6" t="s">
        <v>25</v>
      </c>
      <c r="H5" s="6"/>
      <c r="I5" s="6">
        <v>1</v>
      </c>
      <c r="J5" s="6">
        <v>4</v>
      </c>
      <c r="K5" s="6" t="s">
        <v>825</v>
      </c>
      <c r="L5" s="6" t="s">
        <v>809</v>
      </c>
      <c r="M5" s="6"/>
      <c r="N5" s="7"/>
      <c r="O5" s="6"/>
      <c r="P5" s="6">
        <v>743</v>
      </c>
      <c r="Q5" s="6">
        <v>365.32599075621988</v>
      </c>
      <c r="R5" s="6"/>
      <c r="S5" s="6" t="s">
        <v>963</v>
      </c>
      <c r="T5" s="6" t="s">
        <v>963</v>
      </c>
      <c r="U5" s="6"/>
      <c r="V5" s="6"/>
      <c r="W5" s="6"/>
      <c r="X5" s="6"/>
      <c r="Y5" s="6"/>
      <c r="Z5" s="6"/>
      <c r="AA5" s="6"/>
      <c r="AB5" s="6"/>
      <c r="AC5" s="6"/>
      <c r="AD5" s="6"/>
      <c r="AE5" t="s">
        <v>19</v>
      </c>
      <c r="AF5" t="s">
        <v>20</v>
      </c>
      <c r="AH5">
        <v>1</v>
      </c>
    </row>
    <row r="6" spans="1:34" ht="87">
      <c r="A6" t="s">
        <v>54</v>
      </c>
      <c r="B6" s="3" t="s">
        <v>334</v>
      </c>
      <c r="C6" s="3" t="s">
        <v>335</v>
      </c>
      <c r="G6" s="6" t="s">
        <v>24</v>
      </c>
      <c r="H6" s="6"/>
      <c r="I6" s="6">
        <v>1</v>
      </c>
      <c r="J6" s="6">
        <v>2</v>
      </c>
      <c r="K6" s="6" t="s">
        <v>827</v>
      </c>
      <c r="L6" s="6" t="s">
        <v>850</v>
      </c>
      <c r="M6" s="6"/>
      <c r="N6" s="7"/>
      <c r="O6" s="6"/>
      <c r="P6" s="6">
        <v>613</v>
      </c>
      <c r="Q6" s="6">
        <v>301.40623463467404</v>
      </c>
      <c r="R6" s="6"/>
      <c r="S6" s="6" t="s">
        <v>963</v>
      </c>
      <c r="T6" s="6" t="s">
        <v>963</v>
      </c>
      <c r="U6" s="6"/>
      <c r="V6" s="6"/>
      <c r="W6" s="6"/>
      <c r="X6" s="6"/>
      <c r="Y6" s="6"/>
      <c r="Z6" s="6"/>
      <c r="AA6" s="6"/>
      <c r="AB6" s="6"/>
      <c r="AC6" s="6"/>
      <c r="AD6" s="6"/>
      <c r="AE6" t="s">
        <v>19</v>
      </c>
      <c r="AF6" t="s">
        <v>20</v>
      </c>
      <c r="AH6">
        <v>1</v>
      </c>
    </row>
    <row r="7" spans="1:34" ht="29">
      <c r="A7" t="s">
        <v>57</v>
      </c>
      <c r="B7" s="3" t="s">
        <v>340</v>
      </c>
      <c r="C7" s="3" t="s">
        <v>341</v>
      </c>
      <c r="G7" s="6" t="s">
        <v>25</v>
      </c>
      <c r="H7" s="6"/>
      <c r="I7" s="6">
        <v>1</v>
      </c>
      <c r="J7" s="6">
        <v>2</v>
      </c>
      <c r="K7" s="6" t="s">
        <v>808</v>
      </c>
      <c r="L7" s="6" t="s">
        <v>850</v>
      </c>
      <c r="M7" s="6"/>
      <c r="N7" s="7"/>
      <c r="O7" s="6"/>
      <c r="P7" s="6">
        <v>2475</v>
      </c>
      <c r="Q7" s="6">
        <v>1216.9338184678927</v>
      </c>
      <c r="R7" s="6"/>
      <c r="S7" s="6" t="s">
        <v>963</v>
      </c>
      <c r="T7" s="6" t="s">
        <v>963</v>
      </c>
      <c r="U7" s="6"/>
      <c r="V7" s="6"/>
      <c r="W7" s="6"/>
      <c r="X7" s="6"/>
      <c r="Y7" s="6"/>
      <c r="Z7" s="6"/>
      <c r="AA7" s="6"/>
      <c r="AB7" s="6"/>
      <c r="AC7" s="6"/>
      <c r="AD7" s="6"/>
      <c r="AE7" t="s">
        <v>19</v>
      </c>
      <c r="AF7" t="s">
        <v>19</v>
      </c>
      <c r="AH7">
        <v>1</v>
      </c>
    </row>
    <row r="8" spans="1:34" ht="29">
      <c r="A8" t="s">
        <v>63</v>
      </c>
      <c r="B8" s="3" t="s">
        <v>349</v>
      </c>
      <c r="C8" s="3" t="s">
        <v>350</v>
      </c>
      <c r="G8" s="6" t="s">
        <v>25</v>
      </c>
      <c r="H8" s="6"/>
      <c r="I8" s="6">
        <v>1</v>
      </c>
      <c r="J8" s="6">
        <v>3</v>
      </c>
      <c r="K8" s="6" t="s">
        <v>825</v>
      </c>
      <c r="L8" s="6" t="s">
        <v>809</v>
      </c>
      <c r="M8" s="6"/>
      <c r="N8" s="7"/>
      <c r="O8" s="6"/>
      <c r="P8" s="6">
        <v>2475</v>
      </c>
      <c r="Q8" s="6">
        <v>1216.9338184678927</v>
      </c>
      <c r="R8" s="6"/>
      <c r="S8" s="6" t="s">
        <v>963</v>
      </c>
      <c r="T8" s="6" t="s">
        <v>963</v>
      </c>
      <c r="U8" s="6" t="s">
        <v>848</v>
      </c>
      <c r="V8" s="6"/>
      <c r="W8" s="6"/>
      <c r="X8" s="6"/>
      <c r="Y8" s="6"/>
      <c r="Z8" s="6"/>
      <c r="AA8" s="6"/>
      <c r="AB8" s="6"/>
      <c r="AC8" s="6"/>
      <c r="AD8" s="6"/>
      <c r="AE8" t="s">
        <v>19</v>
      </c>
      <c r="AF8" t="s">
        <v>20</v>
      </c>
      <c r="AH8">
        <v>1</v>
      </c>
    </row>
    <row r="9" spans="1:34" ht="29">
      <c r="A9" t="s">
        <v>63</v>
      </c>
      <c r="B9" s="3" t="s">
        <v>352</v>
      </c>
      <c r="C9" s="3" t="s">
        <v>351</v>
      </c>
      <c r="G9" s="6" t="s">
        <v>24</v>
      </c>
      <c r="H9" s="6"/>
      <c r="I9" s="6">
        <v>1</v>
      </c>
      <c r="J9" s="6">
        <v>1</v>
      </c>
      <c r="K9" s="6" t="s">
        <v>808</v>
      </c>
      <c r="L9" s="6" t="s">
        <v>850</v>
      </c>
      <c r="M9" s="6"/>
      <c r="N9" s="7"/>
      <c r="O9" s="6"/>
      <c r="P9" s="6">
        <v>2475</v>
      </c>
      <c r="Q9" s="6">
        <v>1216.9338184678927</v>
      </c>
      <c r="R9" s="6"/>
      <c r="S9" s="6" t="s">
        <v>963</v>
      </c>
      <c r="T9" s="6" t="s">
        <v>963</v>
      </c>
      <c r="U9" s="6"/>
      <c r="V9" s="6"/>
      <c r="W9" s="6"/>
      <c r="X9" s="6"/>
      <c r="Y9" s="6"/>
      <c r="Z9" s="6"/>
      <c r="AA9" s="6"/>
      <c r="AB9" s="6"/>
      <c r="AC9" s="6"/>
      <c r="AD9" s="6"/>
      <c r="AE9" t="s">
        <v>19</v>
      </c>
      <c r="AF9" t="s">
        <v>19</v>
      </c>
      <c r="AH9">
        <v>1</v>
      </c>
    </row>
    <row r="10" spans="1:34" ht="29">
      <c r="A10" t="s">
        <v>64</v>
      </c>
      <c r="B10" s="3" t="s">
        <v>356</v>
      </c>
      <c r="C10" s="3" t="s">
        <v>355</v>
      </c>
      <c r="G10" s="6" t="s">
        <v>25</v>
      </c>
      <c r="H10" s="6"/>
      <c r="I10" s="6">
        <v>1</v>
      </c>
      <c r="J10" s="6">
        <v>2</v>
      </c>
      <c r="K10" s="6" t="s">
        <v>825</v>
      </c>
      <c r="L10" s="6" t="s">
        <v>850</v>
      </c>
      <c r="M10" s="6"/>
      <c r="N10" s="7"/>
      <c r="O10" s="6"/>
      <c r="P10" s="6">
        <v>312</v>
      </c>
      <c r="Q10" s="6">
        <v>153.4074146917101</v>
      </c>
      <c r="R10" s="6"/>
      <c r="S10" s="6" t="s">
        <v>963</v>
      </c>
      <c r="T10" s="6" t="s">
        <v>963</v>
      </c>
      <c r="U10" s="6"/>
      <c r="V10" s="6"/>
      <c r="W10" s="6"/>
      <c r="X10" s="6"/>
      <c r="Y10" s="6"/>
      <c r="Z10" s="6"/>
      <c r="AA10" s="6"/>
      <c r="AB10" s="6"/>
      <c r="AC10" s="6"/>
      <c r="AD10" s="6"/>
      <c r="AE10" t="s">
        <v>19</v>
      </c>
      <c r="AF10" t="s">
        <v>19</v>
      </c>
      <c r="AH10">
        <v>1</v>
      </c>
    </row>
    <row r="11" spans="1:34" ht="72.5">
      <c r="A11" t="s">
        <v>67</v>
      </c>
      <c r="B11" s="3" t="s">
        <v>362</v>
      </c>
      <c r="C11" s="3" t="s">
        <v>359</v>
      </c>
      <c r="G11" s="6" t="s">
        <v>25</v>
      </c>
      <c r="H11" s="6"/>
      <c r="I11" s="6">
        <v>1</v>
      </c>
      <c r="J11" s="6">
        <v>5</v>
      </c>
      <c r="K11" s="6" t="s">
        <v>825</v>
      </c>
      <c r="L11" s="6" t="s">
        <v>803</v>
      </c>
      <c r="M11" s="6" t="s">
        <v>868</v>
      </c>
      <c r="N11" s="7" t="s">
        <v>867</v>
      </c>
      <c r="O11" s="6"/>
      <c r="P11" s="6">
        <v>830</v>
      </c>
      <c r="Q11" s="6">
        <v>408.10305831448517</v>
      </c>
      <c r="R11" s="6"/>
      <c r="S11" s="6" t="s">
        <v>963</v>
      </c>
      <c r="T11" s="6" t="s">
        <v>963</v>
      </c>
      <c r="U11" s="6"/>
      <c r="V11" s="6"/>
      <c r="W11" s="6"/>
      <c r="X11" s="6"/>
      <c r="Y11" s="6"/>
      <c r="Z11" s="6"/>
      <c r="AA11" s="6"/>
      <c r="AB11" s="6"/>
      <c r="AC11" s="6"/>
      <c r="AD11" s="6"/>
      <c r="AE11" t="s">
        <v>19</v>
      </c>
      <c r="AF11" t="s">
        <v>19</v>
      </c>
      <c r="AH11">
        <v>1</v>
      </c>
    </row>
    <row r="12" spans="1:34" ht="43.5">
      <c r="A12" t="s">
        <v>75</v>
      </c>
      <c r="B12" s="3" t="s">
        <v>363</v>
      </c>
      <c r="C12" s="3" t="s">
        <v>364</v>
      </c>
      <c r="G12" s="6" t="s">
        <v>24</v>
      </c>
      <c r="H12" s="6"/>
      <c r="I12" s="6">
        <v>1</v>
      </c>
      <c r="J12" s="6">
        <v>3</v>
      </c>
      <c r="K12" s="6" t="s">
        <v>818</v>
      </c>
      <c r="L12" s="6" t="s">
        <v>809</v>
      </c>
      <c r="M12" s="6"/>
      <c r="N12" s="7"/>
      <c r="O12" s="6"/>
      <c r="P12" s="6">
        <v>186</v>
      </c>
      <c r="Q12" s="6">
        <v>91.454420296981013</v>
      </c>
      <c r="R12" s="6"/>
      <c r="S12" s="6" t="s">
        <v>963</v>
      </c>
      <c r="T12" s="6" t="s">
        <v>963</v>
      </c>
      <c r="U12" s="6"/>
      <c r="V12" s="6"/>
      <c r="W12" s="6"/>
      <c r="X12" s="6"/>
      <c r="Y12" s="6"/>
      <c r="Z12" s="6"/>
      <c r="AA12" s="6"/>
      <c r="AB12" s="6"/>
      <c r="AC12" s="6"/>
      <c r="AD12" s="6"/>
      <c r="AE12" t="s">
        <v>19</v>
      </c>
      <c r="AF12" t="s">
        <v>19</v>
      </c>
      <c r="AH12">
        <v>1</v>
      </c>
    </row>
    <row r="13" spans="1:34" ht="29">
      <c r="A13" t="s">
        <v>75</v>
      </c>
      <c r="B13" s="3" t="s">
        <v>368</v>
      </c>
      <c r="C13" s="3" t="s">
        <v>367</v>
      </c>
      <c r="G13" s="6" t="s">
        <v>24</v>
      </c>
      <c r="H13" s="6"/>
      <c r="I13" s="6">
        <v>1</v>
      </c>
      <c r="J13" s="6">
        <v>1</v>
      </c>
      <c r="K13" s="6" t="s">
        <v>808</v>
      </c>
      <c r="L13" s="6" t="s">
        <v>850</v>
      </c>
      <c r="M13" s="6"/>
      <c r="N13" s="7"/>
      <c r="O13" s="6"/>
      <c r="P13" s="6">
        <v>2475</v>
      </c>
      <c r="Q13" s="6">
        <v>1216.9338184678927</v>
      </c>
      <c r="R13" s="6"/>
      <c r="S13" s="6" t="s">
        <v>963</v>
      </c>
      <c r="T13" s="6" t="s">
        <v>963</v>
      </c>
      <c r="U13" s="6" t="s">
        <v>4</v>
      </c>
      <c r="V13" s="6"/>
      <c r="W13" s="6"/>
      <c r="X13" s="6"/>
      <c r="Y13" s="6"/>
      <c r="Z13" s="6"/>
      <c r="AA13" s="6"/>
      <c r="AB13" s="6"/>
      <c r="AC13" s="6"/>
      <c r="AD13" s="6"/>
      <c r="AE13" t="s">
        <v>19</v>
      </c>
      <c r="AF13" t="s">
        <v>19</v>
      </c>
      <c r="AH13">
        <v>1</v>
      </c>
    </row>
    <row r="14" spans="1:34" ht="29">
      <c r="A14" t="s">
        <v>76</v>
      </c>
      <c r="B14" s="3" t="s">
        <v>371</v>
      </c>
      <c r="C14" s="3" t="s">
        <v>372</v>
      </c>
      <c r="G14" s="6" t="s">
        <v>25</v>
      </c>
      <c r="H14" s="6"/>
      <c r="I14" s="6">
        <v>1</v>
      </c>
      <c r="J14" s="6">
        <v>3</v>
      </c>
      <c r="K14" s="6" t="s">
        <v>818</v>
      </c>
      <c r="L14" s="6" t="s">
        <v>809</v>
      </c>
      <c r="M14" s="6"/>
      <c r="N14" s="7"/>
      <c r="O14" s="6"/>
      <c r="P14" s="6">
        <v>186</v>
      </c>
      <c r="Q14" s="6">
        <v>91.454420296981013</v>
      </c>
      <c r="R14" s="6"/>
      <c r="S14" s="6" t="s">
        <v>963</v>
      </c>
      <c r="T14" s="6" t="s">
        <v>963</v>
      </c>
      <c r="U14" s="6"/>
      <c r="V14" s="6"/>
      <c r="W14" s="6"/>
      <c r="X14" s="6"/>
      <c r="Y14" s="6"/>
      <c r="Z14" s="6"/>
      <c r="AA14" s="6"/>
      <c r="AB14" s="6"/>
      <c r="AC14" s="6"/>
      <c r="AD14" s="6"/>
      <c r="AE14" t="s">
        <v>19</v>
      </c>
      <c r="AF14" t="s">
        <v>19</v>
      </c>
      <c r="AH14">
        <v>1</v>
      </c>
    </row>
    <row r="15" spans="1:34" ht="116">
      <c r="A15" t="s">
        <v>79</v>
      </c>
      <c r="B15" s="3" t="s">
        <v>375</v>
      </c>
      <c r="C15" s="3" t="s">
        <v>883</v>
      </c>
      <c r="G15" s="6" t="s">
        <v>24</v>
      </c>
      <c r="H15" s="6"/>
      <c r="I15" s="6">
        <v>1</v>
      </c>
      <c r="J15" s="6">
        <v>3</v>
      </c>
      <c r="K15" s="6" t="s">
        <v>818</v>
      </c>
      <c r="L15" s="6" t="s">
        <v>803</v>
      </c>
      <c r="M15" s="6" t="s">
        <v>866</v>
      </c>
      <c r="N15" s="7" t="s">
        <v>867</v>
      </c>
      <c r="O15" s="6"/>
      <c r="P15" s="6">
        <v>1701</v>
      </c>
      <c r="Q15" s="6">
        <v>836.36542432884255</v>
      </c>
      <c r="R15" s="6"/>
      <c r="S15" s="6" t="s">
        <v>963</v>
      </c>
      <c r="T15" s="6" t="s">
        <v>963</v>
      </c>
      <c r="U15" s="6"/>
      <c r="V15" s="6"/>
      <c r="W15" s="6"/>
      <c r="X15" s="6"/>
      <c r="Y15" s="6"/>
      <c r="Z15" s="6"/>
      <c r="AA15" s="6"/>
      <c r="AB15" s="6"/>
      <c r="AC15" s="6"/>
      <c r="AD15" s="6"/>
      <c r="AE15" t="s">
        <v>19</v>
      </c>
      <c r="AF15" t="s">
        <v>20</v>
      </c>
      <c r="AH15">
        <v>1</v>
      </c>
    </row>
    <row r="16" spans="1:34" ht="409.5">
      <c r="A16" t="s">
        <v>80</v>
      </c>
      <c r="B16" s="3" t="s">
        <v>886</v>
      </c>
      <c r="C16" s="3" t="s">
        <v>891</v>
      </c>
      <c r="G16" s="6" t="s">
        <v>24</v>
      </c>
      <c r="H16" s="6"/>
      <c r="I16" s="6">
        <v>1</v>
      </c>
      <c r="J16" s="6">
        <v>4</v>
      </c>
      <c r="K16" s="6" t="s">
        <v>818</v>
      </c>
      <c r="L16" s="6" t="s">
        <v>809</v>
      </c>
      <c r="M16" s="6"/>
      <c r="N16" s="7"/>
      <c r="O16" s="6"/>
      <c r="P16" s="6">
        <v>55</v>
      </c>
      <c r="Q16" s="6">
        <v>27.042973743730947</v>
      </c>
      <c r="R16" s="6"/>
      <c r="S16" s="6" t="s">
        <v>963</v>
      </c>
      <c r="T16" s="6" t="s">
        <v>963</v>
      </c>
      <c r="U16" s="6"/>
      <c r="V16" s="6"/>
      <c r="W16" s="6"/>
      <c r="X16" s="6"/>
      <c r="Y16" s="6"/>
      <c r="Z16" s="6"/>
      <c r="AA16" s="6"/>
      <c r="AB16" s="6"/>
      <c r="AC16" s="6"/>
      <c r="AD16" s="6"/>
      <c r="AE16" t="s">
        <v>19</v>
      </c>
      <c r="AF16" t="s">
        <v>20</v>
      </c>
      <c r="AH16">
        <v>1</v>
      </c>
    </row>
    <row r="17" spans="1:34" ht="58">
      <c r="A17" t="s">
        <v>84</v>
      </c>
      <c r="B17" s="3" t="s">
        <v>380</v>
      </c>
      <c r="C17" s="3" t="s">
        <v>379</v>
      </c>
      <c r="G17" s="6" t="s">
        <v>25</v>
      </c>
      <c r="H17" s="6"/>
      <c r="I17" s="6">
        <v>1</v>
      </c>
      <c r="J17" s="6">
        <v>5</v>
      </c>
      <c r="K17" s="6" t="s">
        <v>825</v>
      </c>
      <c r="L17" s="6" t="s">
        <v>809</v>
      </c>
      <c r="M17" s="6"/>
      <c r="N17" s="7"/>
      <c r="O17" s="6"/>
      <c r="P17" s="6">
        <v>830</v>
      </c>
      <c r="Q17" s="6">
        <v>408.10305831448517</v>
      </c>
      <c r="R17" s="6"/>
      <c r="S17" s="6" t="s">
        <v>963</v>
      </c>
      <c r="T17" s="6" t="s">
        <v>963</v>
      </c>
      <c r="U17" s="6"/>
      <c r="V17" s="6"/>
      <c r="W17" s="6"/>
      <c r="X17" s="6"/>
      <c r="Y17" s="6"/>
      <c r="Z17" s="6"/>
      <c r="AA17" s="6"/>
      <c r="AB17" s="6"/>
      <c r="AC17" s="6"/>
      <c r="AD17" s="6"/>
      <c r="AE17" t="s">
        <v>19</v>
      </c>
      <c r="AF17" t="s">
        <v>20</v>
      </c>
      <c r="AH17">
        <v>1</v>
      </c>
    </row>
    <row r="18" spans="1:34" ht="43.5">
      <c r="A18" t="s">
        <v>84</v>
      </c>
      <c r="B18" s="3" t="s">
        <v>382</v>
      </c>
      <c r="C18" s="3" t="s">
        <v>385</v>
      </c>
      <c r="G18" s="6" t="s">
        <v>24</v>
      </c>
      <c r="H18" s="6"/>
      <c r="I18" s="6">
        <v>1</v>
      </c>
      <c r="J18" s="6">
        <v>5</v>
      </c>
      <c r="K18" s="6" t="s">
        <v>825</v>
      </c>
      <c r="L18" s="6" t="s">
        <v>809</v>
      </c>
      <c r="M18" s="6"/>
      <c r="N18" s="7"/>
      <c r="O18" s="6"/>
      <c r="P18" s="6">
        <v>830</v>
      </c>
      <c r="Q18" s="6">
        <v>408.10305831448517</v>
      </c>
      <c r="R18" s="6"/>
      <c r="S18" s="6" t="s">
        <v>963</v>
      </c>
      <c r="T18" s="6" t="s">
        <v>963</v>
      </c>
      <c r="U18" s="6"/>
      <c r="V18" s="6"/>
      <c r="W18" s="6"/>
      <c r="X18" s="6"/>
      <c r="Y18" s="6"/>
      <c r="Z18" s="6"/>
      <c r="AA18" s="6"/>
      <c r="AB18" s="6"/>
      <c r="AC18" s="6"/>
      <c r="AD18" s="6"/>
      <c r="AE18" t="s">
        <v>19</v>
      </c>
      <c r="AF18" t="s">
        <v>19</v>
      </c>
      <c r="AH18">
        <v>1</v>
      </c>
    </row>
    <row r="19" spans="1:34" ht="43.5">
      <c r="A19" t="s">
        <v>87</v>
      </c>
      <c r="B19" s="3" t="s">
        <v>389</v>
      </c>
      <c r="C19" s="3" t="s">
        <v>386</v>
      </c>
      <c r="G19" s="6" t="s">
        <v>25</v>
      </c>
      <c r="H19" s="6"/>
      <c r="I19" s="6">
        <v>1</v>
      </c>
      <c r="J19" s="6">
        <v>5</v>
      </c>
      <c r="K19" s="6" t="s">
        <v>825</v>
      </c>
      <c r="L19" s="6" t="s">
        <v>803</v>
      </c>
      <c r="M19" s="6" t="s">
        <v>868</v>
      </c>
      <c r="N19" s="7" t="s">
        <v>867</v>
      </c>
      <c r="O19" s="6"/>
      <c r="P19" s="6">
        <v>830</v>
      </c>
      <c r="Q19" s="6">
        <v>408.10305831448517</v>
      </c>
      <c r="R19" s="6"/>
      <c r="S19" s="6" t="s">
        <v>963</v>
      </c>
      <c r="T19" s="6" t="s">
        <v>963</v>
      </c>
      <c r="U19" s="6"/>
      <c r="V19" s="6"/>
      <c r="W19" s="6"/>
      <c r="X19" s="6"/>
      <c r="Y19" s="6"/>
      <c r="Z19" s="6"/>
      <c r="AA19" s="6"/>
      <c r="AB19" s="6"/>
      <c r="AC19" s="6"/>
      <c r="AD19" s="6"/>
      <c r="AE19" t="s">
        <v>19</v>
      </c>
      <c r="AF19" t="s">
        <v>19</v>
      </c>
      <c r="AH19">
        <v>1</v>
      </c>
    </row>
    <row r="20" spans="1:34" ht="159.5">
      <c r="A20" t="s">
        <v>87</v>
      </c>
      <c r="B20" s="3" t="s">
        <v>390</v>
      </c>
      <c r="C20" s="3" t="s">
        <v>394</v>
      </c>
      <c r="G20" s="6" t="s">
        <v>24</v>
      </c>
      <c r="H20" s="6"/>
      <c r="I20" s="6">
        <v>1</v>
      </c>
      <c r="J20" s="6">
        <v>3</v>
      </c>
      <c r="K20" s="6" t="s">
        <v>808</v>
      </c>
      <c r="L20" s="6" t="s">
        <v>809</v>
      </c>
      <c r="M20" s="6"/>
      <c r="N20" s="7"/>
      <c r="O20" s="6"/>
      <c r="P20" s="6">
        <v>2475</v>
      </c>
      <c r="Q20" s="6">
        <v>1216.9338184678927</v>
      </c>
      <c r="R20" s="6"/>
      <c r="S20" s="6" t="s">
        <v>963</v>
      </c>
      <c r="T20" s="6" t="s">
        <v>963</v>
      </c>
      <c r="U20" s="6"/>
      <c r="V20" s="6"/>
      <c r="W20" s="6"/>
      <c r="X20" s="6"/>
      <c r="Y20" s="6"/>
      <c r="Z20" s="6"/>
      <c r="AA20" s="6"/>
      <c r="AB20" s="6"/>
      <c r="AC20" s="6"/>
      <c r="AD20" s="6"/>
      <c r="AE20" t="s">
        <v>19</v>
      </c>
      <c r="AF20" t="s">
        <v>19</v>
      </c>
      <c r="AH20">
        <v>1</v>
      </c>
    </row>
    <row r="21" spans="1:34" ht="43.5">
      <c r="A21" t="s">
        <v>88</v>
      </c>
      <c r="B21" s="3" t="s">
        <v>408</v>
      </c>
      <c r="C21" s="3" t="s">
        <v>409</v>
      </c>
      <c r="G21" s="6" t="s">
        <v>25</v>
      </c>
      <c r="H21" s="6"/>
      <c r="I21" s="6">
        <v>1</v>
      </c>
      <c r="J21" s="6">
        <v>3</v>
      </c>
      <c r="K21" s="6" t="s">
        <v>818</v>
      </c>
      <c r="L21" s="6" t="s">
        <v>809</v>
      </c>
      <c r="M21" s="6"/>
      <c r="N21" s="7"/>
      <c r="O21" s="6"/>
      <c r="P21" s="6">
        <v>1701</v>
      </c>
      <c r="Q21" s="6">
        <v>836.36542432884255</v>
      </c>
      <c r="R21" s="6"/>
      <c r="S21" s="6" t="s">
        <v>963</v>
      </c>
      <c r="T21" s="6" t="s">
        <v>963</v>
      </c>
      <c r="U21" s="6"/>
      <c r="V21" s="6"/>
      <c r="W21" s="6"/>
      <c r="X21" s="6"/>
      <c r="Y21" s="6"/>
      <c r="Z21" s="6"/>
      <c r="AA21" s="6"/>
      <c r="AB21" s="6"/>
      <c r="AC21" s="6"/>
      <c r="AD21" s="6"/>
      <c r="AE21" t="s">
        <v>19</v>
      </c>
      <c r="AF21" t="s">
        <v>19</v>
      </c>
      <c r="AH21">
        <v>1</v>
      </c>
    </row>
    <row r="22" spans="1:34" ht="43.5">
      <c r="A22" t="s">
        <v>92</v>
      </c>
      <c r="B22" s="3" t="s">
        <v>412</v>
      </c>
      <c r="C22" s="3" t="s">
        <v>413</v>
      </c>
      <c r="G22" s="6" t="s">
        <v>24</v>
      </c>
      <c r="H22" s="6"/>
      <c r="I22" s="6">
        <v>1</v>
      </c>
      <c r="J22" s="6">
        <v>2</v>
      </c>
      <c r="K22" s="6" t="s">
        <v>808</v>
      </c>
      <c r="L22" s="6" t="s">
        <v>850</v>
      </c>
      <c r="M22" s="6"/>
      <c r="N22" s="7"/>
      <c r="O22" s="6"/>
      <c r="P22" s="6">
        <v>2475</v>
      </c>
      <c r="Q22" s="6">
        <v>1216.9338184678927</v>
      </c>
      <c r="R22" s="6"/>
      <c r="S22" s="6" t="s">
        <v>963</v>
      </c>
      <c r="T22" s="6" t="s">
        <v>963</v>
      </c>
      <c r="U22" s="6"/>
      <c r="V22" s="6"/>
      <c r="W22" s="6"/>
      <c r="X22" s="6"/>
      <c r="Y22" s="6"/>
      <c r="Z22" s="6"/>
      <c r="AA22" s="6"/>
      <c r="AB22" s="6"/>
      <c r="AC22" s="6"/>
      <c r="AD22" s="6"/>
      <c r="AE22" t="s">
        <v>20</v>
      </c>
      <c r="AF22" t="s">
        <v>19</v>
      </c>
      <c r="AH22">
        <v>0</v>
      </c>
    </row>
    <row r="23" spans="1:34" ht="29">
      <c r="A23" t="s">
        <v>92</v>
      </c>
      <c r="B23" s="3" t="s">
        <v>417</v>
      </c>
      <c r="C23" s="3" t="s">
        <v>416</v>
      </c>
      <c r="G23" s="6" t="s">
        <v>24</v>
      </c>
      <c r="H23" s="6"/>
      <c r="I23" s="6">
        <v>1</v>
      </c>
      <c r="J23" s="6">
        <v>2</v>
      </c>
      <c r="K23" s="6" t="s">
        <v>854</v>
      </c>
      <c r="L23" s="6" t="s">
        <v>850</v>
      </c>
      <c r="M23" s="6"/>
      <c r="N23" s="7"/>
      <c r="O23" s="6"/>
      <c r="P23" s="6">
        <v>0</v>
      </c>
      <c r="Q23" s="6">
        <v>0</v>
      </c>
      <c r="R23" s="6"/>
      <c r="S23" s="6" t="s">
        <v>963</v>
      </c>
      <c r="T23" s="6" t="s">
        <v>963</v>
      </c>
      <c r="U23" s="6"/>
      <c r="V23" s="6"/>
      <c r="W23" s="6"/>
      <c r="X23" s="6"/>
      <c r="Y23" s="6"/>
      <c r="Z23" s="6"/>
      <c r="AA23" s="6"/>
      <c r="AB23" s="6"/>
      <c r="AC23" s="6"/>
      <c r="AD23" s="6"/>
      <c r="AE23" t="s">
        <v>19</v>
      </c>
      <c r="AF23" t="s">
        <v>19</v>
      </c>
      <c r="AH23">
        <v>1</v>
      </c>
    </row>
    <row r="24" spans="1:34" ht="29">
      <c r="A24" t="s">
        <v>101</v>
      </c>
      <c r="B24" s="3" t="s">
        <v>424</v>
      </c>
      <c r="C24" s="3" t="s">
        <v>425</v>
      </c>
      <c r="F24" t="s">
        <v>19</v>
      </c>
      <c r="G24" s="6" t="s">
        <v>24</v>
      </c>
      <c r="H24" s="6"/>
      <c r="I24" s="6">
        <v>1</v>
      </c>
      <c r="J24" s="6">
        <v>2</v>
      </c>
      <c r="K24" s="6" t="s">
        <v>818</v>
      </c>
      <c r="L24" s="6" t="s">
        <v>850</v>
      </c>
      <c r="M24" s="6"/>
      <c r="N24" s="7"/>
      <c r="O24" s="6"/>
      <c r="P24" s="6">
        <v>171</v>
      </c>
      <c r="Q24" s="6">
        <v>84.079063821418046</v>
      </c>
      <c r="R24" s="6"/>
      <c r="S24" s="6" t="s">
        <v>963</v>
      </c>
      <c r="T24" s="6" t="s">
        <v>963</v>
      </c>
      <c r="U24" s="6"/>
      <c r="V24" s="6"/>
      <c r="W24" s="6"/>
      <c r="X24" s="6"/>
      <c r="Y24" s="6"/>
      <c r="Z24" s="6"/>
      <c r="AA24" s="6"/>
      <c r="AB24" s="6"/>
      <c r="AC24" s="6"/>
      <c r="AD24" s="6"/>
      <c r="AE24" t="s">
        <v>20</v>
      </c>
      <c r="AF24" t="s">
        <v>20</v>
      </c>
      <c r="AH24">
        <v>0</v>
      </c>
    </row>
    <row r="25" spans="1:34" ht="43.5">
      <c r="A25" t="s">
        <v>114</v>
      </c>
      <c r="B25" s="3" t="s">
        <v>444</v>
      </c>
      <c r="C25" s="3" t="s">
        <v>443</v>
      </c>
      <c r="G25" s="6" t="s">
        <v>24</v>
      </c>
      <c r="H25" s="6"/>
      <c r="I25" s="6">
        <v>1</v>
      </c>
      <c r="J25" s="6">
        <v>5</v>
      </c>
      <c r="K25" s="6" t="s">
        <v>825</v>
      </c>
      <c r="L25" s="6" t="s">
        <v>809</v>
      </c>
      <c r="M25" s="6"/>
      <c r="N25" s="7"/>
      <c r="O25" s="6"/>
      <c r="P25" s="6">
        <v>830</v>
      </c>
      <c r="Q25" s="6">
        <v>408.10305831448517</v>
      </c>
      <c r="R25" s="6"/>
      <c r="S25" s="6" t="s">
        <v>963</v>
      </c>
      <c r="T25" s="6" t="s">
        <v>963</v>
      </c>
      <c r="U25" s="6"/>
      <c r="V25" s="6"/>
      <c r="W25" s="6"/>
      <c r="X25" s="6"/>
      <c r="Y25" s="6"/>
      <c r="Z25" s="6"/>
      <c r="AA25" s="6"/>
      <c r="AB25" s="6"/>
      <c r="AC25" s="6"/>
      <c r="AD25" s="6"/>
      <c r="AE25" t="s">
        <v>19</v>
      </c>
      <c r="AF25" t="s">
        <v>19</v>
      </c>
      <c r="AH25">
        <v>1</v>
      </c>
    </row>
    <row r="26" spans="1:34" ht="58">
      <c r="A26" t="s">
        <v>122</v>
      </c>
      <c r="B26" s="3" t="s">
        <v>456</v>
      </c>
      <c r="C26" s="3" t="s">
        <v>455</v>
      </c>
      <c r="G26" s="6" t="s">
        <v>24</v>
      </c>
      <c r="H26" s="6"/>
      <c r="I26" s="6">
        <v>1</v>
      </c>
      <c r="J26" s="6">
        <v>3</v>
      </c>
      <c r="K26" s="6" t="s">
        <v>808</v>
      </c>
      <c r="L26" s="6" t="s">
        <v>809</v>
      </c>
      <c r="M26" s="6"/>
      <c r="N26" s="7"/>
      <c r="O26" s="6"/>
      <c r="P26" s="6">
        <v>2475</v>
      </c>
      <c r="Q26" s="6">
        <v>1216.9338184678927</v>
      </c>
      <c r="R26" s="6"/>
      <c r="S26" s="6" t="s">
        <v>963</v>
      </c>
      <c r="T26" s="6" t="s">
        <v>963</v>
      </c>
      <c r="U26" s="6"/>
      <c r="V26" s="6"/>
      <c r="W26" s="6"/>
      <c r="X26" s="6"/>
      <c r="Y26" s="6"/>
      <c r="Z26" s="6"/>
      <c r="AA26" s="6"/>
      <c r="AB26" s="6"/>
      <c r="AC26" s="6"/>
      <c r="AD26" s="6"/>
      <c r="AE26" t="s">
        <v>19</v>
      </c>
      <c r="AF26" t="s">
        <v>20</v>
      </c>
      <c r="AH26">
        <v>1</v>
      </c>
    </row>
    <row r="27" spans="1:34" ht="43.5">
      <c r="A27" t="s">
        <v>123</v>
      </c>
      <c r="B27" s="3" t="s">
        <v>458</v>
      </c>
      <c r="C27" s="3" t="s">
        <v>457</v>
      </c>
      <c r="G27" s="6" t="s">
        <v>24</v>
      </c>
      <c r="H27" s="6"/>
      <c r="I27" s="6">
        <v>1</v>
      </c>
      <c r="J27" s="6">
        <v>3</v>
      </c>
      <c r="K27" s="6" t="s">
        <v>818</v>
      </c>
      <c r="L27" s="6" t="s">
        <v>809</v>
      </c>
      <c r="M27" s="6"/>
      <c r="N27" s="7"/>
      <c r="O27" s="6"/>
      <c r="P27" s="6">
        <v>86</v>
      </c>
      <c r="Q27" s="6">
        <v>42.285377126561116</v>
      </c>
      <c r="R27" s="6"/>
      <c r="S27" s="6" t="s">
        <v>963</v>
      </c>
      <c r="T27" s="6" t="s">
        <v>963</v>
      </c>
      <c r="U27" s="6"/>
      <c r="V27" s="6"/>
      <c r="W27" s="6"/>
      <c r="X27" s="6"/>
      <c r="Y27" s="6"/>
      <c r="Z27" s="6"/>
      <c r="AA27" s="6"/>
      <c r="AB27" s="6"/>
      <c r="AC27" s="6"/>
      <c r="AD27" s="6"/>
      <c r="AE27" t="s">
        <v>19</v>
      </c>
      <c r="AF27" t="s">
        <v>19</v>
      </c>
      <c r="AH27">
        <v>1</v>
      </c>
    </row>
    <row r="28" spans="1:34" ht="72.5">
      <c r="A28" t="s">
        <v>125</v>
      </c>
      <c r="B28" s="3" t="s">
        <v>460</v>
      </c>
      <c r="C28" s="3" t="s">
        <v>461</v>
      </c>
      <c r="G28" s="6" t="s">
        <v>25</v>
      </c>
      <c r="H28" s="6"/>
      <c r="I28" s="6">
        <v>1</v>
      </c>
      <c r="J28" s="6">
        <v>3</v>
      </c>
      <c r="K28" s="6" t="s">
        <v>818</v>
      </c>
      <c r="L28" s="6" t="s">
        <v>809</v>
      </c>
      <c r="M28" s="6"/>
      <c r="N28" s="7"/>
      <c r="O28" s="6"/>
      <c r="P28" s="6">
        <v>1701</v>
      </c>
      <c r="Q28" s="6">
        <v>836.36542432884255</v>
      </c>
      <c r="R28" s="6"/>
      <c r="S28" s="6" t="s">
        <v>963</v>
      </c>
      <c r="T28" s="6" t="s">
        <v>963</v>
      </c>
      <c r="U28" s="6"/>
      <c r="V28" s="6"/>
      <c r="W28" s="6"/>
      <c r="X28" s="6"/>
      <c r="Y28" s="6"/>
      <c r="Z28" s="6"/>
      <c r="AA28" s="6"/>
      <c r="AB28" s="6"/>
      <c r="AC28" s="6"/>
      <c r="AD28" s="6"/>
      <c r="AE28" t="s">
        <v>19</v>
      </c>
      <c r="AF28" t="s">
        <v>19</v>
      </c>
      <c r="AH28">
        <v>1</v>
      </c>
    </row>
    <row r="29" spans="1:34" ht="29">
      <c r="A29" t="s">
        <v>129</v>
      </c>
      <c r="B29" s="3" t="s">
        <v>474</v>
      </c>
      <c r="C29" s="3" t="s">
        <v>475</v>
      </c>
      <c r="G29" s="6" t="s">
        <v>25</v>
      </c>
      <c r="H29" s="6"/>
      <c r="I29" s="6">
        <v>1</v>
      </c>
      <c r="J29" s="6">
        <v>3</v>
      </c>
      <c r="K29" s="6" t="s">
        <v>808</v>
      </c>
      <c r="L29" s="6" t="s">
        <v>809</v>
      </c>
      <c r="M29" s="6"/>
      <c r="N29" s="7"/>
      <c r="O29" s="6"/>
      <c r="P29" s="6">
        <v>2475</v>
      </c>
      <c r="Q29" s="6">
        <v>1216.9338184678927</v>
      </c>
      <c r="R29" s="6"/>
      <c r="S29" s="6" t="s">
        <v>963</v>
      </c>
      <c r="T29" s="6" t="s">
        <v>963</v>
      </c>
      <c r="U29" s="6"/>
      <c r="V29" s="6"/>
      <c r="W29" s="6"/>
      <c r="X29" s="6"/>
      <c r="Y29" s="6"/>
      <c r="Z29" s="6"/>
      <c r="AA29" s="6"/>
      <c r="AB29" s="6"/>
      <c r="AC29" s="6"/>
      <c r="AD29" s="6"/>
      <c r="AE29" t="s">
        <v>19</v>
      </c>
      <c r="AF29" t="s">
        <v>19</v>
      </c>
      <c r="AH29">
        <v>1</v>
      </c>
    </row>
    <row r="30" spans="1:34" ht="101.5">
      <c r="A30" t="s">
        <v>131</v>
      </c>
      <c r="B30" s="3" t="s">
        <v>481</v>
      </c>
      <c r="C30" s="3" t="s">
        <v>480</v>
      </c>
      <c r="G30" s="6" t="s">
        <v>25</v>
      </c>
      <c r="H30" s="6"/>
      <c r="I30" s="6">
        <v>1</v>
      </c>
      <c r="J30" s="6">
        <v>2</v>
      </c>
      <c r="K30" s="6" t="s">
        <v>808</v>
      </c>
      <c r="L30" s="6" t="s">
        <v>850</v>
      </c>
      <c r="M30" s="6"/>
      <c r="N30" s="7"/>
      <c r="O30" s="6"/>
      <c r="P30" s="6">
        <v>2475</v>
      </c>
      <c r="Q30" s="6">
        <v>1216.9338184678927</v>
      </c>
      <c r="R30" s="6"/>
      <c r="S30" s="6" t="s">
        <v>963</v>
      </c>
      <c r="T30" s="6" t="s">
        <v>963</v>
      </c>
      <c r="U30" s="6"/>
      <c r="V30" s="6"/>
      <c r="W30" s="6"/>
      <c r="X30" s="6"/>
      <c r="Y30" s="6"/>
      <c r="Z30" s="6"/>
      <c r="AA30" s="6"/>
      <c r="AB30" s="6"/>
      <c r="AC30" s="6"/>
      <c r="AD30" s="6"/>
      <c r="AE30" t="s">
        <v>19</v>
      </c>
      <c r="AF30" t="s">
        <v>19</v>
      </c>
      <c r="AH30">
        <v>1</v>
      </c>
    </row>
    <row r="31" spans="1:34" ht="43.5">
      <c r="A31" t="s">
        <v>151</v>
      </c>
      <c r="B31" s="3" t="s">
        <v>500</v>
      </c>
      <c r="C31" s="3" t="s">
        <v>501</v>
      </c>
      <c r="G31" s="6" t="s">
        <v>24</v>
      </c>
      <c r="H31" s="6"/>
      <c r="I31" s="6">
        <v>1</v>
      </c>
      <c r="J31" s="6">
        <v>3</v>
      </c>
      <c r="K31" s="6" t="s">
        <v>808</v>
      </c>
      <c r="L31" s="6" t="s">
        <v>809</v>
      </c>
      <c r="M31" s="6"/>
      <c r="N31" s="7"/>
      <c r="O31" s="6"/>
      <c r="P31" s="6">
        <v>2475</v>
      </c>
      <c r="Q31" s="6">
        <v>1216.9338184678927</v>
      </c>
      <c r="R31" s="6"/>
      <c r="S31" s="6" t="s">
        <v>963</v>
      </c>
      <c r="T31" s="6" t="s">
        <v>963</v>
      </c>
      <c r="U31" s="6"/>
      <c r="V31" s="6"/>
      <c r="W31" s="6"/>
      <c r="X31" s="6"/>
      <c r="Y31" s="6"/>
      <c r="Z31" s="6"/>
      <c r="AA31" s="6"/>
      <c r="AB31" s="6"/>
      <c r="AC31" s="6"/>
      <c r="AD31" s="6"/>
      <c r="AE31" t="s">
        <v>19</v>
      </c>
      <c r="AF31" t="s">
        <v>20</v>
      </c>
      <c r="AH31">
        <v>1</v>
      </c>
    </row>
    <row r="32" spans="1:34" ht="29">
      <c r="A32" t="s">
        <v>152</v>
      </c>
      <c r="B32" s="3" t="s">
        <v>502</v>
      </c>
      <c r="C32" s="3" t="s">
        <v>315</v>
      </c>
      <c r="G32" s="6" t="s">
        <v>25</v>
      </c>
      <c r="H32" s="6"/>
      <c r="I32" s="6">
        <v>1</v>
      </c>
      <c r="J32" s="6">
        <v>3</v>
      </c>
      <c r="K32" s="6" t="s">
        <v>808</v>
      </c>
      <c r="L32" s="6" t="s">
        <v>809</v>
      </c>
      <c r="M32" s="6"/>
      <c r="N32" s="7"/>
      <c r="O32" s="6"/>
      <c r="P32" s="6">
        <v>2475</v>
      </c>
      <c r="Q32" s="6">
        <v>1216.9338184678927</v>
      </c>
      <c r="R32" s="6"/>
      <c r="S32" s="6" t="s">
        <v>963</v>
      </c>
      <c r="T32" s="6" t="s">
        <v>963</v>
      </c>
      <c r="U32" s="6"/>
      <c r="V32" s="6"/>
      <c r="W32" s="6"/>
      <c r="X32" s="6"/>
      <c r="Y32" s="6"/>
      <c r="Z32" s="6"/>
      <c r="AA32" s="6"/>
      <c r="AB32" s="6"/>
      <c r="AC32" s="6"/>
      <c r="AD32" s="6"/>
      <c r="AE32" t="s">
        <v>19</v>
      </c>
      <c r="AF32" t="s">
        <v>19</v>
      </c>
      <c r="AH32">
        <v>1</v>
      </c>
    </row>
    <row r="33" spans="1:34" ht="72.5">
      <c r="A33" t="s">
        <v>152</v>
      </c>
      <c r="B33" s="3" t="s">
        <v>503</v>
      </c>
      <c r="C33" s="3" t="s">
        <v>504</v>
      </c>
      <c r="G33" s="6" t="s">
        <v>24</v>
      </c>
      <c r="H33" s="6"/>
      <c r="I33" s="6">
        <v>1</v>
      </c>
      <c r="J33" s="6">
        <v>4</v>
      </c>
      <c r="K33" s="6" t="s">
        <v>825</v>
      </c>
      <c r="L33" s="6" t="s">
        <v>809</v>
      </c>
      <c r="M33" s="6"/>
      <c r="N33" s="7"/>
      <c r="O33" s="6"/>
      <c r="P33" s="6">
        <v>312</v>
      </c>
      <c r="Q33" s="6">
        <v>153.4074146917101</v>
      </c>
      <c r="R33" s="6"/>
      <c r="S33" s="6" t="s">
        <v>963</v>
      </c>
      <c r="T33" s="6" t="s">
        <v>963</v>
      </c>
      <c r="U33" s="6"/>
      <c r="V33" s="6"/>
      <c r="W33" s="6"/>
      <c r="X33" s="6"/>
      <c r="Y33" s="6"/>
      <c r="Z33" s="6"/>
      <c r="AA33" s="6"/>
      <c r="AB33" s="6"/>
      <c r="AC33" s="6"/>
      <c r="AD33" s="6"/>
      <c r="AE33" t="s">
        <v>19</v>
      </c>
      <c r="AF33" t="s">
        <v>19</v>
      </c>
      <c r="AH33">
        <v>1</v>
      </c>
    </row>
    <row r="34" spans="1:34" ht="87">
      <c r="A34" t="s">
        <v>159</v>
      </c>
      <c r="B34" s="3" t="s">
        <v>511</v>
      </c>
      <c r="C34" s="3" t="s">
        <v>512</v>
      </c>
      <c r="G34" s="6" t="s">
        <v>24</v>
      </c>
      <c r="H34" s="6"/>
      <c r="I34" s="6">
        <v>1</v>
      </c>
      <c r="J34" s="6">
        <v>2</v>
      </c>
      <c r="K34" s="6" t="s">
        <v>827</v>
      </c>
      <c r="L34" s="6" t="s">
        <v>850</v>
      </c>
      <c r="M34" s="6"/>
      <c r="N34" s="7"/>
      <c r="O34" s="6"/>
      <c r="P34" s="6">
        <v>613</v>
      </c>
      <c r="Q34" s="6">
        <v>301.40623463467404</v>
      </c>
      <c r="R34" s="6"/>
      <c r="S34" s="6" t="s">
        <v>963</v>
      </c>
      <c r="T34" s="6" t="s">
        <v>963</v>
      </c>
      <c r="U34" s="6"/>
      <c r="V34" s="6"/>
      <c r="W34" s="6"/>
      <c r="X34" s="6"/>
      <c r="Y34" s="6"/>
      <c r="Z34" s="6"/>
      <c r="AA34" s="6"/>
      <c r="AB34" s="6"/>
      <c r="AC34" s="6"/>
      <c r="AD34" s="6"/>
      <c r="AE34" t="s">
        <v>19</v>
      </c>
      <c r="AF34" t="s">
        <v>20</v>
      </c>
      <c r="AH34">
        <v>1</v>
      </c>
    </row>
    <row r="35" spans="1:34" ht="87">
      <c r="A35" t="s">
        <v>159</v>
      </c>
      <c r="B35" s="3" t="s">
        <v>511</v>
      </c>
      <c r="C35" s="3" t="s">
        <v>514</v>
      </c>
      <c r="G35" s="6" t="s">
        <v>24</v>
      </c>
      <c r="H35" s="6"/>
      <c r="I35" s="6">
        <v>1</v>
      </c>
      <c r="J35" s="6">
        <v>3</v>
      </c>
      <c r="K35" s="6" t="s">
        <v>808</v>
      </c>
      <c r="L35" s="6" t="s">
        <v>809</v>
      </c>
      <c r="M35" s="6"/>
      <c r="N35" s="7"/>
      <c r="O35" s="6"/>
      <c r="P35" s="6">
        <v>2475</v>
      </c>
      <c r="Q35" s="6">
        <v>1216.9338184678927</v>
      </c>
      <c r="R35" s="6"/>
      <c r="S35" s="6" t="s">
        <v>963</v>
      </c>
      <c r="T35" s="6" t="s">
        <v>963</v>
      </c>
      <c r="U35" s="6"/>
      <c r="V35" s="6"/>
      <c r="W35" s="6"/>
      <c r="X35" s="6"/>
      <c r="Y35" s="6"/>
      <c r="Z35" s="6"/>
      <c r="AA35" s="6"/>
      <c r="AB35" s="6"/>
      <c r="AC35" s="6"/>
      <c r="AD35" s="6"/>
      <c r="AE35" t="s">
        <v>19</v>
      </c>
      <c r="AF35" t="s">
        <v>19</v>
      </c>
      <c r="AH35">
        <v>1</v>
      </c>
    </row>
    <row r="36" spans="1:34" ht="101.5">
      <c r="A36" t="s">
        <v>162</v>
      </c>
      <c r="B36" s="3" t="s">
        <v>515</v>
      </c>
      <c r="C36" s="3" t="s">
        <v>516</v>
      </c>
      <c r="G36" s="6" t="s">
        <v>24</v>
      </c>
      <c r="H36" s="6"/>
      <c r="I36" s="6">
        <v>1</v>
      </c>
      <c r="J36" s="6">
        <v>2</v>
      </c>
      <c r="K36" s="6" t="s">
        <v>825</v>
      </c>
      <c r="L36" s="6" t="s">
        <v>850</v>
      </c>
      <c r="M36" s="6"/>
      <c r="N36" s="7"/>
      <c r="O36" s="6"/>
      <c r="P36" s="6">
        <v>35</v>
      </c>
      <c r="Q36" s="6">
        <v>17.209165109646968</v>
      </c>
      <c r="R36" s="6"/>
      <c r="S36" s="6" t="s">
        <v>963</v>
      </c>
      <c r="T36" s="6" t="s">
        <v>963</v>
      </c>
      <c r="U36" s="6"/>
      <c r="V36" s="6"/>
      <c r="W36" s="6"/>
      <c r="X36" s="6"/>
      <c r="Y36" s="6"/>
      <c r="Z36" s="6"/>
      <c r="AA36" s="6"/>
      <c r="AB36" s="6"/>
      <c r="AC36" s="6"/>
      <c r="AD36" s="6"/>
      <c r="AE36" t="s">
        <v>19</v>
      </c>
      <c r="AF36" t="s">
        <v>19</v>
      </c>
      <c r="AH36">
        <v>1</v>
      </c>
    </row>
    <row r="37" spans="1:34" ht="58">
      <c r="A37" t="s">
        <v>165</v>
      </c>
      <c r="B37" s="3" t="s">
        <v>524</v>
      </c>
      <c r="C37" s="3" t="s">
        <v>523</v>
      </c>
      <c r="G37" s="6" t="s">
        <v>25</v>
      </c>
      <c r="H37" s="6"/>
      <c r="I37" s="6">
        <v>1</v>
      </c>
      <c r="J37" s="6">
        <v>3</v>
      </c>
      <c r="K37" s="6" t="s">
        <v>808</v>
      </c>
      <c r="L37" s="6" t="s">
        <v>809</v>
      </c>
      <c r="M37" s="6"/>
      <c r="N37" s="7"/>
      <c r="O37" s="6"/>
      <c r="P37" s="6">
        <v>2475</v>
      </c>
      <c r="Q37" s="6">
        <v>1216.9338184678927</v>
      </c>
      <c r="R37" s="6"/>
      <c r="S37" s="6" t="s">
        <v>963</v>
      </c>
      <c r="T37" s="6" t="s">
        <v>963</v>
      </c>
      <c r="U37" s="6"/>
      <c r="V37" s="6"/>
      <c r="W37" s="6"/>
      <c r="X37" s="6"/>
      <c r="Y37" s="6"/>
      <c r="Z37" s="6"/>
      <c r="AA37" s="6"/>
      <c r="AB37" s="6"/>
      <c r="AC37" s="6"/>
      <c r="AD37" s="6"/>
      <c r="AE37" t="s">
        <v>19</v>
      </c>
      <c r="AF37" t="s">
        <v>20</v>
      </c>
      <c r="AH37">
        <v>1</v>
      </c>
    </row>
    <row r="38" spans="1:34" ht="43.5">
      <c r="A38" t="s">
        <v>167</v>
      </c>
      <c r="B38" s="3" t="s">
        <v>529</v>
      </c>
      <c r="C38" s="3" t="s">
        <v>530</v>
      </c>
      <c r="G38" s="6" t="s">
        <v>24</v>
      </c>
      <c r="H38" s="6"/>
      <c r="I38" s="6">
        <v>1</v>
      </c>
      <c r="J38" s="6">
        <v>2</v>
      </c>
      <c r="K38" s="6" t="s">
        <v>808</v>
      </c>
      <c r="L38" s="6" t="s">
        <v>850</v>
      </c>
      <c r="M38" s="6"/>
      <c r="N38" s="7"/>
      <c r="O38" s="6" t="s">
        <v>804</v>
      </c>
      <c r="P38" s="6">
        <v>2475</v>
      </c>
      <c r="Q38" s="6">
        <v>1216.9338184678927</v>
      </c>
      <c r="R38" s="6"/>
      <c r="S38" s="6" t="s">
        <v>963</v>
      </c>
      <c r="T38" s="6" t="s">
        <v>963</v>
      </c>
      <c r="U38" s="6"/>
      <c r="V38" s="6"/>
      <c r="W38" s="6"/>
      <c r="X38" s="6"/>
      <c r="Y38" s="6"/>
      <c r="Z38" s="6"/>
      <c r="AA38" s="6"/>
      <c r="AB38" s="6"/>
      <c r="AC38" s="6"/>
      <c r="AD38" s="6"/>
      <c r="AE38" t="s">
        <v>19</v>
      </c>
      <c r="AF38" t="s">
        <v>19</v>
      </c>
      <c r="AH38">
        <v>1</v>
      </c>
    </row>
    <row r="39" spans="1:34" ht="58">
      <c r="A39" t="s">
        <v>170</v>
      </c>
      <c r="B39" s="3" t="s">
        <v>533</v>
      </c>
      <c r="C39" s="3" t="s">
        <v>536</v>
      </c>
      <c r="G39" s="6" t="s">
        <v>24</v>
      </c>
      <c r="H39" s="6"/>
      <c r="I39" s="6">
        <v>1</v>
      </c>
      <c r="J39" s="6">
        <v>1</v>
      </c>
      <c r="K39" s="6" t="s">
        <v>808</v>
      </c>
      <c r="L39" s="6" t="s">
        <v>850</v>
      </c>
      <c r="M39" s="6"/>
      <c r="N39" s="7"/>
      <c r="O39" s="6"/>
      <c r="P39" s="6">
        <v>2475</v>
      </c>
      <c r="Q39" s="6">
        <v>1216.9338184678927</v>
      </c>
      <c r="R39" s="6"/>
      <c r="S39" s="6" t="s">
        <v>963</v>
      </c>
      <c r="T39" s="6" t="s">
        <v>963</v>
      </c>
      <c r="U39" s="6"/>
      <c r="V39" s="6"/>
      <c r="W39" s="6"/>
      <c r="X39" s="6"/>
      <c r="Y39" s="6"/>
      <c r="Z39" s="6"/>
      <c r="AA39" s="6"/>
      <c r="AB39" s="6"/>
      <c r="AC39" s="6"/>
      <c r="AD39" s="6"/>
      <c r="AE39" t="s">
        <v>19</v>
      </c>
      <c r="AF39" t="s">
        <v>19</v>
      </c>
      <c r="AH39">
        <v>1</v>
      </c>
    </row>
    <row r="40" spans="1:34" ht="58">
      <c r="A40" t="s">
        <v>171</v>
      </c>
      <c r="B40" s="3" t="s">
        <v>546</v>
      </c>
      <c r="C40" s="3" t="s">
        <v>545</v>
      </c>
      <c r="G40" s="6" t="s">
        <v>25</v>
      </c>
      <c r="H40" s="6"/>
      <c r="I40" s="6">
        <v>1</v>
      </c>
      <c r="J40" s="6">
        <v>3</v>
      </c>
      <c r="K40" s="6" t="s">
        <v>854</v>
      </c>
      <c r="L40" s="6" t="s">
        <v>809</v>
      </c>
      <c r="M40" s="6"/>
      <c r="N40" s="7"/>
      <c r="O40" s="6"/>
      <c r="P40" s="6">
        <v>14</v>
      </c>
      <c r="Q40" s="6">
        <v>6.8836660438587867</v>
      </c>
      <c r="R40" s="6"/>
      <c r="S40" s="6" t="s">
        <v>963</v>
      </c>
      <c r="T40" s="6" t="s">
        <v>963</v>
      </c>
      <c r="U40" s="6" t="s">
        <v>4</v>
      </c>
      <c r="V40" s="6"/>
      <c r="W40" s="6"/>
      <c r="X40" s="6"/>
      <c r="Y40" s="6"/>
      <c r="Z40" s="6"/>
      <c r="AA40" s="6"/>
      <c r="AB40" s="6"/>
      <c r="AC40" s="6"/>
      <c r="AD40" s="6"/>
      <c r="AE40" t="s">
        <v>19</v>
      </c>
      <c r="AF40" t="s">
        <v>19</v>
      </c>
      <c r="AH40">
        <v>1</v>
      </c>
    </row>
    <row r="41" spans="1:34" ht="43.5">
      <c r="A41" t="s">
        <v>172</v>
      </c>
      <c r="B41" s="3" t="s">
        <v>549</v>
      </c>
      <c r="C41" s="3" t="s">
        <v>550</v>
      </c>
      <c r="G41" s="6" t="s">
        <v>25</v>
      </c>
      <c r="H41" s="6"/>
      <c r="I41" s="6">
        <v>1</v>
      </c>
      <c r="J41" s="6">
        <v>3</v>
      </c>
      <c r="K41" s="6" t="s">
        <v>818</v>
      </c>
      <c r="L41" s="6" t="s">
        <v>809</v>
      </c>
      <c r="M41" s="6"/>
      <c r="N41" s="7"/>
      <c r="O41" s="6"/>
      <c r="P41" s="6">
        <v>1701</v>
      </c>
      <c r="Q41" s="6">
        <v>836.36542432884255</v>
      </c>
      <c r="R41" s="6"/>
      <c r="S41" s="6" t="s">
        <v>963</v>
      </c>
      <c r="T41" s="6" t="s">
        <v>963</v>
      </c>
      <c r="U41" s="6"/>
      <c r="V41" s="6"/>
      <c r="W41" s="6"/>
      <c r="X41" s="6"/>
      <c r="Y41" s="6"/>
      <c r="Z41" s="6"/>
      <c r="AA41" s="6"/>
      <c r="AB41" s="6"/>
      <c r="AC41" s="6"/>
      <c r="AD41" s="6"/>
      <c r="AE41" t="s">
        <v>19</v>
      </c>
      <c r="AF41" t="s">
        <v>19</v>
      </c>
      <c r="AH41">
        <v>1</v>
      </c>
    </row>
    <row r="42" spans="1:34" ht="87">
      <c r="A42" t="s">
        <v>172</v>
      </c>
      <c r="B42" s="3" t="s">
        <v>552</v>
      </c>
      <c r="C42" s="3" t="s">
        <v>555</v>
      </c>
      <c r="G42" s="6" t="s">
        <v>24</v>
      </c>
      <c r="H42" s="6"/>
      <c r="I42" s="6">
        <v>1</v>
      </c>
      <c r="J42" s="6">
        <v>2</v>
      </c>
      <c r="K42" s="6" t="s">
        <v>808</v>
      </c>
      <c r="L42" s="6" t="s">
        <v>850</v>
      </c>
      <c r="M42" s="6"/>
      <c r="N42" s="7"/>
      <c r="O42" s="6"/>
      <c r="P42" s="6">
        <v>2475</v>
      </c>
      <c r="Q42" s="6">
        <v>1216.9338184678927</v>
      </c>
      <c r="R42" s="6"/>
      <c r="S42" s="6" t="s">
        <v>963</v>
      </c>
      <c r="T42" s="6" t="s">
        <v>963</v>
      </c>
      <c r="U42" s="6"/>
      <c r="V42" s="6"/>
      <c r="W42" s="6"/>
      <c r="X42" s="6"/>
      <c r="Y42" s="6"/>
      <c r="Z42" s="6"/>
      <c r="AA42" s="6"/>
      <c r="AB42" s="6"/>
      <c r="AC42" s="6"/>
      <c r="AD42" s="6"/>
      <c r="AE42" t="s">
        <v>19</v>
      </c>
      <c r="AF42" t="s">
        <v>19</v>
      </c>
      <c r="AH42">
        <v>1</v>
      </c>
    </row>
    <row r="43" spans="1:34" ht="29">
      <c r="A43" t="s">
        <v>177</v>
      </c>
      <c r="B43" s="3" t="s">
        <v>564</v>
      </c>
      <c r="C43" s="3" t="s">
        <v>563</v>
      </c>
      <c r="G43" s="6" t="s">
        <v>25</v>
      </c>
      <c r="H43" s="6"/>
      <c r="I43" s="6">
        <v>1</v>
      </c>
      <c r="J43" s="6">
        <v>1</v>
      </c>
      <c r="K43" s="6" t="s">
        <v>808</v>
      </c>
      <c r="L43" s="6" t="s">
        <v>850</v>
      </c>
      <c r="M43" s="6"/>
      <c r="N43" s="7"/>
      <c r="O43" s="6"/>
      <c r="P43" s="6">
        <v>2475</v>
      </c>
      <c r="Q43" s="6">
        <v>1216.9338184678927</v>
      </c>
      <c r="R43" s="6"/>
      <c r="S43" s="6" t="s">
        <v>963</v>
      </c>
      <c r="T43" s="6" t="s">
        <v>963</v>
      </c>
      <c r="U43" s="6"/>
      <c r="V43" s="6"/>
      <c r="W43" s="6"/>
      <c r="X43" s="6"/>
      <c r="Y43" s="6"/>
      <c r="Z43" s="6"/>
      <c r="AA43" s="6"/>
      <c r="AB43" s="6"/>
      <c r="AC43" s="6"/>
      <c r="AD43" s="6"/>
      <c r="AE43" t="s">
        <v>19</v>
      </c>
      <c r="AH43">
        <v>1</v>
      </c>
    </row>
    <row r="44" spans="1:34" ht="29">
      <c r="A44" t="s">
        <v>178</v>
      </c>
      <c r="B44" s="3" t="s">
        <v>567</v>
      </c>
      <c r="C44" s="3" t="s">
        <v>568</v>
      </c>
      <c r="G44" s="6" t="s">
        <v>24</v>
      </c>
      <c r="H44" s="6"/>
      <c r="I44" s="6">
        <v>1</v>
      </c>
      <c r="J44" s="6">
        <v>2</v>
      </c>
      <c r="K44" s="6" t="s">
        <v>818</v>
      </c>
      <c r="L44" s="6" t="s">
        <v>850</v>
      </c>
      <c r="M44" s="6"/>
      <c r="N44" s="7"/>
      <c r="O44" s="6"/>
      <c r="P44" s="6">
        <v>171</v>
      </c>
      <c r="Q44" s="6">
        <v>84.079063821418046</v>
      </c>
      <c r="R44" s="6"/>
      <c r="S44" s="6" t="s">
        <v>963</v>
      </c>
      <c r="T44" s="6" t="s">
        <v>963</v>
      </c>
      <c r="U44" s="6"/>
      <c r="V44" s="6"/>
      <c r="W44" s="6"/>
      <c r="X44" s="6"/>
      <c r="Y44" s="6"/>
      <c r="Z44" s="6"/>
      <c r="AA44" s="6"/>
      <c r="AB44" s="6"/>
      <c r="AC44" s="6"/>
      <c r="AD44" s="6"/>
      <c r="AE44" t="s">
        <v>19</v>
      </c>
      <c r="AF44" t="s">
        <v>19</v>
      </c>
      <c r="AH44">
        <v>1</v>
      </c>
    </row>
    <row r="45" spans="1:34" ht="58">
      <c r="A45" t="s">
        <v>180</v>
      </c>
      <c r="B45" s="3" t="s">
        <v>574</v>
      </c>
      <c r="C45" s="3" t="s">
        <v>573</v>
      </c>
      <c r="G45" s="6" t="s">
        <v>25</v>
      </c>
      <c r="H45" s="6"/>
      <c r="I45" s="6">
        <v>1</v>
      </c>
      <c r="J45" s="6">
        <v>4</v>
      </c>
      <c r="K45" s="6" t="s">
        <v>808</v>
      </c>
      <c r="L45" s="6" t="s">
        <v>803</v>
      </c>
      <c r="M45" s="6" t="s">
        <v>868</v>
      </c>
      <c r="N45" s="7" t="s">
        <v>867</v>
      </c>
      <c r="O45" s="6"/>
      <c r="P45" s="6">
        <v>2475</v>
      </c>
      <c r="Q45" s="6">
        <v>1216.9338184678927</v>
      </c>
      <c r="R45" s="6"/>
      <c r="S45" s="6" t="s">
        <v>963</v>
      </c>
      <c r="T45" s="6" t="s">
        <v>963</v>
      </c>
      <c r="U45" s="6"/>
      <c r="V45" s="6"/>
      <c r="W45" s="6"/>
      <c r="X45" s="6"/>
      <c r="Y45" s="6"/>
      <c r="Z45" s="6"/>
      <c r="AA45" s="6"/>
      <c r="AB45" s="6"/>
      <c r="AC45" s="6"/>
      <c r="AD45" s="6"/>
      <c r="AE45" t="s">
        <v>19</v>
      </c>
      <c r="AF45" t="s">
        <v>19</v>
      </c>
      <c r="AH45">
        <v>1</v>
      </c>
    </row>
    <row r="46" spans="1:34" ht="43.5">
      <c r="A46" t="s">
        <v>186</v>
      </c>
      <c r="B46" s="3" t="s">
        <v>589</v>
      </c>
      <c r="C46" s="3" t="s">
        <v>588</v>
      </c>
      <c r="G46" s="6" t="s">
        <v>25</v>
      </c>
      <c r="H46" s="6"/>
      <c r="I46" s="6">
        <v>1</v>
      </c>
      <c r="J46" s="6">
        <v>3</v>
      </c>
      <c r="K46" s="6" t="s">
        <v>818</v>
      </c>
      <c r="L46" s="6" t="s">
        <v>809</v>
      </c>
      <c r="M46" s="6"/>
      <c r="N46" s="7"/>
      <c r="O46" s="6"/>
      <c r="P46" s="6">
        <v>86</v>
      </c>
      <c r="Q46" s="6">
        <v>42.285377126561116</v>
      </c>
      <c r="R46" s="6"/>
      <c r="S46" s="6" t="s">
        <v>963</v>
      </c>
      <c r="T46" s="6" t="s">
        <v>963</v>
      </c>
      <c r="U46" s="6"/>
      <c r="V46" s="6"/>
      <c r="W46" s="6"/>
      <c r="X46" s="6"/>
      <c r="Y46" s="6"/>
      <c r="Z46" s="6"/>
      <c r="AA46" s="6"/>
      <c r="AB46" s="6"/>
      <c r="AC46" s="6"/>
      <c r="AD46" s="6"/>
      <c r="AE46" t="s">
        <v>19</v>
      </c>
      <c r="AF46" t="s">
        <v>19</v>
      </c>
      <c r="AH46">
        <v>1</v>
      </c>
    </row>
    <row r="47" spans="1:34" ht="101.5">
      <c r="A47" t="s">
        <v>193</v>
      </c>
      <c r="B47" s="3" t="s">
        <v>595</v>
      </c>
      <c r="C47" s="3" t="s">
        <v>594</v>
      </c>
      <c r="G47" s="6" t="s">
        <v>25</v>
      </c>
      <c r="H47" s="6"/>
      <c r="I47" s="6">
        <v>1</v>
      </c>
      <c r="J47" s="6">
        <v>2</v>
      </c>
      <c r="K47" s="6" t="s">
        <v>854</v>
      </c>
      <c r="L47" s="6" t="s">
        <v>850</v>
      </c>
      <c r="M47" s="6"/>
      <c r="N47" s="7"/>
      <c r="O47" s="6"/>
      <c r="P47" s="6">
        <v>124</v>
      </c>
      <c r="Q47" s="6">
        <v>60.969613531320682</v>
      </c>
      <c r="R47" s="6"/>
      <c r="S47" s="6" t="s">
        <v>963</v>
      </c>
      <c r="T47" s="6" t="s">
        <v>963</v>
      </c>
      <c r="U47" s="6"/>
      <c r="V47" s="6"/>
      <c r="W47" s="6"/>
      <c r="X47" s="6"/>
      <c r="Y47" s="6"/>
      <c r="Z47" s="6"/>
      <c r="AA47" s="6"/>
      <c r="AB47" s="6"/>
      <c r="AC47" s="6"/>
      <c r="AD47" s="6"/>
      <c r="AE47" t="s">
        <v>19</v>
      </c>
      <c r="AF47" t="s">
        <v>19</v>
      </c>
      <c r="AH47">
        <v>1</v>
      </c>
    </row>
    <row r="48" spans="1:34" ht="72.5">
      <c r="A48" t="s">
        <v>204</v>
      </c>
      <c r="B48" s="3" t="s">
        <v>620</v>
      </c>
      <c r="C48" s="3" t="s">
        <v>617</v>
      </c>
      <c r="G48" s="6" t="s">
        <v>25</v>
      </c>
      <c r="H48" s="6"/>
      <c r="I48" s="6">
        <v>1</v>
      </c>
      <c r="J48" s="6">
        <v>3</v>
      </c>
      <c r="K48" s="6" t="s">
        <v>818</v>
      </c>
      <c r="L48" s="6" t="s">
        <v>809</v>
      </c>
      <c r="M48" s="6"/>
      <c r="N48" s="7"/>
      <c r="O48" s="6"/>
      <c r="P48" s="6">
        <v>1701</v>
      </c>
      <c r="Q48" s="6">
        <v>836.36542432884255</v>
      </c>
      <c r="R48" s="6"/>
      <c r="S48" s="6" t="s">
        <v>963</v>
      </c>
      <c r="T48" s="6" t="s">
        <v>963</v>
      </c>
      <c r="U48" s="6"/>
      <c r="V48" s="6"/>
      <c r="W48" s="6"/>
      <c r="X48" s="6"/>
      <c r="Y48" s="6"/>
      <c r="Z48" s="6"/>
      <c r="AA48" s="6"/>
      <c r="AB48" s="6"/>
      <c r="AC48" s="6"/>
      <c r="AD48" s="6"/>
      <c r="AE48" t="s">
        <v>19</v>
      </c>
      <c r="AF48" t="s">
        <v>20</v>
      </c>
      <c r="AH48">
        <v>1</v>
      </c>
    </row>
    <row r="49" spans="1:34" ht="72.5">
      <c r="A49" t="s">
        <v>207</v>
      </c>
      <c r="B49" s="3" t="s">
        <v>629</v>
      </c>
      <c r="C49" s="3" t="s">
        <v>630</v>
      </c>
      <c r="G49" s="6" t="s">
        <v>24</v>
      </c>
      <c r="H49" s="6"/>
      <c r="I49" s="6">
        <v>1</v>
      </c>
      <c r="J49" s="6">
        <v>3</v>
      </c>
      <c r="K49" s="6" t="s">
        <v>818</v>
      </c>
      <c r="L49" s="6" t="s">
        <v>809</v>
      </c>
      <c r="M49" s="6"/>
      <c r="N49" s="7"/>
      <c r="O49" s="6"/>
      <c r="P49" s="6">
        <v>1701</v>
      </c>
      <c r="Q49" s="6">
        <v>836.36542432884255</v>
      </c>
      <c r="R49" s="6"/>
      <c r="S49" s="6" t="s">
        <v>963</v>
      </c>
      <c r="T49" s="6" t="s">
        <v>963</v>
      </c>
      <c r="U49" s="6"/>
      <c r="V49" s="6"/>
      <c r="W49" s="6"/>
      <c r="X49" s="6"/>
      <c r="Y49" s="6"/>
      <c r="Z49" s="6"/>
      <c r="AA49" s="6"/>
      <c r="AB49" s="6"/>
      <c r="AC49" s="6"/>
      <c r="AD49" s="6"/>
      <c r="AE49" t="s">
        <v>19</v>
      </c>
      <c r="AF49" t="s">
        <v>20</v>
      </c>
      <c r="AH49">
        <v>1</v>
      </c>
    </row>
    <row r="50" spans="1:34" ht="29">
      <c r="A50" t="s">
        <v>208</v>
      </c>
      <c r="B50" s="3" t="s">
        <v>634</v>
      </c>
      <c r="C50" s="3" t="s">
        <v>633</v>
      </c>
      <c r="G50" s="6" t="s">
        <v>25</v>
      </c>
      <c r="H50" s="6"/>
      <c r="I50" s="6">
        <v>1</v>
      </c>
      <c r="J50" s="6">
        <v>3</v>
      </c>
      <c r="K50" s="6" t="s">
        <v>818</v>
      </c>
      <c r="L50" s="6" t="s">
        <v>809</v>
      </c>
      <c r="M50" s="6"/>
      <c r="N50" s="7"/>
      <c r="O50" s="6"/>
      <c r="P50" s="6">
        <v>86</v>
      </c>
      <c r="Q50" s="6">
        <v>42.285377126561116</v>
      </c>
      <c r="R50" s="6"/>
      <c r="S50" s="6" t="s">
        <v>963</v>
      </c>
      <c r="T50" s="6" t="s">
        <v>963</v>
      </c>
      <c r="U50" s="6"/>
      <c r="V50" s="6"/>
      <c r="W50" s="6"/>
      <c r="X50" s="6"/>
      <c r="Y50" s="6"/>
      <c r="Z50" s="6"/>
      <c r="AA50" s="6"/>
      <c r="AB50" s="6"/>
      <c r="AC50" s="6"/>
      <c r="AD50" s="6"/>
      <c r="AE50" t="s">
        <v>19</v>
      </c>
      <c r="AF50" t="s">
        <v>19</v>
      </c>
      <c r="AH50">
        <v>1</v>
      </c>
    </row>
    <row r="51" spans="1:34" ht="43.5">
      <c r="A51" t="s">
        <v>216</v>
      </c>
      <c r="B51" s="3" t="s">
        <v>648</v>
      </c>
      <c r="C51" s="3" t="s">
        <v>649</v>
      </c>
      <c r="G51" s="6" t="s">
        <v>25</v>
      </c>
      <c r="H51" s="6"/>
      <c r="I51" s="6">
        <v>1</v>
      </c>
      <c r="J51" s="6">
        <v>4</v>
      </c>
      <c r="K51" s="6" t="s">
        <v>808</v>
      </c>
      <c r="L51" s="6" t="s">
        <v>803</v>
      </c>
      <c r="M51" s="6" t="s">
        <v>868</v>
      </c>
      <c r="N51" s="7" t="s">
        <v>867</v>
      </c>
      <c r="O51" s="6"/>
      <c r="P51" s="6">
        <v>2475</v>
      </c>
      <c r="Q51" s="6">
        <v>1216.9338184678927</v>
      </c>
      <c r="R51" s="6"/>
      <c r="S51" s="6" t="s">
        <v>963</v>
      </c>
      <c r="T51" s="6" t="s">
        <v>963</v>
      </c>
      <c r="U51" s="6"/>
      <c r="V51" s="6"/>
      <c r="W51" s="6"/>
      <c r="X51" s="6"/>
      <c r="Y51" s="6"/>
      <c r="Z51" s="6"/>
      <c r="AA51" s="6"/>
      <c r="AB51" s="6"/>
      <c r="AC51" s="6"/>
      <c r="AD51" s="6"/>
      <c r="AE51" t="s">
        <v>19</v>
      </c>
      <c r="AF51" t="s">
        <v>20</v>
      </c>
      <c r="AH51">
        <v>1</v>
      </c>
    </row>
    <row r="52" spans="1:34" ht="29">
      <c r="A52" t="s">
        <v>220</v>
      </c>
      <c r="B52" s="3" t="s">
        <v>651</v>
      </c>
      <c r="C52" s="3" t="s">
        <v>652</v>
      </c>
      <c r="G52" s="6" t="s">
        <v>24</v>
      </c>
      <c r="H52" s="6"/>
      <c r="I52" s="6">
        <v>1</v>
      </c>
      <c r="J52" s="6">
        <v>1</v>
      </c>
      <c r="K52" s="6" t="s">
        <v>808</v>
      </c>
      <c r="L52" s="6" t="s">
        <v>850</v>
      </c>
      <c r="M52" s="6"/>
      <c r="N52" s="7"/>
      <c r="O52" s="6"/>
      <c r="P52" s="6">
        <v>2475</v>
      </c>
      <c r="Q52" s="6">
        <v>1216.9338184678927</v>
      </c>
      <c r="R52" s="6"/>
      <c r="S52" s="6" t="s">
        <v>963</v>
      </c>
      <c r="T52" s="6" t="s">
        <v>963</v>
      </c>
      <c r="U52" s="6" t="s">
        <v>4</v>
      </c>
      <c r="V52" s="6"/>
      <c r="W52" s="6"/>
      <c r="X52" s="6"/>
      <c r="Y52" s="6"/>
      <c r="Z52" s="6"/>
      <c r="AA52" s="6"/>
      <c r="AB52" s="6"/>
      <c r="AC52" s="6"/>
      <c r="AD52" s="6"/>
      <c r="AE52" t="s">
        <v>19</v>
      </c>
      <c r="AF52" t="s">
        <v>19</v>
      </c>
      <c r="AH52">
        <v>1</v>
      </c>
    </row>
    <row r="53" spans="1:34" ht="29">
      <c r="A53" t="s">
        <v>229</v>
      </c>
      <c r="B53" s="3" t="s">
        <v>660</v>
      </c>
      <c r="C53" s="3" t="s">
        <v>659</v>
      </c>
      <c r="G53" s="6" t="s">
        <v>24</v>
      </c>
      <c r="H53" s="6"/>
      <c r="I53" s="6">
        <v>1</v>
      </c>
      <c r="J53" s="6">
        <v>3</v>
      </c>
      <c r="K53" s="6" t="s">
        <v>825</v>
      </c>
      <c r="L53" s="6" t="s">
        <v>809</v>
      </c>
      <c r="M53" s="6"/>
      <c r="N53" s="7"/>
      <c r="O53" s="6"/>
      <c r="P53" s="6">
        <v>743</v>
      </c>
      <c r="Q53" s="6">
        <v>365.32599075621988</v>
      </c>
      <c r="R53" s="6"/>
      <c r="S53" s="6" t="s">
        <v>963</v>
      </c>
      <c r="T53" s="6" t="s">
        <v>963</v>
      </c>
      <c r="U53" s="6"/>
      <c r="V53" s="6"/>
      <c r="W53" s="6"/>
      <c r="X53" s="6"/>
      <c r="Y53" s="6"/>
      <c r="Z53" s="6"/>
      <c r="AA53" s="6"/>
      <c r="AB53" s="6"/>
      <c r="AC53" s="6"/>
      <c r="AD53" s="6"/>
      <c r="AE53" t="s">
        <v>19</v>
      </c>
      <c r="AF53" t="s">
        <v>19</v>
      </c>
      <c r="AH53">
        <v>1</v>
      </c>
    </row>
    <row r="54" spans="1:34" ht="58">
      <c r="A54" t="s">
        <v>229</v>
      </c>
      <c r="B54" s="3" t="s">
        <v>666</v>
      </c>
      <c r="C54" s="3" t="s">
        <v>665</v>
      </c>
      <c r="G54" s="6" t="s">
        <v>25</v>
      </c>
      <c r="H54" s="6"/>
      <c r="I54" s="6">
        <v>1</v>
      </c>
      <c r="J54" s="6">
        <v>1</v>
      </c>
      <c r="K54" s="6" t="s">
        <v>808</v>
      </c>
      <c r="L54" s="6" t="s">
        <v>850</v>
      </c>
      <c r="M54" s="6"/>
      <c r="N54" s="7"/>
      <c r="O54" s="6"/>
      <c r="P54" s="6">
        <v>2475</v>
      </c>
      <c r="Q54" s="6">
        <v>1216.9338184678927</v>
      </c>
      <c r="R54" s="6"/>
      <c r="S54" s="6" t="s">
        <v>963</v>
      </c>
      <c r="T54" s="6" t="s">
        <v>963</v>
      </c>
      <c r="U54" s="6"/>
      <c r="V54" s="6"/>
      <c r="W54" s="6"/>
      <c r="X54" s="6"/>
      <c r="Y54" s="6"/>
      <c r="Z54" s="6"/>
      <c r="AA54" s="6"/>
      <c r="AB54" s="6"/>
      <c r="AC54" s="6"/>
      <c r="AD54" s="6"/>
      <c r="AE54" t="s">
        <v>19</v>
      </c>
      <c r="AF54" t="s">
        <v>19</v>
      </c>
      <c r="AH54">
        <v>1</v>
      </c>
    </row>
    <row r="55" spans="1:34" ht="43.5">
      <c r="A55" t="s">
        <v>231</v>
      </c>
      <c r="B55" s="3" t="s">
        <v>684</v>
      </c>
      <c r="C55" s="3" t="s">
        <v>683</v>
      </c>
      <c r="G55" s="6" t="s">
        <v>24</v>
      </c>
      <c r="H55" s="6"/>
      <c r="I55" s="6">
        <v>1</v>
      </c>
      <c r="J55" s="6">
        <v>4</v>
      </c>
      <c r="K55" s="6" t="s">
        <v>808</v>
      </c>
      <c r="L55" s="6" t="s">
        <v>803</v>
      </c>
      <c r="M55" s="6" t="s">
        <v>868</v>
      </c>
      <c r="N55" s="7" t="s">
        <v>867</v>
      </c>
      <c r="O55" s="6"/>
      <c r="P55" s="6">
        <v>2475</v>
      </c>
      <c r="Q55" s="6">
        <v>1216.9338184678927</v>
      </c>
      <c r="R55" s="6"/>
      <c r="S55" s="6" t="s">
        <v>963</v>
      </c>
      <c r="T55" s="6" t="s">
        <v>963</v>
      </c>
      <c r="U55" s="6"/>
      <c r="V55" s="6"/>
      <c r="W55" s="6"/>
      <c r="X55" s="6"/>
      <c r="Y55" s="6"/>
      <c r="Z55" s="6"/>
      <c r="AA55" s="6"/>
      <c r="AB55" s="6"/>
      <c r="AC55" s="6"/>
      <c r="AD55" s="6"/>
      <c r="AE55" t="s">
        <v>19</v>
      </c>
      <c r="AF55" t="s">
        <v>19</v>
      </c>
      <c r="AH55">
        <v>1</v>
      </c>
    </row>
    <row r="56" spans="1:34" ht="58">
      <c r="A56" t="s">
        <v>239</v>
      </c>
      <c r="B56" s="3" t="s">
        <v>687</v>
      </c>
      <c r="C56" s="3" t="s">
        <v>686</v>
      </c>
      <c r="G56" s="6" t="s">
        <v>24</v>
      </c>
      <c r="H56" s="6"/>
      <c r="I56" s="6">
        <v>1</v>
      </c>
      <c r="J56" s="6">
        <v>3</v>
      </c>
      <c r="K56" s="6" t="s">
        <v>818</v>
      </c>
      <c r="L56" s="6" t="s">
        <v>809</v>
      </c>
      <c r="M56" s="6"/>
      <c r="N56" s="7"/>
      <c r="O56" s="6"/>
      <c r="P56" s="6">
        <v>1701</v>
      </c>
      <c r="Q56" s="6">
        <v>836.36542432884255</v>
      </c>
      <c r="R56" s="6"/>
      <c r="S56" s="6" t="s">
        <v>963</v>
      </c>
      <c r="T56" s="6" t="s">
        <v>963</v>
      </c>
      <c r="U56" s="6"/>
      <c r="V56" s="6"/>
      <c r="W56" s="6"/>
      <c r="X56" s="6"/>
      <c r="Y56" s="6"/>
      <c r="Z56" s="6"/>
      <c r="AA56" s="6"/>
      <c r="AB56" s="6"/>
      <c r="AC56" s="6"/>
      <c r="AD56" s="6"/>
      <c r="AE56" t="s">
        <v>19</v>
      </c>
      <c r="AF56" t="s">
        <v>19</v>
      </c>
      <c r="AH56">
        <v>1</v>
      </c>
    </row>
    <row r="57" spans="1:34" ht="58">
      <c r="A57" t="s">
        <v>240</v>
      </c>
      <c r="B57" s="3" t="s">
        <v>689</v>
      </c>
      <c r="C57" s="3" t="s">
        <v>688</v>
      </c>
      <c r="G57" s="6" t="s">
        <v>25</v>
      </c>
      <c r="H57" s="6"/>
      <c r="I57" s="6">
        <v>1</v>
      </c>
      <c r="J57" s="6">
        <v>5</v>
      </c>
      <c r="K57" s="6" t="s">
        <v>825</v>
      </c>
      <c r="L57" s="6" t="s">
        <v>809</v>
      </c>
      <c r="M57" s="6"/>
      <c r="N57" s="7"/>
      <c r="O57" s="6"/>
      <c r="P57" s="6">
        <v>830</v>
      </c>
      <c r="Q57" s="6">
        <v>408.10305831448517</v>
      </c>
      <c r="R57" s="6"/>
      <c r="S57" s="6" t="s">
        <v>963</v>
      </c>
      <c r="T57" s="6" t="s">
        <v>963</v>
      </c>
      <c r="U57" s="6"/>
      <c r="V57" s="6"/>
      <c r="W57" s="6"/>
      <c r="X57" s="6"/>
      <c r="Y57" s="6"/>
      <c r="Z57" s="6"/>
      <c r="AA57" s="6"/>
      <c r="AB57" s="6"/>
      <c r="AC57" s="6"/>
      <c r="AD57" s="6"/>
      <c r="AE57" t="s">
        <v>19</v>
      </c>
      <c r="AF57" t="s">
        <v>19</v>
      </c>
      <c r="AH57">
        <v>1</v>
      </c>
    </row>
    <row r="58" spans="1:34" ht="43.5">
      <c r="A58" t="s">
        <v>247</v>
      </c>
      <c r="B58" s="3" t="s">
        <v>703</v>
      </c>
      <c r="C58" s="3" t="s">
        <v>702</v>
      </c>
      <c r="G58" s="6" t="s">
        <v>24</v>
      </c>
      <c r="H58" s="6"/>
      <c r="I58" s="6">
        <v>1</v>
      </c>
      <c r="J58" s="6">
        <v>3</v>
      </c>
      <c r="K58" s="6" t="s">
        <v>818</v>
      </c>
      <c r="L58" s="6" t="s">
        <v>809</v>
      </c>
      <c r="M58" s="6"/>
      <c r="N58" s="7"/>
      <c r="O58" s="6"/>
      <c r="P58" s="6">
        <v>1701</v>
      </c>
      <c r="Q58" s="6">
        <v>836.36542432884255</v>
      </c>
      <c r="R58" s="6"/>
      <c r="S58" s="6" t="s">
        <v>963</v>
      </c>
      <c r="T58" s="6" t="s">
        <v>963</v>
      </c>
      <c r="U58" s="6"/>
      <c r="V58" s="6"/>
      <c r="W58" s="6"/>
      <c r="X58" s="6"/>
      <c r="Y58" s="6"/>
      <c r="Z58" s="6"/>
      <c r="AA58" s="6"/>
      <c r="AB58" s="6"/>
      <c r="AC58" s="6"/>
      <c r="AD58" s="6"/>
      <c r="AE58" t="s">
        <v>19</v>
      </c>
      <c r="AF58" t="s">
        <v>20</v>
      </c>
      <c r="AH58">
        <v>1</v>
      </c>
    </row>
    <row r="59" spans="1:34" ht="43.5">
      <c r="A59" t="s">
        <v>248</v>
      </c>
      <c r="B59" s="3" t="s">
        <v>705</v>
      </c>
      <c r="C59" s="3" t="s">
        <v>704</v>
      </c>
      <c r="G59" s="6" t="s">
        <v>25</v>
      </c>
      <c r="H59" s="6"/>
      <c r="I59" s="6">
        <v>1</v>
      </c>
      <c r="J59" s="6">
        <v>3</v>
      </c>
      <c r="K59" s="6" t="s">
        <v>808</v>
      </c>
      <c r="L59" s="6" t="s">
        <v>809</v>
      </c>
      <c r="M59" s="6"/>
      <c r="N59" s="7"/>
      <c r="O59" s="6"/>
      <c r="P59" s="6">
        <v>2475</v>
      </c>
      <c r="Q59" s="6">
        <v>1216.9338184678927</v>
      </c>
      <c r="R59" s="6"/>
      <c r="S59" s="6" t="s">
        <v>963</v>
      </c>
      <c r="T59" s="6" t="s">
        <v>963</v>
      </c>
      <c r="U59" s="6"/>
      <c r="V59" s="6"/>
      <c r="W59" s="6"/>
      <c r="X59" s="6"/>
      <c r="Y59" s="6"/>
      <c r="Z59" s="6"/>
      <c r="AA59" s="6"/>
      <c r="AB59" s="6"/>
      <c r="AC59" s="6"/>
      <c r="AD59" s="6"/>
      <c r="AE59" t="s">
        <v>19</v>
      </c>
      <c r="AF59" t="s">
        <v>19</v>
      </c>
      <c r="AH59">
        <v>1</v>
      </c>
    </row>
    <row r="60" spans="1:34" ht="58">
      <c r="A60" t="s">
        <v>252</v>
      </c>
      <c r="B60" s="3" t="s">
        <v>710</v>
      </c>
      <c r="C60" s="3" t="s">
        <v>711</v>
      </c>
      <c r="G60" s="6" t="s">
        <v>24</v>
      </c>
      <c r="H60" s="6"/>
      <c r="I60" s="6">
        <v>1</v>
      </c>
      <c r="J60" s="6">
        <v>3</v>
      </c>
      <c r="K60" s="6" t="s">
        <v>818</v>
      </c>
      <c r="L60" s="6" t="s">
        <v>809</v>
      </c>
      <c r="M60" s="6"/>
      <c r="N60" s="7"/>
      <c r="O60" s="6"/>
      <c r="P60" s="6">
        <v>86</v>
      </c>
      <c r="Q60" s="6">
        <v>42.285377126561116</v>
      </c>
      <c r="R60" s="6"/>
      <c r="S60" s="6" t="s">
        <v>963</v>
      </c>
      <c r="T60" s="6" t="s">
        <v>963</v>
      </c>
      <c r="U60" s="6"/>
      <c r="V60" s="6"/>
      <c r="W60" s="6"/>
      <c r="X60" s="6"/>
      <c r="Y60" s="6"/>
      <c r="Z60" s="6"/>
      <c r="AA60" s="6"/>
      <c r="AB60" s="6"/>
      <c r="AC60" s="6"/>
      <c r="AD60" s="6"/>
      <c r="AE60" t="s">
        <v>19</v>
      </c>
      <c r="AF60" t="s">
        <v>19</v>
      </c>
      <c r="AH60">
        <v>1</v>
      </c>
    </row>
    <row r="61" spans="1:34" ht="58">
      <c r="A61" t="s">
        <v>252</v>
      </c>
      <c r="B61" s="3" t="s">
        <v>710</v>
      </c>
      <c r="C61" s="3" t="s">
        <v>712</v>
      </c>
      <c r="G61" s="6" t="s">
        <v>24</v>
      </c>
      <c r="H61" s="6"/>
      <c r="I61" s="6">
        <v>1</v>
      </c>
      <c r="J61" s="6">
        <v>3</v>
      </c>
      <c r="K61" s="6" t="s">
        <v>825</v>
      </c>
      <c r="L61" s="6" t="s">
        <v>809</v>
      </c>
      <c r="M61" s="6"/>
      <c r="N61" s="7"/>
      <c r="O61" s="6"/>
      <c r="P61" s="6">
        <v>743</v>
      </c>
      <c r="Q61" s="6">
        <v>365.32599075621988</v>
      </c>
      <c r="R61" s="6"/>
      <c r="S61" s="6" t="s">
        <v>963</v>
      </c>
      <c r="T61" s="6" t="s">
        <v>963</v>
      </c>
      <c r="U61" s="6"/>
      <c r="V61" s="6"/>
      <c r="W61" s="6"/>
      <c r="X61" s="6"/>
      <c r="Y61" s="6"/>
      <c r="Z61" s="6"/>
      <c r="AA61" s="6"/>
      <c r="AB61" s="6"/>
      <c r="AC61" s="6"/>
      <c r="AD61" s="6"/>
      <c r="AE61" t="s">
        <v>19</v>
      </c>
      <c r="AF61" t="s">
        <v>19</v>
      </c>
      <c r="AH61">
        <v>1</v>
      </c>
    </row>
    <row r="62" spans="1:34" ht="58">
      <c r="A62" t="s">
        <v>253</v>
      </c>
      <c r="B62" s="3" t="s">
        <v>717</v>
      </c>
      <c r="C62" s="3" t="s">
        <v>718</v>
      </c>
      <c r="G62" s="6" t="s">
        <v>25</v>
      </c>
      <c r="H62" s="6"/>
      <c r="I62" s="6">
        <v>1</v>
      </c>
      <c r="J62" s="6">
        <v>3</v>
      </c>
      <c r="K62" s="6" t="s">
        <v>818</v>
      </c>
      <c r="L62" s="6" t="s">
        <v>809</v>
      </c>
      <c r="M62" s="6"/>
      <c r="N62" s="7"/>
      <c r="O62" s="6"/>
      <c r="P62" s="6">
        <v>86</v>
      </c>
      <c r="Q62" s="6">
        <v>42.285377126561116</v>
      </c>
      <c r="R62" s="6"/>
      <c r="S62" s="6" t="s">
        <v>963</v>
      </c>
      <c r="T62" s="6" t="s">
        <v>963</v>
      </c>
      <c r="U62" s="6"/>
      <c r="V62" s="6"/>
      <c r="W62" s="6"/>
      <c r="X62" s="6"/>
      <c r="Y62" s="6"/>
      <c r="Z62" s="6"/>
      <c r="AA62" s="6"/>
      <c r="AB62" s="6"/>
      <c r="AC62" s="6"/>
      <c r="AD62" s="6"/>
      <c r="AE62" t="s">
        <v>19</v>
      </c>
      <c r="AF62" t="s">
        <v>19</v>
      </c>
      <c r="AH62">
        <v>1</v>
      </c>
    </row>
    <row r="63" spans="1:34" ht="58">
      <c r="A63" t="s">
        <v>258</v>
      </c>
      <c r="B63" s="3" t="s">
        <v>724</v>
      </c>
      <c r="C63" s="3" t="s">
        <v>725</v>
      </c>
      <c r="G63" s="6" t="s">
        <v>24</v>
      </c>
      <c r="H63" s="6"/>
      <c r="I63" s="6">
        <v>1</v>
      </c>
      <c r="J63" s="6">
        <v>3</v>
      </c>
      <c r="K63" s="6" t="s">
        <v>808</v>
      </c>
      <c r="L63" s="6" t="s">
        <v>809</v>
      </c>
      <c r="M63" s="6"/>
      <c r="N63" s="7"/>
      <c r="O63" s="6"/>
      <c r="P63" s="6">
        <v>2475</v>
      </c>
      <c r="Q63" s="6">
        <v>1216.9338184678927</v>
      </c>
      <c r="R63" s="6"/>
      <c r="S63" s="6" t="s">
        <v>963</v>
      </c>
      <c r="T63" s="6" t="s">
        <v>963</v>
      </c>
      <c r="U63" s="6"/>
      <c r="V63" s="6"/>
      <c r="W63" s="6"/>
      <c r="X63" s="6"/>
      <c r="Y63" s="6"/>
      <c r="Z63" s="6"/>
      <c r="AA63" s="6"/>
      <c r="AB63" s="6"/>
      <c r="AC63" s="6"/>
      <c r="AD63" s="6"/>
      <c r="AE63" t="s">
        <v>19</v>
      </c>
      <c r="AF63" t="s">
        <v>19</v>
      </c>
      <c r="AH63">
        <v>1</v>
      </c>
    </row>
    <row r="64" spans="1:34" ht="29">
      <c r="A64" t="s">
        <v>258</v>
      </c>
      <c r="B64" s="3" t="s">
        <v>728</v>
      </c>
      <c r="C64" s="3" t="s">
        <v>727</v>
      </c>
      <c r="G64" s="6" t="s">
        <v>25</v>
      </c>
      <c r="H64" s="6"/>
      <c r="I64" s="6">
        <v>1</v>
      </c>
      <c r="J64" s="6">
        <v>3</v>
      </c>
      <c r="K64" s="6" t="s">
        <v>825</v>
      </c>
      <c r="L64" s="6" t="s">
        <v>809</v>
      </c>
      <c r="M64" s="6"/>
      <c r="N64" s="7"/>
      <c r="O64" s="6"/>
      <c r="P64" s="6">
        <v>743</v>
      </c>
      <c r="Q64" s="6">
        <v>365.32599075621988</v>
      </c>
      <c r="R64" s="6"/>
      <c r="S64" s="6" t="s">
        <v>963</v>
      </c>
      <c r="T64" s="6" t="s">
        <v>963</v>
      </c>
      <c r="U64" s="6"/>
      <c r="V64" s="6"/>
      <c r="W64" s="6"/>
      <c r="X64" s="6"/>
      <c r="Y64" s="6"/>
      <c r="Z64" s="6"/>
      <c r="AA64" s="6"/>
      <c r="AB64" s="6"/>
      <c r="AC64" s="6"/>
      <c r="AD64" s="6"/>
      <c r="AE64" t="s">
        <v>19</v>
      </c>
      <c r="AF64" t="s">
        <v>19</v>
      </c>
      <c r="AH64">
        <v>1</v>
      </c>
    </row>
    <row r="65" spans="1:34" ht="29">
      <c r="A65" t="s">
        <v>261</v>
      </c>
      <c r="B65" s="3" t="s">
        <v>729</v>
      </c>
      <c r="C65" s="3" t="s">
        <v>730</v>
      </c>
      <c r="G65" s="6" t="s">
        <v>25</v>
      </c>
      <c r="H65" s="6"/>
      <c r="I65" s="6">
        <v>1</v>
      </c>
      <c r="J65" s="6">
        <v>3</v>
      </c>
      <c r="K65" s="6" t="s">
        <v>825</v>
      </c>
      <c r="L65" s="6" t="s">
        <v>809</v>
      </c>
      <c r="M65" s="6"/>
      <c r="N65" s="7"/>
      <c r="O65" s="6"/>
      <c r="P65" s="6">
        <v>743</v>
      </c>
      <c r="Q65" s="6">
        <v>365.32599075621988</v>
      </c>
      <c r="R65" s="6"/>
      <c r="S65" s="6" t="s">
        <v>963</v>
      </c>
      <c r="T65" s="6" t="s">
        <v>963</v>
      </c>
      <c r="U65" s="6"/>
      <c r="V65" s="6"/>
      <c r="W65" s="6"/>
      <c r="X65" s="6"/>
      <c r="Y65" s="6"/>
      <c r="Z65" s="6"/>
      <c r="AA65" s="6"/>
      <c r="AB65" s="6"/>
      <c r="AC65" s="6"/>
      <c r="AD65" s="6"/>
      <c r="AE65" t="s">
        <v>19</v>
      </c>
      <c r="AF65" t="s">
        <v>19</v>
      </c>
      <c r="AH65">
        <v>1</v>
      </c>
    </row>
    <row r="66" spans="1:34" ht="43.5">
      <c r="A66" t="s">
        <v>262</v>
      </c>
      <c r="B66" s="3" t="s">
        <v>732</v>
      </c>
      <c r="C66" s="3" t="s">
        <v>731</v>
      </c>
      <c r="G66" s="6" t="s">
        <v>25</v>
      </c>
      <c r="H66" s="6"/>
      <c r="I66" s="6">
        <v>1</v>
      </c>
      <c r="J66" s="6">
        <v>4</v>
      </c>
      <c r="K66" s="6" t="s">
        <v>854</v>
      </c>
      <c r="L66" s="6" t="s">
        <v>809</v>
      </c>
      <c r="M66" s="6"/>
      <c r="N66" s="7"/>
      <c r="O66" s="6"/>
      <c r="P66" s="6">
        <v>2</v>
      </c>
      <c r="Q66" s="6">
        <v>0.98338086340839814</v>
      </c>
      <c r="R66" s="6"/>
      <c r="S66" s="6" t="s">
        <v>963</v>
      </c>
      <c r="T66" s="6" t="s">
        <v>963</v>
      </c>
      <c r="U66" s="6"/>
      <c r="V66" s="6"/>
      <c r="W66" s="6"/>
      <c r="X66" s="6"/>
      <c r="Y66" s="6"/>
      <c r="Z66" s="6"/>
      <c r="AA66" s="6"/>
      <c r="AB66" s="6"/>
      <c r="AC66" s="6"/>
      <c r="AD66" s="6"/>
      <c r="AE66" t="s">
        <v>19</v>
      </c>
      <c r="AF66" t="s">
        <v>19</v>
      </c>
      <c r="AH66">
        <v>1</v>
      </c>
    </row>
    <row r="67" spans="1:34" ht="29">
      <c r="A67" t="s">
        <v>263</v>
      </c>
      <c r="B67" s="3" t="s">
        <v>733</v>
      </c>
      <c r="C67" s="3" t="s">
        <v>734</v>
      </c>
      <c r="G67" s="6" t="s">
        <v>25</v>
      </c>
      <c r="H67" s="6"/>
      <c r="I67" s="6">
        <v>1</v>
      </c>
      <c r="J67" s="6">
        <v>2</v>
      </c>
      <c r="K67" s="6" t="s">
        <v>854</v>
      </c>
      <c r="L67" s="6" t="s">
        <v>850</v>
      </c>
      <c r="M67" s="6"/>
      <c r="N67" s="7"/>
      <c r="O67" s="6"/>
      <c r="P67" s="6">
        <v>29</v>
      </c>
      <c r="Q67" s="6">
        <v>14.259022519421771</v>
      </c>
      <c r="R67" s="6"/>
      <c r="S67" s="6" t="s">
        <v>963</v>
      </c>
      <c r="T67" s="6" t="s">
        <v>963</v>
      </c>
      <c r="U67" s="6"/>
      <c r="V67" s="6"/>
      <c r="W67" s="6"/>
      <c r="X67" s="6"/>
      <c r="Y67" s="6"/>
      <c r="Z67" s="6"/>
      <c r="AA67" s="6"/>
      <c r="AB67" s="6"/>
      <c r="AC67" s="6"/>
      <c r="AD67" s="6"/>
      <c r="AE67" t="s">
        <v>19</v>
      </c>
      <c r="AF67" t="s">
        <v>19</v>
      </c>
      <c r="AH67">
        <v>1</v>
      </c>
    </row>
    <row r="68" spans="1:34" ht="29">
      <c r="A68" t="s">
        <v>264</v>
      </c>
      <c r="B68" s="3" t="s">
        <v>736</v>
      </c>
      <c r="C68" s="3" t="s">
        <v>735</v>
      </c>
      <c r="G68" s="6" t="s">
        <v>25</v>
      </c>
      <c r="H68" s="6"/>
      <c r="I68" s="6">
        <v>1</v>
      </c>
      <c r="J68" s="6">
        <v>3</v>
      </c>
      <c r="K68" s="6" t="s">
        <v>825</v>
      </c>
      <c r="L68" s="6" t="s">
        <v>809</v>
      </c>
      <c r="M68" s="6"/>
      <c r="N68" s="7"/>
      <c r="O68" s="6"/>
      <c r="P68" s="6">
        <v>743</v>
      </c>
      <c r="Q68" s="6">
        <v>365.32599075621988</v>
      </c>
      <c r="R68" s="6"/>
      <c r="S68" s="6" t="s">
        <v>963</v>
      </c>
      <c r="T68" s="6" t="s">
        <v>963</v>
      </c>
      <c r="U68" s="6"/>
      <c r="V68" s="6"/>
      <c r="W68" s="6"/>
      <c r="X68" s="6"/>
      <c r="Y68" s="6"/>
      <c r="Z68" s="6"/>
      <c r="AA68" s="6"/>
      <c r="AB68" s="6"/>
      <c r="AC68" s="6"/>
      <c r="AD68" s="6"/>
      <c r="AE68" t="s">
        <v>19</v>
      </c>
      <c r="AF68" t="s">
        <v>20</v>
      </c>
      <c r="AH68">
        <v>1</v>
      </c>
    </row>
    <row r="69" spans="1:34" ht="43.5">
      <c r="A69" t="s">
        <v>270</v>
      </c>
      <c r="B69" s="3" t="s">
        <v>738</v>
      </c>
      <c r="C69" s="3" t="s">
        <v>737</v>
      </c>
      <c r="G69" s="6" t="s">
        <v>24</v>
      </c>
      <c r="H69" s="6"/>
      <c r="I69" s="6">
        <v>1</v>
      </c>
      <c r="J69" s="6">
        <v>1</v>
      </c>
      <c r="K69" s="6" t="s">
        <v>808</v>
      </c>
      <c r="L69" s="6" t="s">
        <v>850</v>
      </c>
      <c r="M69" s="6"/>
      <c r="N69" s="7"/>
      <c r="O69" s="6"/>
      <c r="P69" s="6">
        <v>2475</v>
      </c>
      <c r="Q69" s="6">
        <v>1216.9338184678927</v>
      </c>
      <c r="R69" s="6"/>
      <c r="S69" s="6" t="s">
        <v>963</v>
      </c>
      <c r="T69" s="6" t="s">
        <v>963</v>
      </c>
      <c r="U69" s="6"/>
      <c r="V69" s="6"/>
      <c r="W69" s="6"/>
      <c r="X69" s="6"/>
      <c r="Y69" s="6"/>
      <c r="Z69" s="6"/>
      <c r="AA69" s="6"/>
      <c r="AB69" s="6"/>
      <c r="AC69" s="6"/>
      <c r="AD69" s="6"/>
      <c r="AE69" t="s">
        <v>19</v>
      </c>
      <c r="AF69" t="s">
        <v>19</v>
      </c>
      <c r="AH69">
        <v>1</v>
      </c>
    </row>
    <row r="70" spans="1:34" ht="29">
      <c r="A70" t="s">
        <v>271</v>
      </c>
      <c r="B70" s="3" t="s">
        <v>739</v>
      </c>
      <c r="C70" s="3" t="s">
        <v>740</v>
      </c>
      <c r="G70" s="6" t="s">
        <v>25</v>
      </c>
      <c r="H70" s="6"/>
      <c r="I70" s="6">
        <v>1</v>
      </c>
      <c r="J70" s="6">
        <v>3</v>
      </c>
      <c r="K70" s="6" t="s">
        <v>818</v>
      </c>
      <c r="L70" s="6" t="s">
        <v>809</v>
      </c>
      <c r="M70" s="6"/>
      <c r="N70" s="7"/>
      <c r="O70" s="6"/>
      <c r="P70" s="6">
        <v>86</v>
      </c>
      <c r="Q70" s="6">
        <v>42.285377126561116</v>
      </c>
      <c r="R70" s="6"/>
      <c r="S70" s="6" t="s">
        <v>963</v>
      </c>
      <c r="T70" s="6" t="s">
        <v>963</v>
      </c>
      <c r="U70" s="6"/>
      <c r="V70" s="6"/>
      <c r="W70" s="6"/>
      <c r="X70" s="6"/>
      <c r="Y70" s="6"/>
      <c r="Z70" s="6"/>
      <c r="AA70" s="6"/>
      <c r="AB70" s="6"/>
      <c r="AC70" s="6"/>
      <c r="AD70" s="6"/>
      <c r="AE70" t="s">
        <v>19</v>
      </c>
      <c r="AF70" t="s">
        <v>19</v>
      </c>
      <c r="AH70">
        <v>1</v>
      </c>
    </row>
    <row r="71" spans="1:34" ht="43.5">
      <c r="A71" t="s">
        <v>274</v>
      </c>
      <c r="B71" s="3" t="s">
        <v>741</v>
      </c>
      <c r="C71" s="3" t="s">
        <v>742</v>
      </c>
      <c r="G71" s="6" t="s">
        <v>25</v>
      </c>
      <c r="H71" s="6"/>
      <c r="I71" s="6">
        <v>1</v>
      </c>
      <c r="J71" s="6">
        <v>1</v>
      </c>
      <c r="K71" s="6" t="s">
        <v>808</v>
      </c>
      <c r="L71" s="6" t="s">
        <v>850</v>
      </c>
      <c r="M71" s="6"/>
      <c r="N71" s="7"/>
      <c r="O71" s="6"/>
      <c r="P71" s="6">
        <v>2475</v>
      </c>
      <c r="Q71" s="6">
        <v>1216.9338184678927</v>
      </c>
      <c r="R71" s="6"/>
      <c r="S71" s="6" t="s">
        <v>963</v>
      </c>
      <c r="T71" s="6" t="s">
        <v>963</v>
      </c>
      <c r="U71" s="6"/>
      <c r="V71" s="6"/>
      <c r="W71" s="6"/>
      <c r="X71" s="6"/>
      <c r="Y71" s="6"/>
      <c r="Z71" s="6"/>
      <c r="AA71" s="6"/>
      <c r="AB71" s="6"/>
      <c r="AC71" s="6"/>
      <c r="AD71" s="6"/>
      <c r="AE71" t="s">
        <v>19</v>
      </c>
      <c r="AF71" t="s">
        <v>19</v>
      </c>
      <c r="AH71">
        <v>1</v>
      </c>
    </row>
    <row r="72" spans="1:34" ht="43.5">
      <c r="A72" t="s">
        <v>280</v>
      </c>
      <c r="B72" s="3" t="s">
        <v>757</v>
      </c>
      <c r="C72" s="3" t="s">
        <v>756</v>
      </c>
      <c r="G72" s="6" t="s">
        <v>25</v>
      </c>
      <c r="H72" s="6"/>
      <c r="I72" s="6">
        <v>1</v>
      </c>
      <c r="J72" s="6">
        <v>5</v>
      </c>
      <c r="K72" s="6" t="s">
        <v>825</v>
      </c>
      <c r="L72" s="6" t="s">
        <v>809</v>
      </c>
      <c r="M72" s="6"/>
      <c r="N72" s="7"/>
      <c r="O72" s="6"/>
      <c r="P72" s="6">
        <v>830</v>
      </c>
      <c r="Q72" s="6">
        <v>408.10305831448517</v>
      </c>
      <c r="R72" s="6"/>
      <c r="S72" s="6" t="s">
        <v>963</v>
      </c>
      <c r="T72" s="6" t="s">
        <v>963</v>
      </c>
      <c r="U72" s="6" t="s">
        <v>848</v>
      </c>
      <c r="V72" s="6"/>
      <c r="W72" s="6"/>
      <c r="X72" s="6"/>
      <c r="Y72" s="6"/>
      <c r="Z72" s="6"/>
      <c r="AA72" s="6"/>
      <c r="AB72" s="6"/>
      <c r="AC72" s="6"/>
      <c r="AD72" s="6"/>
      <c r="AE72" t="s">
        <v>19</v>
      </c>
      <c r="AF72" t="s">
        <v>19</v>
      </c>
      <c r="AH72">
        <v>1</v>
      </c>
    </row>
    <row r="73" spans="1:34" ht="29">
      <c r="A73" t="s">
        <v>281</v>
      </c>
      <c r="B73" s="3" t="s">
        <v>759</v>
      </c>
      <c r="C73" s="3" t="s">
        <v>758</v>
      </c>
      <c r="G73" s="6" t="s">
        <v>25</v>
      </c>
      <c r="H73" s="6"/>
      <c r="I73" s="6">
        <v>1</v>
      </c>
      <c r="J73" s="6">
        <v>2</v>
      </c>
      <c r="K73" s="6" t="s">
        <v>825</v>
      </c>
      <c r="L73" s="6" t="s">
        <v>850</v>
      </c>
      <c r="M73" s="6"/>
      <c r="N73" s="7"/>
      <c r="O73" s="6"/>
      <c r="P73" s="6">
        <v>312</v>
      </c>
      <c r="Q73" s="6">
        <v>153.4074146917101</v>
      </c>
      <c r="R73" s="6"/>
      <c r="S73" s="6" t="s">
        <v>963</v>
      </c>
      <c r="T73" s="6" t="s">
        <v>963</v>
      </c>
      <c r="U73" s="6"/>
      <c r="V73" s="6"/>
      <c r="W73" s="6"/>
      <c r="X73" s="6"/>
      <c r="Y73" s="6"/>
      <c r="Z73" s="6"/>
      <c r="AA73" s="6"/>
      <c r="AB73" s="6"/>
      <c r="AC73" s="6"/>
      <c r="AD73" s="6"/>
      <c r="AE73" t="s">
        <v>19</v>
      </c>
      <c r="AF73" t="s">
        <v>19</v>
      </c>
      <c r="AH73">
        <v>1</v>
      </c>
    </row>
    <row r="74" spans="1:34" ht="58">
      <c r="A74" t="s">
        <v>283</v>
      </c>
      <c r="B74" s="3" t="s">
        <v>762</v>
      </c>
      <c r="C74" s="3" t="s">
        <v>763</v>
      </c>
      <c r="G74" s="6" t="s">
        <v>24</v>
      </c>
      <c r="H74" s="6"/>
      <c r="I74" s="6">
        <v>1</v>
      </c>
      <c r="J74" s="6">
        <v>1</v>
      </c>
      <c r="K74" s="6" t="s">
        <v>808</v>
      </c>
      <c r="L74" s="6" t="s">
        <v>850</v>
      </c>
      <c r="M74" s="6"/>
      <c r="N74" s="7"/>
      <c r="O74" s="6"/>
      <c r="P74" s="6">
        <v>2475</v>
      </c>
      <c r="Q74" s="6">
        <v>1216.9338184678927</v>
      </c>
      <c r="R74" s="6"/>
      <c r="S74" s="6" t="s">
        <v>963</v>
      </c>
      <c r="T74" s="6" t="s">
        <v>963</v>
      </c>
      <c r="U74" s="6"/>
      <c r="V74" s="6"/>
      <c r="W74" s="6"/>
      <c r="X74" s="6"/>
      <c r="Y74" s="6"/>
      <c r="Z74" s="6"/>
      <c r="AA74" s="6"/>
      <c r="AB74" s="6"/>
      <c r="AC74" s="6"/>
      <c r="AD74" s="6"/>
      <c r="AE74" t="s">
        <v>19</v>
      </c>
      <c r="AF74" t="s">
        <v>19</v>
      </c>
      <c r="AH74">
        <v>1</v>
      </c>
    </row>
    <row r="75" spans="1:34" ht="43.5">
      <c r="A75" t="s">
        <v>284</v>
      </c>
      <c r="B75" s="3" t="s">
        <v>766</v>
      </c>
      <c r="C75" s="3" t="s">
        <v>767</v>
      </c>
      <c r="G75" s="6" t="s">
        <v>24</v>
      </c>
      <c r="H75" s="6"/>
      <c r="I75" s="6">
        <v>1</v>
      </c>
      <c r="J75" s="6">
        <v>2</v>
      </c>
      <c r="K75" s="6" t="s">
        <v>818</v>
      </c>
      <c r="L75" s="6" t="s">
        <v>850</v>
      </c>
      <c r="M75" s="6"/>
      <c r="N75" s="7"/>
      <c r="O75" s="6"/>
      <c r="P75" s="6">
        <v>171</v>
      </c>
      <c r="Q75" s="6">
        <v>84.079063821418046</v>
      </c>
      <c r="R75" s="6"/>
      <c r="S75" s="6" t="s">
        <v>963</v>
      </c>
      <c r="T75" s="6" t="s">
        <v>963</v>
      </c>
      <c r="U75" s="6"/>
      <c r="V75" s="6"/>
      <c r="W75" s="6"/>
      <c r="X75" s="6"/>
      <c r="Y75" s="6"/>
      <c r="Z75" s="6"/>
      <c r="AA75" s="6"/>
      <c r="AB75" s="6"/>
      <c r="AC75" s="6"/>
      <c r="AD75" s="6"/>
      <c r="AE75" t="s">
        <v>19</v>
      </c>
      <c r="AF75" t="s">
        <v>19</v>
      </c>
      <c r="AH75">
        <v>1</v>
      </c>
    </row>
    <row r="76" spans="1:34" ht="29">
      <c r="A76" t="s">
        <v>287</v>
      </c>
      <c r="B76" s="3" t="s">
        <v>769</v>
      </c>
      <c r="C76" s="3" t="s">
        <v>768</v>
      </c>
      <c r="G76" s="6" t="s">
        <v>24</v>
      </c>
      <c r="H76" s="6"/>
      <c r="I76" s="6">
        <v>1</v>
      </c>
      <c r="J76" s="6">
        <v>3</v>
      </c>
      <c r="K76" s="6" t="s">
        <v>818</v>
      </c>
      <c r="L76" s="6" t="s">
        <v>809</v>
      </c>
      <c r="M76" s="6"/>
      <c r="N76" s="7"/>
      <c r="O76" s="6"/>
      <c r="P76" s="6">
        <v>1701</v>
      </c>
      <c r="Q76" s="6">
        <v>836.36542432884255</v>
      </c>
      <c r="R76" s="6"/>
      <c r="S76" s="6" t="s">
        <v>963</v>
      </c>
      <c r="T76" s="6" t="s">
        <v>963</v>
      </c>
      <c r="U76" s="6"/>
      <c r="V76" s="6"/>
      <c r="W76" s="6"/>
      <c r="X76" s="6"/>
      <c r="Y76" s="6"/>
      <c r="Z76" s="6"/>
      <c r="AA76" s="6"/>
      <c r="AB76" s="6"/>
      <c r="AC76" s="6"/>
      <c r="AD76" s="6"/>
      <c r="AE76" t="s">
        <v>20</v>
      </c>
      <c r="AF76" t="s">
        <v>19</v>
      </c>
      <c r="AH76">
        <v>0</v>
      </c>
    </row>
    <row r="77" spans="1:34" ht="43.5">
      <c r="A77" t="s">
        <v>291</v>
      </c>
      <c r="B77" s="3" t="s">
        <v>774</v>
      </c>
      <c r="C77" s="3" t="s">
        <v>775</v>
      </c>
      <c r="G77" s="6" t="s">
        <v>25</v>
      </c>
      <c r="H77" s="6"/>
      <c r="I77" s="6">
        <v>1</v>
      </c>
      <c r="J77" s="6">
        <v>3</v>
      </c>
      <c r="K77" s="6" t="s">
        <v>808</v>
      </c>
      <c r="L77" s="6" t="s">
        <v>809</v>
      </c>
      <c r="M77" s="6"/>
      <c r="N77" s="7"/>
      <c r="O77" s="6"/>
      <c r="P77" s="6">
        <v>2475</v>
      </c>
      <c r="Q77" s="6">
        <v>1216.9338184678927</v>
      </c>
      <c r="R77" s="6"/>
      <c r="S77" s="6" t="s">
        <v>963</v>
      </c>
      <c r="T77" s="6" t="s">
        <v>963</v>
      </c>
      <c r="U77" s="6"/>
      <c r="V77" s="6"/>
      <c r="W77" s="6"/>
      <c r="X77" s="6"/>
      <c r="Y77" s="6"/>
      <c r="Z77" s="6"/>
      <c r="AA77" s="6"/>
      <c r="AB77" s="6"/>
      <c r="AC77" s="6"/>
      <c r="AD77" s="6"/>
      <c r="AE77" t="s">
        <v>19</v>
      </c>
      <c r="AF77" t="s">
        <v>19</v>
      </c>
      <c r="AH77">
        <v>1</v>
      </c>
    </row>
    <row r="78" spans="1:34" ht="29">
      <c r="A78" t="s">
        <v>303</v>
      </c>
      <c r="B78" s="3" t="s">
        <v>783</v>
      </c>
      <c r="C78" s="3" t="s">
        <v>782</v>
      </c>
      <c r="G78" s="6" t="s">
        <v>25</v>
      </c>
      <c r="H78" s="6"/>
      <c r="I78" s="6">
        <v>1</v>
      </c>
      <c r="J78" s="6">
        <v>3</v>
      </c>
      <c r="K78" s="6" t="s">
        <v>825</v>
      </c>
      <c r="L78" s="6" t="s">
        <v>809</v>
      </c>
      <c r="M78" s="6"/>
      <c r="N78" s="7"/>
      <c r="O78" s="6"/>
      <c r="P78" s="6">
        <v>743</v>
      </c>
      <c r="Q78" s="6">
        <v>365.32599075621988</v>
      </c>
      <c r="R78" s="6"/>
      <c r="S78" s="6" t="s">
        <v>963</v>
      </c>
      <c r="T78" s="6" t="s">
        <v>963</v>
      </c>
      <c r="U78" s="6"/>
      <c r="V78" s="6"/>
      <c r="W78" s="6"/>
      <c r="X78" s="6"/>
      <c r="Y78" s="6"/>
      <c r="Z78" s="6"/>
      <c r="AA78" s="6"/>
      <c r="AB78" s="6"/>
      <c r="AC78" s="6"/>
      <c r="AD78" s="6"/>
      <c r="AE78" t="s">
        <v>19</v>
      </c>
      <c r="AF78" t="s">
        <v>19</v>
      </c>
      <c r="AH78">
        <v>1</v>
      </c>
    </row>
    <row r="79" spans="1:34" ht="43.5">
      <c r="A79" t="s">
        <v>306</v>
      </c>
      <c r="B79" s="3" t="s">
        <v>788</v>
      </c>
      <c r="C79" s="3" t="s">
        <v>789</v>
      </c>
      <c r="G79" s="6" t="s">
        <v>25</v>
      </c>
      <c r="H79" s="6"/>
      <c r="I79" s="6">
        <v>1</v>
      </c>
      <c r="J79" s="6">
        <v>5</v>
      </c>
      <c r="K79" s="6" t="s">
        <v>825</v>
      </c>
      <c r="L79" s="6" t="s">
        <v>809</v>
      </c>
      <c r="M79" s="6"/>
      <c r="N79" s="7"/>
      <c r="O79" s="6"/>
      <c r="P79" s="6">
        <v>830</v>
      </c>
      <c r="Q79" s="6">
        <v>408.10305831448517</v>
      </c>
      <c r="R79" s="6"/>
      <c r="S79" s="6" t="s">
        <v>963</v>
      </c>
      <c r="T79" s="6" t="s">
        <v>963</v>
      </c>
      <c r="U79" s="6"/>
      <c r="V79" s="6"/>
      <c r="W79" s="6"/>
      <c r="X79" s="6"/>
      <c r="Y79" s="6"/>
      <c r="Z79" s="6"/>
      <c r="AA79" s="6"/>
      <c r="AB79" s="6"/>
      <c r="AC79" s="6"/>
      <c r="AD79" s="6"/>
      <c r="AE79" t="s">
        <v>19</v>
      </c>
      <c r="AF79" t="s">
        <v>19</v>
      </c>
      <c r="AH79">
        <v>1</v>
      </c>
    </row>
    <row r="80" spans="1:34" ht="58">
      <c r="A80" t="s">
        <v>306</v>
      </c>
      <c r="B80" s="3" t="s">
        <v>792</v>
      </c>
      <c r="C80" s="3" t="s">
        <v>790</v>
      </c>
      <c r="G80" s="6" t="s">
        <v>25</v>
      </c>
      <c r="H80" s="6"/>
      <c r="I80" s="6">
        <v>1</v>
      </c>
      <c r="J80" s="6">
        <v>3</v>
      </c>
      <c r="K80" s="6" t="s">
        <v>825</v>
      </c>
      <c r="L80" s="6" t="s">
        <v>809</v>
      </c>
      <c r="M80" s="6"/>
      <c r="N80" s="7"/>
      <c r="O80" s="6"/>
      <c r="P80" s="6">
        <v>312</v>
      </c>
      <c r="Q80" s="6">
        <v>153.4074146917101</v>
      </c>
      <c r="R80" s="6"/>
      <c r="S80" s="6" t="s">
        <v>963</v>
      </c>
      <c r="T80" s="6" t="s">
        <v>963</v>
      </c>
      <c r="U80" s="6"/>
      <c r="V80" s="6"/>
      <c r="W80" s="6"/>
      <c r="X80" s="6"/>
      <c r="Y80" s="6"/>
      <c r="Z80" s="6"/>
      <c r="AA80" s="6"/>
      <c r="AB80" s="6"/>
      <c r="AC80" s="6"/>
      <c r="AD80" s="6"/>
      <c r="AE80" t="s">
        <v>19</v>
      </c>
      <c r="AF80" t="s">
        <v>19</v>
      </c>
      <c r="AH80">
        <v>1</v>
      </c>
    </row>
    <row r="81" spans="1:34" ht="43.5">
      <c r="A81" t="s">
        <v>311</v>
      </c>
      <c r="B81" s="3" t="s">
        <v>794</v>
      </c>
      <c r="C81" s="3" t="s">
        <v>793</v>
      </c>
      <c r="G81" s="6" t="s">
        <v>24</v>
      </c>
      <c r="H81" s="6"/>
      <c r="I81" s="6">
        <v>1</v>
      </c>
      <c r="J81" s="6">
        <v>3</v>
      </c>
      <c r="K81" s="6" t="s">
        <v>808</v>
      </c>
      <c r="L81" s="6" t="s">
        <v>809</v>
      </c>
      <c r="M81" s="6"/>
      <c r="N81" s="7"/>
      <c r="O81" s="6"/>
      <c r="P81" s="6">
        <v>2475</v>
      </c>
      <c r="Q81" s="6">
        <v>1216.9338184678927</v>
      </c>
      <c r="R81" s="6"/>
      <c r="S81" s="6" t="s">
        <v>963</v>
      </c>
      <c r="T81" s="6" t="s">
        <v>963</v>
      </c>
      <c r="U81" s="6"/>
      <c r="V81" s="6"/>
      <c r="W81" s="6"/>
      <c r="X81" s="6"/>
      <c r="Y81" s="6"/>
      <c r="Z81" s="6"/>
      <c r="AA81" s="6"/>
      <c r="AB81" s="6"/>
      <c r="AC81" s="6"/>
      <c r="AD81" s="6"/>
      <c r="AE81" t="s">
        <v>19</v>
      </c>
      <c r="AF81" t="s">
        <v>19</v>
      </c>
      <c r="AH81">
        <v>1</v>
      </c>
    </row>
    <row r="84" spans="1:34">
      <c r="D84" t="s">
        <v>960</v>
      </c>
      <c r="E84">
        <v>20338</v>
      </c>
    </row>
    <row r="85" spans="1:34">
      <c r="D85" t="s">
        <v>965</v>
      </c>
      <c r="E85">
        <f>MEDIAN(Q:Q)</f>
        <v>408.10305831448517</v>
      </c>
    </row>
    <row r="88" spans="1:34">
      <c r="D88" t="s">
        <v>966</v>
      </c>
      <c r="E88">
        <f>COUNTIFS(G:G, "Addition", Q:Q, "&gt;=" &amp; $E$85)</f>
        <v>23</v>
      </c>
    </row>
    <row r="89" spans="1:34">
      <c r="D89" t="s">
        <v>967</v>
      </c>
      <c r="E89">
        <f>COUNTIFS(G:G, "Omission", Q:Q, "&gt;=" &amp; $E$85)</f>
        <v>24</v>
      </c>
    </row>
    <row r="90" spans="1:34">
      <c r="D90" t="s">
        <v>968</v>
      </c>
      <c r="E90">
        <f>E88/(E88+E89)</f>
        <v>0.48936170212765956</v>
      </c>
    </row>
    <row r="91" spans="1:34">
      <c r="D91" t="s">
        <v>969</v>
      </c>
      <c r="E91">
        <f>COUNTIFS(G:G, "Addition", Q:Q, "&lt;" &amp; $E$85)</f>
        <v>14</v>
      </c>
    </row>
    <row r="92" spans="1:34">
      <c r="D92" t="s">
        <v>970</v>
      </c>
      <c r="E92">
        <f>COUNTIFS(G:G, "Omission", Q:Q, "&lt;" &amp; $E$85)</f>
        <v>19</v>
      </c>
    </row>
    <row r="93" spans="1:34">
      <c r="D93" t="s">
        <v>971</v>
      </c>
      <c r="E93">
        <f>E91/(E91+E92)</f>
        <v>0.42424242424242425</v>
      </c>
    </row>
    <row r="96" spans="1:34">
      <c r="D96" t="s">
        <v>972</v>
      </c>
      <c r="E96">
        <f>COUNTIFS(G:G, "Addition", K:K, "Article")</f>
        <v>16</v>
      </c>
    </row>
    <row r="97" spans="4:5">
      <c r="D97" t="s">
        <v>973</v>
      </c>
      <c r="E97">
        <f>COUNTIFS(G:G, "Omission", K:K, "Article")</f>
        <v>12</v>
      </c>
    </row>
    <row r="98" spans="4:5">
      <c r="D98" t="s">
        <v>974</v>
      </c>
      <c r="E98">
        <f>COUNTIFS(G:G, "Addition", K:K, "Article")/(COUNTIFS(G:G, "Addition", K:K, "Article") + COUNTIFS(G:G, "Omission", K:K, "Article"))</f>
        <v>0.5714285714285714</v>
      </c>
    </row>
  </sheetData>
  <conditionalFormatting sqref="G2:G81">
    <cfRule type="expression" dxfId="246" priority="4">
      <formula>$I2&lt;&gt;""</formula>
    </cfRule>
    <cfRule type="expression" dxfId="245" priority="5">
      <formula>$I2=""</formula>
    </cfRule>
  </conditionalFormatting>
  <conditionalFormatting sqref="H2:L81 O2:P81">
    <cfRule type="expression" dxfId="244" priority="16">
      <formula>AND(OR($I2="Addition",$I2="Omission"), H2="")</formula>
    </cfRule>
    <cfRule type="expression" dxfId="243" priority="17">
      <formula>AND($I2&lt;&gt;"Addition",$I2&lt;&gt;"Omission",$I2&lt;&gt;"Substitution - Word")</formula>
    </cfRule>
  </conditionalFormatting>
  <conditionalFormatting sqref="H2:P81">
    <cfRule type="expression" dxfId="242" priority="15">
      <formula>AND(OR($I2="Addition",$I2="Omission"), H2&lt;&gt;"")</formula>
    </cfRule>
  </conditionalFormatting>
  <conditionalFormatting sqref="K2:K81">
    <cfRule type="expression" dxfId="241" priority="13">
      <formula>AND($K2&lt;&gt;"",$K2&gt;1)</formula>
    </cfRule>
  </conditionalFormatting>
  <conditionalFormatting sqref="M2:N81">
    <cfRule type="expression" dxfId="240" priority="9">
      <formula>$N2="Absent"</formula>
    </cfRule>
    <cfRule type="expression" dxfId="239" priority="10">
      <formula>$N2="NA"</formula>
    </cfRule>
    <cfRule type="expression" dxfId="238" priority="11">
      <formula>AND(OR($I2="Addition",$I2="Omission"), M2="")</formula>
    </cfRule>
    <cfRule type="expression" dxfId="237" priority="12">
      <formula>AND($I2&lt;&gt;"Addition",$I2&lt;&gt;"Omission")</formula>
    </cfRule>
  </conditionalFormatting>
  <conditionalFormatting sqref="O2:O81">
    <cfRule type="expression" dxfId="236" priority="14">
      <formula>OR($I2="Addition",$I2="Omission",$I2 = "Substitution - Word")</formula>
    </cfRule>
  </conditionalFormatting>
  <conditionalFormatting sqref="Q2:Q81">
    <cfRule type="expression" dxfId="235" priority="1">
      <formula>AND(OR($I2="Addition",$I2="Omission"), Q2&lt;&gt;"")</formula>
    </cfRule>
    <cfRule type="expression" dxfId="234" priority="2">
      <formula>AND(OR($I2="Addition",$I2="Omission"), Q2="")</formula>
    </cfRule>
    <cfRule type="expression" dxfId="233" priority="3">
      <formula>AND($I2&lt;&gt;"Addition",$I2&lt;&gt;"Omission",$I2&lt;&gt;"Substitution - Word")</formula>
    </cfRule>
  </conditionalFormatting>
  <conditionalFormatting sqref="R2:T81">
    <cfRule type="expression" dxfId="232" priority="23">
      <formula>AND(AND(LEFT($I2,3)="Sub", RIGHT($I2,4)&lt;&gt;"Form"),$T2&lt;&gt;"")</formula>
    </cfRule>
    <cfRule type="expression" dxfId="231" priority="24">
      <formula>AND(AND(LEFT($I2,3)="Sub", RIGHT($I2,4)&lt;&gt;"Form"),$T2="")</formula>
    </cfRule>
    <cfRule type="expression" dxfId="230" priority="25">
      <formula>"&lt;&gt;AND(LEFT($J2,3)=""Sub"", RIGHT($J2,4)&lt;&gt;""Form"")"</formula>
    </cfRule>
  </conditionalFormatting>
  <conditionalFormatting sqref="U2:U81">
    <cfRule type="expression" dxfId="229" priority="7">
      <formula>AND($W2&lt;&gt;"",OR($AD2="Yes",$AE2&lt;&gt;""))</formula>
    </cfRule>
    <cfRule type="expression" dxfId="228" priority="8">
      <formula>OR($AD2="Yes",$AE2&lt;&gt;"")</formula>
    </cfRule>
    <cfRule type="expression" dxfId="227" priority="20">
      <formula>AND($AD2&lt;&gt;"Yes",$AE2="")</formula>
    </cfRule>
  </conditionalFormatting>
  <conditionalFormatting sqref="U2:AD81">
    <cfRule type="expression" dxfId="226" priority="18">
      <formula>AND($I2&lt;&gt;"",$I2&lt;&gt;"Unclear due to correction")</formula>
    </cfRule>
    <cfRule type="expression" dxfId="225" priority="19">
      <formula>OR($I2="",$I2="Unclear due to correction")</formula>
    </cfRule>
  </conditionalFormatting>
  <conditionalFormatting sqref="V2:V81">
    <cfRule type="expression" dxfId="224" priority="6">
      <formula>AND($I2&lt;&gt;"",$I2&lt;&gt;"Unclear due to correction",$X2="")</formula>
    </cfRule>
  </conditionalFormatting>
  <conditionalFormatting sqref="W2:W81">
    <cfRule type="expression" dxfId="223" priority="21">
      <formula>AND($X2="Yes",$Y2="")</formula>
    </cfRule>
    <cfRule type="expression" dxfId="222" priority="22">
      <formula>$X2=""</formula>
    </cfRule>
  </conditionalFormatting>
  <conditionalFormatting sqref="AB2:AB81">
    <cfRule type="expression" dxfId="221" priority="26">
      <formula>AND(OR($AB2&lt;&gt;"",$AC2&lt;&gt;""),$AD2="")</formula>
    </cfRule>
  </conditionalFormatting>
  <dataValidations count="1">
    <dataValidation allowBlank="1" showInputMessage="1" sqref="V2:V81" xr:uid="{A385C20E-6867-459A-A4EE-E6DD078A8F96}"/>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6BF8EC3F-C686-4C84-9EA3-2CBB661938D4}">
          <x14:formula1>
            <xm:f>'Data Regularization'!$Q$2:$Q$4</xm:f>
          </x14:formula1>
          <xm:sqref>AE2:AE81 AG2:AG81</xm:sqref>
        </x14:dataValidation>
        <x14:dataValidation type="list" allowBlank="1" showInputMessage="1" showErrorMessage="1" xr:uid="{F26EA163-47FB-4D77-8E4B-6304E622469A}">
          <x14:formula1>
            <xm:f>'Data Regularization'!$K$2:$K$1048576</xm:f>
          </x14:formula1>
          <xm:sqref>U2:U81 W2:W81</xm:sqref>
        </x14:dataValidation>
        <x14:dataValidation type="list" allowBlank="1" showInputMessage="1" showErrorMessage="1" xr:uid="{6567E165-3C17-4D8E-9012-B89C0B6F628B}">
          <x14:formula1>
            <xm:f>'Data Regularization'!$B$2:$B$1048576</xm:f>
          </x14:formula1>
          <xm:sqref>E2:E81</xm:sqref>
        </x14:dataValidation>
        <x14:dataValidation type="list" allowBlank="1" showInputMessage="1" showErrorMessage="1" xr:uid="{ECD7FBBC-D0F0-4142-BEB8-F7E0A5A73B83}">
          <x14:formula1>
            <xm:f>'Data Regularization'!$A$2:$A$1048576</xm:f>
          </x14:formula1>
          <xm:sqref>D2:D81</xm:sqref>
        </x14:dataValidation>
        <x14:dataValidation type="list" allowBlank="1" showInputMessage="1" showErrorMessage="1" xr:uid="{BDAB0EA5-B0F0-4011-8B90-9FCA321BA7E8}">
          <x14:formula1>
            <xm:f>'Data Regularization'!$C$2:$C$29</xm:f>
          </x14:formula1>
          <xm:sqref>F2:F81</xm:sqref>
        </x14:dataValidation>
        <x14:dataValidation type="list" allowBlank="1" showInputMessage="1" showErrorMessage="1" xr:uid="{43528BE1-9FBD-4194-92F4-3F84FD04F9BB}">
          <x14:formula1>
            <xm:f>'Data Regularization'!$Q$2:$Q$1048576</xm:f>
          </x14:formula1>
          <xm:sqref>AD2:AD81</xm:sqref>
        </x14:dataValidation>
        <x14:dataValidation type="list" allowBlank="1" showInputMessage="1" showErrorMessage="1" xr:uid="{505D3114-D92D-462A-A419-0F140BC91867}">
          <x14:formula1>
            <xm:f>'Data Regularization'!$P$2:$P$1048576</xm:f>
          </x14:formula1>
          <xm:sqref>AC2:AC81</xm:sqref>
        </x14:dataValidation>
        <x14:dataValidation type="list" allowBlank="1" showInputMessage="1" showErrorMessage="1" xr:uid="{924F4B59-1BEE-4670-ADA7-7B14A647A7C9}">
          <x14:formula1>
            <xm:f>'Data Regularization'!$O$2:$O$1048576</xm:f>
          </x14:formula1>
          <xm:sqref>AB2:AB81</xm:sqref>
        </x14:dataValidation>
        <x14:dataValidation type="list" allowBlank="1" showInputMessage="1" showErrorMessage="1" xr:uid="{3F78F6A6-2268-4063-81FE-2D7E4B2D6CA4}">
          <x14:formula1>
            <xm:f>'Data Regularization'!$N$2:$N$1048576</xm:f>
          </x14:formula1>
          <xm:sqref>Z2:Z81</xm:sqref>
        </x14:dataValidation>
        <x14:dataValidation type="list" allowBlank="1" showInputMessage="1" showErrorMessage="1" xr:uid="{342E8749-9D44-4604-83E6-AA65026DE96B}">
          <x14:formula1>
            <xm:f>'Data Regularization'!$M$2:$M$1048576</xm:f>
          </x14:formula1>
          <xm:sqref>Y2:Y81</xm:sqref>
        </x14:dataValidation>
        <x14:dataValidation type="list" allowBlank="1" showInputMessage="1" showErrorMessage="1" xr:uid="{B65E1140-87EF-41C4-BE83-D33F87B04E2B}">
          <x14:formula1>
            <xm:f>'Data Regularization'!$L$2:$L$1048576</xm:f>
          </x14:formula1>
          <xm:sqref>X2:X81</xm:sqref>
        </x14:dataValidation>
        <x14:dataValidation type="list" allowBlank="1" showInputMessage="1" showErrorMessage="1" xr:uid="{D378A1B9-175D-447F-AA7A-ECBC362C4945}">
          <x14:formula1>
            <xm:f>'Data Regularization'!$G$2:$G$1048576</xm:f>
          </x14:formula1>
          <xm:sqref>O2:O81</xm:sqref>
        </x14:dataValidation>
        <x14:dataValidation type="list" allowBlank="1" showInputMessage="1" showErrorMessage="1" xr:uid="{1DDD2485-969C-4D10-888E-1DFBC6B87ED2}">
          <x14:formula1>
            <xm:f>'Data Regularization'!$F$2:$F$1048576</xm:f>
          </x14:formula1>
          <xm:sqref>L2:L81</xm:sqref>
        </x14:dataValidation>
        <x14:dataValidation type="list" allowBlank="1" showInputMessage="1" showErrorMessage="1" xr:uid="{014B2D93-A1A4-4005-A012-B42BC24433E7}">
          <x14:formula1>
            <xm:f>'Data Regularization'!$E$2:$E$1048576</xm:f>
          </x14:formula1>
          <xm:sqref>K2:K81</xm:sqref>
        </x14:dataValidation>
        <x14:dataValidation type="list" allowBlank="1" showInputMessage="1" showErrorMessage="1" xr:uid="{8FD4D450-A5E4-40CC-AE7F-3417D8A92B91}">
          <x14:formula1>
            <xm:f>'Data Regularization'!$D$2:$D$1048576</xm:f>
          </x14:formula1>
          <xm:sqref>G2:G81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4B59F-95A8-4C99-B286-1D0206504B97}">
  <dimension ref="A1:AH27"/>
  <sheetViews>
    <sheetView topLeftCell="A8" workbookViewId="0">
      <selection activeCell="A14" sqref="A14"/>
    </sheetView>
  </sheetViews>
  <sheetFormatPr defaultRowHeight="14.5"/>
  <cols>
    <col min="1" max="1" width="9.453125" bestFit="1" customWidth="1"/>
  </cols>
  <sheetData>
    <row r="1" spans="1:34" s="1" customFormat="1" ht="29">
      <c r="A1" s="1" t="s">
        <v>0</v>
      </c>
      <c r="B1" s="1" t="s">
        <v>5</v>
      </c>
      <c r="C1" s="2" t="s">
        <v>6</v>
      </c>
      <c r="D1" s="1" t="s">
        <v>831</v>
      </c>
      <c r="E1" s="1" t="s">
        <v>832</v>
      </c>
      <c r="F1" s="1" t="s">
        <v>833</v>
      </c>
      <c r="G1" s="1" t="s">
        <v>3</v>
      </c>
      <c r="H1" s="1" t="s">
        <v>834</v>
      </c>
      <c r="I1" s="1" t="s">
        <v>835</v>
      </c>
      <c r="J1" s="1" t="s">
        <v>836</v>
      </c>
      <c r="K1" s="1" t="s">
        <v>837</v>
      </c>
      <c r="L1" s="1" t="s">
        <v>796</v>
      </c>
      <c r="M1" s="1" t="s">
        <v>838</v>
      </c>
      <c r="N1" s="5" t="s">
        <v>839</v>
      </c>
      <c r="O1" s="1" t="s">
        <v>797</v>
      </c>
      <c r="P1" s="1" t="s">
        <v>840</v>
      </c>
      <c r="Q1" s="1" t="s">
        <v>964</v>
      </c>
      <c r="R1" s="1" t="s">
        <v>841</v>
      </c>
      <c r="S1" s="1" t="s">
        <v>961</v>
      </c>
      <c r="T1" s="1" t="s">
        <v>962</v>
      </c>
      <c r="U1" s="1" t="s">
        <v>844</v>
      </c>
      <c r="V1" s="1" t="s">
        <v>845</v>
      </c>
      <c r="W1" s="1" t="s">
        <v>846</v>
      </c>
      <c r="X1" s="1" t="s">
        <v>798</v>
      </c>
      <c r="Y1" s="1" t="s">
        <v>799</v>
      </c>
      <c r="Z1" s="1" t="s">
        <v>800</v>
      </c>
      <c r="AA1" s="1" t="s">
        <v>842</v>
      </c>
      <c r="AB1" s="1" t="s">
        <v>847</v>
      </c>
      <c r="AC1" s="1" t="s">
        <v>801</v>
      </c>
      <c r="AD1" s="1" t="s">
        <v>843</v>
      </c>
      <c r="AE1" s="1" t="s">
        <v>859</v>
      </c>
      <c r="AF1" s="1" t="s">
        <v>857</v>
      </c>
      <c r="AG1" s="1" t="s">
        <v>858</v>
      </c>
    </row>
    <row r="2" spans="1:34" ht="58">
      <c r="A2" t="s">
        <v>41</v>
      </c>
      <c r="B2" s="3" t="s">
        <v>317</v>
      </c>
      <c r="C2" s="3" t="s">
        <v>318</v>
      </c>
      <c r="G2" s="6" t="s">
        <v>24</v>
      </c>
      <c r="H2" s="6"/>
      <c r="I2" s="6">
        <v>1</v>
      </c>
      <c r="J2" s="6">
        <v>5</v>
      </c>
      <c r="K2" s="6" t="s">
        <v>829</v>
      </c>
      <c r="L2" s="6" t="s">
        <v>809</v>
      </c>
      <c r="M2" s="6"/>
      <c r="N2" s="7"/>
      <c r="O2" s="6"/>
      <c r="P2" s="6">
        <v>3</v>
      </c>
      <c r="Q2" s="6">
        <v>1.4750712951125973</v>
      </c>
      <c r="R2" s="6"/>
      <c r="S2" s="6" t="s">
        <v>963</v>
      </c>
      <c r="T2" s="6" t="s">
        <v>963</v>
      </c>
      <c r="U2" s="6"/>
      <c r="V2" s="6"/>
      <c r="W2" s="6"/>
      <c r="X2" s="6"/>
      <c r="Y2" s="6"/>
      <c r="Z2" s="6"/>
      <c r="AA2" s="6"/>
      <c r="AB2" s="6"/>
      <c r="AC2" s="6"/>
      <c r="AD2" s="6"/>
      <c r="AE2" t="s">
        <v>19</v>
      </c>
      <c r="AF2" t="s">
        <v>19</v>
      </c>
      <c r="AH2">
        <v>1</v>
      </c>
    </row>
    <row r="3" spans="1:34" ht="58">
      <c r="A3" t="s">
        <v>45</v>
      </c>
      <c r="B3" s="3" t="s">
        <v>329</v>
      </c>
      <c r="C3" s="3" t="s">
        <v>330</v>
      </c>
      <c r="G3" s="6" t="s">
        <v>24</v>
      </c>
      <c r="H3" s="6"/>
      <c r="I3" s="6">
        <v>1</v>
      </c>
      <c r="J3" s="6">
        <v>5</v>
      </c>
      <c r="K3" s="6" t="s">
        <v>823</v>
      </c>
      <c r="L3" s="6" t="s">
        <v>803</v>
      </c>
      <c r="M3" s="6" t="s">
        <v>866</v>
      </c>
      <c r="N3" s="7" t="s">
        <v>869</v>
      </c>
      <c r="O3" s="6" t="s">
        <v>804</v>
      </c>
      <c r="P3" s="6">
        <v>5</v>
      </c>
      <c r="Q3" s="6">
        <v>2.4584521585209949</v>
      </c>
      <c r="R3" s="6"/>
      <c r="S3" s="6" t="s">
        <v>963</v>
      </c>
      <c r="T3" s="6" t="s">
        <v>963</v>
      </c>
      <c r="U3" s="6"/>
      <c r="V3" s="6"/>
      <c r="W3" s="6"/>
      <c r="X3" s="6"/>
      <c r="Y3" s="6"/>
      <c r="Z3" s="6"/>
      <c r="AA3" s="6"/>
      <c r="AB3" s="6"/>
      <c r="AC3" s="6"/>
      <c r="AD3" s="6"/>
      <c r="AE3" t="s">
        <v>19</v>
      </c>
      <c r="AF3" t="s">
        <v>19</v>
      </c>
      <c r="AH3">
        <v>1</v>
      </c>
    </row>
    <row r="4" spans="1:34" ht="159.5">
      <c r="A4" t="s">
        <v>87</v>
      </c>
      <c r="B4" s="3" t="s">
        <v>395</v>
      </c>
      <c r="C4" s="3" t="s">
        <v>391</v>
      </c>
      <c r="G4" s="6" t="s">
        <v>25</v>
      </c>
      <c r="H4" s="6"/>
      <c r="I4" s="6">
        <v>1</v>
      </c>
      <c r="J4" s="6">
        <v>5</v>
      </c>
      <c r="K4" s="6" t="s">
        <v>829</v>
      </c>
      <c r="L4" s="6" t="s">
        <v>809</v>
      </c>
      <c r="M4" s="6"/>
      <c r="N4" s="7"/>
      <c r="O4" s="6"/>
      <c r="P4" s="6">
        <v>168</v>
      </c>
      <c r="Q4" s="6">
        <v>82.603992526305433</v>
      </c>
      <c r="R4" s="6"/>
      <c r="S4" s="6" t="s">
        <v>963</v>
      </c>
      <c r="T4" s="6" t="s">
        <v>963</v>
      </c>
      <c r="U4" s="6"/>
      <c r="V4" s="6"/>
      <c r="W4" s="6"/>
      <c r="X4" s="6"/>
      <c r="Y4" s="6"/>
      <c r="Z4" s="6"/>
      <c r="AA4" s="6"/>
      <c r="AB4" s="6"/>
      <c r="AC4" s="6"/>
      <c r="AD4" s="6"/>
      <c r="AE4" t="s">
        <v>19</v>
      </c>
      <c r="AF4" t="s">
        <v>20</v>
      </c>
      <c r="AH4">
        <v>1</v>
      </c>
    </row>
    <row r="5" spans="1:34" ht="43.5">
      <c r="A5" t="s">
        <v>94</v>
      </c>
      <c r="B5" s="3" t="s">
        <v>418</v>
      </c>
      <c r="C5" s="3" t="s">
        <v>419</v>
      </c>
      <c r="F5" t="s">
        <v>19</v>
      </c>
      <c r="G5" s="6" t="s">
        <v>25</v>
      </c>
      <c r="H5" s="6"/>
      <c r="I5" s="6">
        <v>1</v>
      </c>
      <c r="J5" s="6">
        <v>5</v>
      </c>
      <c r="K5" s="6" t="s">
        <v>860</v>
      </c>
      <c r="L5" s="6" t="s">
        <v>809</v>
      </c>
      <c r="M5" s="6"/>
      <c r="N5" s="7"/>
      <c r="O5" s="6"/>
      <c r="P5" s="6">
        <v>4</v>
      </c>
      <c r="Q5" s="6">
        <v>1.9667617268167963</v>
      </c>
      <c r="R5" s="6"/>
      <c r="S5" s="6" t="s">
        <v>963</v>
      </c>
      <c r="T5" s="6" t="s">
        <v>963</v>
      </c>
      <c r="U5" s="6"/>
      <c r="V5" s="6"/>
      <c r="W5" s="6"/>
      <c r="X5" s="6"/>
      <c r="Y5" s="6"/>
      <c r="Z5" s="6"/>
      <c r="AA5" s="6"/>
      <c r="AB5" s="6"/>
      <c r="AC5" s="6"/>
      <c r="AD5" s="6"/>
      <c r="AE5" t="s">
        <v>20</v>
      </c>
      <c r="AF5" t="s">
        <v>20</v>
      </c>
      <c r="AH5">
        <v>0</v>
      </c>
    </row>
    <row r="6" spans="1:34" ht="87">
      <c r="A6" t="s">
        <v>159</v>
      </c>
      <c r="B6" s="3" t="s">
        <v>511</v>
      </c>
      <c r="C6" s="3" t="s">
        <v>513</v>
      </c>
      <c r="G6" s="6" t="s">
        <v>24</v>
      </c>
      <c r="H6" s="6"/>
      <c r="I6" s="6">
        <v>1</v>
      </c>
      <c r="J6" s="6">
        <v>1</v>
      </c>
      <c r="K6" s="6" t="s">
        <v>802</v>
      </c>
      <c r="L6" s="6" t="s">
        <v>850</v>
      </c>
      <c r="M6" s="6"/>
      <c r="N6" s="7"/>
      <c r="O6" s="6"/>
      <c r="P6" s="6">
        <v>9</v>
      </c>
      <c r="Q6" s="6">
        <v>4.4252138853377909</v>
      </c>
      <c r="R6" s="6"/>
      <c r="S6" s="6" t="s">
        <v>963</v>
      </c>
      <c r="T6" s="6" t="s">
        <v>963</v>
      </c>
      <c r="U6" s="6"/>
      <c r="V6" s="6"/>
      <c r="W6" s="6"/>
      <c r="X6" s="6"/>
      <c r="Y6" s="6"/>
      <c r="Z6" s="6"/>
      <c r="AA6" s="6"/>
      <c r="AB6" s="6"/>
      <c r="AC6" s="6"/>
      <c r="AD6" s="6"/>
      <c r="AE6" t="s">
        <v>19</v>
      </c>
      <c r="AF6" t="s">
        <v>19</v>
      </c>
      <c r="AH6">
        <v>1</v>
      </c>
    </row>
    <row r="7" spans="1:34" ht="58">
      <c r="A7" t="s">
        <v>185</v>
      </c>
      <c r="B7" s="3" t="s">
        <v>587</v>
      </c>
      <c r="C7" s="3" t="s">
        <v>586</v>
      </c>
      <c r="G7" s="6" t="s">
        <v>24</v>
      </c>
      <c r="H7" s="6"/>
      <c r="I7" s="6">
        <v>1</v>
      </c>
      <c r="J7" s="6">
        <v>5</v>
      </c>
      <c r="K7" s="6" t="s">
        <v>860</v>
      </c>
      <c r="L7" s="6" t="s">
        <v>809</v>
      </c>
      <c r="M7" s="6"/>
      <c r="N7" s="7"/>
      <c r="O7" s="6"/>
      <c r="P7" s="6">
        <v>295</v>
      </c>
      <c r="Q7" s="6">
        <v>145.04867735273871</v>
      </c>
      <c r="R7" s="6"/>
      <c r="S7" s="6" t="s">
        <v>963</v>
      </c>
      <c r="T7" s="6" t="s">
        <v>963</v>
      </c>
      <c r="U7" s="6"/>
      <c r="V7" s="6"/>
      <c r="W7" s="6"/>
      <c r="X7" s="6"/>
      <c r="Y7" s="6"/>
      <c r="Z7" s="6"/>
      <c r="AA7" s="6"/>
      <c r="AB7" s="6"/>
      <c r="AC7" s="6"/>
      <c r="AD7" s="6"/>
      <c r="AE7" t="s">
        <v>19</v>
      </c>
      <c r="AF7" t="s">
        <v>19</v>
      </c>
      <c r="AH7">
        <v>1</v>
      </c>
    </row>
    <row r="8" spans="1:34" ht="101.5">
      <c r="A8" t="s">
        <v>193</v>
      </c>
      <c r="B8" s="3" t="s">
        <v>593</v>
      </c>
      <c r="C8" s="3" t="s">
        <v>598</v>
      </c>
      <c r="G8" s="6" t="s">
        <v>24</v>
      </c>
      <c r="H8" s="6"/>
      <c r="I8" s="6">
        <v>1</v>
      </c>
      <c r="J8" s="6">
        <v>6</v>
      </c>
      <c r="K8" s="6" t="s">
        <v>823</v>
      </c>
      <c r="L8" s="6" t="s">
        <v>809</v>
      </c>
      <c r="M8" s="6"/>
      <c r="N8" s="7"/>
      <c r="O8" s="6"/>
      <c r="P8" s="6">
        <v>250</v>
      </c>
      <c r="Q8" s="6">
        <v>122.92260792604976</v>
      </c>
      <c r="R8" s="6"/>
      <c r="S8" s="6" t="s">
        <v>963</v>
      </c>
      <c r="T8" s="6" t="s">
        <v>963</v>
      </c>
      <c r="U8" s="6"/>
      <c r="V8" s="6"/>
      <c r="W8" s="6"/>
      <c r="X8" s="6"/>
      <c r="Y8" s="6"/>
      <c r="Z8" s="6"/>
      <c r="AA8" s="6"/>
      <c r="AB8" s="6"/>
      <c r="AC8" s="6"/>
      <c r="AD8" s="6"/>
      <c r="AE8" t="s">
        <v>19</v>
      </c>
      <c r="AF8" t="s">
        <v>19</v>
      </c>
      <c r="AH8">
        <v>1</v>
      </c>
    </row>
    <row r="9" spans="1:34" ht="145">
      <c r="A9" t="s">
        <v>194</v>
      </c>
      <c r="B9" s="3" t="s">
        <v>1012</v>
      </c>
      <c r="C9" s="3" t="s">
        <v>1013</v>
      </c>
      <c r="G9" s="6" t="s">
        <v>25</v>
      </c>
      <c r="H9" s="6"/>
      <c r="I9" s="6">
        <v>1</v>
      </c>
      <c r="J9" s="6">
        <v>4</v>
      </c>
      <c r="K9" s="6" t="s">
        <v>823</v>
      </c>
      <c r="L9" s="6" t="s">
        <v>809</v>
      </c>
      <c r="M9" s="6"/>
      <c r="N9" s="7"/>
      <c r="O9" s="6"/>
      <c r="P9" s="6">
        <v>109</v>
      </c>
      <c r="Q9" s="6">
        <v>53.594257055757701</v>
      </c>
      <c r="R9" s="6"/>
      <c r="S9" s="6"/>
      <c r="T9" s="6"/>
      <c r="U9" s="6"/>
      <c r="V9" s="6"/>
      <c r="W9" s="6"/>
      <c r="X9" s="6"/>
      <c r="Y9" s="6"/>
      <c r="Z9" s="6"/>
      <c r="AA9" s="6"/>
      <c r="AB9" s="6"/>
      <c r="AC9" s="6"/>
      <c r="AD9" s="6"/>
      <c r="AE9" t="s">
        <v>19</v>
      </c>
      <c r="AF9" t="s">
        <v>20</v>
      </c>
      <c r="AH9">
        <v>1</v>
      </c>
    </row>
    <row r="10" spans="1:34" ht="43.5">
      <c r="A10" t="s">
        <v>195</v>
      </c>
      <c r="B10" s="3" t="s">
        <v>607</v>
      </c>
      <c r="C10" s="3" t="s">
        <v>610</v>
      </c>
      <c r="F10" t="s">
        <v>19</v>
      </c>
      <c r="G10" s="6" t="s">
        <v>24</v>
      </c>
      <c r="H10" s="6"/>
      <c r="I10" s="6">
        <v>1</v>
      </c>
      <c r="J10" s="6">
        <v>1</v>
      </c>
      <c r="K10" s="6" t="s">
        <v>802</v>
      </c>
      <c r="L10" s="6" t="s">
        <v>850</v>
      </c>
      <c r="M10" s="6"/>
      <c r="N10" s="7"/>
      <c r="O10" s="6"/>
      <c r="P10" s="6">
        <v>6</v>
      </c>
      <c r="Q10" s="6">
        <v>2.9501425902251945</v>
      </c>
      <c r="R10" s="6"/>
      <c r="S10" s="6" t="s">
        <v>963</v>
      </c>
      <c r="T10" s="6" t="s">
        <v>963</v>
      </c>
      <c r="U10" s="6"/>
      <c r="V10" s="6"/>
      <c r="W10" s="6"/>
      <c r="X10" s="6"/>
      <c r="Y10" s="6"/>
      <c r="Z10" s="6"/>
      <c r="AA10" s="6"/>
      <c r="AB10" s="6"/>
      <c r="AC10" s="6"/>
      <c r="AD10" s="6"/>
      <c r="AE10" t="s">
        <v>20</v>
      </c>
      <c r="AF10" t="s">
        <v>20</v>
      </c>
      <c r="AH10">
        <v>0</v>
      </c>
    </row>
    <row r="11" spans="1:34" ht="130.5">
      <c r="A11" t="s">
        <v>214</v>
      </c>
      <c r="B11" s="3" t="s">
        <v>902</v>
      </c>
      <c r="C11" s="3" t="s">
        <v>904</v>
      </c>
      <c r="G11" s="6" t="s">
        <v>25</v>
      </c>
      <c r="H11" s="6"/>
      <c r="I11" s="6">
        <v>1</v>
      </c>
      <c r="J11" s="6">
        <v>5</v>
      </c>
      <c r="K11" s="6" t="s">
        <v>802</v>
      </c>
      <c r="L11" s="6" t="s">
        <v>809</v>
      </c>
      <c r="M11" s="6"/>
      <c r="N11" s="7"/>
      <c r="O11" s="6"/>
      <c r="P11" s="6">
        <v>266</v>
      </c>
      <c r="Q11" s="6">
        <v>130.78965483331694</v>
      </c>
      <c r="R11" s="6"/>
      <c r="S11" s="6" t="s">
        <v>963</v>
      </c>
      <c r="T11" s="6" t="s">
        <v>963</v>
      </c>
      <c r="U11" s="6"/>
      <c r="V11" s="6"/>
      <c r="W11" s="6"/>
      <c r="X11" s="6"/>
      <c r="Y11" s="6"/>
      <c r="Z11" s="6"/>
      <c r="AA11" s="6"/>
      <c r="AB11" s="6"/>
      <c r="AC11" s="6"/>
      <c r="AD11" s="6"/>
      <c r="AE11" t="s">
        <v>19</v>
      </c>
      <c r="AF11" t="s">
        <v>20</v>
      </c>
      <c r="AH11">
        <v>1</v>
      </c>
    </row>
    <row r="12" spans="1:34" ht="43.5">
      <c r="A12" t="s">
        <v>254</v>
      </c>
      <c r="B12" s="3" t="s">
        <v>720</v>
      </c>
      <c r="C12" s="3" t="s">
        <v>719</v>
      </c>
      <c r="G12" s="6" t="s">
        <v>25</v>
      </c>
      <c r="H12" s="6"/>
      <c r="I12" s="6">
        <v>1</v>
      </c>
      <c r="J12" s="6">
        <v>3</v>
      </c>
      <c r="K12" s="6" t="s">
        <v>823</v>
      </c>
      <c r="L12" s="6" t="s">
        <v>809</v>
      </c>
      <c r="M12" s="6"/>
      <c r="N12" s="7"/>
      <c r="O12" s="6"/>
      <c r="P12" s="6">
        <v>2</v>
      </c>
      <c r="Q12" s="6">
        <v>0.98338086340839814</v>
      </c>
      <c r="R12" s="6"/>
      <c r="S12" s="6" t="s">
        <v>963</v>
      </c>
      <c r="T12" s="6" t="s">
        <v>963</v>
      </c>
      <c r="U12" s="6"/>
      <c r="V12" s="6"/>
      <c r="W12" s="6"/>
      <c r="X12" s="6"/>
      <c r="Y12" s="6"/>
      <c r="Z12" s="6"/>
      <c r="AA12" s="6"/>
      <c r="AB12" s="6"/>
      <c r="AC12" s="6"/>
      <c r="AD12" s="6"/>
      <c r="AE12" t="s">
        <v>19</v>
      </c>
      <c r="AF12" t="s">
        <v>19</v>
      </c>
      <c r="AH12">
        <v>1</v>
      </c>
    </row>
    <row r="13" spans="1:34" ht="58">
      <c r="A13" t="s">
        <v>258</v>
      </c>
      <c r="B13" s="3" t="s">
        <v>726</v>
      </c>
      <c r="C13" s="3" t="s">
        <v>723</v>
      </c>
      <c r="G13" s="6" t="s">
        <v>25</v>
      </c>
      <c r="H13" s="6"/>
      <c r="I13" s="6">
        <v>1</v>
      </c>
      <c r="J13" s="6">
        <v>2</v>
      </c>
      <c r="K13" s="6" t="s">
        <v>829</v>
      </c>
      <c r="L13" s="6" t="s">
        <v>850</v>
      </c>
      <c r="M13" s="6"/>
      <c r="N13" s="7"/>
      <c r="O13" s="6"/>
      <c r="P13" s="6">
        <v>295</v>
      </c>
      <c r="Q13" s="6">
        <v>145.04867735273871</v>
      </c>
      <c r="R13" s="6"/>
      <c r="S13" s="6" t="s">
        <v>963</v>
      </c>
      <c r="T13" s="6" t="s">
        <v>963</v>
      </c>
      <c r="U13" s="6"/>
      <c r="V13" s="6"/>
      <c r="W13" s="6"/>
      <c r="X13" s="6"/>
      <c r="Y13" s="6"/>
      <c r="Z13" s="6"/>
      <c r="AA13" s="6"/>
      <c r="AB13" s="6"/>
      <c r="AC13" s="6"/>
      <c r="AD13" s="6"/>
      <c r="AE13" t="s">
        <v>19</v>
      </c>
      <c r="AF13" t="s">
        <v>19</v>
      </c>
      <c r="AH13">
        <v>1</v>
      </c>
    </row>
    <row r="14" spans="1:34" ht="58">
      <c r="A14" t="s">
        <v>306</v>
      </c>
      <c r="B14" s="3" t="s">
        <v>791</v>
      </c>
      <c r="C14" s="3" t="s">
        <v>790</v>
      </c>
      <c r="G14" s="6" t="s">
        <v>25</v>
      </c>
      <c r="H14" s="6"/>
      <c r="I14" s="6">
        <v>1</v>
      </c>
      <c r="J14" s="6">
        <v>5</v>
      </c>
      <c r="K14" s="6" t="s">
        <v>860</v>
      </c>
      <c r="L14" s="6" t="s">
        <v>809</v>
      </c>
      <c r="M14" s="6"/>
      <c r="N14" s="7"/>
      <c r="O14" s="6"/>
      <c r="P14" s="6">
        <v>295</v>
      </c>
      <c r="Q14" s="6">
        <v>145.04867735273871</v>
      </c>
      <c r="R14" s="6"/>
      <c r="S14" s="6" t="s">
        <v>963</v>
      </c>
      <c r="T14" s="6" t="s">
        <v>963</v>
      </c>
      <c r="U14" s="6"/>
      <c r="V14" s="6"/>
      <c r="W14" s="6"/>
      <c r="X14" s="6"/>
      <c r="Y14" s="6"/>
      <c r="Z14" s="6"/>
      <c r="AA14" s="6"/>
      <c r="AB14" s="6"/>
      <c r="AC14" s="6"/>
      <c r="AD14" s="6"/>
      <c r="AE14" t="s">
        <v>19</v>
      </c>
      <c r="AF14" t="s">
        <v>19</v>
      </c>
      <c r="AH14">
        <v>1</v>
      </c>
    </row>
    <row r="17" spans="4:5">
      <c r="D17" t="s">
        <v>960</v>
      </c>
      <c r="E17">
        <v>20338</v>
      </c>
    </row>
    <row r="18" spans="4:5">
      <c r="D18" t="s">
        <v>965</v>
      </c>
      <c r="E18">
        <f>MEDIAN(Q:Q)</f>
        <v>53.594257055757701</v>
      </c>
    </row>
    <row r="21" spans="4:5">
      <c r="D21" t="s">
        <v>966</v>
      </c>
      <c r="E21">
        <f>COUNTIFS(G:G, "Addition", Q:Q, "&gt;=" &amp; $E$18)</f>
        <v>2</v>
      </c>
    </row>
    <row r="22" spans="4:5">
      <c r="D22" t="s">
        <v>967</v>
      </c>
      <c r="E22">
        <f>COUNTIFS(G:G, "Omission", Q:Q, "&gt;=" &amp; $E$18)</f>
        <v>5</v>
      </c>
    </row>
    <row r="23" spans="4:5">
      <c r="D23" t="s">
        <v>968</v>
      </c>
      <c r="E23">
        <f>E21/(E21+E22)</f>
        <v>0.2857142857142857</v>
      </c>
    </row>
    <row r="24" spans="4:5">
      <c r="D24" t="s">
        <v>969</v>
      </c>
      <c r="E24">
        <f>COUNTIFS(G:G, "Addition", Q:Q, "&lt;" &amp; $E$18)</f>
        <v>4</v>
      </c>
    </row>
    <row r="25" spans="4:5">
      <c r="D25" t="s">
        <v>970</v>
      </c>
      <c r="E25">
        <f>COUNTIFS(G:G, "Omission", Q:Q, "&lt;" &amp; $E$18)</f>
        <v>2</v>
      </c>
    </row>
    <row r="26" spans="4:5">
      <c r="D26" t="s">
        <v>971</v>
      </c>
      <c r="E26">
        <f>E24/(E24+E25)</f>
        <v>0.66666666666666663</v>
      </c>
    </row>
    <row r="27" spans="4:5">
      <c r="D27" t="s">
        <v>985</v>
      </c>
      <c r="E27">
        <f>E23-E26</f>
        <v>-0.38095238095238093</v>
      </c>
    </row>
  </sheetData>
  <conditionalFormatting sqref="G2:G14">
    <cfRule type="expression" dxfId="220" priority="4">
      <formula>$I2&lt;&gt;""</formula>
    </cfRule>
    <cfRule type="expression" dxfId="219" priority="5">
      <formula>$I2=""</formula>
    </cfRule>
  </conditionalFormatting>
  <conditionalFormatting sqref="H2:L14 O2:P14">
    <cfRule type="expression" dxfId="218" priority="16">
      <formula>AND(OR($I2="Addition",$I2="Omission"), H2="")</formula>
    </cfRule>
    <cfRule type="expression" dxfId="217" priority="17">
      <formula>AND($I2&lt;&gt;"Addition",$I2&lt;&gt;"Omission",$I2&lt;&gt;"Substitution - Word")</formula>
    </cfRule>
  </conditionalFormatting>
  <conditionalFormatting sqref="H2:P14">
    <cfRule type="expression" dxfId="216" priority="15">
      <formula>AND(OR($I2="Addition",$I2="Omission"), H2&lt;&gt;"")</formula>
    </cfRule>
  </conditionalFormatting>
  <conditionalFormatting sqref="K2:K14">
    <cfRule type="expression" dxfId="215" priority="13">
      <formula>AND($K2&lt;&gt;"",$K2&gt;1)</formula>
    </cfRule>
  </conditionalFormatting>
  <conditionalFormatting sqref="M2:N14">
    <cfRule type="expression" dxfId="214" priority="9">
      <formula>$N2="Absent"</formula>
    </cfRule>
    <cfRule type="expression" dxfId="213" priority="10">
      <formula>$N2="NA"</formula>
    </cfRule>
    <cfRule type="expression" dxfId="212" priority="11">
      <formula>AND(OR($I2="Addition",$I2="Omission"), M2="")</formula>
    </cfRule>
    <cfRule type="expression" dxfId="211" priority="12">
      <formula>AND($I2&lt;&gt;"Addition",$I2&lt;&gt;"Omission")</formula>
    </cfRule>
  </conditionalFormatting>
  <conditionalFormatting sqref="O2:O14">
    <cfRule type="expression" dxfId="210" priority="14">
      <formula>OR($I2="Addition",$I2="Omission",$I2 = "Substitution - Word")</formula>
    </cfRule>
  </conditionalFormatting>
  <conditionalFormatting sqref="Q2:Q14">
    <cfRule type="expression" dxfId="209" priority="1">
      <formula>AND(OR($I2="Addition",$I2="Omission"), Q2&lt;&gt;"")</formula>
    </cfRule>
    <cfRule type="expression" dxfId="208" priority="2">
      <formula>AND(OR($I2="Addition",$I2="Omission"), Q2="")</formula>
    </cfRule>
    <cfRule type="expression" dxfId="207" priority="3">
      <formula>AND($I2&lt;&gt;"Addition",$I2&lt;&gt;"Omission",$I2&lt;&gt;"Substitution - Word")</formula>
    </cfRule>
  </conditionalFormatting>
  <conditionalFormatting sqref="R2:T14">
    <cfRule type="expression" dxfId="206" priority="23">
      <formula>AND(AND(LEFT($I2,3)="Sub", RIGHT($I2,4)&lt;&gt;"Form"),$T2&lt;&gt;"")</formula>
    </cfRule>
    <cfRule type="expression" dxfId="205" priority="24">
      <formula>AND(AND(LEFT($I2,3)="Sub", RIGHT($I2,4)&lt;&gt;"Form"),$T2="")</formula>
    </cfRule>
    <cfRule type="expression" dxfId="204" priority="25">
      <formula>"&lt;&gt;AND(LEFT($J2,3)=""Sub"", RIGHT($J2,4)&lt;&gt;""Form"")"</formula>
    </cfRule>
  </conditionalFormatting>
  <conditionalFormatting sqref="U2:U14">
    <cfRule type="expression" dxfId="203" priority="7">
      <formula>AND($W2&lt;&gt;"",OR($AD2="Yes",$AE2&lt;&gt;""))</formula>
    </cfRule>
    <cfRule type="expression" dxfId="202" priority="8">
      <formula>OR($AD2="Yes",$AE2&lt;&gt;"")</formula>
    </cfRule>
    <cfRule type="expression" dxfId="201" priority="20">
      <formula>AND($AD2&lt;&gt;"Yes",$AE2="")</formula>
    </cfRule>
  </conditionalFormatting>
  <conditionalFormatting sqref="U2:AD14">
    <cfRule type="expression" dxfId="200" priority="18">
      <formula>AND($I2&lt;&gt;"",$I2&lt;&gt;"Unclear due to correction")</formula>
    </cfRule>
    <cfRule type="expression" dxfId="199" priority="19">
      <formula>OR($I2="",$I2="Unclear due to correction")</formula>
    </cfRule>
  </conditionalFormatting>
  <conditionalFormatting sqref="V2:V14">
    <cfRule type="expression" dxfId="198" priority="6">
      <formula>AND($I2&lt;&gt;"",$I2&lt;&gt;"Unclear due to correction",$X2="")</formula>
    </cfRule>
  </conditionalFormatting>
  <conditionalFormatting sqref="W2:W14">
    <cfRule type="expression" dxfId="197" priority="21">
      <formula>AND($X2="Yes",$Y2="")</formula>
    </cfRule>
    <cfRule type="expression" dxfId="196" priority="22">
      <formula>$X2=""</formula>
    </cfRule>
  </conditionalFormatting>
  <conditionalFormatting sqref="AB2:AB14">
    <cfRule type="expression" dxfId="195" priority="26">
      <formula>AND(OR($AB2&lt;&gt;"",$AC2&lt;&gt;""),$AD2="")</formula>
    </cfRule>
  </conditionalFormatting>
  <dataValidations count="1">
    <dataValidation allowBlank="1" showInputMessage="1" sqref="V2:V14" xr:uid="{3E2AC4D3-BFCA-4E73-BFED-BA4A97FA8B80}"/>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74889F60-BD0D-4150-8CA2-603478FC9346}">
          <x14:formula1>
            <xm:f>'Data Regularization'!$Q$2:$Q$4</xm:f>
          </x14:formula1>
          <xm:sqref>AE2:AE14 AG2:AG14</xm:sqref>
        </x14:dataValidation>
        <x14:dataValidation type="list" allowBlank="1" showInputMessage="1" showErrorMessage="1" xr:uid="{1ADF3DC6-EE7D-4A0D-8D67-7DB9CAC5F212}">
          <x14:formula1>
            <xm:f>'Data Regularization'!$B$2:$B$1048576</xm:f>
          </x14:formula1>
          <xm:sqref>E2:E14</xm:sqref>
        </x14:dataValidation>
        <x14:dataValidation type="list" allowBlank="1" showInputMessage="1" showErrorMessage="1" xr:uid="{75BB580A-27F7-44EE-9904-6AC820384ACB}">
          <x14:formula1>
            <xm:f>'Data Regularization'!$A$2:$A$1048576</xm:f>
          </x14:formula1>
          <xm:sqref>D2:D14</xm:sqref>
        </x14:dataValidation>
        <x14:dataValidation type="list" allowBlank="1" showInputMessage="1" showErrorMessage="1" xr:uid="{C4903DD1-C26F-4A93-BC93-93EB2D39AA6F}">
          <x14:formula1>
            <xm:f>'Data Regularization'!$C$2:$C$29</xm:f>
          </x14:formula1>
          <xm:sqref>F2:F14</xm:sqref>
        </x14:dataValidation>
        <x14:dataValidation type="list" allowBlank="1" showInputMessage="1" showErrorMessage="1" xr:uid="{535D571A-4014-4518-A6B1-AFDA37B58DC8}">
          <x14:formula1>
            <xm:f>'Data Regularization'!$Q$2:$Q$1048576</xm:f>
          </x14:formula1>
          <xm:sqref>AD2:AD14</xm:sqref>
        </x14:dataValidation>
        <x14:dataValidation type="list" allowBlank="1" showInputMessage="1" showErrorMessage="1" xr:uid="{DF83B6BD-6F42-4B29-839B-8716405A404C}">
          <x14:formula1>
            <xm:f>'Data Regularization'!$P$2:$P$1048576</xm:f>
          </x14:formula1>
          <xm:sqref>AC2:AC14</xm:sqref>
        </x14:dataValidation>
        <x14:dataValidation type="list" allowBlank="1" showInputMessage="1" showErrorMessage="1" xr:uid="{9C6BB99E-C77C-4AA5-9FD2-0ACC4DD82BE2}">
          <x14:formula1>
            <xm:f>'Data Regularization'!$O$2:$O$1048576</xm:f>
          </x14:formula1>
          <xm:sqref>AB2:AB14</xm:sqref>
        </x14:dataValidation>
        <x14:dataValidation type="list" allowBlank="1" showInputMessage="1" showErrorMessage="1" xr:uid="{BB488C6E-85BD-4438-A338-B46299D08479}">
          <x14:formula1>
            <xm:f>'Data Regularization'!$N$2:$N$1048576</xm:f>
          </x14:formula1>
          <xm:sqref>Z2:Z14</xm:sqref>
        </x14:dataValidation>
        <x14:dataValidation type="list" allowBlank="1" showInputMessage="1" showErrorMessage="1" xr:uid="{FE6BD8EC-A985-4091-BA65-80B3A6380906}">
          <x14:formula1>
            <xm:f>'Data Regularization'!$M$2:$M$1048576</xm:f>
          </x14:formula1>
          <xm:sqref>Y2:Y14</xm:sqref>
        </x14:dataValidation>
        <x14:dataValidation type="list" allowBlank="1" showInputMessage="1" showErrorMessage="1" xr:uid="{E61A7097-D9A3-45A0-98D6-22015A7D8ACC}">
          <x14:formula1>
            <xm:f>'Data Regularization'!$L$2:$L$1048576</xm:f>
          </x14:formula1>
          <xm:sqref>X2:X14</xm:sqref>
        </x14:dataValidation>
        <x14:dataValidation type="list" allowBlank="1" showInputMessage="1" showErrorMessage="1" xr:uid="{88E59063-AC68-44B8-9D3D-ED656307F1EF}">
          <x14:formula1>
            <xm:f>'Data Regularization'!$K$2:$K$1048576</xm:f>
          </x14:formula1>
          <xm:sqref>U2:U14 W2:W14</xm:sqref>
        </x14:dataValidation>
        <x14:dataValidation type="list" allowBlank="1" showInputMessage="1" showErrorMessage="1" xr:uid="{1E2C10BC-9DD2-4747-9CFB-6C252255266D}">
          <x14:formula1>
            <xm:f>'Data Regularization'!$G$2:$G$1048576</xm:f>
          </x14:formula1>
          <xm:sqref>O2:O14</xm:sqref>
        </x14:dataValidation>
        <x14:dataValidation type="list" allowBlank="1" showInputMessage="1" showErrorMessage="1" xr:uid="{50026A53-9717-49B5-8E35-36F7DDDE1DD2}">
          <x14:formula1>
            <xm:f>'Data Regularization'!$F$2:$F$1048576</xm:f>
          </x14:formula1>
          <xm:sqref>L2:L14</xm:sqref>
        </x14:dataValidation>
        <x14:dataValidation type="list" allowBlank="1" showInputMessage="1" showErrorMessage="1" xr:uid="{51B53E43-4CD5-45F6-B475-4CF7676FFD0B}">
          <x14:formula1>
            <xm:f>'Data Regularization'!$E$2:$E$1048576</xm:f>
          </x14:formula1>
          <xm:sqref>K2:K14</xm:sqref>
        </x14:dataValidation>
        <x14:dataValidation type="list" allowBlank="1" showInputMessage="1" showErrorMessage="1" xr:uid="{0992AE48-5ED3-458D-ADEA-9C694CAE961D}">
          <x14:formula1>
            <xm:f>'Data Regularization'!$D$2:$D$1048576</xm:f>
          </x14:formula1>
          <xm:sqref>G2:G14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D26BA-6394-45FA-9321-C6D01628B6A0}">
  <dimension ref="A1:AJ63"/>
  <sheetViews>
    <sheetView workbookViewId="0">
      <pane xSplit="3" ySplit="1" topLeftCell="D36" activePane="bottomRight" state="frozen"/>
      <selection pane="topRight" activeCell="D1" sqref="D1"/>
      <selection pane="bottomLeft" activeCell="A2" sqref="A2"/>
      <selection pane="bottomRight" activeCell="A44" sqref="A44"/>
    </sheetView>
  </sheetViews>
  <sheetFormatPr defaultRowHeight="14.5"/>
  <sheetData>
    <row r="1" spans="1:36" s="1" customFormat="1" ht="29">
      <c r="A1" s="1" t="s">
        <v>0</v>
      </c>
      <c r="B1" s="1" t="s">
        <v>5</v>
      </c>
      <c r="C1" s="2" t="s">
        <v>6</v>
      </c>
      <c r="D1" s="1" t="s">
        <v>831</v>
      </c>
      <c r="E1" s="1" t="s">
        <v>832</v>
      </c>
      <c r="F1" s="1" t="s">
        <v>833</v>
      </c>
      <c r="G1" s="1" t="s">
        <v>3</v>
      </c>
      <c r="H1" s="1" t="s">
        <v>834</v>
      </c>
      <c r="I1" s="1" t="s">
        <v>835</v>
      </c>
      <c r="J1" s="1" t="s">
        <v>836</v>
      </c>
      <c r="K1" s="1" t="s">
        <v>837</v>
      </c>
      <c r="L1" s="1" t="s">
        <v>796</v>
      </c>
      <c r="M1" s="1" t="s">
        <v>838</v>
      </c>
      <c r="N1" s="5" t="s">
        <v>839</v>
      </c>
      <c r="O1" s="1" t="s">
        <v>797</v>
      </c>
      <c r="P1" s="1" t="s">
        <v>840</v>
      </c>
      <c r="Q1" s="1" t="s">
        <v>841</v>
      </c>
      <c r="R1" s="1" t="s">
        <v>961</v>
      </c>
      <c r="S1" s="1" t="s">
        <v>962</v>
      </c>
      <c r="T1" s="1" t="s">
        <v>975</v>
      </c>
      <c r="U1" s="1" t="s">
        <v>976</v>
      </c>
      <c r="V1" s="1" t="s">
        <v>977</v>
      </c>
      <c r="W1" s="1" t="s">
        <v>844</v>
      </c>
      <c r="X1" s="1" t="s">
        <v>845</v>
      </c>
      <c r="Y1" s="1" t="s">
        <v>846</v>
      </c>
      <c r="Z1" s="1" t="s">
        <v>798</v>
      </c>
      <c r="AA1" s="1" t="s">
        <v>799</v>
      </c>
      <c r="AB1" s="1" t="s">
        <v>800</v>
      </c>
      <c r="AC1" s="1" t="s">
        <v>842</v>
      </c>
      <c r="AD1" s="1" t="s">
        <v>847</v>
      </c>
      <c r="AE1" s="1" t="s">
        <v>801</v>
      </c>
      <c r="AF1" s="1" t="s">
        <v>843</v>
      </c>
      <c r="AG1" s="1" t="s">
        <v>859</v>
      </c>
      <c r="AH1" s="1" t="s">
        <v>857</v>
      </c>
      <c r="AI1" s="1" t="s">
        <v>858</v>
      </c>
    </row>
    <row r="2" spans="1:36">
      <c r="A2" t="s">
        <v>45</v>
      </c>
      <c r="B2" s="3" t="s">
        <v>46</v>
      </c>
      <c r="C2" s="3" t="s">
        <v>47</v>
      </c>
      <c r="F2" t="s">
        <v>19</v>
      </c>
      <c r="G2" s="6" t="s">
        <v>849</v>
      </c>
      <c r="H2" s="6"/>
      <c r="I2" s="6"/>
      <c r="J2" s="6"/>
      <c r="K2" s="6"/>
      <c r="L2" s="6"/>
      <c r="M2" s="6"/>
      <c r="N2" s="7"/>
      <c r="O2" s="6"/>
      <c r="P2" s="6"/>
      <c r="Q2" s="6">
        <v>-2</v>
      </c>
      <c r="R2" s="6">
        <v>2</v>
      </c>
      <c r="S2" s="6">
        <v>0</v>
      </c>
      <c r="T2" s="9">
        <f>IF(ISNUMBER(R2), (R2/$E$47)*10000, "")</f>
        <v>0.98338086340839814</v>
      </c>
      <c r="U2" s="9">
        <f>IF(ISNUMBER(S2), (S2/$E$47)*10000, "")</f>
        <v>0</v>
      </c>
      <c r="V2" s="9">
        <f>IF(ISNUMBER(Q2), U2-T2, "")</f>
        <v>-0.98338086340839814</v>
      </c>
      <c r="W2" s="6"/>
      <c r="X2" s="6"/>
      <c r="Y2" s="6"/>
      <c r="Z2" s="6"/>
      <c r="AA2" s="6"/>
      <c r="AB2" s="6"/>
      <c r="AC2" s="6"/>
      <c r="AD2" s="6"/>
      <c r="AE2" s="6"/>
      <c r="AF2" s="6"/>
      <c r="AG2" t="s">
        <v>20</v>
      </c>
      <c r="AH2" t="s">
        <v>20</v>
      </c>
      <c r="AJ2">
        <v>0</v>
      </c>
    </row>
    <row r="3" spans="1:36" ht="29">
      <c r="A3" t="s">
        <v>61</v>
      </c>
      <c r="B3" s="3" t="s">
        <v>343</v>
      </c>
      <c r="C3" s="3" t="s">
        <v>342</v>
      </c>
      <c r="G3" s="6" t="s">
        <v>849</v>
      </c>
      <c r="H3" s="6"/>
      <c r="I3" s="6"/>
      <c r="J3" s="6"/>
      <c r="K3" s="6"/>
      <c r="L3" s="6"/>
      <c r="M3" s="6"/>
      <c r="N3" s="7"/>
      <c r="O3" s="6"/>
      <c r="P3" s="6"/>
      <c r="Q3" s="6">
        <v>121</v>
      </c>
      <c r="R3" s="6">
        <v>8</v>
      </c>
      <c r="S3" s="6">
        <v>129</v>
      </c>
      <c r="T3" s="9">
        <f t="shared" ref="T3:T44" si="0">IF(ISNUMBER(R3), (R3/$E$47)*10000, "")</f>
        <v>3.9335234536335926</v>
      </c>
      <c r="U3" s="9">
        <f t="shared" ref="U3:U44" si="1">IF(ISNUMBER(S3), (S3/$E$47)*10000, "")</f>
        <v>63.428065689841674</v>
      </c>
      <c r="V3" s="9">
        <f t="shared" ref="V3:V44" si="2">IF(ISNUMBER(Q3), U3-T3, "")</f>
        <v>59.494542236208083</v>
      </c>
      <c r="W3" s="6"/>
      <c r="X3" s="6"/>
      <c r="Y3" s="6"/>
      <c r="Z3" s="6"/>
      <c r="AA3" s="6"/>
      <c r="AB3" s="6"/>
      <c r="AC3" s="6"/>
      <c r="AD3" s="6"/>
      <c r="AE3" s="6"/>
      <c r="AF3" s="6"/>
      <c r="AG3" t="s">
        <v>19</v>
      </c>
      <c r="AH3" t="s">
        <v>20</v>
      </c>
      <c r="AJ3">
        <v>1</v>
      </c>
    </row>
    <row r="4" spans="1:36" ht="58">
      <c r="A4" t="s">
        <v>62</v>
      </c>
      <c r="B4" s="3" t="s">
        <v>344</v>
      </c>
      <c r="C4" s="3" t="s">
        <v>345</v>
      </c>
      <c r="F4" t="s">
        <v>22</v>
      </c>
      <c r="G4" s="6" t="s">
        <v>849</v>
      </c>
      <c r="H4" s="6"/>
      <c r="I4" s="6"/>
      <c r="J4" s="6"/>
      <c r="K4" s="6"/>
      <c r="L4" s="6"/>
      <c r="M4" s="6"/>
      <c r="N4" s="7"/>
      <c r="O4" s="6"/>
      <c r="P4" s="6"/>
      <c r="Q4" s="6">
        <v>680</v>
      </c>
      <c r="R4" s="6">
        <v>150</v>
      </c>
      <c r="S4" s="6">
        <v>830</v>
      </c>
      <c r="T4" s="9">
        <f t="shared" si="0"/>
        <v>73.753564755629853</v>
      </c>
      <c r="U4" s="9">
        <f t="shared" si="1"/>
        <v>408.10305831448517</v>
      </c>
      <c r="V4" s="9">
        <f t="shared" si="2"/>
        <v>334.34949355885533</v>
      </c>
      <c r="W4" s="6"/>
      <c r="X4" s="6"/>
      <c r="Y4" s="6"/>
      <c r="Z4" s="6"/>
      <c r="AA4" s="6"/>
      <c r="AB4" s="6"/>
      <c r="AC4" s="6"/>
      <c r="AD4" s="6"/>
      <c r="AE4" s="6"/>
      <c r="AF4" s="6"/>
      <c r="AG4" t="s">
        <v>19</v>
      </c>
      <c r="AH4" t="s">
        <v>20</v>
      </c>
      <c r="AJ4">
        <v>1</v>
      </c>
    </row>
    <row r="5" spans="1:36" ht="58">
      <c r="A5" t="s">
        <v>67</v>
      </c>
      <c r="B5" s="3" t="s">
        <v>357</v>
      </c>
      <c r="C5" s="3" t="s">
        <v>358</v>
      </c>
      <c r="G5" s="6" t="s">
        <v>849</v>
      </c>
      <c r="H5" s="6"/>
      <c r="I5" s="6"/>
      <c r="J5" s="6"/>
      <c r="K5" s="6"/>
      <c r="L5" s="6"/>
      <c r="M5" s="6"/>
      <c r="N5" s="7"/>
      <c r="O5" s="6"/>
      <c r="P5" s="6"/>
      <c r="Q5" s="6">
        <v>1530</v>
      </c>
      <c r="R5" s="6">
        <v>171</v>
      </c>
      <c r="S5" s="6">
        <v>1701</v>
      </c>
      <c r="T5" s="9">
        <f t="shared" si="0"/>
        <v>84.079063821418046</v>
      </c>
      <c r="U5" s="9">
        <f t="shared" si="1"/>
        <v>836.36542432884255</v>
      </c>
      <c r="V5" s="9">
        <f t="shared" si="2"/>
        <v>752.28636050742455</v>
      </c>
      <c r="W5" s="6"/>
      <c r="X5" s="6"/>
      <c r="Y5" s="6"/>
      <c r="Z5" s="6"/>
      <c r="AA5" s="6"/>
      <c r="AB5" s="6"/>
      <c r="AC5" s="6"/>
      <c r="AD5" s="6"/>
      <c r="AE5" s="6"/>
      <c r="AF5" s="6"/>
      <c r="AG5" t="s">
        <v>19</v>
      </c>
      <c r="AH5" t="s">
        <v>19</v>
      </c>
      <c r="AJ5">
        <v>1</v>
      </c>
    </row>
    <row r="6" spans="1:36" ht="72.5">
      <c r="A6" t="s">
        <v>67</v>
      </c>
      <c r="B6" s="3" t="s">
        <v>360</v>
      </c>
      <c r="C6" s="3" t="s">
        <v>361</v>
      </c>
      <c r="G6" s="6" t="s">
        <v>849</v>
      </c>
      <c r="H6" s="6"/>
      <c r="I6" s="6"/>
      <c r="J6" s="6"/>
      <c r="K6" s="6"/>
      <c r="L6" s="6"/>
      <c r="M6" s="6"/>
      <c r="N6" s="7"/>
      <c r="O6" s="6"/>
      <c r="P6" s="6"/>
      <c r="Q6" s="6">
        <v>447</v>
      </c>
      <c r="R6" s="6">
        <v>166</v>
      </c>
      <c r="S6" s="6">
        <v>613</v>
      </c>
      <c r="T6" s="9">
        <f t="shared" si="0"/>
        <v>81.620611662897048</v>
      </c>
      <c r="U6" s="9">
        <f t="shared" si="1"/>
        <v>301.40623463467404</v>
      </c>
      <c r="V6" s="9">
        <f t="shared" si="2"/>
        <v>219.785622971777</v>
      </c>
      <c r="W6" s="6"/>
      <c r="X6" s="6"/>
      <c r="Y6" s="6"/>
      <c r="Z6" s="6"/>
      <c r="AA6" s="6"/>
      <c r="AB6" s="6"/>
      <c r="AC6" s="6"/>
      <c r="AD6" s="6"/>
      <c r="AE6" s="6"/>
      <c r="AF6" s="6"/>
      <c r="AG6" t="s">
        <v>19</v>
      </c>
      <c r="AH6" t="s">
        <v>19</v>
      </c>
      <c r="AJ6">
        <v>1</v>
      </c>
    </row>
    <row r="7" spans="1:36" ht="159.5">
      <c r="A7" t="s">
        <v>87</v>
      </c>
      <c r="B7" s="3" t="s">
        <v>392</v>
      </c>
      <c r="C7" s="3" t="s">
        <v>393</v>
      </c>
      <c r="G7" s="6" t="s">
        <v>849</v>
      </c>
      <c r="H7" s="6"/>
      <c r="I7" s="6"/>
      <c r="J7" s="6"/>
      <c r="K7" s="6"/>
      <c r="L7" s="6"/>
      <c r="M7" s="6"/>
      <c r="N7" s="7"/>
      <c r="O7" s="6"/>
      <c r="P7" s="6"/>
      <c r="Q7" s="6">
        <v>5</v>
      </c>
      <c r="R7" s="6">
        <v>10</v>
      </c>
      <c r="S7" s="6">
        <v>15</v>
      </c>
      <c r="T7" s="9">
        <f t="shared" si="0"/>
        <v>4.9169043170419897</v>
      </c>
      <c r="U7" s="9">
        <f t="shared" si="1"/>
        <v>7.3753564755629855</v>
      </c>
      <c r="V7" s="9">
        <f t="shared" si="2"/>
        <v>2.4584521585209957</v>
      </c>
      <c r="W7" s="6"/>
      <c r="X7" s="6"/>
      <c r="Y7" s="6"/>
      <c r="Z7" s="6"/>
      <c r="AA7" s="6"/>
      <c r="AB7" s="6"/>
      <c r="AC7" s="6"/>
      <c r="AD7" s="6"/>
      <c r="AE7" s="6"/>
      <c r="AF7" s="6"/>
      <c r="AG7" t="s">
        <v>19</v>
      </c>
      <c r="AH7" t="s">
        <v>19</v>
      </c>
      <c r="AJ7">
        <v>1</v>
      </c>
    </row>
    <row r="8" spans="1:36" ht="29">
      <c r="A8" t="s">
        <v>89</v>
      </c>
      <c r="B8" s="3" t="s">
        <v>313</v>
      </c>
      <c r="C8" s="3" t="s">
        <v>91</v>
      </c>
      <c r="F8" t="s">
        <v>19</v>
      </c>
      <c r="G8" s="6" t="s">
        <v>849</v>
      </c>
      <c r="H8" s="6"/>
      <c r="I8" s="6"/>
      <c r="J8" s="6"/>
      <c r="K8" s="6"/>
      <c r="L8" s="6"/>
      <c r="M8" s="6"/>
      <c r="N8" s="7"/>
      <c r="O8" s="6"/>
      <c r="P8" s="6"/>
      <c r="Q8" s="6">
        <v>-1</v>
      </c>
      <c r="R8" s="6">
        <v>1</v>
      </c>
      <c r="S8" s="6">
        <v>0</v>
      </c>
      <c r="T8" s="9">
        <f t="shared" si="0"/>
        <v>0.49169043170419907</v>
      </c>
      <c r="U8" s="9">
        <f t="shared" si="1"/>
        <v>0</v>
      </c>
      <c r="V8" s="9">
        <f t="shared" si="2"/>
        <v>-0.49169043170419907</v>
      </c>
      <c r="W8" s="6"/>
      <c r="X8" s="6"/>
      <c r="Y8" s="6"/>
      <c r="Z8" s="6"/>
      <c r="AA8" s="6"/>
      <c r="AB8" s="6"/>
      <c r="AC8" s="6"/>
      <c r="AD8" s="6"/>
      <c r="AE8" s="6"/>
      <c r="AF8" s="6"/>
      <c r="AG8" t="s">
        <v>20</v>
      </c>
      <c r="AH8" t="s">
        <v>20</v>
      </c>
      <c r="AJ8">
        <v>0</v>
      </c>
    </row>
    <row r="9" spans="1:36">
      <c r="A9" t="s">
        <v>104</v>
      </c>
      <c r="B9" s="3" t="s">
        <v>105</v>
      </c>
      <c r="C9" s="3" t="s">
        <v>106</v>
      </c>
      <c r="G9" s="6" t="s">
        <v>849</v>
      </c>
      <c r="H9" s="6"/>
      <c r="I9" s="6"/>
      <c r="J9" s="6"/>
      <c r="K9" s="6"/>
      <c r="L9" s="6"/>
      <c r="M9" s="6"/>
      <c r="N9" s="7"/>
      <c r="O9" s="6"/>
      <c r="P9" s="6"/>
      <c r="Q9" s="6">
        <v>3</v>
      </c>
      <c r="R9" s="6">
        <v>2</v>
      </c>
      <c r="S9" s="6">
        <v>5</v>
      </c>
      <c r="T9" s="9">
        <f t="shared" si="0"/>
        <v>0.98338086340839814</v>
      </c>
      <c r="U9" s="9">
        <f t="shared" si="1"/>
        <v>2.4584521585209949</v>
      </c>
      <c r="V9" s="9">
        <f t="shared" si="2"/>
        <v>1.4750712951125968</v>
      </c>
      <c r="W9" s="6"/>
      <c r="X9" s="6"/>
      <c r="Y9" s="6"/>
      <c r="Z9" s="6"/>
      <c r="AA9" s="6"/>
      <c r="AB9" s="6"/>
      <c r="AC9" s="6"/>
      <c r="AD9" s="6"/>
      <c r="AE9" s="6"/>
      <c r="AF9" s="6"/>
      <c r="AG9" t="s">
        <v>19</v>
      </c>
      <c r="AH9" t="s">
        <v>19</v>
      </c>
      <c r="AJ9">
        <v>1</v>
      </c>
    </row>
    <row r="10" spans="1:36">
      <c r="A10" t="s">
        <v>107</v>
      </c>
      <c r="B10" s="3" t="s">
        <v>108</v>
      </c>
      <c r="C10" s="3" t="s">
        <v>109</v>
      </c>
      <c r="G10" s="6" t="s">
        <v>849</v>
      </c>
      <c r="H10" s="6"/>
      <c r="I10" s="6"/>
      <c r="J10" s="6"/>
      <c r="K10" s="6"/>
      <c r="L10" s="6"/>
      <c r="M10" s="6"/>
      <c r="N10" s="7"/>
      <c r="O10" s="6"/>
      <c r="P10" s="6"/>
      <c r="Q10" s="6">
        <v>3</v>
      </c>
      <c r="R10" s="6">
        <v>4</v>
      </c>
      <c r="S10" s="6">
        <v>7</v>
      </c>
      <c r="T10" s="9">
        <f t="shared" si="0"/>
        <v>1.9667617268167963</v>
      </c>
      <c r="U10" s="9">
        <f t="shared" si="1"/>
        <v>3.4418330219293933</v>
      </c>
      <c r="V10" s="9">
        <f t="shared" si="2"/>
        <v>1.475071295112597</v>
      </c>
      <c r="W10" s="6"/>
      <c r="X10" s="6"/>
      <c r="Y10" s="6"/>
      <c r="Z10" s="6"/>
      <c r="AA10" s="6"/>
      <c r="AB10" s="6"/>
      <c r="AC10" s="6"/>
      <c r="AD10" s="6"/>
      <c r="AE10" s="6"/>
      <c r="AF10" s="6"/>
      <c r="AG10" t="s">
        <v>19</v>
      </c>
      <c r="AH10" t="s">
        <v>19</v>
      </c>
      <c r="AJ10">
        <v>1</v>
      </c>
    </row>
    <row r="11" spans="1:36" ht="29">
      <c r="A11" t="s">
        <v>113</v>
      </c>
      <c r="B11" s="3" t="s">
        <v>441</v>
      </c>
      <c r="C11" s="3" t="s">
        <v>442</v>
      </c>
      <c r="G11" s="6" t="s">
        <v>849</v>
      </c>
      <c r="H11" s="6"/>
      <c r="I11" s="6"/>
      <c r="J11" s="6"/>
      <c r="K11" s="6"/>
      <c r="L11" s="6"/>
      <c r="M11" s="6"/>
      <c r="N11" s="7"/>
      <c r="O11" s="6"/>
      <c r="P11" s="6"/>
      <c r="Q11" s="6">
        <v>-44</v>
      </c>
      <c r="R11" s="6">
        <v>210</v>
      </c>
      <c r="S11" s="6">
        <v>166</v>
      </c>
      <c r="T11" s="9">
        <f t="shared" si="0"/>
        <v>103.25499065788181</v>
      </c>
      <c r="U11" s="9">
        <f t="shared" si="1"/>
        <v>81.620611662897048</v>
      </c>
      <c r="V11" s="9">
        <f t="shared" si="2"/>
        <v>-21.634378994984758</v>
      </c>
      <c r="W11" s="6"/>
      <c r="X11" s="6"/>
      <c r="Y11" s="6"/>
      <c r="Z11" s="6"/>
      <c r="AA11" s="6"/>
      <c r="AB11" s="6"/>
      <c r="AC11" s="6"/>
      <c r="AD11" s="6"/>
      <c r="AE11" s="6"/>
      <c r="AF11" s="6"/>
      <c r="AG11" t="s">
        <v>19</v>
      </c>
      <c r="AH11" t="s">
        <v>19</v>
      </c>
      <c r="AJ11">
        <v>1</v>
      </c>
    </row>
    <row r="12" spans="1:36">
      <c r="A12" t="s">
        <v>117</v>
      </c>
      <c r="B12" s="3" t="s">
        <v>118</v>
      </c>
      <c r="C12" s="3" t="s">
        <v>119</v>
      </c>
      <c r="G12" s="6" t="s">
        <v>849</v>
      </c>
      <c r="H12" s="6"/>
      <c r="I12" s="6"/>
      <c r="J12" s="6"/>
      <c r="K12" s="6"/>
      <c r="L12" s="6"/>
      <c r="M12" s="6"/>
      <c r="N12" s="7"/>
      <c r="O12" s="6"/>
      <c r="P12" s="6"/>
      <c r="Q12" s="6">
        <v>-1</v>
      </c>
      <c r="R12" s="6">
        <v>1</v>
      </c>
      <c r="S12" s="6">
        <v>0</v>
      </c>
      <c r="T12" s="9">
        <f t="shared" si="0"/>
        <v>0.49169043170419907</v>
      </c>
      <c r="U12" s="9">
        <f t="shared" si="1"/>
        <v>0</v>
      </c>
      <c r="V12" s="9">
        <f t="shared" si="2"/>
        <v>-0.49169043170419907</v>
      </c>
      <c r="W12" s="6"/>
      <c r="X12" s="6"/>
      <c r="Y12" s="6"/>
      <c r="Z12" s="6"/>
      <c r="AA12" s="6"/>
      <c r="AB12" s="6"/>
      <c r="AC12" s="6"/>
      <c r="AD12" s="6"/>
      <c r="AE12" s="6"/>
      <c r="AF12" s="6"/>
      <c r="AG12" t="s">
        <v>19</v>
      </c>
      <c r="AH12" t="s">
        <v>19</v>
      </c>
      <c r="AJ12">
        <v>1</v>
      </c>
    </row>
    <row r="13" spans="1:36" ht="29">
      <c r="A13" t="s">
        <v>120</v>
      </c>
      <c r="B13" s="3" t="s">
        <v>449</v>
      </c>
      <c r="C13" s="3" t="s">
        <v>450</v>
      </c>
      <c r="G13" s="6" t="s">
        <v>849</v>
      </c>
      <c r="H13" s="6"/>
      <c r="I13" s="6"/>
      <c r="J13" s="6"/>
      <c r="K13" s="6"/>
      <c r="L13" s="6"/>
      <c r="M13" s="6"/>
      <c r="N13" s="7"/>
      <c r="O13" s="6"/>
      <c r="P13" s="6"/>
      <c r="Q13" s="6">
        <v>3</v>
      </c>
      <c r="R13" s="6">
        <v>3</v>
      </c>
      <c r="S13" s="6">
        <v>6</v>
      </c>
      <c r="T13" s="9">
        <f t="shared" si="0"/>
        <v>1.4750712951125973</v>
      </c>
      <c r="U13" s="9">
        <f t="shared" si="1"/>
        <v>2.9501425902251945</v>
      </c>
      <c r="V13" s="9">
        <f t="shared" si="2"/>
        <v>1.4750712951125973</v>
      </c>
      <c r="W13" s="6"/>
      <c r="X13" s="6"/>
      <c r="Y13" s="6"/>
      <c r="Z13" s="6"/>
      <c r="AA13" s="6"/>
      <c r="AB13" s="6"/>
      <c r="AC13" s="6"/>
      <c r="AD13" s="6"/>
      <c r="AE13" s="6"/>
      <c r="AF13" s="6"/>
      <c r="AG13" t="s">
        <v>19</v>
      </c>
      <c r="AH13" t="s">
        <v>19</v>
      </c>
      <c r="AJ13">
        <v>1</v>
      </c>
    </row>
    <row r="14" spans="1:36" ht="43.5">
      <c r="A14" t="s">
        <v>127</v>
      </c>
      <c r="B14" s="3" t="s">
        <v>470</v>
      </c>
      <c r="C14" s="3" t="s">
        <v>471</v>
      </c>
      <c r="G14" s="6" t="s">
        <v>849</v>
      </c>
      <c r="H14" s="6"/>
      <c r="I14" s="6"/>
      <c r="J14" s="6"/>
      <c r="K14" s="6"/>
      <c r="L14" s="6"/>
      <c r="M14" s="6"/>
      <c r="N14" s="7"/>
      <c r="O14" s="6"/>
      <c r="P14" s="6"/>
      <c r="Q14" s="6">
        <v>108</v>
      </c>
      <c r="R14" s="6">
        <v>24</v>
      </c>
      <c r="S14" s="6">
        <v>132</v>
      </c>
      <c r="T14" s="9">
        <f t="shared" si="0"/>
        <v>11.800570360900778</v>
      </c>
      <c r="U14" s="9">
        <f t="shared" si="1"/>
        <v>64.903136984954273</v>
      </c>
      <c r="V14" s="9">
        <f t="shared" si="2"/>
        <v>53.102566624053495</v>
      </c>
      <c r="W14" s="6"/>
      <c r="X14" s="6"/>
      <c r="Y14" s="6"/>
      <c r="Z14" s="6"/>
      <c r="AA14" s="6"/>
      <c r="AB14" s="6"/>
      <c r="AC14" s="6"/>
      <c r="AD14" s="6"/>
      <c r="AE14" s="6"/>
      <c r="AF14" s="6"/>
      <c r="AG14" t="s">
        <v>19</v>
      </c>
      <c r="AH14" t="s">
        <v>19</v>
      </c>
      <c r="AJ14">
        <v>1</v>
      </c>
    </row>
    <row r="15" spans="1:36" ht="43.5">
      <c r="A15" t="s">
        <v>131</v>
      </c>
      <c r="B15" s="3" t="s">
        <v>478</v>
      </c>
      <c r="C15" s="3" t="s">
        <v>479</v>
      </c>
      <c r="F15" t="s">
        <v>19</v>
      </c>
      <c r="G15" s="6" t="s">
        <v>849</v>
      </c>
      <c r="H15" s="6"/>
      <c r="I15" s="6"/>
      <c r="J15" s="6"/>
      <c r="K15" s="6"/>
      <c r="L15" s="6"/>
      <c r="M15" s="6"/>
      <c r="N15" s="7"/>
      <c r="O15" s="6"/>
      <c r="P15" s="6"/>
      <c r="Q15" s="6">
        <v>7</v>
      </c>
      <c r="R15" s="6">
        <v>1</v>
      </c>
      <c r="S15" s="6">
        <v>8</v>
      </c>
      <c r="T15" s="9">
        <f t="shared" si="0"/>
        <v>0.49169043170419907</v>
      </c>
      <c r="U15" s="9">
        <f t="shared" si="1"/>
        <v>3.9335234536335926</v>
      </c>
      <c r="V15" s="9">
        <f t="shared" si="2"/>
        <v>3.4418330219293933</v>
      </c>
      <c r="W15" s="6"/>
      <c r="X15" s="6"/>
      <c r="Y15" s="6"/>
      <c r="Z15" s="6"/>
      <c r="AA15" s="6"/>
      <c r="AB15" s="6"/>
      <c r="AC15" s="6"/>
      <c r="AD15" s="6"/>
      <c r="AE15" s="6"/>
      <c r="AF15" s="6"/>
      <c r="AG15" t="s">
        <v>20</v>
      </c>
      <c r="AH15" t="s">
        <v>20</v>
      </c>
      <c r="AJ15">
        <v>0</v>
      </c>
    </row>
    <row r="16" spans="1:36" ht="29">
      <c r="A16" t="s">
        <v>155</v>
      </c>
      <c r="B16" s="3" t="s">
        <v>156</v>
      </c>
      <c r="C16" s="3" t="s">
        <v>157</v>
      </c>
      <c r="F16" t="s">
        <v>19</v>
      </c>
      <c r="G16" s="6" t="s">
        <v>849</v>
      </c>
      <c r="H16" s="6"/>
      <c r="I16" s="6"/>
      <c r="J16" s="6"/>
      <c r="K16" s="6"/>
      <c r="L16" s="6"/>
      <c r="M16" s="6"/>
      <c r="N16" s="7"/>
      <c r="O16" s="6"/>
      <c r="P16" s="6"/>
      <c r="Q16" s="6">
        <v>1</v>
      </c>
      <c r="R16" s="6">
        <v>1</v>
      </c>
      <c r="S16" s="6">
        <v>2</v>
      </c>
      <c r="T16" s="9">
        <f t="shared" si="0"/>
        <v>0.49169043170419907</v>
      </c>
      <c r="U16" s="9">
        <f t="shared" si="1"/>
        <v>0.98338086340839814</v>
      </c>
      <c r="V16" s="9">
        <f t="shared" si="2"/>
        <v>0.49169043170419907</v>
      </c>
      <c r="W16" s="6"/>
      <c r="X16" s="6"/>
      <c r="Y16" s="6"/>
      <c r="Z16" s="6"/>
      <c r="AA16" s="6"/>
      <c r="AB16" s="6"/>
      <c r="AC16" s="6"/>
      <c r="AD16" s="6"/>
      <c r="AE16" s="6"/>
      <c r="AF16" s="6"/>
      <c r="AG16" t="s">
        <v>19</v>
      </c>
      <c r="AH16" t="s">
        <v>20</v>
      </c>
      <c r="AJ16">
        <v>1</v>
      </c>
    </row>
    <row r="17" spans="1:36">
      <c r="A17" t="s">
        <v>165</v>
      </c>
      <c r="B17" s="3" t="s">
        <v>522</v>
      </c>
      <c r="C17" s="3" t="s">
        <v>521</v>
      </c>
      <c r="G17" s="6" t="s">
        <v>849</v>
      </c>
      <c r="H17" s="6"/>
      <c r="I17" s="6"/>
      <c r="J17" s="6"/>
      <c r="K17" s="6"/>
      <c r="L17" s="6"/>
      <c r="M17" s="6"/>
      <c r="N17" s="7"/>
      <c r="O17" s="6"/>
      <c r="P17" s="6"/>
      <c r="Q17" s="6">
        <v>26</v>
      </c>
      <c r="R17" s="6">
        <v>5</v>
      </c>
      <c r="S17" s="6">
        <v>31</v>
      </c>
      <c r="T17" s="9">
        <f t="shared" si="0"/>
        <v>2.4584521585209949</v>
      </c>
      <c r="U17" s="9">
        <f t="shared" si="1"/>
        <v>15.242403382830171</v>
      </c>
      <c r="V17" s="9">
        <f t="shared" si="2"/>
        <v>12.783951224309176</v>
      </c>
      <c r="W17" s="6"/>
      <c r="X17" s="6"/>
      <c r="Y17" s="6"/>
      <c r="Z17" s="6"/>
      <c r="AA17" s="6"/>
      <c r="AB17" s="6"/>
      <c r="AC17" s="6"/>
      <c r="AD17" s="6"/>
      <c r="AE17" s="6"/>
      <c r="AF17" s="6"/>
      <c r="AG17" t="s">
        <v>19</v>
      </c>
      <c r="AH17" t="s">
        <v>19</v>
      </c>
      <c r="AJ17">
        <v>1</v>
      </c>
    </row>
    <row r="18" spans="1:36" ht="29">
      <c r="A18" t="s">
        <v>171</v>
      </c>
      <c r="B18" s="3" t="s">
        <v>543</v>
      </c>
      <c r="C18" s="3" t="s">
        <v>544</v>
      </c>
      <c r="F18" t="s">
        <v>19</v>
      </c>
      <c r="G18" s="6" t="s">
        <v>849</v>
      </c>
      <c r="H18" s="6"/>
      <c r="I18" s="6"/>
      <c r="J18" s="6"/>
      <c r="K18" s="6"/>
      <c r="L18" s="6"/>
      <c r="M18" s="6"/>
      <c r="N18" s="7"/>
      <c r="O18" s="6"/>
      <c r="P18" s="6"/>
      <c r="Q18" s="6">
        <v>-1</v>
      </c>
      <c r="R18" s="6">
        <v>1</v>
      </c>
      <c r="S18" s="6">
        <v>0</v>
      </c>
      <c r="T18" s="9">
        <f t="shared" si="0"/>
        <v>0.49169043170419907</v>
      </c>
      <c r="U18" s="9">
        <f t="shared" si="1"/>
        <v>0</v>
      </c>
      <c r="V18" s="9">
        <f t="shared" si="2"/>
        <v>-0.49169043170419907</v>
      </c>
      <c r="W18" s="6"/>
      <c r="X18" s="6"/>
      <c r="Y18" s="6"/>
      <c r="Z18" s="6"/>
      <c r="AA18" s="6"/>
      <c r="AB18" s="6"/>
      <c r="AC18" s="6"/>
      <c r="AD18" s="6"/>
      <c r="AE18" s="6"/>
      <c r="AF18" s="6"/>
      <c r="AG18" t="s">
        <v>20</v>
      </c>
      <c r="AH18" t="s">
        <v>20</v>
      </c>
      <c r="AJ18">
        <v>0</v>
      </c>
    </row>
    <row r="19" spans="1:36" ht="72.5">
      <c r="A19" t="s">
        <v>175</v>
      </c>
      <c r="B19" s="3" t="s">
        <v>559</v>
      </c>
      <c r="C19" s="3" t="s">
        <v>560</v>
      </c>
      <c r="G19" s="6" t="s">
        <v>849</v>
      </c>
      <c r="H19" s="6"/>
      <c r="I19" s="6"/>
      <c r="J19" s="6"/>
      <c r="K19" s="6"/>
      <c r="L19" s="6"/>
      <c r="M19" s="6"/>
      <c r="N19" s="7"/>
      <c r="O19" s="6"/>
      <c r="P19" s="6"/>
      <c r="Q19" s="6">
        <v>2</v>
      </c>
      <c r="R19" s="6">
        <v>1</v>
      </c>
      <c r="S19" s="6">
        <v>3</v>
      </c>
      <c r="T19" s="9">
        <f t="shared" si="0"/>
        <v>0.49169043170419907</v>
      </c>
      <c r="U19" s="9">
        <f t="shared" si="1"/>
        <v>1.4750712951125973</v>
      </c>
      <c r="V19" s="9">
        <f t="shared" si="2"/>
        <v>0.98338086340839825</v>
      </c>
      <c r="W19" s="6"/>
      <c r="X19" s="6"/>
      <c r="Y19" s="6"/>
      <c r="Z19" s="6"/>
      <c r="AA19" s="6"/>
      <c r="AB19" s="6"/>
      <c r="AC19" s="6"/>
      <c r="AD19" s="6"/>
      <c r="AE19" s="6"/>
      <c r="AF19" s="6"/>
      <c r="AG19" t="s">
        <v>19</v>
      </c>
      <c r="AH19" t="s">
        <v>19</v>
      </c>
      <c r="AJ19">
        <v>1</v>
      </c>
    </row>
    <row r="20" spans="1:36" ht="43.5">
      <c r="A20" t="s">
        <v>179</v>
      </c>
      <c r="B20" s="3" t="s">
        <v>569</v>
      </c>
      <c r="C20" s="3" t="s">
        <v>570</v>
      </c>
      <c r="G20" s="6" t="s">
        <v>849</v>
      </c>
      <c r="H20" s="6"/>
      <c r="I20" s="6"/>
      <c r="J20" s="6"/>
      <c r="K20" s="6"/>
      <c r="L20" s="6"/>
      <c r="M20" s="6"/>
      <c r="N20" s="7"/>
      <c r="O20" s="6"/>
      <c r="P20" s="6"/>
      <c r="Q20" s="6">
        <v>61</v>
      </c>
      <c r="R20" s="6">
        <v>37</v>
      </c>
      <c r="S20" s="6">
        <v>98</v>
      </c>
      <c r="T20" s="9">
        <f t="shared" si="0"/>
        <v>18.192545973055363</v>
      </c>
      <c r="U20" s="9">
        <f t="shared" si="1"/>
        <v>48.185662307011505</v>
      </c>
      <c r="V20" s="9">
        <f t="shared" si="2"/>
        <v>29.993116333956142</v>
      </c>
      <c r="W20" s="6"/>
      <c r="X20" s="6"/>
      <c r="Y20" s="6"/>
      <c r="Z20" s="6"/>
      <c r="AA20" s="6"/>
      <c r="AB20" s="6"/>
      <c r="AC20" s="6"/>
      <c r="AD20" s="6"/>
      <c r="AE20" s="6"/>
      <c r="AF20" s="6"/>
      <c r="AG20" t="s">
        <v>19</v>
      </c>
      <c r="AH20" t="s">
        <v>19</v>
      </c>
      <c r="AJ20">
        <v>1</v>
      </c>
    </row>
    <row r="21" spans="1:36" ht="29">
      <c r="A21" t="s">
        <v>180</v>
      </c>
      <c r="B21" s="3" t="s">
        <v>576</v>
      </c>
      <c r="C21" s="3" t="s">
        <v>575</v>
      </c>
      <c r="G21" s="6" t="s">
        <v>849</v>
      </c>
      <c r="H21" s="6"/>
      <c r="I21" s="6"/>
      <c r="J21" s="6"/>
      <c r="K21" s="6"/>
      <c r="L21" s="6"/>
      <c r="M21" s="6"/>
      <c r="N21" s="7"/>
      <c r="O21" s="6"/>
      <c r="P21" s="6"/>
      <c r="Q21" s="6">
        <v>16</v>
      </c>
      <c r="R21" s="6">
        <v>25</v>
      </c>
      <c r="S21" s="6">
        <v>41</v>
      </c>
      <c r="T21" s="9">
        <f t="shared" si="0"/>
        <v>12.292260792604976</v>
      </c>
      <c r="U21" s="9">
        <f t="shared" si="1"/>
        <v>20.159307699872159</v>
      </c>
      <c r="V21" s="9">
        <f t="shared" si="2"/>
        <v>7.8670469072671825</v>
      </c>
      <c r="W21" s="6"/>
      <c r="X21" s="6"/>
      <c r="Y21" s="6"/>
      <c r="Z21" s="6"/>
      <c r="AA21" s="6"/>
      <c r="AB21" s="6"/>
      <c r="AC21" s="6"/>
      <c r="AD21" s="6"/>
      <c r="AE21" s="6"/>
      <c r="AF21" s="6"/>
      <c r="AG21" t="s">
        <v>19</v>
      </c>
      <c r="AH21" t="s">
        <v>19</v>
      </c>
      <c r="AJ21">
        <v>1</v>
      </c>
    </row>
    <row r="22" spans="1:36" ht="43.5">
      <c r="A22" t="s">
        <v>180</v>
      </c>
      <c r="B22" s="3" t="s">
        <v>579</v>
      </c>
      <c r="C22" s="3" t="s">
        <v>580</v>
      </c>
      <c r="F22" t="s">
        <v>19</v>
      </c>
      <c r="G22" s="6" t="s">
        <v>849</v>
      </c>
      <c r="H22" s="6"/>
      <c r="I22" s="6"/>
      <c r="J22" s="6"/>
      <c r="K22" s="6"/>
      <c r="L22" s="6"/>
      <c r="M22" s="6"/>
      <c r="N22" s="7"/>
      <c r="O22" s="6"/>
      <c r="P22" s="6"/>
      <c r="Q22" s="6">
        <v>16</v>
      </c>
      <c r="R22" s="6">
        <v>25</v>
      </c>
      <c r="S22" s="6">
        <v>41</v>
      </c>
      <c r="T22" s="9">
        <f t="shared" si="0"/>
        <v>12.292260792604976</v>
      </c>
      <c r="U22" s="9">
        <f t="shared" si="1"/>
        <v>20.159307699872159</v>
      </c>
      <c r="V22" s="9">
        <f t="shared" si="2"/>
        <v>7.8670469072671825</v>
      </c>
      <c r="W22" s="6" t="s">
        <v>848</v>
      </c>
      <c r="X22" s="6"/>
      <c r="Y22" s="6"/>
      <c r="Z22" s="6"/>
      <c r="AA22" s="6"/>
      <c r="AB22" s="6"/>
      <c r="AC22" s="6"/>
      <c r="AD22" s="6"/>
      <c r="AE22" s="6"/>
      <c r="AF22" s="6"/>
      <c r="AG22" t="s">
        <v>20</v>
      </c>
      <c r="AH22" t="s">
        <v>19</v>
      </c>
      <c r="AJ22">
        <v>0</v>
      </c>
    </row>
    <row r="23" spans="1:36" ht="43.5">
      <c r="A23" t="s">
        <v>187</v>
      </c>
      <c r="B23" s="3" t="s">
        <v>592</v>
      </c>
      <c r="C23" s="3" t="s">
        <v>591</v>
      </c>
      <c r="G23" s="6" t="s">
        <v>849</v>
      </c>
      <c r="H23" s="6"/>
      <c r="I23" s="6"/>
      <c r="J23" s="6"/>
      <c r="K23" s="6"/>
      <c r="L23" s="6"/>
      <c r="M23" s="6"/>
      <c r="N23" s="7"/>
      <c r="O23" s="6"/>
      <c r="P23" s="6"/>
      <c r="Q23" s="6">
        <v>-26</v>
      </c>
      <c r="R23" s="6">
        <v>105</v>
      </c>
      <c r="S23" s="6">
        <v>79</v>
      </c>
      <c r="T23" s="9">
        <f t="shared" si="0"/>
        <v>51.627495328940903</v>
      </c>
      <c r="U23" s="9">
        <f t="shared" si="1"/>
        <v>38.843544104631725</v>
      </c>
      <c r="V23" s="9">
        <f t="shared" si="2"/>
        <v>-12.783951224309178</v>
      </c>
      <c r="W23" s="6"/>
      <c r="X23" s="6"/>
      <c r="Y23" s="6"/>
      <c r="Z23" s="6"/>
      <c r="AA23" s="6"/>
      <c r="AB23" s="6"/>
      <c r="AC23" s="6"/>
      <c r="AD23" s="6"/>
      <c r="AE23" s="6"/>
      <c r="AF23" s="6"/>
      <c r="AG23" t="s">
        <v>19</v>
      </c>
      <c r="AH23" t="s">
        <v>19</v>
      </c>
      <c r="AJ23">
        <v>1</v>
      </c>
    </row>
    <row r="24" spans="1:36" ht="145">
      <c r="A24" t="s">
        <v>194</v>
      </c>
      <c r="B24" s="3" t="s">
        <v>599</v>
      </c>
      <c r="C24" s="3" t="s">
        <v>600</v>
      </c>
      <c r="G24" s="6" t="s">
        <v>849</v>
      </c>
      <c r="H24" s="6"/>
      <c r="I24" s="6"/>
      <c r="J24" s="6"/>
      <c r="K24" s="6"/>
      <c r="L24" s="6"/>
      <c r="M24" s="6"/>
      <c r="N24" s="7"/>
      <c r="O24" s="6"/>
      <c r="P24" s="6"/>
      <c r="Q24" s="6">
        <v>-12</v>
      </c>
      <c r="R24" s="6">
        <v>19</v>
      </c>
      <c r="S24" s="6">
        <v>7</v>
      </c>
      <c r="T24" s="9">
        <f t="shared" si="0"/>
        <v>9.3421182023797815</v>
      </c>
      <c r="U24" s="9">
        <f t="shared" si="1"/>
        <v>3.4418330219293933</v>
      </c>
      <c r="V24" s="9">
        <f t="shared" si="2"/>
        <v>-5.9002851804503882</v>
      </c>
      <c r="W24" s="6"/>
      <c r="X24" s="6"/>
      <c r="Y24" s="6"/>
      <c r="Z24" s="6"/>
      <c r="AA24" s="6"/>
      <c r="AB24" s="6"/>
      <c r="AC24" s="6"/>
      <c r="AD24" s="6"/>
      <c r="AE24" s="6"/>
      <c r="AF24" s="6"/>
      <c r="AG24" t="s">
        <v>19</v>
      </c>
      <c r="AH24" t="s">
        <v>19</v>
      </c>
      <c r="AJ24">
        <v>1</v>
      </c>
    </row>
    <row r="25" spans="1:36" ht="145">
      <c r="A25" t="s">
        <v>194</v>
      </c>
      <c r="B25" s="3" t="s">
        <v>603</v>
      </c>
      <c r="C25" s="3" t="s">
        <v>604</v>
      </c>
      <c r="G25" s="6" t="s">
        <v>849</v>
      </c>
      <c r="H25" s="6"/>
      <c r="I25" s="6"/>
      <c r="J25" s="6"/>
      <c r="K25" s="6"/>
      <c r="L25" s="6"/>
      <c r="M25" s="6"/>
      <c r="N25" s="7"/>
      <c r="O25" s="6"/>
      <c r="P25" s="6"/>
      <c r="Q25" s="6">
        <v>-12</v>
      </c>
      <c r="R25" s="6">
        <v>19</v>
      </c>
      <c r="S25" s="6">
        <v>7</v>
      </c>
      <c r="T25" s="9">
        <f t="shared" si="0"/>
        <v>9.3421182023797815</v>
      </c>
      <c r="U25" s="9">
        <f t="shared" si="1"/>
        <v>3.4418330219293933</v>
      </c>
      <c r="V25" s="9">
        <f t="shared" si="2"/>
        <v>-5.9002851804503882</v>
      </c>
      <c r="W25" s="6"/>
      <c r="X25" s="6"/>
      <c r="Y25" s="6"/>
      <c r="Z25" s="6"/>
      <c r="AA25" s="6"/>
      <c r="AB25" s="6"/>
      <c r="AC25" s="6"/>
      <c r="AD25" s="6"/>
      <c r="AE25" s="6"/>
      <c r="AF25" s="6"/>
      <c r="AG25" t="s">
        <v>19</v>
      </c>
      <c r="AH25" t="s">
        <v>19</v>
      </c>
      <c r="AJ25">
        <v>1</v>
      </c>
    </row>
    <row r="26" spans="1:36" ht="43.5">
      <c r="A26" t="s">
        <v>195</v>
      </c>
      <c r="B26" s="3" t="s">
        <v>608</v>
      </c>
      <c r="C26" s="3" t="s">
        <v>609</v>
      </c>
      <c r="G26" s="6" t="s">
        <v>849</v>
      </c>
      <c r="H26" s="6"/>
      <c r="I26" s="6"/>
      <c r="J26" s="6"/>
      <c r="K26" s="6"/>
      <c r="L26" s="6"/>
      <c r="M26" s="6"/>
      <c r="N26" s="7"/>
      <c r="O26" s="6"/>
      <c r="P26" s="6"/>
      <c r="Q26" s="6">
        <v>447</v>
      </c>
      <c r="R26" s="6">
        <v>166</v>
      </c>
      <c r="S26" s="6">
        <v>613</v>
      </c>
      <c r="T26" s="9">
        <f t="shared" si="0"/>
        <v>81.620611662897048</v>
      </c>
      <c r="U26" s="9">
        <f t="shared" si="1"/>
        <v>301.40623463467404</v>
      </c>
      <c r="V26" s="9">
        <f t="shared" si="2"/>
        <v>219.785622971777</v>
      </c>
      <c r="W26" s="6"/>
      <c r="X26" s="6"/>
      <c r="Y26" s="6"/>
      <c r="Z26" s="6"/>
      <c r="AA26" s="6"/>
      <c r="AB26" s="6"/>
      <c r="AC26" s="6"/>
      <c r="AD26" s="6"/>
      <c r="AE26" s="6"/>
      <c r="AF26" s="6"/>
      <c r="AG26" t="s">
        <v>19</v>
      </c>
      <c r="AH26" t="s">
        <v>19</v>
      </c>
      <c r="AJ26">
        <v>1</v>
      </c>
    </row>
    <row r="27" spans="1:36" ht="29">
      <c r="A27" t="s">
        <v>198</v>
      </c>
      <c r="B27" s="3" t="s">
        <v>611</v>
      </c>
      <c r="C27" s="3" t="s">
        <v>612</v>
      </c>
      <c r="G27" s="6" t="s">
        <v>849</v>
      </c>
      <c r="H27" s="6"/>
      <c r="I27" s="6"/>
      <c r="J27" s="6"/>
      <c r="K27" s="6"/>
      <c r="L27" s="6"/>
      <c r="M27" s="6"/>
      <c r="N27" s="7"/>
      <c r="O27" s="6"/>
      <c r="P27" s="6"/>
      <c r="Q27" s="6">
        <v>-13</v>
      </c>
      <c r="R27" s="6">
        <v>17</v>
      </c>
      <c r="S27" s="6">
        <v>4</v>
      </c>
      <c r="T27" s="9">
        <f t="shared" si="0"/>
        <v>8.3587373389713839</v>
      </c>
      <c r="U27" s="9">
        <f t="shared" si="1"/>
        <v>1.9667617268167963</v>
      </c>
      <c r="V27" s="9">
        <f t="shared" si="2"/>
        <v>-6.3919756121545879</v>
      </c>
      <c r="W27" s="6"/>
      <c r="X27" s="6"/>
      <c r="Y27" s="6"/>
      <c r="Z27" s="6"/>
      <c r="AA27" s="6"/>
      <c r="AB27" s="6"/>
      <c r="AC27" s="6"/>
      <c r="AD27" s="6"/>
      <c r="AE27" s="6"/>
      <c r="AF27" s="6"/>
      <c r="AG27" t="s">
        <v>19</v>
      </c>
      <c r="AH27" t="s">
        <v>19</v>
      </c>
      <c r="AJ27">
        <v>1</v>
      </c>
    </row>
    <row r="28" spans="1:36" ht="43.5">
      <c r="A28" t="s">
        <v>200</v>
      </c>
      <c r="B28" s="3" t="s">
        <v>615</v>
      </c>
      <c r="C28" s="3" t="s">
        <v>616</v>
      </c>
      <c r="G28" s="6" t="s">
        <v>849</v>
      </c>
      <c r="H28" s="6"/>
      <c r="I28" s="6"/>
      <c r="J28" s="6"/>
      <c r="K28" s="6"/>
      <c r="L28" s="6"/>
      <c r="M28" s="6"/>
      <c r="N28" s="7"/>
      <c r="O28" s="6"/>
      <c r="P28" s="6"/>
      <c r="Q28" s="6">
        <v>-43</v>
      </c>
      <c r="R28" s="6">
        <v>44</v>
      </c>
      <c r="S28" s="6">
        <v>1</v>
      </c>
      <c r="T28" s="9">
        <f t="shared" si="0"/>
        <v>21.634378994984761</v>
      </c>
      <c r="U28" s="9">
        <f t="shared" si="1"/>
        <v>0.49169043170419907</v>
      </c>
      <c r="V28" s="9">
        <f t="shared" si="2"/>
        <v>-21.142688563280561</v>
      </c>
      <c r="W28" s="6"/>
      <c r="X28" s="6"/>
      <c r="Y28" s="6"/>
      <c r="Z28" s="6"/>
      <c r="AA28" s="6"/>
      <c r="AB28" s="6"/>
      <c r="AC28" s="6"/>
      <c r="AD28" s="6"/>
      <c r="AE28" s="6"/>
      <c r="AF28" s="6"/>
      <c r="AG28" t="s">
        <v>19</v>
      </c>
      <c r="AH28" t="s">
        <v>19</v>
      </c>
      <c r="AJ28">
        <v>1</v>
      </c>
    </row>
    <row r="29" spans="1:36" ht="43.5">
      <c r="A29" t="s">
        <v>222</v>
      </c>
      <c r="B29" s="3" t="s">
        <v>655</v>
      </c>
      <c r="C29" s="3" t="s">
        <v>656</v>
      </c>
      <c r="G29" s="6" t="s">
        <v>849</v>
      </c>
      <c r="H29" s="6"/>
      <c r="I29" s="6"/>
      <c r="J29" s="6"/>
      <c r="K29" s="6"/>
      <c r="L29" s="6"/>
      <c r="M29" s="6"/>
      <c r="N29" s="7"/>
      <c r="O29" s="6"/>
      <c r="P29" s="6"/>
      <c r="Q29" s="6">
        <v>3</v>
      </c>
      <c r="R29" s="6">
        <v>3</v>
      </c>
      <c r="S29" s="6">
        <v>6</v>
      </c>
      <c r="T29" s="9">
        <f t="shared" si="0"/>
        <v>1.4750712951125973</v>
      </c>
      <c r="U29" s="9">
        <f t="shared" si="1"/>
        <v>2.9501425902251945</v>
      </c>
      <c r="V29" s="9">
        <f t="shared" si="2"/>
        <v>1.4750712951125973</v>
      </c>
      <c r="W29" s="6"/>
      <c r="X29" s="6"/>
      <c r="Y29" s="6"/>
      <c r="Z29" s="6"/>
      <c r="AA29" s="6"/>
      <c r="AB29" s="6"/>
      <c r="AC29" s="6"/>
      <c r="AD29" s="6"/>
      <c r="AE29" s="6"/>
      <c r="AF29" s="6"/>
      <c r="AG29" t="s">
        <v>19</v>
      </c>
      <c r="AH29" t="s">
        <v>19</v>
      </c>
      <c r="AJ29">
        <v>1</v>
      </c>
    </row>
    <row r="30" spans="1:36" ht="29">
      <c r="A30" t="s">
        <v>226</v>
      </c>
      <c r="B30" s="3" t="s">
        <v>227</v>
      </c>
      <c r="C30" s="3" t="s">
        <v>228</v>
      </c>
      <c r="G30" s="6" t="s">
        <v>849</v>
      </c>
      <c r="H30" s="6"/>
      <c r="I30" s="6"/>
      <c r="J30" s="6"/>
      <c r="K30" s="6"/>
      <c r="L30" s="6"/>
      <c r="M30" s="6"/>
      <c r="N30" s="7"/>
      <c r="O30" s="6"/>
      <c r="P30" s="6"/>
      <c r="Q30" s="6">
        <v>0</v>
      </c>
      <c r="R30" s="6">
        <v>1</v>
      </c>
      <c r="S30" s="6">
        <v>1</v>
      </c>
      <c r="T30" s="9">
        <f t="shared" si="0"/>
        <v>0.49169043170419907</v>
      </c>
      <c r="U30" s="9">
        <f t="shared" si="1"/>
        <v>0.49169043170419907</v>
      </c>
      <c r="V30" s="9">
        <f t="shared" si="2"/>
        <v>0</v>
      </c>
      <c r="W30" s="6"/>
      <c r="X30" s="6"/>
      <c r="Y30" s="6"/>
      <c r="Z30" s="6"/>
      <c r="AA30" s="6"/>
      <c r="AB30" s="6"/>
      <c r="AC30" s="6"/>
      <c r="AD30" s="6"/>
      <c r="AE30" s="6"/>
      <c r="AF30" s="6"/>
      <c r="AG30" t="s">
        <v>19</v>
      </c>
      <c r="AH30" t="s">
        <v>19</v>
      </c>
      <c r="AJ30">
        <v>1</v>
      </c>
    </row>
    <row r="31" spans="1:36" ht="43.5">
      <c r="A31" t="s">
        <v>237</v>
      </c>
      <c r="B31" s="3" t="s">
        <v>238</v>
      </c>
      <c r="C31" s="3" t="s">
        <v>685</v>
      </c>
      <c r="G31" s="6" t="s">
        <v>849</v>
      </c>
      <c r="H31" s="6"/>
      <c r="I31" s="6"/>
      <c r="J31" s="6"/>
      <c r="K31" s="6"/>
      <c r="L31" s="6"/>
      <c r="M31" s="6"/>
      <c r="N31" s="7"/>
      <c r="O31" s="6"/>
      <c r="P31" s="6"/>
      <c r="Q31" s="6">
        <v>0</v>
      </c>
      <c r="R31" s="6">
        <v>1</v>
      </c>
      <c r="S31" s="6">
        <v>1</v>
      </c>
      <c r="T31" s="9">
        <f t="shared" si="0"/>
        <v>0.49169043170419907</v>
      </c>
      <c r="U31" s="9">
        <f t="shared" si="1"/>
        <v>0.49169043170419907</v>
      </c>
      <c r="V31" s="9">
        <f t="shared" si="2"/>
        <v>0</v>
      </c>
      <c r="W31" s="6"/>
      <c r="X31" s="6"/>
      <c r="Y31" s="6"/>
      <c r="Z31" s="6"/>
      <c r="AA31" s="6"/>
      <c r="AB31" s="6"/>
      <c r="AC31" s="6"/>
      <c r="AD31" s="6"/>
      <c r="AE31" s="6"/>
      <c r="AF31" s="6"/>
      <c r="AG31" t="s">
        <v>19</v>
      </c>
      <c r="AH31" t="s">
        <v>19</v>
      </c>
      <c r="AJ31">
        <v>1</v>
      </c>
    </row>
    <row r="32" spans="1:36" ht="29">
      <c r="A32" t="s">
        <v>243</v>
      </c>
      <c r="B32" s="3" t="s">
        <v>694</v>
      </c>
      <c r="C32" s="3" t="s">
        <v>695</v>
      </c>
      <c r="G32" s="6" t="s">
        <v>849</v>
      </c>
      <c r="H32" s="6"/>
      <c r="I32" s="6"/>
      <c r="J32" s="6"/>
      <c r="K32" s="6"/>
      <c r="L32" s="6"/>
      <c r="M32" s="6"/>
      <c r="N32" s="7"/>
      <c r="O32" s="6"/>
      <c r="P32" s="6"/>
      <c r="Q32" s="6">
        <v>10</v>
      </c>
      <c r="R32" s="6">
        <v>7</v>
      </c>
      <c r="S32" s="6">
        <v>17</v>
      </c>
      <c r="T32" s="9">
        <f t="shared" si="0"/>
        <v>3.4418330219293933</v>
      </c>
      <c r="U32" s="9">
        <f t="shared" si="1"/>
        <v>8.3587373389713839</v>
      </c>
      <c r="V32" s="9">
        <f t="shared" si="2"/>
        <v>4.9169043170419906</v>
      </c>
      <c r="W32" s="6"/>
      <c r="X32" s="6"/>
      <c r="Y32" s="6"/>
      <c r="Z32" s="6"/>
      <c r="AA32" s="6"/>
      <c r="AB32" s="6"/>
      <c r="AC32" s="6"/>
      <c r="AD32" s="6"/>
      <c r="AE32" s="6"/>
      <c r="AF32" s="6"/>
      <c r="AG32" t="s">
        <v>19</v>
      </c>
      <c r="AH32" t="s">
        <v>19</v>
      </c>
      <c r="AJ32">
        <v>1</v>
      </c>
    </row>
    <row r="33" spans="1:36" ht="29">
      <c r="A33" t="s">
        <v>247</v>
      </c>
      <c r="B33" s="3" t="s">
        <v>701</v>
      </c>
      <c r="C33" s="3" t="s">
        <v>700</v>
      </c>
      <c r="G33" s="6" t="s">
        <v>849</v>
      </c>
      <c r="H33" s="6"/>
      <c r="I33" s="6"/>
      <c r="J33" s="6"/>
      <c r="K33" s="6"/>
      <c r="L33" s="6"/>
      <c r="M33" s="6"/>
      <c r="N33" s="7"/>
      <c r="O33" s="6"/>
      <c r="P33" s="6"/>
      <c r="Q33" s="6">
        <v>28</v>
      </c>
      <c r="R33" s="6">
        <v>1</v>
      </c>
      <c r="S33" s="6">
        <v>29</v>
      </c>
      <c r="T33" s="9">
        <f t="shared" si="0"/>
        <v>0.49169043170419907</v>
      </c>
      <c r="U33" s="9">
        <f t="shared" si="1"/>
        <v>14.259022519421771</v>
      </c>
      <c r="V33" s="9">
        <f t="shared" si="2"/>
        <v>13.767332087717572</v>
      </c>
      <c r="W33" s="6"/>
      <c r="X33" s="6"/>
      <c r="Y33" s="6"/>
      <c r="Z33" s="6"/>
      <c r="AA33" s="6"/>
      <c r="AB33" s="6"/>
      <c r="AC33" s="6"/>
      <c r="AD33" s="6"/>
      <c r="AE33" s="6"/>
      <c r="AF33" s="6"/>
      <c r="AG33" t="s">
        <v>19</v>
      </c>
      <c r="AH33" t="s">
        <v>20</v>
      </c>
      <c r="AJ33">
        <v>1</v>
      </c>
    </row>
    <row r="34" spans="1:36" ht="43.5">
      <c r="A34" t="s">
        <v>248</v>
      </c>
      <c r="B34" s="3" t="s">
        <v>706</v>
      </c>
      <c r="C34" s="3" t="s">
        <v>707</v>
      </c>
      <c r="G34" s="6" t="s">
        <v>849</v>
      </c>
      <c r="H34" s="6"/>
      <c r="I34" s="6"/>
      <c r="J34" s="6"/>
      <c r="K34" s="6"/>
      <c r="L34" s="6"/>
      <c r="M34" s="6"/>
      <c r="N34" s="7"/>
      <c r="O34" s="6"/>
      <c r="P34" s="6"/>
      <c r="Q34" s="6">
        <v>118</v>
      </c>
      <c r="R34" s="6">
        <v>132</v>
      </c>
      <c r="S34" s="6">
        <v>250</v>
      </c>
      <c r="T34" s="9">
        <f t="shared" si="0"/>
        <v>64.903136984954273</v>
      </c>
      <c r="U34" s="9">
        <f t="shared" si="1"/>
        <v>122.92260792604976</v>
      </c>
      <c r="V34" s="9">
        <f t="shared" si="2"/>
        <v>58.019470941095491</v>
      </c>
      <c r="W34" s="6"/>
      <c r="X34" s="6"/>
      <c r="Y34" s="6"/>
      <c r="Z34" s="6"/>
      <c r="AA34" s="6"/>
      <c r="AB34" s="6"/>
      <c r="AC34" s="6"/>
      <c r="AD34" s="6"/>
      <c r="AE34" s="6"/>
      <c r="AF34" s="6"/>
      <c r="AG34" t="s">
        <v>19</v>
      </c>
      <c r="AH34" t="s">
        <v>19</v>
      </c>
      <c r="AJ34">
        <v>1</v>
      </c>
    </row>
    <row r="35" spans="1:36" ht="43.5">
      <c r="A35" t="s">
        <v>252</v>
      </c>
      <c r="B35" s="3" t="s">
        <v>713</v>
      </c>
      <c r="C35" s="3" t="s">
        <v>714</v>
      </c>
      <c r="G35" s="6" t="s">
        <v>849</v>
      </c>
      <c r="H35" s="6"/>
      <c r="I35" s="6"/>
      <c r="J35" s="6"/>
      <c r="K35" s="6"/>
      <c r="L35" s="6"/>
      <c r="M35" s="6"/>
      <c r="N35" s="7"/>
      <c r="O35" s="6"/>
      <c r="P35" s="6"/>
      <c r="Q35" s="6">
        <v>1676</v>
      </c>
      <c r="R35" s="6">
        <v>25</v>
      </c>
      <c r="S35" s="6">
        <v>1701</v>
      </c>
      <c r="T35" s="9">
        <f t="shared" si="0"/>
        <v>12.292260792604976</v>
      </c>
      <c r="U35" s="9">
        <f t="shared" si="1"/>
        <v>836.36542432884255</v>
      </c>
      <c r="V35" s="9">
        <f t="shared" si="2"/>
        <v>824.07316353623753</v>
      </c>
      <c r="W35" s="6"/>
      <c r="X35" s="6"/>
      <c r="Y35" s="6"/>
      <c r="Z35" s="6"/>
      <c r="AA35" s="6"/>
      <c r="AB35" s="6"/>
      <c r="AC35" s="6"/>
      <c r="AD35" s="6"/>
      <c r="AE35" s="6"/>
      <c r="AF35" s="6"/>
      <c r="AG35" t="s">
        <v>19</v>
      </c>
      <c r="AH35" t="s">
        <v>19</v>
      </c>
      <c r="AJ35">
        <v>1</v>
      </c>
    </row>
    <row r="36" spans="1:36" ht="58">
      <c r="A36" t="s">
        <v>252</v>
      </c>
      <c r="B36" s="3" t="s">
        <v>715</v>
      </c>
      <c r="C36" s="3" t="s">
        <v>716</v>
      </c>
      <c r="G36" s="6" t="s">
        <v>849</v>
      </c>
      <c r="H36" s="6"/>
      <c r="I36" s="6"/>
      <c r="J36" s="6"/>
      <c r="K36" s="6"/>
      <c r="L36" s="6"/>
      <c r="M36" s="6"/>
      <c r="N36" s="7"/>
      <c r="O36" s="6"/>
      <c r="P36" s="6"/>
      <c r="Q36" s="6">
        <v>51</v>
      </c>
      <c r="R36" s="6">
        <v>48</v>
      </c>
      <c r="S36" s="6">
        <v>99</v>
      </c>
      <c r="T36" s="9">
        <f t="shared" si="0"/>
        <v>23.601140721801556</v>
      </c>
      <c r="U36" s="9">
        <f t="shared" si="1"/>
        <v>48.677352738715705</v>
      </c>
      <c r="V36" s="9">
        <f t="shared" si="2"/>
        <v>25.076212016914148</v>
      </c>
      <c r="W36" s="6"/>
      <c r="X36" s="6"/>
      <c r="Y36" s="6"/>
      <c r="Z36" s="6"/>
      <c r="AA36" s="6"/>
      <c r="AB36" s="6"/>
      <c r="AC36" s="6"/>
      <c r="AD36" s="6"/>
      <c r="AE36" s="6"/>
      <c r="AF36" s="6"/>
      <c r="AG36" t="s">
        <v>19</v>
      </c>
      <c r="AH36" t="s">
        <v>20</v>
      </c>
      <c r="AJ36">
        <v>1</v>
      </c>
    </row>
    <row r="37" spans="1:36" ht="43.5">
      <c r="A37" t="s">
        <v>258</v>
      </c>
      <c r="B37" s="3" t="s">
        <v>722</v>
      </c>
      <c r="C37" s="3" t="s">
        <v>721</v>
      </c>
      <c r="G37" s="6" t="s">
        <v>849</v>
      </c>
      <c r="H37" s="6"/>
      <c r="I37" s="6"/>
      <c r="J37" s="6"/>
      <c r="K37" s="6"/>
      <c r="L37" s="6"/>
      <c r="M37" s="6"/>
      <c r="N37" s="7"/>
      <c r="O37" s="6"/>
      <c r="P37" s="6"/>
      <c r="Q37" s="6">
        <v>-80</v>
      </c>
      <c r="R37" s="6">
        <v>105</v>
      </c>
      <c r="S37" s="6">
        <v>25</v>
      </c>
      <c r="T37" s="9">
        <f t="shared" si="0"/>
        <v>51.627495328940903</v>
      </c>
      <c r="U37" s="9">
        <f t="shared" si="1"/>
        <v>12.292260792604976</v>
      </c>
      <c r="V37" s="9">
        <f t="shared" si="2"/>
        <v>-39.335234536335925</v>
      </c>
      <c r="W37" s="6"/>
      <c r="X37" s="6"/>
      <c r="Y37" s="6"/>
      <c r="Z37" s="6"/>
      <c r="AA37" s="6"/>
      <c r="AB37" s="6"/>
      <c r="AC37" s="6"/>
      <c r="AD37" s="6"/>
      <c r="AE37" s="6"/>
      <c r="AF37" s="6"/>
      <c r="AG37" t="s">
        <v>19</v>
      </c>
      <c r="AH37" t="s">
        <v>20</v>
      </c>
      <c r="AJ37">
        <v>1</v>
      </c>
    </row>
    <row r="38" spans="1:36" ht="72.5">
      <c r="A38" t="s">
        <v>274</v>
      </c>
      <c r="B38" s="3" t="s">
        <v>746</v>
      </c>
      <c r="C38" s="3" t="s">
        <v>745</v>
      </c>
      <c r="G38" s="6" t="s">
        <v>849</v>
      </c>
      <c r="H38" s="6"/>
      <c r="I38" s="6"/>
      <c r="J38" s="6"/>
      <c r="K38" s="6"/>
      <c r="L38" s="6"/>
      <c r="M38" s="6"/>
      <c r="N38" s="7"/>
      <c r="O38" s="6"/>
      <c r="P38" s="6"/>
      <c r="Q38" s="6">
        <v>-4</v>
      </c>
      <c r="R38" s="6">
        <v>8</v>
      </c>
      <c r="S38" s="6">
        <v>4</v>
      </c>
      <c r="T38" s="9">
        <f t="shared" si="0"/>
        <v>3.9335234536335926</v>
      </c>
      <c r="U38" s="9">
        <f t="shared" si="1"/>
        <v>1.9667617268167963</v>
      </c>
      <c r="V38" s="9">
        <f t="shared" si="2"/>
        <v>-1.9667617268167963</v>
      </c>
      <c r="W38" s="6"/>
      <c r="X38" s="6"/>
      <c r="Y38" s="6"/>
      <c r="Z38" s="6"/>
      <c r="AA38" s="6"/>
      <c r="AB38" s="6"/>
      <c r="AC38" s="6"/>
      <c r="AD38" s="6"/>
      <c r="AE38" s="6"/>
      <c r="AF38" s="6"/>
      <c r="AG38" t="s">
        <v>19</v>
      </c>
      <c r="AH38" t="s">
        <v>20</v>
      </c>
      <c r="AJ38">
        <v>1</v>
      </c>
    </row>
    <row r="39" spans="1:36" ht="58">
      <c r="A39" t="s">
        <v>280</v>
      </c>
      <c r="B39" s="3" t="s">
        <v>750</v>
      </c>
      <c r="C39" s="3" t="s">
        <v>751</v>
      </c>
      <c r="G39" s="6" t="s">
        <v>849</v>
      </c>
      <c r="H39" s="6"/>
      <c r="I39" s="6"/>
      <c r="J39" s="6"/>
      <c r="K39" s="6"/>
      <c r="L39" s="6"/>
      <c r="M39" s="6"/>
      <c r="N39" s="7"/>
      <c r="O39" s="6"/>
      <c r="P39" s="6"/>
      <c r="Q39" s="6">
        <v>-85</v>
      </c>
      <c r="R39" s="6">
        <v>171</v>
      </c>
      <c r="S39" s="6">
        <v>86</v>
      </c>
      <c r="T39" s="9">
        <f t="shared" si="0"/>
        <v>84.079063821418046</v>
      </c>
      <c r="U39" s="9">
        <f t="shared" si="1"/>
        <v>42.285377126561116</v>
      </c>
      <c r="V39" s="9">
        <f t="shared" si="2"/>
        <v>-41.79368669485693</v>
      </c>
      <c r="W39" s="6"/>
      <c r="X39" s="6"/>
      <c r="Y39" s="6"/>
      <c r="Z39" s="6"/>
      <c r="AA39" s="6"/>
      <c r="AB39" s="6"/>
      <c r="AC39" s="6"/>
      <c r="AD39" s="6"/>
      <c r="AE39" s="6"/>
      <c r="AF39" s="6"/>
      <c r="AG39" t="s">
        <v>19</v>
      </c>
      <c r="AH39" t="s">
        <v>19</v>
      </c>
      <c r="AJ39">
        <v>1</v>
      </c>
    </row>
    <row r="40" spans="1:36" ht="43.5">
      <c r="A40" t="s">
        <v>280</v>
      </c>
      <c r="B40" s="3" t="s">
        <v>754</v>
      </c>
      <c r="C40" s="3" t="s">
        <v>755</v>
      </c>
      <c r="G40" s="6" t="s">
        <v>849</v>
      </c>
      <c r="H40" s="6"/>
      <c r="I40" s="6"/>
      <c r="J40" s="6"/>
      <c r="K40" s="6"/>
      <c r="L40" s="6"/>
      <c r="M40" s="6"/>
      <c r="N40" s="7"/>
      <c r="O40" s="6"/>
      <c r="P40" s="6"/>
      <c r="Q40" s="6">
        <v>2450</v>
      </c>
      <c r="R40" s="6">
        <v>25</v>
      </c>
      <c r="S40" s="6">
        <v>2475</v>
      </c>
      <c r="T40" s="9">
        <f t="shared" si="0"/>
        <v>12.292260792604976</v>
      </c>
      <c r="U40" s="9">
        <f t="shared" si="1"/>
        <v>1216.9338184678927</v>
      </c>
      <c r="V40" s="9">
        <f t="shared" si="2"/>
        <v>1204.6415576752877</v>
      </c>
      <c r="W40" s="6"/>
      <c r="X40" s="6"/>
      <c r="Y40" s="6"/>
      <c r="Z40" s="6"/>
      <c r="AA40" s="6"/>
      <c r="AB40" s="6"/>
      <c r="AC40" s="6"/>
      <c r="AD40" s="6"/>
      <c r="AE40" s="6"/>
      <c r="AF40" s="6"/>
      <c r="AG40" t="s">
        <v>19</v>
      </c>
      <c r="AH40" t="s">
        <v>20</v>
      </c>
      <c r="AJ40">
        <v>1</v>
      </c>
    </row>
    <row r="41" spans="1:36" ht="29">
      <c r="A41" t="s">
        <v>282</v>
      </c>
      <c r="B41" s="3" t="s">
        <v>761</v>
      </c>
      <c r="C41" s="3" t="s">
        <v>760</v>
      </c>
      <c r="G41" s="6" t="s">
        <v>849</v>
      </c>
      <c r="H41" s="6"/>
      <c r="I41" s="6"/>
      <c r="J41" s="6"/>
      <c r="K41" s="6"/>
      <c r="L41" s="6"/>
      <c r="M41" s="6"/>
      <c r="N41" s="7"/>
      <c r="O41" s="6"/>
      <c r="P41" s="6"/>
      <c r="Q41" s="6">
        <v>-3</v>
      </c>
      <c r="R41" s="6">
        <v>5</v>
      </c>
      <c r="S41" s="6">
        <v>2</v>
      </c>
      <c r="T41" s="9">
        <f t="shared" si="0"/>
        <v>2.4584521585209949</v>
      </c>
      <c r="U41" s="9">
        <f t="shared" si="1"/>
        <v>0.98338086340839814</v>
      </c>
      <c r="V41" s="9">
        <f t="shared" si="2"/>
        <v>-1.4750712951125968</v>
      </c>
      <c r="W41" s="6"/>
      <c r="X41" s="6"/>
      <c r="Y41" s="6"/>
      <c r="Z41" s="6"/>
      <c r="AA41" s="6"/>
      <c r="AB41" s="6"/>
      <c r="AC41" s="6"/>
      <c r="AD41" s="6"/>
      <c r="AE41" s="6"/>
      <c r="AF41" s="6"/>
      <c r="AG41" t="s">
        <v>19</v>
      </c>
      <c r="AH41" t="s">
        <v>19</v>
      </c>
      <c r="AJ41">
        <v>1</v>
      </c>
    </row>
    <row r="42" spans="1:36" ht="58">
      <c r="A42" t="s">
        <v>283</v>
      </c>
      <c r="B42" s="3" t="s">
        <v>765</v>
      </c>
      <c r="C42" s="3" t="s">
        <v>764</v>
      </c>
      <c r="G42" s="6" t="s">
        <v>849</v>
      </c>
      <c r="H42" s="6"/>
      <c r="I42" s="6"/>
      <c r="J42" s="6"/>
      <c r="K42" s="6"/>
      <c r="L42" s="6"/>
      <c r="M42" s="6"/>
      <c r="N42" s="7"/>
      <c r="O42" s="6"/>
      <c r="P42" s="6"/>
      <c r="Q42" s="6">
        <v>-118</v>
      </c>
      <c r="R42" s="6">
        <v>250</v>
      </c>
      <c r="S42" s="6">
        <v>132</v>
      </c>
      <c r="T42" s="9">
        <f t="shared" si="0"/>
        <v>122.92260792604976</v>
      </c>
      <c r="U42" s="9">
        <f t="shared" si="1"/>
        <v>64.903136984954273</v>
      </c>
      <c r="V42" s="9">
        <f t="shared" si="2"/>
        <v>-58.019470941095491</v>
      </c>
      <c r="W42" s="6"/>
      <c r="X42" s="6"/>
      <c r="Y42" s="6"/>
      <c r="Z42" s="6"/>
      <c r="AA42" s="6"/>
      <c r="AB42" s="6"/>
      <c r="AC42" s="6"/>
      <c r="AD42" s="6"/>
      <c r="AE42" s="6"/>
      <c r="AF42" s="6"/>
      <c r="AG42" t="s">
        <v>19</v>
      </c>
      <c r="AH42" t="s">
        <v>19</v>
      </c>
      <c r="AJ42">
        <v>1</v>
      </c>
    </row>
    <row r="43" spans="1:36" ht="58">
      <c r="A43" t="s">
        <v>291</v>
      </c>
      <c r="B43" s="3" t="s">
        <v>772</v>
      </c>
      <c r="C43" s="3" t="s">
        <v>773</v>
      </c>
      <c r="D43" t="s">
        <v>28</v>
      </c>
      <c r="F43" t="s">
        <v>19</v>
      </c>
      <c r="G43" s="6" t="s">
        <v>849</v>
      </c>
      <c r="H43" s="6"/>
      <c r="I43" s="6"/>
      <c r="J43" s="6"/>
      <c r="K43" s="6"/>
      <c r="L43" s="6"/>
      <c r="M43" s="6"/>
      <c r="N43" s="7"/>
      <c r="O43" s="6"/>
      <c r="P43" s="6"/>
      <c r="Q43" s="6">
        <v>1645</v>
      </c>
      <c r="R43" s="6">
        <v>830</v>
      </c>
      <c r="S43" s="6">
        <v>2475</v>
      </c>
      <c r="T43" s="9">
        <f t="shared" si="0"/>
        <v>408.10305831448517</v>
      </c>
      <c r="U43" s="9">
        <f t="shared" si="1"/>
        <v>1216.9338184678927</v>
      </c>
      <c r="V43" s="9">
        <f t="shared" si="2"/>
        <v>808.83076015340748</v>
      </c>
      <c r="W43" s="6"/>
      <c r="X43" s="6"/>
      <c r="Y43" s="6"/>
      <c r="Z43" s="6"/>
      <c r="AA43" s="6"/>
      <c r="AB43" s="6"/>
      <c r="AC43" s="6"/>
      <c r="AD43" s="6"/>
      <c r="AE43" s="6"/>
      <c r="AF43" s="6"/>
      <c r="AG43" t="s">
        <v>20</v>
      </c>
      <c r="AH43" t="s">
        <v>20</v>
      </c>
      <c r="AJ43">
        <v>0</v>
      </c>
    </row>
    <row r="44" spans="1:36" ht="29">
      <c r="A44" t="s">
        <v>304</v>
      </c>
      <c r="B44" s="3" t="s">
        <v>784</v>
      </c>
      <c r="C44" s="3" t="s">
        <v>785</v>
      </c>
      <c r="G44" s="6" t="s">
        <v>849</v>
      </c>
      <c r="H44" s="6"/>
      <c r="I44" s="6"/>
      <c r="J44" s="6"/>
      <c r="K44" s="6"/>
      <c r="L44" s="6"/>
      <c r="M44" s="6"/>
      <c r="N44" s="7"/>
      <c r="O44" s="6"/>
      <c r="P44" s="6"/>
      <c r="Q44" s="6">
        <v>-2400</v>
      </c>
      <c r="R44" s="6">
        <v>2475</v>
      </c>
      <c r="S44" s="6">
        <v>75</v>
      </c>
      <c r="T44" s="9">
        <f t="shared" si="0"/>
        <v>1216.9338184678927</v>
      </c>
      <c r="U44" s="9">
        <f t="shared" si="1"/>
        <v>36.876782377814926</v>
      </c>
      <c r="V44" s="9">
        <f t="shared" si="2"/>
        <v>-1180.0570360900779</v>
      </c>
      <c r="W44" s="6"/>
      <c r="X44" s="6"/>
      <c r="Y44" s="6"/>
      <c r="Z44" s="6"/>
      <c r="AA44" s="6"/>
      <c r="AB44" s="6"/>
      <c r="AC44" s="6"/>
      <c r="AD44" s="6"/>
      <c r="AE44" s="6"/>
      <c r="AF44" s="6"/>
      <c r="AG44" t="s">
        <v>19</v>
      </c>
      <c r="AH44" t="s">
        <v>20</v>
      </c>
      <c r="AJ44">
        <v>1</v>
      </c>
    </row>
    <row r="47" spans="1:36">
      <c r="D47" t="s">
        <v>960</v>
      </c>
      <c r="E47">
        <v>20338</v>
      </c>
    </row>
    <row r="50" spans="4:5">
      <c r="D50" t="s">
        <v>978</v>
      </c>
      <c r="E50">
        <f>COUNTIF(Q:Q, "&gt;0")</f>
        <v>25</v>
      </c>
    </row>
    <row r="51" spans="4:5">
      <c r="D51" t="s">
        <v>979</v>
      </c>
      <c r="E51">
        <f>COUNTIF(Q:Q, "&lt;0")</f>
        <v>16</v>
      </c>
    </row>
    <row r="52" spans="4:5">
      <c r="D52" t="s">
        <v>980</v>
      </c>
      <c r="E52">
        <f>_xlfn.BINOM.DIST(MIN(E50,E51),(E50+E51),0.5,TRUE)*2</f>
        <v>0.21102359760880088</v>
      </c>
    </row>
    <row r="54" spans="4:5">
      <c r="D54" t="s">
        <v>981</v>
      </c>
      <c r="E54">
        <f>AVERAGE(Q:Q)</f>
        <v>153.76744186046511</v>
      </c>
    </row>
    <row r="55" spans="4:5">
      <c r="D55" t="s">
        <v>982</v>
      </c>
      <c r="E55">
        <f>_xlfn.STDEV.S(Q:Q)</f>
        <v>682.16995638251262</v>
      </c>
    </row>
    <row r="58" spans="4:5">
      <c r="D58" t="s">
        <v>983</v>
      </c>
      <c r="E58">
        <f>AVERAGE(V:V)</f>
        <v>75.605979870422416</v>
      </c>
    </row>
    <row r="59" spans="4:5">
      <c r="D59" t="s">
        <v>984</v>
      </c>
      <c r="E59">
        <f>_xlfn.STDEV.S(V:V)</f>
        <v>335.41644034935229</v>
      </c>
    </row>
    <row r="62" spans="4:5">
      <c r="D62" t="s">
        <v>986</v>
      </c>
      <c r="E62">
        <f>COUNT(V:V)</f>
        <v>43</v>
      </c>
    </row>
    <row r="63" spans="4:5">
      <c r="D63" t="s">
        <v>987</v>
      </c>
      <c r="E63">
        <f>_xlfn.STDEV.P(V:V)</f>
        <v>331.4933060876117</v>
      </c>
    </row>
  </sheetData>
  <conditionalFormatting sqref="G2:G44">
    <cfRule type="expression" dxfId="194" priority="10">
      <formula>$I2&lt;&gt;""</formula>
    </cfRule>
    <cfRule type="expression" dxfId="193" priority="11">
      <formula>$I2=""</formula>
    </cfRule>
  </conditionalFormatting>
  <conditionalFormatting sqref="H2:L44 O2:P44">
    <cfRule type="expression" dxfId="192" priority="22">
      <formula>AND(OR($I2="Addition",$I2="Omission"), H2="")</formula>
    </cfRule>
    <cfRule type="expression" dxfId="191" priority="23">
      <formula>AND($I2&lt;&gt;"Addition",$I2&lt;&gt;"Omission",$I2&lt;&gt;"Substitution - Word")</formula>
    </cfRule>
  </conditionalFormatting>
  <conditionalFormatting sqref="H2:P44">
    <cfRule type="expression" dxfId="190" priority="21">
      <formula>AND(OR($I2="Addition",$I2="Omission"), H2&lt;&gt;"")</formula>
    </cfRule>
  </conditionalFormatting>
  <conditionalFormatting sqref="K2:K44">
    <cfRule type="expression" dxfId="189" priority="19">
      <formula>AND($K2&lt;&gt;"",$K2&gt;1)</formula>
    </cfRule>
  </conditionalFormatting>
  <conditionalFormatting sqref="M2:N44">
    <cfRule type="expression" dxfId="188" priority="15">
      <formula>$N2="Absent"</formula>
    </cfRule>
    <cfRule type="expression" dxfId="187" priority="16">
      <formula>$N2="NA"</formula>
    </cfRule>
    <cfRule type="expression" dxfId="186" priority="17">
      <formula>AND(OR($I2="Addition",$I2="Omission"), M2="")</formula>
    </cfRule>
    <cfRule type="expression" dxfId="185" priority="18">
      <formula>AND($I2&lt;&gt;"Addition",$I2&lt;&gt;"Omission")</formula>
    </cfRule>
  </conditionalFormatting>
  <conditionalFormatting sqref="O2:O44">
    <cfRule type="expression" dxfId="184" priority="20">
      <formula>OR($I2="Addition",$I2="Omission",$I2 = "Substitution - Word")</formula>
    </cfRule>
  </conditionalFormatting>
  <conditionalFormatting sqref="Q2:V44">
    <cfRule type="expression" dxfId="183" priority="1">
      <formula>AND(AND(LEFT($I2,3)="Sub", RIGHT($I2,4)&lt;&gt;"Form"),$S2&lt;&gt;"")</formula>
    </cfRule>
    <cfRule type="expression" dxfId="182" priority="2">
      <formula>AND(AND(LEFT($I2,3)="Sub", RIGHT($I2,4)&lt;&gt;"Form"),$S2="")</formula>
    </cfRule>
    <cfRule type="expression" dxfId="181" priority="3">
      <formula>"&lt;&gt;AND(LEFT($J2,3)=""Sub"", RIGHT($J2,4)&lt;&gt;""Form"")"</formula>
    </cfRule>
  </conditionalFormatting>
  <conditionalFormatting sqref="W2:W44">
    <cfRule type="expression" dxfId="180" priority="13">
      <formula>AND($Y2&lt;&gt;"",OR($AF2="Yes",$AG2&lt;&gt;""))</formula>
    </cfRule>
    <cfRule type="expression" dxfId="179" priority="14">
      <formula>OR($AF2="Yes",$AG2&lt;&gt;"")</formula>
    </cfRule>
    <cfRule type="expression" dxfId="178" priority="26">
      <formula>AND($AF2&lt;&gt;"Yes",$AG2="")</formula>
    </cfRule>
  </conditionalFormatting>
  <conditionalFormatting sqref="W2:AF44">
    <cfRule type="expression" dxfId="177" priority="24">
      <formula>AND($I2&lt;&gt;"",$I2&lt;&gt;"Unclear due to correction")</formula>
    </cfRule>
    <cfRule type="expression" dxfId="176" priority="25">
      <formula>OR($I2="",$I2="Unclear due to correction")</formula>
    </cfRule>
  </conditionalFormatting>
  <conditionalFormatting sqref="X2:X44">
    <cfRule type="expression" dxfId="175" priority="12">
      <formula>AND($I2&lt;&gt;"",$I2&lt;&gt;"Unclear due to correction",$Z2="")</formula>
    </cfRule>
  </conditionalFormatting>
  <conditionalFormatting sqref="Y2:Y44">
    <cfRule type="expression" dxfId="174" priority="27">
      <formula>AND($Z2="Yes",$AA2="")</formula>
    </cfRule>
    <cfRule type="expression" dxfId="173" priority="28">
      <formula>$Z2=""</formula>
    </cfRule>
  </conditionalFormatting>
  <conditionalFormatting sqref="AD2:AD44">
    <cfRule type="expression" dxfId="172" priority="32">
      <formula>AND(OR($AD2&lt;&gt;"",$AE2&lt;&gt;""),$AF2="")</formula>
    </cfRule>
  </conditionalFormatting>
  <dataValidations count="1">
    <dataValidation allowBlank="1" showInputMessage="1" sqref="X2:X44" xr:uid="{929C3322-950A-45B6-AB55-54BD16A27F07}"/>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A6C20FBC-6224-4AFF-8682-10239CE2F691}">
          <x14:formula1>
            <xm:f>'Data Regularization'!$Q$2:$Q$4</xm:f>
          </x14:formula1>
          <xm:sqref>AG2:AG44 AI2:AI44</xm:sqref>
        </x14:dataValidation>
        <x14:dataValidation type="list" allowBlank="1" showInputMessage="1" showErrorMessage="1" xr:uid="{47331B86-B552-4038-A676-118A28A15035}">
          <x14:formula1>
            <xm:f>'Data Regularization'!$K$2:$K$1048576</xm:f>
          </x14:formula1>
          <xm:sqref>W2:W44 Y2:Y44</xm:sqref>
        </x14:dataValidation>
        <x14:dataValidation type="list" allowBlank="1" showInputMessage="1" showErrorMessage="1" xr:uid="{8B2BAB5D-960E-403C-BC2D-91C571415F28}">
          <x14:formula1>
            <xm:f>'Data Regularization'!$L$2:$L$1048576</xm:f>
          </x14:formula1>
          <xm:sqref>Z2:Z44</xm:sqref>
        </x14:dataValidation>
        <x14:dataValidation type="list" allowBlank="1" showInputMessage="1" showErrorMessage="1" xr:uid="{49FA62CC-EE2C-4093-AD38-461F88872769}">
          <x14:formula1>
            <xm:f>'Data Regularization'!$M$2:$M$1048576</xm:f>
          </x14:formula1>
          <xm:sqref>AA2:AA44</xm:sqref>
        </x14:dataValidation>
        <x14:dataValidation type="list" allowBlank="1" showInputMessage="1" showErrorMessage="1" xr:uid="{543E243A-4F01-43ED-8A7D-479256CEA471}">
          <x14:formula1>
            <xm:f>'Data Regularization'!$N$2:$N$1048576</xm:f>
          </x14:formula1>
          <xm:sqref>AB2:AB44</xm:sqref>
        </x14:dataValidation>
        <x14:dataValidation type="list" allowBlank="1" showInputMessage="1" showErrorMessage="1" xr:uid="{AB39F845-D494-4E53-B646-30959EC96D0C}">
          <x14:formula1>
            <xm:f>'Data Regularization'!$O$2:$O$1048576</xm:f>
          </x14:formula1>
          <xm:sqref>AD2:AD44</xm:sqref>
        </x14:dataValidation>
        <x14:dataValidation type="list" allowBlank="1" showInputMessage="1" showErrorMessage="1" xr:uid="{67158DB2-88CF-45B0-A82B-DD19AF08918C}">
          <x14:formula1>
            <xm:f>'Data Regularization'!$P$2:$P$1048576</xm:f>
          </x14:formula1>
          <xm:sqref>AE2:AE44</xm:sqref>
        </x14:dataValidation>
        <x14:dataValidation type="list" allowBlank="1" showInputMessage="1" showErrorMessage="1" xr:uid="{896B36E8-7F4C-4EEF-AC88-7B6C9056DC71}">
          <x14:formula1>
            <xm:f>'Data Regularization'!$Q$2:$Q$1048576</xm:f>
          </x14:formula1>
          <xm:sqref>AF2:AF44</xm:sqref>
        </x14:dataValidation>
        <x14:dataValidation type="list" allowBlank="1" showInputMessage="1" showErrorMessage="1" xr:uid="{C2A6ECA5-9FF0-461D-8E29-778E5DECAE3B}">
          <x14:formula1>
            <xm:f>'Data Regularization'!$D$2:$D$1048576</xm:f>
          </x14:formula1>
          <xm:sqref>G2:G44</xm:sqref>
        </x14:dataValidation>
        <x14:dataValidation type="list" allowBlank="1" showInputMessage="1" showErrorMessage="1" xr:uid="{70AE7391-E2E2-46A6-9E56-8CF890945B01}">
          <x14:formula1>
            <xm:f>'Data Regularization'!$E$2:$E$1048576</xm:f>
          </x14:formula1>
          <xm:sqref>K2:K44</xm:sqref>
        </x14:dataValidation>
        <x14:dataValidation type="list" allowBlank="1" showInputMessage="1" showErrorMessage="1" xr:uid="{83431E39-D57F-42E8-9454-8C4F43671D12}">
          <x14:formula1>
            <xm:f>'Data Regularization'!$F$2:$F$1048576</xm:f>
          </x14:formula1>
          <xm:sqref>L2:L44</xm:sqref>
        </x14:dataValidation>
        <x14:dataValidation type="list" allowBlank="1" showInputMessage="1" showErrorMessage="1" xr:uid="{DDDECB65-801A-4E2B-99E6-1A3CE292FAB5}">
          <x14:formula1>
            <xm:f>'Data Regularization'!$G$2:$G$1048576</xm:f>
          </x14:formula1>
          <xm:sqref>O2:O44</xm:sqref>
        </x14:dataValidation>
        <x14:dataValidation type="list" allowBlank="1" showInputMessage="1" showErrorMessage="1" xr:uid="{BA7FC117-B212-4764-BD21-7F830C045688}">
          <x14:formula1>
            <xm:f>'Data Regularization'!$C$2:$C$29</xm:f>
          </x14:formula1>
          <xm:sqref>F2:F44</xm:sqref>
        </x14:dataValidation>
        <x14:dataValidation type="list" allowBlank="1" showInputMessage="1" showErrorMessage="1" xr:uid="{C761B33A-C551-4CFB-B526-F078F103970C}">
          <x14:formula1>
            <xm:f>'Data Regularization'!$A$2:$A$1048576</xm:f>
          </x14:formula1>
          <xm:sqref>D2:D44</xm:sqref>
        </x14:dataValidation>
        <x14:dataValidation type="list" allowBlank="1" showInputMessage="1" showErrorMessage="1" xr:uid="{44011537-818E-472E-9D73-EED15E2C3529}">
          <x14:formula1>
            <xm:f>'Data Regularization'!$B$2:$B$1048576</xm:f>
          </x14:formula1>
          <xm:sqref>E2:E44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8FF1F-9287-4C46-9C88-7BC5D987B64F}">
  <dimension ref="A1:AI20"/>
  <sheetViews>
    <sheetView topLeftCell="A4" workbookViewId="0">
      <selection activeCell="D16" sqref="D16:J20"/>
    </sheetView>
  </sheetViews>
  <sheetFormatPr defaultRowHeight="14.5"/>
  <sheetData>
    <row r="1" spans="1:35" s="1" customFormat="1" ht="29">
      <c r="A1" s="1" t="s">
        <v>0</v>
      </c>
      <c r="B1" s="1" t="s">
        <v>5</v>
      </c>
      <c r="C1" s="2" t="s">
        <v>6</v>
      </c>
      <c r="D1" s="1" t="s">
        <v>831</v>
      </c>
      <c r="E1" s="1" t="s">
        <v>832</v>
      </c>
      <c r="F1" s="1" t="s">
        <v>833</v>
      </c>
      <c r="G1" s="1" t="s">
        <v>7</v>
      </c>
      <c r="H1" s="1" t="s">
        <v>3</v>
      </c>
      <c r="I1" s="1" t="s">
        <v>834</v>
      </c>
      <c r="J1" s="1" t="s">
        <v>835</v>
      </c>
      <c r="K1" s="1" t="s">
        <v>836</v>
      </c>
      <c r="L1" s="1" t="s">
        <v>837</v>
      </c>
      <c r="M1" s="1" t="s">
        <v>796</v>
      </c>
      <c r="N1" s="1" t="s">
        <v>838</v>
      </c>
      <c r="O1" s="5" t="s">
        <v>839</v>
      </c>
      <c r="P1" s="1" t="s">
        <v>797</v>
      </c>
      <c r="Q1" s="1" t="s">
        <v>840</v>
      </c>
      <c r="R1" s="1" t="s">
        <v>841</v>
      </c>
      <c r="S1" s="1" t="s">
        <v>961</v>
      </c>
      <c r="T1" s="1" t="s">
        <v>962</v>
      </c>
      <c r="U1" s="1" t="s">
        <v>844</v>
      </c>
      <c r="V1" s="1" t="s">
        <v>1014</v>
      </c>
      <c r="W1" s="1" t="s">
        <v>845</v>
      </c>
      <c r="X1" s="1" t="s">
        <v>846</v>
      </c>
      <c r="Y1" s="1" t="s">
        <v>798</v>
      </c>
      <c r="Z1" s="1" t="s">
        <v>799</v>
      </c>
      <c r="AA1" s="1" t="s">
        <v>800</v>
      </c>
      <c r="AB1" s="1" t="s">
        <v>842</v>
      </c>
      <c r="AC1" s="1" t="s">
        <v>847</v>
      </c>
      <c r="AD1" s="1" t="s">
        <v>801</v>
      </c>
      <c r="AE1" s="1" t="s">
        <v>843</v>
      </c>
      <c r="AF1" s="1" t="s">
        <v>859</v>
      </c>
      <c r="AG1" s="1" t="s">
        <v>857</v>
      </c>
      <c r="AH1" s="1" t="s">
        <v>858</v>
      </c>
    </row>
    <row r="2" spans="1:35" ht="29">
      <c r="A2" t="s">
        <v>63</v>
      </c>
      <c r="B2" s="3" t="s">
        <v>349</v>
      </c>
      <c r="C2" s="3" t="s">
        <v>350</v>
      </c>
      <c r="G2" t="s">
        <v>881</v>
      </c>
      <c r="H2" s="6" t="s">
        <v>25</v>
      </c>
      <c r="I2" s="6"/>
      <c r="J2" s="6">
        <v>1</v>
      </c>
      <c r="K2" s="6">
        <v>3</v>
      </c>
      <c r="L2" s="6" t="s">
        <v>825</v>
      </c>
      <c r="M2" s="6" t="s">
        <v>809</v>
      </c>
      <c r="N2" s="6"/>
      <c r="O2" s="7"/>
      <c r="P2" s="6"/>
      <c r="Q2" s="6">
        <v>2475</v>
      </c>
      <c r="R2" s="6"/>
      <c r="S2" s="6" t="s">
        <v>963</v>
      </c>
      <c r="T2" s="6" t="s">
        <v>963</v>
      </c>
      <c r="U2" s="6" t="s">
        <v>848</v>
      </c>
      <c r="V2" s="6" t="s">
        <v>1015</v>
      </c>
      <c r="W2" s="6"/>
      <c r="X2" s="6"/>
      <c r="Y2" s="6"/>
      <c r="Z2" s="6"/>
      <c r="AA2" s="6"/>
      <c r="AB2" s="6"/>
      <c r="AC2" s="6"/>
      <c r="AD2" s="6"/>
      <c r="AE2" s="6"/>
      <c r="AF2" t="s">
        <v>19</v>
      </c>
      <c r="AG2" t="s">
        <v>20</v>
      </c>
      <c r="AI2">
        <v>1</v>
      </c>
    </row>
    <row r="3" spans="1:35" ht="29">
      <c r="A3" t="s">
        <v>75</v>
      </c>
      <c r="B3" s="3" t="s">
        <v>368</v>
      </c>
      <c r="C3" s="3" t="s">
        <v>367</v>
      </c>
      <c r="G3" t="s">
        <v>882</v>
      </c>
      <c r="H3" s="6" t="s">
        <v>24</v>
      </c>
      <c r="I3" s="6"/>
      <c r="J3" s="6">
        <v>1</v>
      </c>
      <c r="K3" s="6">
        <v>1</v>
      </c>
      <c r="L3" s="6" t="s">
        <v>808</v>
      </c>
      <c r="M3" s="6" t="s">
        <v>850</v>
      </c>
      <c r="N3" s="6"/>
      <c r="O3" s="7"/>
      <c r="P3" s="6"/>
      <c r="Q3" s="6">
        <v>2475</v>
      </c>
      <c r="R3" s="6"/>
      <c r="S3" s="6" t="s">
        <v>963</v>
      </c>
      <c r="T3" s="6" t="s">
        <v>963</v>
      </c>
      <c r="U3" s="6" t="s">
        <v>4</v>
      </c>
      <c r="V3" s="6" t="s">
        <v>1016</v>
      </c>
      <c r="W3" s="6"/>
      <c r="X3" s="6"/>
      <c r="Y3" s="6"/>
      <c r="Z3" s="6"/>
      <c r="AA3" s="6"/>
      <c r="AB3" s="6"/>
      <c r="AC3" s="6"/>
      <c r="AD3" s="6"/>
      <c r="AE3" s="6"/>
      <c r="AF3" t="s">
        <v>19</v>
      </c>
      <c r="AG3" t="s">
        <v>19</v>
      </c>
      <c r="AI3">
        <v>1</v>
      </c>
    </row>
    <row r="4" spans="1:35" ht="116">
      <c r="A4" t="s">
        <v>79</v>
      </c>
      <c r="B4" s="3" t="s">
        <v>376</v>
      </c>
      <c r="C4" s="3" t="s">
        <v>884</v>
      </c>
      <c r="G4" t="s">
        <v>885</v>
      </c>
      <c r="H4" s="6" t="s">
        <v>26</v>
      </c>
      <c r="I4" s="6"/>
      <c r="J4" s="6"/>
      <c r="K4" s="6"/>
      <c r="L4" s="6"/>
      <c r="M4" s="6"/>
      <c r="N4" s="6"/>
      <c r="O4" s="7"/>
      <c r="P4" s="6"/>
      <c r="Q4" s="6"/>
      <c r="R4" s="6"/>
      <c r="S4" s="6" t="s">
        <v>963</v>
      </c>
      <c r="T4" s="6" t="s">
        <v>963</v>
      </c>
      <c r="U4" s="6" t="s">
        <v>848</v>
      </c>
      <c r="V4" s="6" t="s">
        <v>1015</v>
      </c>
      <c r="W4" s="6"/>
      <c r="X4" s="6"/>
      <c r="Y4" s="6"/>
      <c r="Z4" s="6"/>
      <c r="AA4" s="6"/>
      <c r="AB4" s="6"/>
      <c r="AC4" s="6"/>
      <c r="AD4" s="6"/>
      <c r="AE4" s="6"/>
      <c r="AF4" t="s">
        <v>19</v>
      </c>
      <c r="AG4" t="s">
        <v>19</v>
      </c>
      <c r="AI4">
        <v>1</v>
      </c>
    </row>
    <row r="5" spans="1:35" ht="58">
      <c r="A5" t="s">
        <v>171</v>
      </c>
      <c r="B5" s="3" t="s">
        <v>546</v>
      </c>
      <c r="C5" s="3" t="s">
        <v>545</v>
      </c>
      <c r="G5" t="s">
        <v>899</v>
      </c>
      <c r="H5" s="6" t="s">
        <v>25</v>
      </c>
      <c r="I5" s="6"/>
      <c r="J5" s="6">
        <v>1</v>
      </c>
      <c r="K5" s="6">
        <v>3</v>
      </c>
      <c r="L5" s="6" t="s">
        <v>854</v>
      </c>
      <c r="M5" s="6" t="s">
        <v>809</v>
      </c>
      <c r="N5" s="6"/>
      <c r="O5" s="7"/>
      <c r="P5" s="6"/>
      <c r="Q5" s="6">
        <v>14</v>
      </c>
      <c r="R5" s="6"/>
      <c r="S5" s="6" t="s">
        <v>963</v>
      </c>
      <c r="T5" s="6" t="s">
        <v>963</v>
      </c>
      <c r="U5" s="6" t="s">
        <v>4</v>
      </c>
      <c r="V5" s="6" t="s">
        <v>1016</v>
      </c>
      <c r="W5" s="6"/>
      <c r="X5" s="6"/>
      <c r="Y5" s="6"/>
      <c r="Z5" s="6"/>
      <c r="AA5" s="6"/>
      <c r="AB5" s="6"/>
      <c r="AC5" s="6"/>
      <c r="AD5" s="6"/>
      <c r="AE5" s="6"/>
      <c r="AF5" t="s">
        <v>19</v>
      </c>
      <c r="AG5" t="s">
        <v>19</v>
      </c>
      <c r="AI5">
        <v>1</v>
      </c>
    </row>
    <row r="6" spans="1:35" ht="43.5">
      <c r="A6" t="s">
        <v>214</v>
      </c>
      <c r="B6" s="3" t="s">
        <v>647</v>
      </c>
      <c r="C6" s="3" t="s">
        <v>644</v>
      </c>
      <c r="G6" t="s">
        <v>908</v>
      </c>
      <c r="H6" s="6" t="s">
        <v>25</v>
      </c>
      <c r="I6" s="6"/>
      <c r="J6" s="6">
        <v>2</v>
      </c>
      <c r="K6" s="6">
        <v>3</v>
      </c>
      <c r="L6" s="6"/>
      <c r="M6" s="6" t="s">
        <v>809</v>
      </c>
      <c r="N6" s="6"/>
      <c r="O6" s="7"/>
      <c r="P6" s="6"/>
      <c r="Q6" s="6">
        <v>250</v>
      </c>
      <c r="R6" s="6"/>
      <c r="S6" s="6" t="s">
        <v>963</v>
      </c>
      <c r="T6" s="6" t="s">
        <v>963</v>
      </c>
      <c r="U6" s="6" t="s">
        <v>848</v>
      </c>
      <c r="V6" s="6" t="s">
        <v>1016</v>
      </c>
      <c r="W6" s="6"/>
      <c r="X6" s="6"/>
      <c r="Y6" s="6"/>
      <c r="Z6" s="6"/>
      <c r="AA6" s="6"/>
      <c r="AB6" s="6"/>
      <c r="AC6" s="6"/>
      <c r="AD6" s="6"/>
      <c r="AE6" s="6"/>
      <c r="AF6" t="s">
        <v>19</v>
      </c>
      <c r="AG6" t="s">
        <v>19</v>
      </c>
      <c r="AI6">
        <v>1</v>
      </c>
    </row>
    <row r="7" spans="1:35" ht="29">
      <c r="A7" t="s">
        <v>220</v>
      </c>
      <c r="B7" s="3" t="s">
        <v>651</v>
      </c>
      <c r="C7" s="3" t="s">
        <v>652</v>
      </c>
      <c r="G7" t="s">
        <v>909</v>
      </c>
      <c r="H7" s="6" t="s">
        <v>24</v>
      </c>
      <c r="I7" s="6"/>
      <c r="J7" s="6">
        <v>1</v>
      </c>
      <c r="K7" s="6">
        <v>1</v>
      </c>
      <c r="L7" s="6" t="s">
        <v>808</v>
      </c>
      <c r="M7" s="6" t="s">
        <v>850</v>
      </c>
      <c r="N7" s="6"/>
      <c r="O7" s="7"/>
      <c r="P7" s="6"/>
      <c r="Q7" s="6">
        <v>2475</v>
      </c>
      <c r="R7" s="6"/>
      <c r="S7" s="6" t="s">
        <v>963</v>
      </c>
      <c r="T7" s="6" t="s">
        <v>963</v>
      </c>
      <c r="U7" s="6" t="s">
        <v>4</v>
      </c>
      <c r="V7" s="6" t="s">
        <v>1015</v>
      </c>
      <c r="W7" s="6"/>
      <c r="X7" s="6"/>
      <c r="Y7" s="6"/>
      <c r="Z7" s="6"/>
      <c r="AA7" s="6"/>
      <c r="AB7" s="6"/>
      <c r="AC7" s="6"/>
      <c r="AD7" s="6"/>
      <c r="AE7" s="6"/>
      <c r="AF7" t="s">
        <v>19</v>
      </c>
      <c r="AG7" t="s">
        <v>19</v>
      </c>
      <c r="AI7">
        <v>1</v>
      </c>
    </row>
    <row r="8" spans="1:35" ht="43.5">
      <c r="A8" t="s">
        <v>280</v>
      </c>
      <c r="B8" s="3" t="s">
        <v>757</v>
      </c>
      <c r="C8" s="3" t="s">
        <v>756</v>
      </c>
      <c r="G8" t="s">
        <v>912</v>
      </c>
      <c r="H8" s="6" t="s">
        <v>25</v>
      </c>
      <c r="I8" s="6"/>
      <c r="J8" s="6">
        <v>1</v>
      </c>
      <c r="K8" s="6">
        <v>5</v>
      </c>
      <c r="L8" s="6" t="s">
        <v>825</v>
      </c>
      <c r="M8" s="6" t="s">
        <v>809</v>
      </c>
      <c r="N8" s="6"/>
      <c r="O8" s="7"/>
      <c r="P8" s="6"/>
      <c r="Q8" s="6">
        <v>830</v>
      </c>
      <c r="R8" s="6"/>
      <c r="S8" s="6" t="s">
        <v>963</v>
      </c>
      <c r="T8" s="6" t="s">
        <v>963</v>
      </c>
      <c r="U8" s="6" t="s">
        <v>848</v>
      </c>
      <c r="V8" s="6" t="s">
        <v>1016</v>
      </c>
      <c r="W8" s="6"/>
      <c r="X8" s="6"/>
      <c r="Y8" s="6"/>
      <c r="Z8" s="6"/>
      <c r="AA8" s="6"/>
      <c r="AB8" s="6"/>
      <c r="AC8" s="6"/>
      <c r="AD8" s="6"/>
      <c r="AE8" s="6"/>
      <c r="AF8" t="s">
        <v>19</v>
      </c>
      <c r="AG8" t="s">
        <v>19</v>
      </c>
      <c r="AI8">
        <v>1</v>
      </c>
    </row>
    <row r="11" spans="1:35">
      <c r="D11" t="s">
        <v>988</v>
      </c>
      <c r="E11">
        <f>COUNTIF(U:U, "Harmonizing")</f>
        <v>3</v>
      </c>
    </row>
    <row r="12" spans="1:35">
      <c r="D12" t="s">
        <v>989</v>
      </c>
      <c r="E12">
        <f>COUNTIF(U:U, "Disharmonizing")</f>
        <v>4</v>
      </c>
    </row>
    <row r="13" spans="1:35">
      <c r="D13" t="s">
        <v>990</v>
      </c>
      <c r="E13">
        <f>E11/(E11+E12)</f>
        <v>0.42857142857142855</v>
      </c>
    </row>
    <row r="16" spans="1:35">
      <c r="E16" s="10" t="s">
        <v>1018</v>
      </c>
      <c r="F16" s="10"/>
      <c r="G16" s="10"/>
      <c r="H16" s="10"/>
    </row>
    <row r="17" spans="4:10">
      <c r="E17" t="s">
        <v>1020</v>
      </c>
      <c r="F17" t="s">
        <v>1021</v>
      </c>
      <c r="G17" t="s">
        <v>1022</v>
      </c>
      <c r="H17" t="s">
        <v>1023</v>
      </c>
      <c r="I17" t="s">
        <v>1017</v>
      </c>
      <c r="J17" t="s">
        <v>950</v>
      </c>
    </row>
    <row r="18" spans="4:10">
      <c r="D18" t="s">
        <v>988</v>
      </c>
      <c r="E18">
        <f>COUNTIFS($U$2:$U$8,"Harmonizing",$V$2:$V$8,"forward")</f>
        <v>1</v>
      </c>
      <c r="F18">
        <f>COUNTIFS($U$2:$U$8,"Harmonizing",$V$2:$V$8,"forward") + COUNTIFS($U$2:$U$8,"Harmonizing",$V$2:$V$8,"both")</f>
        <v>1</v>
      </c>
      <c r="G18">
        <f>COUNTIFS($U$2:$U$8,"Harmonizing",$V$2:$V$8,"backward")</f>
        <v>2</v>
      </c>
      <c r="H18">
        <f>COUNTIFS($U$2:$U$8,"Harmonizing",$V$2:$V$8,"backward") + COUNTIFS($U$2:$U$8,"Harmonizing",$V$2:$V$8,"both")</f>
        <v>2</v>
      </c>
      <c r="I18">
        <f>COUNTIFS($U$2:$U$8,"Harmonizing",$V$2:$V$8,"both")</f>
        <v>0</v>
      </c>
      <c r="J18">
        <f>COUNTIFS($U$2:$U$8,"Harmonizing",$V$2:$V$8,"both") + COUNTIFS($U$2:$U$8,"Harmonizing",$V$2:$V$8,"forward") + COUNTIFS($U$2:$U$8,"Harmonizing",$V$2:$V$8,"backward")</f>
        <v>3</v>
      </c>
    </row>
    <row r="19" spans="4:10">
      <c r="D19" t="s">
        <v>989</v>
      </c>
      <c r="E19">
        <f>COUNTIFS($U$2:$U$8,"Disharmonizing",$V$2:$V$8,"forward")</f>
        <v>2</v>
      </c>
      <c r="F19">
        <f>COUNTIFS($U$2:$U$8,"Disharmonizing",$V$2:$V$8,"forward") + COUNTIFS($U$2:$U$8,"Disharmonizing",$V$2:$V$8,"both")</f>
        <v>2</v>
      </c>
      <c r="G19">
        <f>COUNTIFS($U$2:$U$8,"Disharmonizing",$V$2:$V$8,"backward")</f>
        <v>2</v>
      </c>
      <c r="H19">
        <f>COUNTIFS($U$2:$U$8,"Disharmonizing",$V$2:$V$8,"backward") + COUNTIFS($U$2:$U$8,"Disharmonizing",$V$2:$V$8,"both")</f>
        <v>2</v>
      </c>
      <c r="I19">
        <f>COUNTIFS($U$2:$U$8,"Disharmonizing",$V$2:$V$8,"both")</f>
        <v>0</v>
      </c>
      <c r="J19">
        <f>COUNTIFS($U$2:$U$8,"Disharmonizing",$V$2:$V$8,"both") + COUNTIFS($U$2:$U$8,"Disharmonizing",$V$2:$V$8,"forward") + COUNTIFS($U$2:$U$8,"Disharmonizing",$V$2:$V$8,"backward")</f>
        <v>4</v>
      </c>
    </row>
    <row r="20" spans="4:10">
      <c r="D20" t="s">
        <v>990</v>
      </c>
      <c r="E20">
        <f t="shared" ref="E20:G20" si="0">E18/(E18+E19)</f>
        <v>0.33333333333333331</v>
      </c>
      <c r="F20">
        <f t="shared" si="0"/>
        <v>0.33333333333333331</v>
      </c>
      <c r="G20">
        <f t="shared" si="0"/>
        <v>0.5</v>
      </c>
      <c r="H20">
        <f t="shared" ref="H20:J20" si="1">H18/(H18+H19)</f>
        <v>0.5</v>
      </c>
      <c r="I20" t="e">
        <f t="shared" si="1"/>
        <v>#DIV/0!</v>
      </c>
      <c r="J20">
        <f t="shared" si="1"/>
        <v>0.42857142857142855</v>
      </c>
    </row>
  </sheetData>
  <mergeCells count="1">
    <mergeCell ref="E16:H16"/>
  </mergeCells>
  <conditionalFormatting sqref="H2:H8">
    <cfRule type="expression" dxfId="171" priority="1">
      <formula>$J2&lt;&gt;""</formula>
    </cfRule>
    <cfRule type="expression" dxfId="170" priority="2">
      <formula>$J2=""</formula>
    </cfRule>
  </conditionalFormatting>
  <conditionalFormatting sqref="I2:M8 P2:Q8">
    <cfRule type="expression" dxfId="169" priority="13">
      <formula>AND(OR($J2="Addition",$J2="Omission"), I2="")</formula>
    </cfRule>
    <cfRule type="expression" dxfId="168" priority="14">
      <formula>AND($J2&lt;&gt;"Addition",$J2&lt;&gt;"Omission",$J2&lt;&gt;"Substitution - Word")</formula>
    </cfRule>
  </conditionalFormatting>
  <conditionalFormatting sqref="I2:Q8">
    <cfRule type="expression" dxfId="167" priority="12">
      <formula>AND(OR($J2="Addition",$J2="Omission"), I2&lt;&gt;"")</formula>
    </cfRule>
  </conditionalFormatting>
  <conditionalFormatting sqref="L2:L8">
    <cfRule type="expression" dxfId="166" priority="10">
      <formula>AND($L2&lt;&gt;"",$L2&gt;1)</formula>
    </cfRule>
  </conditionalFormatting>
  <conditionalFormatting sqref="N2:O8">
    <cfRule type="expression" dxfId="165" priority="6">
      <formula>$O2="Absent"</formula>
    </cfRule>
    <cfRule type="expression" dxfId="164" priority="7">
      <formula>$O2="NA"</formula>
    </cfRule>
    <cfRule type="expression" dxfId="163" priority="8">
      <formula>AND(OR($J2="Addition",$J2="Omission"), N2="")</formula>
    </cfRule>
    <cfRule type="expression" dxfId="162" priority="9">
      <formula>AND($J2&lt;&gt;"Addition",$J2&lt;&gt;"Omission")</formula>
    </cfRule>
  </conditionalFormatting>
  <conditionalFormatting sqref="P2:P8">
    <cfRule type="expression" dxfId="161" priority="11">
      <formula>OR($J2="Addition",$J2="Omission",$J2 = "Substitution - Word")</formula>
    </cfRule>
  </conditionalFormatting>
  <conditionalFormatting sqref="R2:T8">
    <cfRule type="expression" dxfId="160" priority="20">
      <formula>AND(AND(LEFT($J2,3)="Sub", RIGHT($J2,4)&lt;&gt;"Form"),$T2&lt;&gt;"")</formula>
    </cfRule>
    <cfRule type="expression" dxfId="159" priority="21">
      <formula>AND(AND(LEFT($J2,3)="Sub", RIGHT($J2,4)&lt;&gt;"Form"),$T2="")</formula>
    </cfRule>
    <cfRule type="expression" dxfId="158" priority="22">
      <formula>"&lt;&gt;AND(LEFT($J2,3)=""Sub"", RIGHT($J2,4)&lt;&gt;""Form"")"</formula>
    </cfRule>
  </conditionalFormatting>
  <conditionalFormatting sqref="U2:V8">
    <cfRule type="expression" dxfId="157" priority="4">
      <formula>AND($X2&lt;&gt;"",OR($AE2="Yes",$AF2&lt;&gt;""))</formula>
    </cfRule>
    <cfRule type="expression" dxfId="156" priority="5">
      <formula>OR($AE2="Yes",$AF2&lt;&gt;"")</formula>
    </cfRule>
    <cfRule type="expression" dxfId="155" priority="17">
      <formula>AND($AE2&lt;&gt;"Yes",$AF2="")</formula>
    </cfRule>
  </conditionalFormatting>
  <conditionalFormatting sqref="U2:AE8">
    <cfRule type="expression" dxfId="154" priority="15">
      <formula>AND($J2&lt;&gt;"",$J2&lt;&gt;"Unclear due to correction")</formula>
    </cfRule>
    <cfRule type="expression" dxfId="153" priority="16">
      <formula>OR($J2="",$J2="Unclear due to correction")</formula>
    </cfRule>
  </conditionalFormatting>
  <conditionalFormatting sqref="W2:W8">
    <cfRule type="expression" dxfId="152" priority="3">
      <formula>AND($J2&lt;&gt;"",$J2&lt;&gt;"Unclear due to correction",$Y2="")</formula>
    </cfRule>
  </conditionalFormatting>
  <conditionalFormatting sqref="X2:X8">
    <cfRule type="expression" dxfId="151" priority="18">
      <formula>AND($Y2="Yes",$Z2="")</formula>
    </cfRule>
    <cfRule type="expression" dxfId="150" priority="19">
      <formula>$Y2=""</formula>
    </cfRule>
  </conditionalFormatting>
  <conditionalFormatting sqref="AC2:AC8">
    <cfRule type="expression" dxfId="149" priority="23">
      <formula>AND(OR($AC2&lt;&gt;"",$AD2&lt;&gt;""),$AE2="")</formula>
    </cfRule>
  </conditionalFormatting>
  <dataValidations disablePrompts="1" count="1">
    <dataValidation allowBlank="1" showInputMessage="1" sqref="W2:W8" xr:uid="{6B5DA80D-E99A-406E-BCA2-AF169C70FC4F}"/>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16">
        <x14:dataValidation type="list" allowBlank="1" showInputMessage="1" showErrorMessage="1" xr:uid="{593C112F-6316-4972-8E08-4661E75F16FF}">
          <x14:formula1>
            <xm:f>'Data Regularization'!$Q$2:$Q$4</xm:f>
          </x14:formula1>
          <xm:sqref>AH2:AH8 AF2:AF8</xm:sqref>
        </x14:dataValidation>
        <x14:dataValidation type="list" allowBlank="1" showInputMessage="1" showErrorMessage="1" xr:uid="{0E65D98A-C56F-416E-AC0F-EECCED616F32}">
          <x14:formula1>
            <xm:f>'Data Regularization'!$D$2:$D$1048576</xm:f>
          </x14:formula1>
          <xm:sqref>H2:H8</xm:sqref>
        </x14:dataValidation>
        <x14:dataValidation type="list" allowBlank="1" showInputMessage="1" showErrorMessage="1" xr:uid="{F9A307D3-5FDC-47D8-9E99-373674A0D42D}">
          <x14:formula1>
            <xm:f>'Data Regularization'!$E$2:$E$1048576</xm:f>
          </x14:formula1>
          <xm:sqref>L2:L8</xm:sqref>
        </x14:dataValidation>
        <x14:dataValidation type="list" allowBlank="1" showInputMessage="1" showErrorMessage="1" xr:uid="{4D1C3656-0D74-44A0-80FE-B9A657BA86B9}">
          <x14:formula1>
            <xm:f>'Data Regularization'!$F$2:$F$1048576</xm:f>
          </x14:formula1>
          <xm:sqref>M2:M8</xm:sqref>
        </x14:dataValidation>
        <x14:dataValidation type="list" allowBlank="1" showInputMessage="1" showErrorMessage="1" xr:uid="{156BFF04-1C23-4E4C-989A-3446F8B4BE4C}">
          <x14:formula1>
            <xm:f>'Data Regularization'!$G$2:$G$1048576</xm:f>
          </x14:formula1>
          <xm:sqref>P2:P8</xm:sqref>
        </x14:dataValidation>
        <x14:dataValidation type="list" allowBlank="1" showInputMessage="1" showErrorMessage="1" xr:uid="{4A6C3EF9-5658-4158-889E-5744F68DE23A}">
          <x14:formula1>
            <xm:f>'Data Regularization'!$K$2:$K$1048576</xm:f>
          </x14:formula1>
          <xm:sqref>U2:U8 X2:X8</xm:sqref>
        </x14:dataValidation>
        <x14:dataValidation type="list" allowBlank="1" showInputMessage="1" showErrorMessage="1" xr:uid="{2776A545-DE16-425C-8B70-4DD732CC6D63}">
          <x14:formula1>
            <xm:f>'Data Regularization'!$L$2:$L$1048576</xm:f>
          </x14:formula1>
          <xm:sqref>Y2:Y8</xm:sqref>
        </x14:dataValidation>
        <x14:dataValidation type="list" allowBlank="1" showInputMessage="1" showErrorMessage="1" xr:uid="{54CC9360-C8B8-4E4B-B52C-538FB014C690}">
          <x14:formula1>
            <xm:f>'Data Regularization'!$M$2:$M$1048576</xm:f>
          </x14:formula1>
          <xm:sqref>Z2:Z8</xm:sqref>
        </x14:dataValidation>
        <x14:dataValidation type="list" allowBlank="1" showInputMessage="1" showErrorMessage="1" xr:uid="{894A08E5-0669-4D25-AE01-CD45BA683942}">
          <x14:formula1>
            <xm:f>'Data Regularization'!$N$2:$N$1048576</xm:f>
          </x14:formula1>
          <xm:sqref>AA2:AA8</xm:sqref>
        </x14:dataValidation>
        <x14:dataValidation type="list" allowBlank="1" showInputMessage="1" showErrorMessage="1" xr:uid="{1D877896-C8B2-444C-8476-8F280776AFC6}">
          <x14:formula1>
            <xm:f>'Data Regularization'!$O$2:$O$1048576</xm:f>
          </x14:formula1>
          <xm:sqref>AC2:AC8</xm:sqref>
        </x14:dataValidation>
        <x14:dataValidation type="list" allowBlank="1" showInputMessage="1" showErrorMessage="1" xr:uid="{B9719E94-81C7-4685-8E91-B15CF10B93A3}">
          <x14:formula1>
            <xm:f>'Data Regularization'!$P$2:$P$1048576</xm:f>
          </x14:formula1>
          <xm:sqref>AD2:AD8</xm:sqref>
        </x14:dataValidation>
        <x14:dataValidation type="list" allowBlank="1" showInputMessage="1" showErrorMessage="1" xr:uid="{CFFB92F5-7116-49FE-A759-E13FFE594D1C}">
          <x14:formula1>
            <xm:f>'Data Regularization'!$Q$2:$Q$1048576</xm:f>
          </x14:formula1>
          <xm:sqref>AE2:AE8</xm:sqref>
        </x14:dataValidation>
        <x14:dataValidation type="list" allowBlank="1" showInputMessage="1" showErrorMessage="1" xr:uid="{58D77DF7-2FF4-467E-AFCA-BABFE9F7FEE2}">
          <x14:formula1>
            <xm:f>'Data Regularization'!$C$2:$C$29</xm:f>
          </x14:formula1>
          <xm:sqref>F2:F8</xm:sqref>
        </x14:dataValidation>
        <x14:dataValidation type="list" allowBlank="1" showInputMessage="1" showErrorMessage="1" xr:uid="{095FF7A7-8909-41E2-868F-32A3A8C50CA8}">
          <x14:formula1>
            <xm:f>'Data Regularization'!$A$2:$A$1048576</xm:f>
          </x14:formula1>
          <xm:sqref>D2:D8</xm:sqref>
        </x14:dataValidation>
        <x14:dataValidation type="list" allowBlank="1" showInputMessage="1" showErrorMessage="1" xr:uid="{7CE9A6DB-4F50-4CC1-91A7-E450FA65533F}">
          <x14:formula1>
            <xm:f>'Data Regularization'!$B$2:$B$1048576</xm:f>
          </x14:formula1>
          <xm:sqref>E2:E8</xm:sqref>
        </x14:dataValidation>
        <x14:dataValidation type="list" allowBlank="1" showInputMessage="1" showErrorMessage="1" xr:uid="{0DE337E8-1689-4860-B33F-5AD646553F13}">
          <x14:formula1>
            <xm:f>'Data Regularization'!$I$2:$I$5</xm:f>
          </x14:formula1>
          <xm:sqref>V2:V8</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8330-07EB-4536-B8C2-498814C75758}">
  <dimension ref="A1:AG57"/>
  <sheetViews>
    <sheetView workbookViewId="0">
      <pane xSplit="6" ySplit="1" topLeftCell="G2" activePane="bottomRight" state="frozen"/>
      <selection pane="topRight" activeCell="G1" sqref="G1"/>
      <selection pane="bottomLeft" activeCell="A2" sqref="A2"/>
      <selection pane="bottomRight" activeCell="G2" sqref="G2"/>
    </sheetView>
  </sheetViews>
  <sheetFormatPr defaultRowHeight="14.5"/>
  <cols>
    <col min="4" max="6" width="0" hidden="1" customWidth="1"/>
  </cols>
  <sheetData>
    <row r="1" spans="1:33" s="1" customFormat="1" ht="29">
      <c r="A1" s="1" t="s">
        <v>0</v>
      </c>
      <c r="B1" s="1" t="s">
        <v>5</v>
      </c>
      <c r="C1" s="2" t="s">
        <v>6</v>
      </c>
      <c r="D1" s="1" t="s">
        <v>831</v>
      </c>
      <c r="E1" s="1" t="s">
        <v>832</v>
      </c>
      <c r="F1" s="1" t="s">
        <v>833</v>
      </c>
      <c r="G1" s="1" t="s">
        <v>3</v>
      </c>
      <c r="H1" s="1" t="s">
        <v>834</v>
      </c>
      <c r="I1" s="1" t="s">
        <v>835</v>
      </c>
      <c r="J1" s="1" t="s">
        <v>836</v>
      </c>
      <c r="K1" s="1" t="s">
        <v>837</v>
      </c>
      <c r="L1" s="1" t="s">
        <v>796</v>
      </c>
      <c r="M1" s="1" t="s">
        <v>838</v>
      </c>
      <c r="N1" s="5" t="s">
        <v>839</v>
      </c>
      <c r="O1" s="1" t="s">
        <v>797</v>
      </c>
      <c r="P1" s="1" t="s">
        <v>840</v>
      </c>
      <c r="Q1" s="1" t="s">
        <v>841</v>
      </c>
      <c r="R1" s="1" t="s">
        <v>961</v>
      </c>
      <c r="S1" s="1" t="s">
        <v>962</v>
      </c>
      <c r="T1" s="1" t="s">
        <v>844</v>
      </c>
      <c r="U1" s="1" t="s">
        <v>845</v>
      </c>
      <c r="V1" s="1" t="s">
        <v>846</v>
      </c>
      <c r="W1" s="1" t="s">
        <v>798</v>
      </c>
      <c r="X1" s="1" t="s">
        <v>799</v>
      </c>
      <c r="Y1" s="1" t="s">
        <v>800</v>
      </c>
      <c r="Z1" s="1" t="s">
        <v>842</v>
      </c>
      <c r="AA1" s="1" t="s">
        <v>847</v>
      </c>
      <c r="AB1" s="1" t="s">
        <v>801</v>
      </c>
      <c r="AC1" s="1" t="s">
        <v>843</v>
      </c>
      <c r="AD1" s="1" t="s">
        <v>859</v>
      </c>
      <c r="AE1" s="1" t="s">
        <v>857</v>
      </c>
      <c r="AF1" s="1" t="s">
        <v>858</v>
      </c>
    </row>
    <row r="2" spans="1:33">
      <c r="A2" t="s">
        <v>45</v>
      </c>
      <c r="B2" s="3" t="s">
        <v>46</v>
      </c>
      <c r="C2" s="3" t="s">
        <v>47</v>
      </c>
      <c r="F2" t="s">
        <v>19</v>
      </c>
      <c r="G2" s="6" t="s">
        <v>849</v>
      </c>
      <c r="H2" s="6"/>
      <c r="I2" s="6"/>
      <c r="J2" s="6"/>
      <c r="K2" s="6"/>
      <c r="L2" s="6"/>
      <c r="M2" s="6"/>
      <c r="N2" s="7"/>
      <c r="O2" s="6"/>
      <c r="P2" s="6"/>
      <c r="Q2" s="6">
        <v>-2</v>
      </c>
      <c r="R2" s="6">
        <v>2</v>
      </c>
      <c r="S2" s="6">
        <v>0</v>
      </c>
      <c r="T2" s="6"/>
      <c r="U2" s="6"/>
      <c r="V2" s="6"/>
      <c r="W2" s="6"/>
      <c r="X2" s="6"/>
      <c r="Y2" s="6"/>
      <c r="Z2" s="6"/>
      <c r="AA2" s="6"/>
      <c r="AB2" s="6"/>
      <c r="AC2" s="6"/>
      <c r="AD2" t="s">
        <v>20</v>
      </c>
      <c r="AE2" t="s">
        <v>20</v>
      </c>
      <c r="AG2">
        <v>0</v>
      </c>
    </row>
    <row r="3" spans="1:33" ht="43.5">
      <c r="A3" t="s">
        <v>50</v>
      </c>
      <c r="B3" s="3" t="s">
        <v>332</v>
      </c>
      <c r="C3" s="3" t="s">
        <v>331</v>
      </c>
      <c r="G3" s="6" t="s">
        <v>25</v>
      </c>
      <c r="H3" s="6"/>
      <c r="I3" s="6">
        <v>1</v>
      </c>
      <c r="J3" s="6">
        <v>4</v>
      </c>
      <c r="K3" s="6" t="s">
        <v>825</v>
      </c>
      <c r="L3" s="6" t="s">
        <v>809</v>
      </c>
      <c r="M3" s="6"/>
      <c r="N3" s="7"/>
      <c r="O3" s="6"/>
      <c r="P3" s="6">
        <v>743</v>
      </c>
      <c r="Q3" s="6"/>
      <c r="R3" s="6" t="s">
        <v>963</v>
      </c>
      <c r="S3" s="6" t="s">
        <v>963</v>
      </c>
      <c r="T3" s="6"/>
      <c r="U3" s="6"/>
      <c r="V3" s="6"/>
      <c r="W3" s="6"/>
      <c r="X3" s="6"/>
      <c r="Y3" s="6"/>
      <c r="Z3" s="6"/>
      <c r="AA3" s="6"/>
      <c r="AB3" s="6"/>
      <c r="AC3" s="6"/>
      <c r="AD3" t="s">
        <v>19</v>
      </c>
      <c r="AE3" t="s">
        <v>20</v>
      </c>
      <c r="AG3">
        <v>1</v>
      </c>
    </row>
    <row r="4" spans="1:33" ht="87">
      <c r="A4" t="s">
        <v>54</v>
      </c>
      <c r="B4" s="3" t="s">
        <v>334</v>
      </c>
      <c r="C4" s="3" t="s">
        <v>335</v>
      </c>
      <c r="G4" s="6" t="s">
        <v>24</v>
      </c>
      <c r="H4" s="6"/>
      <c r="I4" s="6">
        <v>1</v>
      </c>
      <c r="J4" s="6">
        <v>2</v>
      </c>
      <c r="K4" s="6" t="s">
        <v>827</v>
      </c>
      <c r="L4" s="6" t="s">
        <v>850</v>
      </c>
      <c r="M4" s="6"/>
      <c r="N4" s="7"/>
      <c r="O4" s="6"/>
      <c r="P4" s="6">
        <v>613</v>
      </c>
      <c r="Q4" s="6"/>
      <c r="R4" s="6" t="s">
        <v>963</v>
      </c>
      <c r="S4" s="6" t="s">
        <v>963</v>
      </c>
      <c r="T4" s="6"/>
      <c r="U4" s="6"/>
      <c r="V4" s="6"/>
      <c r="W4" s="6"/>
      <c r="X4" s="6"/>
      <c r="Y4" s="6"/>
      <c r="Z4" s="6"/>
      <c r="AA4" s="6"/>
      <c r="AB4" s="6"/>
      <c r="AC4" s="6"/>
      <c r="AD4" t="s">
        <v>19</v>
      </c>
      <c r="AE4" t="s">
        <v>20</v>
      </c>
      <c r="AG4">
        <v>1</v>
      </c>
    </row>
    <row r="5" spans="1:33" ht="29">
      <c r="A5" t="s">
        <v>61</v>
      </c>
      <c r="B5" s="3" t="s">
        <v>343</v>
      </c>
      <c r="C5" s="3" t="s">
        <v>342</v>
      </c>
      <c r="G5" s="6" t="s">
        <v>849</v>
      </c>
      <c r="H5" s="6"/>
      <c r="I5" s="6"/>
      <c r="J5" s="6"/>
      <c r="K5" s="6"/>
      <c r="L5" s="6"/>
      <c r="M5" s="6"/>
      <c r="N5" s="7"/>
      <c r="O5" s="6"/>
      <c r="P5" s="6"/>
      <c r="Q5" s="6">
        <v>121</v>
      </c>
      <c r="R5" s="6">
        <v>8</v>
      </c>
      <c r="S5" s="6">
        <v>129</v>
      </c>
      <c r="T5" s="6"/>
      <c r="U5" s="6"/>
      <c r="V5" s="6"/>
      <c r="W5" s="6"/>
      <c r="X5" s="6"/>
      <c r="Y5" s="6"/>
      <c r="Z5" s="6"/>
      <c r="AA5" s="6"/>
      <c r="AB5" s="6"/>
      <c r="AC5" s="6"/>
      <c r="AD5" t="s">
        <v>19</v>
      </c>
      <c r="AE5" t="s">
        <v>20</v>
      </c>
      <c r="AG5">
        <v>1</v>
      </c>
    </row>
    <row r="6" spans="1:33" ht="58">
      <c r="A6" t="s">
        <v>62</v>
      </c>
      <c r="B6" s="3" t="s">
        <v>344</v>
      </c>
      <c r="C6" s="3" t="s">
        <v>345</v>
      </c>
      <c r="F6" t="s">
        <v>22</v>
      </c>
      <c r="G6" s="6" t="s">
        <v>849</v>
      </c>
      <c r="H6" s="6"/>
      <c r="I6" s="6"/>
      <c r="J6" s="6"/>
      <c r="K6" s="6"/>
      <c r="L6" s="6"/>
      <c r="M6" s="6"/>
      <c r="N6" s="7"/>
      <c r="O6" s="6"/>
      <c r="P6" s="6"/>
      <c r="Q6" s="6">
        <v>680</v>
      </c>
      <c r="R6" s="6">
        <v>150</v>
      </c>
      <c r="S6" s="6">
        <v>830</v>
      </c>
      <c r="T6" s="6"/>
      <c r="U6" s="6"/>
      <c r="V6" s="6"/>
      <c r="W6" s="6"/>
      <c r="X6" s="6"/>
      <c r="Y6" s="6"/>
      <c r="Z6" s="6"/>
      <c r="AA6" s="6"/>
      <c r="AB6" s="6"/>
      <c r="AC6" s="6"/>
      <c r="AD6" t="s">
        <v>19</v>
      </c>
      <c r="AE6" t="s">
        <v>20</v>
      </c>
      <c r="AG6">
        <v>1</v>
      </c>
    </row>
    <row r="7" spans="1:33" ht="29">
      <c r="A7" t="s">
        <v>63</v>
      </c>
      <c r="B7" s="3" t="s">
        <v>349</v>
      </c>
      <c r="C7" s="3" t="s">
        <v>350</v>
      </c>
      <c r="G7" s="6" t="s">
        <v>25</v>
      </c>
      <c r="H7" s="6"/>
      <c r="I7" s="6">
        <v>1</v>
      </c>
      <c r="J7" s="6">
        <v>3</v>
      </c>
      <c r="K7" s="6" t="s">
        <v>825</v>
      </c>
      <c r="L7" s="6" t="s">
        <v>809</v>
      </c>
      <c r="M7" s="6"/>
      <c r="N7" s="7"/>
      <c r="O7" s="6"/>
      <c r="P7" s="6">
        <v>2475</v>
      </c>
      <c r="Q7" s="6"/>
      <c r="R7" s="6" t="s">
        <v>963</v>
      </c>
      <c r="S7" s="6" t="s">
        <v>963</v>
      </c>
      <c r="T7" s="6" t="s">
        <v>848</v>
      </c>
      <c r="U7" s="6"/>
      <c r="V7" s="6"/>
      <c r="W7" s="6"/>
      <c r="X7" s="6"/>
      <c r="Y7" s="6"/>
      <c r="Z7" s="6"/>
      <c r="AA7" s="6"/>
      <c r="AB7" s="6"/>
      <c r="AC7" s="6"/>
      <c r="AD7" t="s">
        <v>19</v>
      </c>
      <c r="AE7" t="s">
        <v>20</v>
      </c>
      <c r="AG7">
        <v>1</v>
      </c>
    </row>
    <row r="8" spans="1:33" ht="43.5">
      <c r="A8" t="s">
        <v>75</v>
      </c>
      <c r="B8" s="3" t="s">
        <v>366</v>
      </c>
      <c r="C8" s="3" t="s">
        <v>365</v>
      </c>
      <c r="G8" s="6" t="s">
        <v>851</v>
      </c>
      <c r="H8" s="6"/>
      <c r="I8" s="6"/>
      <c r="J8" s="6"/>
      <c r="K8" s="6"/>
      <c r="L8" s="6"/>
      <c r="M8" s="6"/>
      <c r="N8" s="7"/>
      <c r="O8" s="6"/>
      <c r="P8" s="6"/>
      <c r="Q8" s="6"/>
      <c r="R8" s="6" t="s">
        <v>963</v>
      </c>
      <c r="S8" s="6" t="s">
        <v>963</v>
      </c>
      <c r="T8" s="6"/>
      <c r="U8" s="6"/>
      <c r="V8" s="6"/>
      <c r="W8" s="6"/>
      <c r="X8" s="6"/>
      <c r="Y8" s="6"/>
      <c r="Z8" s="6"/>
      <c r="AA8" s="6"/>
      <c r="AB8" s="6"/>
      <c r="AC8" s="6"/>
      <c r="AD8" t="s">
        <v>20</v>
      </c>
      <c r="AE8" t="s">
        <v>20</v>
      </c>
      <c r="AG8">
        <v>0</v>
      </c>
    </row>
    <row r="9" spans="1:33" ht="116">
      <c r="A9" t="s">
        <v>79</v>
      </c>
      <c r="B9" s="3" t="s">
        <v>375</v>
      </c>
      <c r="C9" s="3" t="s">
        <v>883</v>
      </c>
      <c r="G9" s="6" t="s">
        <v>24</v>
      </c>
      <c r="H9" s="6"/>
      <c r="I9" s="6">
        <v>1</v>
      </c>
      <c r="J9" s="6">
        <v>3</v>
      </c>
      <c r="K9" s="6" t="s">
        <v>818</v>
      </c>
      <c r="L9" s="6" t="s">
        <v>803</v>
      </c>
      <c r="M9" s="6" t="s">
        <v>866</v>
      </c>
      <c r="N9" s="7" t="s">
        <v>867</v>
      </c>
      <c r="O9" s="6"/>
      <c r="P9" s="6">
        <v>1701</v>
      </c>
      <c r="Q9" s="6"/>
      <c r="R9" s="6" t="s">
        <v>963</v>
      </c>
      <c r="S9" s="6" t="s">
        <v>963</v>
      </c>
      <c r="T9" s="6"/>
      <c r="U9" s="6"/>
      <c r="V9" s="6"/>
      <c r="W9" s="6"/>
      <c r="X9" s="6"/>
      <c r="Y9" s="6"/>
      <c r="Z9" s="6"/>
      <c r="AA9" s="6"/>
      <c r="AB9" s="6"/>
      <c r="AC9" s="6"/>
      <c r="AD9" t="s">
        <v>19</v>
      </c>
      <c r="AE9" t="s">
        <v>20</v>
      </c>
      <c r="AG9">
        <v>1</v>
      </c>
    </row>
    <row r="10" spans="1:33" ht="409.5">
      <c r="A10" t="s">
        <v>80</v>
      </c>
      <c r="B10" s="3" t="s">
        <v>889</v>
      </c>
      <c r="C10" s="3" t="s">
        <v>890</v>
      </c>
      <c r="G10" s="6" t="s">
        <v>26</v>
      </c>
      <c r="H10" s="6"/>
      <c r="I10" s="6"/>
      <c r="J10" s="6"/>
      <c r="K10" s="6"/>
      <c r="L10" s="6"/>
      <c r="M10" s="6"/>
      <c r="N10" s="7"/>
      <c r="O10" s="6"/>
      <c r="P10" s="6"/>
      <c r="Q10" s="6"/>
      <c r="R10" s="6" t="s">
        <v>963</v>
      </c>
      <c r="S10" s="6" t="s">
        <v>963</v>
      </c>
      <c r="T10" s="6"/>
      <c r="U10" s="6"/>
      <c r="V10" s="6"/>
      <c r="W10" s="6"/>
      <c r="X10" s="6"/>
      <c r="Y10" s="6"/>
      <c r="Z10" s="6"/>
      <c r="AA10" s="6"/>
      <c r="AB10" s="6"/>
      <c r="AC10" s="6" t="s">
        <v>19</v>
      </c>
      <c r="AD10" t="s">
        <v>19</v>
      </c>
      <c r="AE10" t="s">
        <v>20</v>
      </c>
      <c r="AG10">
        <v>1</v>
      </c>
    </row>
    <row r="11" spans="1:33" ht="409.5">
      <c r="A11" t="s">
        <v>80</v>
      </c>
      <c r="B11" s="3" t="s">
        <v>886</v>
      </c>
      <c r="C11" s="3" t="s">
        <v>891</v>
      </c>
      <c r="G11" s="6" t="s">
        <v>24</v>
      </c>
      <c r="H11" s="6"/>
      <c r="I11" s="6">
        <v>1</v>
      </c>
      <c r="J11" s="6">
        <v>4</v>
      </c>
      <c r="K11" s="6" t="s">
        <v>818</v>
      </c>
      <c r="L11" s="6" t="s">
        <v>809</v>
      </c>
      <c r="M11" s="6"/>
      <c r="N11" s="7"/>
      <c r="O11" s="6"/>
      <c r="P11" s="6">
        <v>55</v>
      </c>
      <c r="Q11" s="6"/>
      <c r="R11" s="6" t="s">
        <v>963</v>
      </c>
      <c r="S11" s="6" t="s">
        <v>963</v>
      </c>
      <c r="T11" s="6"/>
      <c r="U11" s="6"/>
      <c r="V11" s="6"/>
      <c r="W11" s="6"/>
      <c r="X11" s="6"/>
      <c r="Y11" s="6"/>
      <c r="Z11" s="6"/>
      <c r="AA11" s="6"/>
      <c r="AB11" s="6"/>
      <c r="AC11" s="6"/>
      <c r="AD11" t="s">
        <v>19</v>
      </c>
      <c r="AE11" t="s">
        <v>20</v>
      </c>
      <c r="AG11">
        <v>1</v>
      </c>
    </row>
    <row r="12" spans="1:33" ht="409.5">
      <c r="A12" t="s">
        <v>81</v>
      </c>
      <c r="B12" s="3" t="s">
        <v>892</v>
      </c>
      <c r="C12" s="3" t="s">
        <v>887</v>
      </c>
      <c r="G12" s="6" t="s">
        <v>25</v>
      </c>
      <c r="H12" s="6"/>
      <c r="I12" s="6">
        <v>5</v>
      </c>
      <c r="J12" s="6">
        <v>20</v>
      </c>
      <c r="K12" s="6"/>
      <c r="L12" s="6" t="s">
        <v>809</v>
      </c>
      <c r="M12" s="6"/>
      <c r="N12" s="7"/>
      <c r="O12" s="6"/>
      <c r="P12" s="6">
        <v>34</v>
      </c>
      <c r="Q12" s="6"/>
      <c r="R12" s="6" t="s">
        <v>963</v>
      </c>
      <c r="S12" s="6" t="s">
        <v>963</v>
      </c>
      <c r="T12" s="6"/>
      <c r="U12" s="6"/>
      <c r="V12" s="6"/>
      <c r="W12" s="6"/>
      <c r="X12" s="6"/>
      <c r="Y12" s="6"/>
      <c r="Z12" s="6"/>
      <c r="AA12" s="6"/>
      <c r="AB12" s="6"/>
      <c r="AC12" s="6"/>
      <c r="AD12" t="s">
        <v>19</v>
      </c>
      <c r="AE12" t="s">
        <v>20</v>
      </c>
      <c r="AG12">
        <v>1</v>
      </c>
    </row>
    <row r="13" spans="1:33" ht="58">
      <c r="A13" t="s">
        <v>84</v>
      </c>
      <c r="B13" s="3" t="s">
        <v>380</v>
      </c>
      <c r="C13" s="3" t="s">
        <v>379</v>
      </c>
      <c r="G13" s="6" t="s">
        <v>25</v>
      </c>
      <c r="H13" s="6"/>
      <c r="I13" s="6">
        <v>1</v>
      </c>
      <c r="J13" s="6">
        <v>5</v>
      </c>
      <c r="K13" s="6" t="s">
        <v>825</v>
      </c>
      <c r="L13" s="6" t="s">
        <v>809</v>
      </c>
      <c r="M13" s="6"/>
      <c r="N13" s="7"/>
      <c r="O13" s="6"/>
      <c r="P13" s="6">
        <v>830</v>
      </c>
      <c r="Q13" s="6"/>
      <c r="R13" s="6" t="s">
        <v>963</v>
      </c>
      <c r="S13" s="6" t="s">
        <v>963</v>
      </c>
      <c r="T13" s="6"/>
      <c r="U13" s="6"/>
      <c r="V13" s="6"/>
      <c r="W13" s="6"/>
      <c r="X13" s="6"/>
      <c r="Y13" s="6"/>
      <c r="Z13" s="6"/>
      <c r="AA13" s="6"/>
      <c r="AB13" s="6"/>
      <c r="AC13" s="6"/>
      <c r="AD13" t="s">
        <v>19</v>
      </c>
      <c r="AE13" t="s">
        <v>20</v>
      </c>
      <c r="AG13">
        <v>1</v>
      </c>
    </row>
    <row r="14" spans="1:33" ht="159.5">
      <c r="A14" t="s">
        <v>87</v>
      </c>
      <c r="B14" s="3" t="s">
        <v>395</v>
      </c>
      <c r="C14" s="3" t="s">
        <v>391</v>
      </c>
      <c r="G14" s="6" t="s">
        <v>25</v>
      </c>
      <c r="H14" s="6"/>
      <c r="I14" s="6">
        <v>1</v>
      </c>
      <c r="J14" s="6">
        <v>5</v>
      </c>
      <c r="K14" s="6" t="s">
        <v>829</v>
      </c>
      <c r="L14" s="6" t="s">
        <v>809</v>
      </c>
      <c r="M14" s="6"/>
      <c r="N14" s="7"/>
      <c r="O14" s="6"/>
      <c r="P14" s="6">
        <v>168</v>
      </c>
      <c r="Q14" s="6"/>
      <c r="R14" s="6" t="s">
        <v>963</v>
      </c>
      <c r="S14" s="6" t="s">
        <v>963</v>
      </c>
      <c r="T14" s="6"/>
      <c r="U14" s="6"/>
      <c r="V14" s="6"/>
      <c r="W14" s="6"/>
      <c r="X14" s="6"/>
      <c r="Y14" s="6"/>
      <c r="Z14" s="6"/>
      <c r="AA14" s="6"/>
      <c r="AB14" s="6"/>
      <c r="AC14" s="6"/>
      <c r="AD14" t="s">
        <v>19</v>
      </c>
      <c r="AE14" t="s">
        <v>20</v>
      </c>
      <c r="AG14">
        <v>1</v>
      </c>
    </row>
    <row r="15" spans="1:33" ht="29">
      <c r="A15" t="s">
        <v>89</v>
      </c>
      <c r="B15" s="3" t="s">
        <v>312</v>
      </c>
      <c r="C15" s="3" t="s">
        <v>90</v>
      </c>
      <c r="G15" s="6" t="s">
        <v>851</v>
      </c>
      <c r="H15" s="6"/>
      <c r="I15" s="6"/>
      <c r="J15" s="6"/>
      <c r="K15" s="6"/>
      <c r="L15" s="6"/>
      <c r="M15" s="6"/>
      <c r="N15" s="7"/>
      <c r="O15" s="6"/>
      <c r="P15" s="6"/>
      <c r="Q15" s="6"/>
      <c r="R15" s="6" t="s">
        <v>963</v>
      </c>
      <c r="S15" s="6" t="s">
        <v>963</v>
      </c>
      <c r="T15" s="6"/>
      <c r="U15" s="6"/>
      <c r="V15" s="6"/>
      <c r="W15" s="6"/>
      <c r="X15" s="6"/>
      <c r="Y15" s="6"/>
      <c r="Z15" s="6"/>
      <c r="AA15" s="6"/>
      <c r="AB15" s="6"/>
      <c r="AC15" s="6"/>
      <c r="AD15" t="s">
        <v>19</v>
      </c>
      <c r="AE15" t="s">
        <v>20</v>
      </c>
      <c r="AG15">
        <v>1</v>
      </c>
    </row>
    <row r="16" spans="1:33" ht="29">
      <c r="A16" t="s">
        <v>89</v>
      </c>
      <c r="B16" s="3" t="s">
        <v>313</v>
      </c>
      <c r="C16" s="3" t="s">
        <v>91</v>
      </c>
      <c r="F16" t="s">
        <v>19</v>
      </c>
      <c r="G16" s="6" t="s">
        <v>849</v>
      </c>
      <c r="H16" s="6"/>
      <c r="I16" s="6"/>
      <c r="J16" s="6"/>
      <c r="K16" s="6"/>
      <c r="L16" s="6"/>
      <c r="M16" s="6"/>
      <c r="N16" s="7"/>
      <c r="O16" s="6"/>
      <c r="P16" s="6"/>
      <c r="Q16" s="6">
        <v>-1</v>
      </c>
      <c r="R16" s="6">
        <v>1</v>
      </c>
      <c r="S16" s="6">
        <v>0</v>
      </c>
      <c r="T16" s="6"/>
      <c r="U16" s="6"/>
      <c r="V16" s="6"/>
      <c r="W16" s="6"/>
      <c r="X16" s="6"/>
      <c r="Y16" s="6"/>
      <c r="Z16" s="6"/>
      <c r="AA16" s="6"/>
      <c r="AB16" s="6"/>
      <c r="AC16" s="6"/>
      <c r="AD16" t="s">
        <v>20</v>
      </c>
      <c r="AE16" t="s">
        <v>20</v>
      </c>
      <c r="AG16">
        <v>0</v>
      </c>
    </row>
    <row r="17" spans="1:33" ht="43.5">
      <c r="A17" t="s">
        <v>94</v>
      </c>
      <c r="B17" s="3" t="s">
        <v>418</v>
      </c>
      <c r="C17" s="3" t="s">
        <v>419</v>
      </c>
      <c r="F17" t="s">
        <v>19</v>
      </c>
      <c r="G17" s="6" t="s">
        <v>25</v>
      </c>
      <c r="H17" s="6"/>
      <c r="I17" s="6">
        <v>1</v>
      </c>
      <c r="J17" s="6">
        <v>5</v>
      </c>
      <c r="K17" s="6" t="s">
        <v>860</v>
      </c>
      <c r="L17" s="6" t="s">
        <v>809</v>
      </c>
      <c r="M17" s="6"/>
      <c r="N17" s="7"/>
      <c r="O17" s="6"/>
      <c r="P17" s="6">
        <v>4</v>
      </c>
      <c r="Q17" s="6"/>
      <c r="R17" s="6" t="s">
        <v>963</v>
      </c>
      <c r="S17" s="6" t="s">
        <v>963</v>
      </c>
      <c r="T17" s="6"/>
      <c r="U17" s="6"/>
      <c r="V17" s="6"/>
      <c r="W17" s="6"/>
      <c r="X17" s="6"/>
      <c r="Y17" s="6"/>
      <c r="Z17" s="6"/>
      <c r="AA17" s="6"/>
      <c r="AB17" s="6"/>
      <c r="AC17" s="6"/>
      <c r="AD17" t="s">
        <v>20</v>
      </c>
      <c r="AE17" t="s">
        <v>20</v>
      </c>
      <c r="AG17">
        <v>0</v>
      </c>
    </row>
    <row r="18" spans="1:33" ht="29">
      <c r="A18" t="s">
        <v>101</v>
      </c>
      <c r="B18" s="3" t="s">
        <v>424</v>
      </c>
      <c r="C18" s="3" t="s">
        <v>425</v>
      </c>
      <c r="F18" t="s">
        <v>19</v>
      </c>
      <c r="G18" s="6" t="s">
        <v>24</v>
      </c>
      <c r="H18" s="6"/>
      <c r="I18" s="6">
        <v>1</v>
      </c>
      <c r="J18" s="6">
        <v>2</v>
      </c>
      <c r="K18" s="6" t="s">
        <v>818</v>
      </c>
      <c r="L18" s="6" t="s">
        <v>850</v>
      </c>
      <c r="M18" s="6"/>
      <c r="N18" s="7"/>
      <c r="O18" s="6"/>
      <c r="P18" s="6">
        <v>171</v>
      </c>
      <c r="Q18" s="6"/>
      <c r="R18" s="6" t="s">
        <v>963</v>
      </c>
      <c r="S18" s="6" t="s">
        <v>963</v>
      </c>
      <c r="T18" s="6"/>
      <c r="U18" s="6"/>
      <c r="V18" s="6"/>
      <c r="W18" s="6"/>
      <c r="X18" s="6"/>
      <c r="Y18" s="6"/>
      <c r="Z18" s="6"/>
      <c r="AA18" s="6"/>
      <c r="AB18" s="6"/>
      <c r="AC18" s="6"/>
      <c r="AD18" t="s">
        <v>20</v>
      </c>
      <c r="AE18" t="s">
        <v>20</v>
      </c>
      <c r="AG18">
        <v>0</v>
      </c>
    </row>
    <row r="19" spans="1:33" ht="116">
      <c r="A19" t="s">
        <v>111</v>
      </c>
      <c r="B19" s="3" t="s">
        <v>434</v>
      </c>
      <c r="C19" s="3" t="s">
        <v>1010</v>
      </c>
      <c r="G19" s="6" t="s">
        <v>851</v>
      </c>
      <c r="H19" s="6"/>
      <c r="I19" s="6"/>
      <c r="J19" s="6"/>
      <c r="K19" s="6"/>
      <c r="L19" s="6"/>
      <c r="M19" s="6"/>
      <c r="N19" s="6"/>
      <c r="O19" s="6"/>
      <c r="P19" s="6"/>
      <c r="Q19" s="6"/>
      <c r="R19" s="6" t="s">
        <v>963</v>
      </c>
      <c r="S19" s="6" t="s">
        <v>963</v>
      </c>
      <c r="T19" s="6"/>
      <c r="U19" s="6"/>
      <c r="V19" s="6"/>
      <c r="W19" s="6"/>
      <c r="X19" s="6"/>
      <c r="Y19" s="6"/>
      <c r="Z19" s="6"/>
      <c r="AA19" s="6"/>
      <c r="AB19" s="6"/>
      <c r="AC19" s="6"/>
      <c r="AD19" t="s">
        <v>19</v>
      </c>
      <c r="AE19" t="s">
        <v>20</v>
      </c>
      <c r="AG19">
        <v>1</v>
      </c>
    </row>
    <row r="20" spans="1:33" ht="58">
      <c r="A20" t="s">
        <v>122</v>
      </c>
      <c r="B20" s="3" t="s">
        <v>456</v>
      </c>
      <c r="C20" s="3" t="s">
        <v>455</v>
      </c>
      <c r="G20" s="6" t="s">
        <v>24</v>
      </c>
      <c r="H20" s="6"/>
      <c r="I20" s="6">
        <v>1</v>
      </c>
      <c r="J20" s="6">
        <v>3</v>
      </c>
      <c r="K20" s="6" t="s">
        <v>808</v>
      </c>
      <c r="L20" s="6" t="s">
        <v>809</v>
      </c>
      <c r="M20" s="6"/>
      <c r="N20" s="7"/>
      <c r="O20" s="6"/>
      <c r="P20" s="6">
        <v>2475</v>
      </c>
      <c r="Q20" s="6"/>
      <c r="R20" s="6" t="s">
        <v>963</v>
      </c>
      <c r="S20" s="6" t="s">
        <v>963</v>
      </c>
      <c r="T20" s="6"/>
      <c r="U20" s="6"/>
      <c r="V20" s="6"/>
      <c r="W20" s="6"/>
      <c r="X20" s="6"/>
      <c r="Y20" s="6"/>
      <c r="Z20" s="6"/>
      <c r="AA20" s="6"/>
      <c r="AB20" s="6"/>
      <c r="AC20" s="6"/>
      <c r="AD20" t="s">
        <v>19</v>
      </c>
      <c r="AE20" t="s">
        <v>20</v>
      </c>
      <c r="AG20">
        <v>1</v>
      </c>
    </row>
    <row r="21" spans="1:33" ht="29">
      <c r="A21" t="s">
        <v>126</v>
      </c>
      <c r="B21" s="3" t="s">
        <v>466</v>
      </c>
      <c r="C21" s="3" t="s">
        <v>467</v>
      </c>
      <c r="G21" s="6" t="s">
        <v>851</v>
      </c>
      <c r="H21" s="6"/>
      <c r="I21" s="6"/>
      <c r="J21" s="6"/>
      <c r="K21" s="6"/>
      <c r="L21" s="6"/>
      <c r="M21" s="6"/>
      <c r="N21" s="7"/>
      <c r="O21" s="6"/>
      <c r="P21" s="6"/>
      <c r="Q21" s="6"/>
      <c r="R21" s="6" t="s">
        <v>963</v>
      </c>
      <c r="S21" s="6" t="s">
        <v>963</v>
      </c>
      <c r="T21" s="6"/>
      <c r="U21" s="6"/>
      <c r="V21" s="6"/>
      <c r="W21" s="6"/>
      <c r="X21" s="6"/>
      <c r="Y21" s="6"/>
      <c r="Z21" s="6"/>
      <c r="AA21" s="6"/>
      <c r="AB21" s="6"/>
      <c r="AC21" s="6"/>
      <c r="AD21" t="s">
        <v>20</v>
      </c>
      <c r="AE21" t="s">
        <v>20</v>
      </c>
      <c r="AG21">
        <v>0</v>
      </c>
    </row>
    <row r="22" spans="1:33" ht="43.5">
      <c r="A22" t="s">
        <v>128</v>
      </c>
      <c r="B22" s="3" t="s">
        <v>472</v>
      </c>
      <c r="C22" s="3" t="s">
        <v>473</v>
      </c>
      <c r="G22" s="6" t="s">
        <v>851</v>
      </c>
      <c r="H22" s="6"/>
      <c r="I22" s="6"/>
      <c r="J22" s="6"/>
      <c r="K22" s="6"/>
      <c r="L22" s="6"/>
      <c r="M22" s="6"/>
      <c r="N22" s="7"/>
      <c r="O22" s="6"/>
      <c r="P22" s="6"/>
      <c r="Q22" s="6"/>
      <c r="R22" s="6" t="s">
        <v>963</v>
      </c>
      <c r="S22" s="6" t="s">
        <v>963</v>
      </c>
      <c r="T22" s="6"/>
      <c r="U22" s="6"/>
      <c r="V22" s="6"/>
      <c r="W22" s="6"/>
      <c r="X22" s="6"/>
      <c r="Y22" s="6"/>
      <c r="Z22" s="6"/>
      <c r="AA22" s="6"/>
      <c r="AB22" s="6"/>
      <c r="AC22" s="6"/>
      <c r="AD22" t="s">
        <v>19</v>
      </c>
      <c r="AE22" t="s">
        <v>20</v>
      </c>
      <c r="AG22">
        <v>1</v>
      </c>
    </row>
    <row r="23" spans="1:33" ht="58">
      <c r="A23" t="s">
        <v>130</v>
      </c>
      <c r="B23" s="3" t="s">
        <v>477</v>
      </c>
      <c r="C23" s="3" t="s">
        <v>476</v>
      </c>
      <c r="G23" s="6" t="s">
        <v>25</v>
      </c>
      <c r="H23" s="6"/>
      <c r="I23" s="6">
        <v>2</v>
      </c>
      <c r="J23" s="6">
        <v>4</v>
      </c>
      <c r="K23" s="6"/>
      <c r="L23" s="6" t="s">
        <v>809</v>
      </c>
      <c r="M23" s="6"/>
      <c r="N23" s="7"/>
      <c r="O23" s="6"/>
      <c r="P23" s="6">
        <v>99</v>
      </c>
      <c r="Q23" s="6"/>
      <c r="R23" s="6" t="s">
        <v>963</v>
      </c>
      <c r="S23" s="6" t="s">
        <v>963</v>
      </c>
      <c r="T23" s="6"/>
      <c r="U23" s="6"/>
      <c r="V23" s="6"/>
      <c r="W23" s="6"/>
      <c r="X23" s="6"/>
      <c r="Y23" s="6"/>
      <c r="Z23" s="6"/>
      <c r="AA23" s="6"/>
      <c r="AB23" s="6"/>
      <c r="AC23" s="6"/>
      <c r="AD23" t="s">
        <v>19</v>
      </c>
      <c r="AE23" t="s">
        <v>20</v>
      </c>
      <c r="AG23">
        <v>1</v>
      </c>
    </row>
    <row r="24" spans="1:33" ht="43.5">
      <c r="A24" t="s">
        <v>131</v>
      </c>
      <c r="B24" s="3" t="s">
        <v>478</v>
      </c>
      <c r="C24" s="3" t="s">
        <v>479</v>
      </c>
      <c r="F24" t="s">
        <v>19</v>
      </c>
      <c r="G24" s="6" t="s">
        <v>849</v>
      </c>
      <c r="H24" s="6"/>
      <c r="I24" s="6"/>
      <c r="J24" s="6"/>
      <c r="K24" s="6"/>
      <c r="L24" s="6"/>
      <c r="M24" s="6"/>
      <c r="N24" s="7"/>
      <c r="O24" s="6"/>
      <c r="P24" s="6"/>
      <c r="Q24" s="6">
        <v>7</v>
      </c>
      <c r="R24" s="6">
        <v>1</v>
      </c>
      <c r="S24" s="6">
        <v>8</v>
      </c>
      <c r="T24" s="6"/>
      <c r="U24" s="6"/>
      <c r="V24" s="6"/>
      <c r="W24" s="6"/>
      <c r="X24" s="6"/>
      <c r="Y24" s="6"/>
      <c r="Z24" s="6"/>
      <c r="AA24" s="6"/>
      <c r="AB24" s="6"/>
      <c r="AC24" s="6"/>
      <c r="AD24" t="s">
        <v>20</v>
      </c>
      <c r="AE24" t="s">
        <v>20</v>
      </c>
      <c r="AG24">
        <v>0</v>
      </c>
    </row>
    <row r="25" spans="1:33" ht="58">
      <c r="A25" t="s">
        <v>131</v>
      </c>
      <c r="B25" s="3" t="s">
        <v>484</v>
      </c>
      <c r="C25" s="3" t="s">
        <v>485</v>
      </c>
      <c r="G25" s="6" t="s">
        <v>25</v>
      </c>
      <c r="H25" s="6"/>
      <c r="I25" s="6">
        <v>3</v>
      </c>
      <c r="J25" s="6">
        <v>8</v>
      </c>
      <c r="K25" s="6"/>
      <c r="L25" s="6" t="s">
        <v>803</v>
      </c>
      <c r="M25" s="6" t="s">
        <v>873</v>
      </c>
      <c r="N25" s="7" t="s">
        <v>894</v>
      </c>
      <c r="O25" s="6"/>
      <c r="P25" s="6">
        <v>86</v>
      </c>
      <c r="Q25" s="6"/>
      <c r="R25" s="6" t="s">
        <v>963</v>
      </c>
      <c r="S25" s="6" t="s">
        <v>963</v>
      </c>
      <c r="T25" s="6"/>
      <c r="U25" s="6"/>
      <c r="V25" s="6"/>
      <c r="W25" s="6"/>
      <c r="X25" s="6"/>
      <c r="Y25" s="6"/>
      <c r="Z25" s="6"/>
      <c r="AA25" s="6"/>
      <c r="AB25" s="6"/>
      <c r="AC25" s="6"/>
      <c r="AD25" t="s">
        <v>19</v>
      </c>
      <c r="AE25" t="s">
        <v>20</v>
      </c>
      <c r="AG25">
        <v>1</v>
      </c>
    </row>
    <row r="26" spans="1:33" ht="29">
      <c r="A26" t="s">
        <v>137</v>
      </c>
      <c r="B26" s="3" t="s">
        <v>140</v>
      </c>
      <c r="C26" s="3" t="s">
        <v>141</v>
      </c>
      <c r="G26" s="6" t="s">
        <v>851</v>
      </c>
      <c r="H26" s="6"/>
      <c r="I26" s="6"/>
      <c r="J26" s="6"/>
      <c r="K26" s="6"/>
      <c r="L26" s="6"/>
      <c r="M26" s="6"/>
      <c r="N26" s="7"/>
      <c r="O26" s="6"/>
      <c r="P26" s="6"/>
      <c r="Q26" s="6"/>
      <c r="R26" s="6" t="s">
        <v>963</v>
      </c>
      <c r="S26" s="6" t="s">
        <v>963</v>
      </c>
      <c r="T26" s="6"/>
      <c r="U26" s="6"/>
      <c r="V26" s="6"/>
      <c r="W26" s="6"/>
      <c r="X26" s="6"/>
      <c r="Y26" s="6"/>
      <c r="Z26" s="6"/>
      <c r="AA26" s="6"/>
      <c r="AB26" s="6"/>
      <c r="AC26" s="6"/>
      <c r="AD26" t="s">
        <v>20</v>
      </c>
      <c r="AE26" t="s">
        <v>20</v>
      </c>
      <c r="AG26">
        <v>0</v>
      </c>
    </row>
    <row r="27" spans="1:33" ht="29">
      <c r="A27" t="s">
        <v>142</v>
      </c>
      <c r="B27" s="3" t="s">
        <v>143</v>
      </c>
      <c r="C27" s="3" t="s">
        <v>144</v>
      </c>
      <c r="F27" t="s">
        <v>19</v>
      </c>
      <c r="G27" s="6" t="s">
        <v>851</v>
      </c>
      <c r="H27" s="6"/>
      <c r="I27" s="6"/>
      <c r="J27" s="6"/>
      <c r="K27" s="6"/>
      <c r="L27" s="6"/>
      <c r="M27" s="6"/>
      <c r="N27" s="7"/>
      <c r="O27" s="6"/>
      <c r="P27" s="6"/>
      <c r="Q27" s="6"/>
      <c r="R27" s="6" t="s">
        <v>963</v>
      </c>
      <c r="S27" s="6" t="s">
        <v>963</v>
      </c>
      <c r="T27" s="6"/>
      <c r="U27" s="6"/>
      <c r="V27" s="6"/>
      <c r="W27" s="6"/>
      <c r="X27" s="6"/>
      <c r="Y27" s="6"/>
      <c r="Z27" s="6"/>
      <c r="AA27" s="6"/>
      <c r="AB27" s="6"/>
      <c r="AC27" s="6"/>
      <c r="AD27" t="s">
        <v>20</v>
      </c>
      <c r="AE27" t="s">
        <v>20</v>
      </c>
      <c r="AG27">
        <v>0</v>
      </c>
    </row>
    <row r="28" spans="1:33">
      <c r="A28" t="s">
        <v>148</v>
      </c>
      <c r="B28" s="3" t="s">
        <v>149</v>
      </c>
      <c r="C28" s="3" t="s">
        <v>150</v>
      </c>
      <c r="G28" s="6" t="s">
        <v>851</v>
      </c>
      <c r="H28" s="6"/>
      <c r="I28" s="6"/>
      <c r="J28" s="6"/>
      <c r="K28" s="6"/>
      <c r="L28" s="6"/>
      <c r="M28" s="6"/>
      <c r="N28" s="7"/>
      <c r="O28" s="6"/>
      <c r="P28" s="6"/>
      <c r="Q28" s="6"/>
      <c r="R28" s="6" t="s">
        <v>963</v>
      </c>
      <c r="S28" s="6" t="s">
        <v>963</v>
      </c>
      <c r="T28" s="6"/>
      <c r="U28" s="6"/>
      <c r="V28" s="6"/>
      <c r="W28" s="6"/>
      <c r="X28" s="6"/>
      <c r="Y28" s="6"/>
      <c r="Z28" s="6"/>
      <c r="AA28" s="6"/>
      <c r="AB28" s="6"/>
      <c r="AC28" s="6"/>
      <c r="AD28" t="s">
        <v>19</v>
      </c>
      <c r="AE28" t="s">
        <v>20</v>
      </c>
      <c r="AG28">
        <v>1</v>
      </c>
    </row>
    <row r="29" spans="1:33" ht="43.5">
      <c r="A29" t="s">
        <v>151</v>
      </c>
      <c r="B29" s="3" t="s">
        <v>500</v>
      </c>
      <c r="C29" s="3" t="s">
        <v>501</v>
      </c>
      <c r="G29" s="6" t="s">
        <v>24</v>
      </c>
      <c r="H29" s="6"/>
      <c r="I29" s="6">
        <v>1</v>
      </c>
      <c r="J29" s="6">
        <v>3</v>
      </c>
      <c r="K29" s="6" t="s">
        <v>808</v>
      </c>
      <c r="L29" s="6" t="s">
        <v>809</v>
      </c>
      <c r="M29" s="6"/>
      <c r="N29" s="7"/>
      <c r="O29" s="6"/>
      <c r="P29" s="6">
        <v>2475</v>
      </c>
      <c r="Q29" s="6"/>
      <c r="R29" s="6" t="s">
        <v>963</v>
      </c>
      <c r="S29" s="6" t="s">
        <v>963</v>
      </c>
      <c r="T29" s="6"/>
      <c r="U29" s="6"/>
      <c r="V29" s="6"/>
      <c r="W29" s="6"/>
      <c r="X29" s="6"/>
      <c r="Y29" s="6"/>
      <c r="Z29" s="6"/>
      <c r="AA29" s="6"/>
      <c r="AB29" s="6"/>
      <c r="AC29" s="6"/>
      <c r="AD29" t="s">
        <v>19</v>
      </c>
      <c r="AE29" t="s">
        <v>20</v>
      </c>
      <c r="AG29">
        <v>1</v>
      </c>
    </row>
    <row r="30" spans="1:33" ht="29">
      <c r="A30" t="s">
        <v>155</v>
      </c>
      <c r="B30" s="3" t="s">
        <v>156</v>
      </c>
      <c r="C30" s="3" t="s">
        <v>157</v>
      </c>
      <c r="F30" t="s">
        <v>19</v>
      </c>
      <c r="G30" s="6" t="s">
        <v>849</v>
      </c>
      <c r="H30" s="6"/>
      <c r="I30" s="6"/>
      <c r="J30" s="6"/>
      <c r="K30" s="6"/>
      <c r="L30" s="6"/>
      <c r="M30" s="6"/>
      <c r="N30" s="7"/>
      <c r="O30" s="6"/>
      <c r="P30" s="6"/>
      <c r="Q30" s="6">
        <v>1</v>
      </c>
      <c r="R30" s="6">
        <v>1</v>
      </c>
      <c r="S30" s="6">
        <v>2</v>
      </c>
      <c r="T30" s="6"/>
      <c r="U30" s="6"/>
      <c r="V30" s="6"/>
      <c r="W30" s="6"/>
      <c r="X30" s="6"/>
      <c r="Y30" s="6"/>
      <c r="Z30" s="6"/>
      <c r="AA30" s="6"/>
      <c r="AB30" s="6"/>
      <c r="AC30" s="6"/>
      <c r="AD30" t="s">
        <v>19</v>
      </c>
      <c r="AE30" t="s">
        <v>20</v>
      </c>
      <c r="AG30">
        <v>1</v>
      </c>
    </row>
    <row r="31" spans="1:33" ht="72.5">
      <c r="A31" t="s">
        <v>158</v>
      </c>
      <c r="B31" s="3" t="s">
        <v>510</v>
      </c>
      <c r="C31" s="3" t="s">
        <v>509</v>
      </c>
      <c r="G31" s="6" t="s">
        <v>25</v>
      </c>
      <c r="H31" s="6"/>
      <c r="I31" s="6">
        <v>3</v>
      </c>
      <c r="J31" s="6">
        <v>14</v>
      </c>
      <c r="K31" s="6"/>
      <c r="L31" s="6" t="s">
        <v>803</v>
      </c>
      <c r="M31" s="6" t="s">
        <v>873</v>
      </c>
      <c r="N31" s="7" t="s">
        <v>895</v>
      </c>
      <c r="O31" s="6"/>
      <c r="P31" s="6">
        <v>7</v>
      </c>
      <c r="Q31" s="6"/>
      <c r="R31" s="6" t="s">
        <v>963</v>
      </c>
      <c r="S31" s="6" t="s">
        <v>963</v>
      </c>
      <c r="T31" s="6"/>
      <c r="U31" s="6"/>
      <c r="V31" s="6"/>
      <c r="W31" s="6"/>
      <c r="X31" s="6"/>
      <c r="Y31" s="6"/>
      <c r="Z31" s="6"/>
      <c r="AA31" s="6"/>
      <c r="AB31" s="6"/>
      <c r="AC31" s="6"/>
      <c r="AD31" t="s">
        <v>19</v>
      </c>
      <c r="AE31" t="s">
        <v>20</v>
      </c>
      <c r="AG31">
        <v>1</v>
      </c>
    </row>
    <row r="32" spans="1:33" ht="87">
      <c r="A32" t="s">
        <v>159</v>
      </c>
      <c r="B32" s="3" t="s">
        <v>511</v>
      </c>
      <c r="C32" s="3" t="s">
        <v>512</v>
      </c>
      <c r="G32" s="6" t="s">
        <v>24</v>
      </c>
      <c r="H32" s="6"/>
      <c r="I32" s="6">
        <v>1</v>
      </c>
      <c r="J32" s="6">
        <v>2</v>
      </c>
      <c r="K32" s="6" t="s">
        <v>827</v>
      </c>
      <c r="L32" s="6" t="s">
        <v>850</v>
      </c>
      <c r="M32" s="6"/>
      <c r="N32" s="7"/>
      <c r="O32" s="6"/>
      <c r="P32" s="6">
        <v>613</v>
      </c>
      <c r="Q32" s="6"/>
      <c r="R32" s="6" t="s">
        <v>963</v>
      </c>
      <c r="S32" s="6" t="s">
        <v>963</v>
      </c>
      <c r="T32" s="6"/>
      <c r="U32" s="6"/>
      <c r="V32" s="6"/>
      <c r="W32" s="6"/>
      <c r="X32" s="6"/>
      <c r="Y32" s="6"/>
      <c r="Z32" s="6"/>
      <c r="AA32" s="6"/>
      <c r="AB32" s="6"/>
      <c r="AC32" s="6"/>
      <c r="AD32" t="s">
        <v>19</v>
      </c>
      <c r="AE32" t="s">
        <v>20</v>
      </c>
      <c r="AG32">
        <v>1</v>
      </c>
    </row>
    <row r="33" spans="1:33" ht="58">
      <c r="A33" t="s">
        <v>165</v>
      </c>
      <c r="B33" s="3" t="s">
        <v>524</v>
      </c>
      <c r="C33" s="3" t="s">
        <v>523</v>
      </c>
      <c r="G33" s="6" t="s">
        <v>25</v>
      </c>
      <c r="H33" s="6"/>
      <c r="I33" s="6">
        <v>1</v>
      </c>
      <c r="J33" s="6">
        <v>3</v>
      </c>
      <c r="K33" s="6" t="s">
        <v>808</v>
      </c>
      <c r="L33" s="6" t="s">
        <v>809</v>
      </c>
      <c r="M33" s="6"/>
      <c r="N33" s="7"/>
      <c r="O33" s="6"/>
      <c r="P33" s="6">
        <v>2475</v>
      </c>
      <c r="Q33" s="6"/>
      <c r="R33" s="6" t="s">
        <v>963</v>
      </c>
      <c r="S33" s="6" t="s">
        <v>963</v>
      </c>
      <c r="T33" s="6"/>
      <c r="U33" s="6"/>
      <c r="V33" s="6"/>
      <c r="W33" s="6"/>
      <c r="X33" s="6"/>
      <c r="Y33" s="6"/>
      <c r="Z33" s="6"/>
      <c r="AA33" s="6"/>
      <c r="AB33" s="6"/>
      <c r="AC33" s="6"/>
      <c r="AD33" t="s">
        <v>19</v>
      </c>
      <c r="AE33" t="s">
        <v>20</v>
      </c>
      <c r="AG33">
        <v>1</v>
      </c>
    </row>
    <row r="34" spans="1:33" ht="58">
      <c r="A34" t="s">
        <v>170</v>
      </c>
      <c r="B34" s="3" t="s">
        <v>542</v>
      </c>
      <c r="C34" s="3" t="s">
        <v>541</v>
      </c>
      <c r="G34" s="6" t="s">
        <v>851</v>
      </c>
      <c r="H34" s="6"/>
      <c r="I34" s="6"/>
      <c r="J34" s="6"/>
      <c r="K34" s="6"/>
      <c r="L34" s="6"/>
      <c r="M34" s="6"/>
      <c r="N34" s="7"/>
      <c r="O34" s="6"/>
      <c r="P34" s="6"/>
      <c r="Q34" s="6"/>
      <c r="R34" s="6" t="s">
        <v>963</v>
      </c>
      <c r="S34" s="6" t="s">
        <v>963</v>
      </c>
      <c r="T34" s="6"/>
      <c r="U34" s="6"/>
      <c r="V34" s="6"/>
      <c r="W34" s="6"/>
      <c r="X34" s="6"/>
      <c r="Y34" s="6"/>
      <c r="Z34" s="6"/>
      <c r="AA34" s="6"/>
      <c r="AB34" s="6"/>
      <c r="AC34" s="6"/>
      <c r="AD34" t="s">
        <v>19</v>
      </c>
      <c r="AE34" t="s">
        <v>20</v>
      </c>
      <c r="AG34">
        <v>1</v>
      </c>
    </row>
    <row r="35" spans="1:33" ht="29">
      <c r="A35" t="s">
        <v>171</v>
      </c>
      <c r="B35" s="3" t="s">
        <v>543</v>
      </c>
      <c r="C35" s="3" t="s">
        <v>544</v>
      </c>
      <c r="F35" t="s">
        <v>19</v>
      </c>
      <c r="G35" s="6" t="s">
        <v>849</v>
      </c>
      <c r="H35" s="6"/>
      <c r="I35" s="6"/>
      <c r="J35" s="6"/>
      <c r="K35" s="6"/>
      <c r="L35" s="6"/>
      <c r="M35" s="6"/>
      <c r="N35" s="7"/>
      <c r="O35" s="6"/>
      <c r="P35" s="6"/>
      <c r="Q35" s="6">
        <v>-1</v>
      </c>
      <c r="R35" s="6">
        <v>1</v>
      </c>
      <c r="S35" s="6">
        <v>0</v>
      </c>
      <c r="T35" s="6"/>
      <c r="U35" s="6"/>
      <c r="V35" s="6"/>
      <c r="W35" s="6"/>
      <c r="X35" s="6"/>
      <c r="Y35" s="6"/>
      <c r="Z35" s="6"/>
      <c r="AA35" s="6"/>
      <c r="AB35" s="6"/>
      <c r="AC35" s="6"/>
      <c r="AD35" t="s">
        <v>20</v>
      </c>
      <c r="AE35" t="s">
        <v>20</v>
      </c>
      <c r="AG35">
        <v>0</v>
      </c>
    </row>
    <row r="36" spans="1:33" ht="145">
      <c r="A36" t="s">
        <v>194</v>
      </c>
      <c r="B36" s="3" t="s">
        <v>1012</v>
      </c>
      <c r="C36" s="3" t="s">
        <v>1013</v>
      </c>
      <c r="G36" s="6" t="s">
        <v>25</v>
      </c>
      <c r="H36" s="6"/>
      <c r="I36" s="6"/>
      <c r="J36" s="6"/>
      <c r="K36" s="6"/>
      <c r="L36" s="6"/>
      <c r="M36" s="6"/>
      <c r="N36" s="7"/>
      <c r="O36" s="6"/>
      <c r="P36" s="6">
        <v>109</v>
      </c>
      <c r="Q36" s="6"/>
      <c r="R36" s="6"/>
      <c r="S36" s="6"/>
      <c r="T36" s="6"/>
      <c r="U36" s="6"/>
      <c r="V36" s="6"/>
      <c r="W36" s="6"/>
      <c r="X36" s="6"/>
      <c r="Y36" s="6"/>
      <c r="Z36" s="6"/>
      <c r="AA36" s="6"/>
      <c r="AB36" s="6"/>
      <c r="AC36" s="6"/>
      <c r="AD36" t="s">
        <v>19</v>
      </c>
      <c r="AE36" t="s">
        <v>20</v>
      </c>
      <c r="AG36">
        <v>1</v>
      </c>
    </row>
    <row r="37" spans="1:33" ht="43.5">
      <c r="A37" t="s">
        <v>195</v>
      </c>
      <c r="B37" s="3" t="s">
        <v>607</v>
      </c>
      <c r="C37" s="3" t="s">
        <v>610</v>
      </c>
      <c r="F37" t="s">
        <v>19</v>
      </c>
      <c r="G37" s="6" t="s">
        <v>24</v>
      </c>
      <c r="H37" s="6"/>
      <c r="I37" s="6">
        <v>1</v>
      </c>
      <c r="J37" s="6">
        <v>1</v>
      </c>
      <c r="K37" s="6" t="s">
        <v>802</v>
      </c>
      <c r="L37" s="6" t="s">
        <v>850</v>
      </c>
      <c r="M37" s="6"/>
      <c r="N37" s="7"/>
      <c r="O37" s="6"/>
      <c r="P37" s="6">
        <v>6</v>
      </c>
      <c r="Q37" s="6"/>
      <c r="R37" s="6" t="s">
        <v>963</v>
      </c>
      <c r="S37" s="6" t="s">
        <v>963</v>
      </c>
      <c r="T37" s="6"/>
      <c r="U37" s="6"/>
      <c r="V37" s="6"/>
      <c r="W37" s="6"/>
      <c r="X37" s="6"/>
      <c r="Y37" s="6"/>
      <c r="Z37" s="6"/>
      <c r="AA37" s="6"/>
      <c r="AB37" s="6"/>
      <c r="AC37" s="6"/>
      <c r="AD37" t="s">
        <v>20</v>
      </c>
      <c r="AE37" t="s">
        <v>20</v>
      </c>
      <c r="AG37">
        <v>0</v>
      </c>
    </row>
    <row r="38" spans="1:33">
      <c r="A38" t="s">
        <v>201</v>
      </c>
      <c r="B38" s="3" t="s">
        <v>202</v>
      </c>
      <c r="C38" s="3" t="s">
        <v>203</v>
      </c>
      <c r="G38" s="6" t="s">
        <v>851</v>
      </c>
      <c r="H38" s="6"/>
      <c r="I38" s="6"/>
      <c r="J38" s="6"/>
      <c r="K38" s="6"/>
      <c r="L38" s="6"/>
      <c r="M38" s="6"/>
      <c r="N38" s="7"/>
      <c r="O38" s="6"/>
      <c r="P38" s="6"/>
      <c r="Q38" s="6"/>
      <c r="R38" s="6" t="s">
        <v>963</v>
      </c>
      <c r="S38" s="6" t="s">
        <v>963</v>
      </c>
      <c r="T38" s="6"/>
      <c r="U38" s="6"/>
      <c r="V38" s="6"/>
      <c r="W38" s="6"/>
      <c r="X38" s="6"/>
      <c r="Y38" s="6"/>
      <c r="Z38" s="6"/>
      <c r="AA38" s="6"/>
      <c r="AB38" s="6"/>
      <c r="AC38" s="6"/>
      <c r="AD38" t="s">
        <v>19</v>
      </c>
      <c r="AE38" t="s">
        <v>20</v>
      </c>
      <c r="AG38">
        <v>1</v>
      </c>
    </row>
    <row r="39" spans="1:33" ht="72.5">
      <c r="A39" t="s">
        <v>204</v>
      </c>
      <c r="B39" s="3" t="s">
        <v>620</v>
      </c>
      <c r="C39" s="3" t="s">
        <v>617</v>
      </c>
      <c r="G39" s="6" t="s">
        <v>25</v>
      </c>
      <c r="H39" s="6"/>
      <c r="I39" s="6">
        <v>1</v>
      </c>
      <c r="J39" s="6">
        <v>3</v>
      </c>
      <c r="K39" s="6" t="s">
        <v>818</v>
      </c>
      <c r="L39" s="6" t="s">
        <v>809</v>
      </c>
      <c r="M39" s="6"/>
      <c r="N39" s="7"/>
      <c r="O39" s="6"/>
      <c r="P39" s="6">
        <v>1701</v>
      </c>
      <c r="Q39" s="6"/>
      <c r="R39" s="6" t="s">
        <v>963</v>
      </c>
      <c r="S39" s="6" t="s">
        <v>963</v>
      </c>
      <c r="T39" s="6"/>
      <c r="U39" s="6"/>
      <c r="V39" s="6"/>
      <c r="W39" s="6"/>
      <c r="X39" s="6"/>
      <c r="Y39" s="6"/>
      <c r="Z39" s="6"/>
      <c r="AA39" s="6"/>
      <c r="AB39" s="6"/>
      <c r="AC39" s="6"/>
      <c r="AD39" t="s">
        <v>19</v>
      </c>
      <c r="AE39" t="s">
        <v>20</v>
      </c>
      <c r="AG39">
        <v>1</v>
      </c>
    </row>
    <row r="40" spans="1:33" ht="72.5">
      <c r="A40" t="s">
        <v>207</v>
      </c>
      <c r="B40" s="3" t="s">
        <v>629</v>
      </c>
      <c r="C40" s="3" t="s">
        <v>630</v>
      </c>
      <c r="G40" s="6" t="s">
        <v>24</v>
      </c>
      <c r="H40" s="6"/>
      <c r="I40" s="6">
        <v>1</v>
      </c>
      <c r="J40" s="6">
        <v>3</v>
      </c>
      <c r="K40" s="6" t="s">
        <v>818</v>
      </c>
      <c r="L40" s="6" t="s">
        <v>809</v>
      </c>
      <c r="M40" s="6"/>
      <c r="N40" s="7"/>
      <c r="O40" s="6"/>
      <c r="P40" s="6">
        <v>1701</v>
      </c>
      <c r="Q40" s="6"/>
      <c r="R40" s="6" t="s">
        <v>963</v>
      </c>
      <c r="S40" s="6" t="s">
        <v>963</v>
      </c>
      <c r="T40" s="6"/>
      <c r="U40" s="6"/>
      <c r="V40" s="6"/>
      <c r="W40" s="6"/>
      <c r="X40" s="6"/>
      <c r="Y40" s="6"/>
      <c r="Z40" s="6"/>
      <c r="AA40" s="6"/>
      <c r="AB40" s="6"/>
      <c r="AC40" s="6"/>
      <c r="AD40" t="s">
        <v>19</v>
      </c>
      <c r="AE40" t="s">
        <v>20</v>
      </c>
      <c r="AG40">
        <v>1</v>
      </c>
    </row>
    <row r="41" spans="1:33" ht="58">
      <c r="A41" t="s">
        <v>208</v>
      </c>
      <c r="B41" s="3" t="s">
        <v>635</v>
      </c>
      <c r="C41" s="3" t="s">
        <v>636</v>
      </c>
      <c r="G41" s="6" t="s">
        <v>26</v>
      </c>
      <c r="H41" s="6"/>
      <c r="I41" s="6"/>
      <c r="J41" s="6"/>
      <c r="K41" s="6"/>
      <c r="L41" s="6"/>
      <c r="M41" s="6"/>
      <c r="N41" s="7"/>
      <c r="O41" s="6"/>
      <c r="P41" s="6"/>
      <c r="Q41" s="6"/>
      <c r="R41" s="6" t="s">
        <v>963</v>
      </c>
      <c r="S41" s="6" t="s">
        <v>963</v>
      </c>
      <c r="T41" s="6"/>
      <c r="U41" s="6"/>
      <c r="V41" s="6"/>
      <c r="W41" s="6"/>
      <c r="X41" s="6"/>
      <c r="Y41" s="6"/>
      <c r="Z41" s="6"/>
      <c r="AA41" s="6"/>
      <c r="AB41" s="6"/>
      <c r="AC41" s="6"/>
      <c r="AD41" t="s">
        <v>19</v>
      </c>
      <c r="AE41" t="s">
        <v>20</v>
      </c>
      <c r="AG41">
        <v>1</v>
      </c>
    </row>
    <row r="42" spans="1:33" ht="29">
      <c r="A42" t="s">
        <v>210</v>
      </c>
      <c r="B42" s="3" t="s">
        <v>640</v>
      </c>
      <c r="C42" s="3" t="s">
        <v>639</v>
      </c>
      <c r="F42" t="s">
        <v>19</v>
      </c>
      <c r="G42" s="6" t="s">
        <v>851</v>
      </c>
      <c r="H42" s="6"/>
      <c r="I42" s="6"/>
      <c r="J42" s="6"/>
      <c r="K42" s="6"/>
      <c r="L42" s="6"/>
      <c r="M42" s="6"/>
      <c r="N42" s="7"/>
      <c r="O42" s="6"/>
      <c r="P42" s="6"/>
      <c r="Q42" s="6"/>
      <c r="R42" s="6" t="s">
        <v>963</v>
      </c>
      <c r="S42" s="6" t="s">
        <v>963</v>
      </c>
      <c r="T42" s="6"/>
      <c r="U42" s="6"/>
      <c r="V42" s="6"/>
      <c r="W42" s="6"/>
      <c r="X42" s="6"/>
      <c r="Y42" s="6"/>
      <c r="Z42" s="6"/>
      <c r="AA42" s="6"/>
      <c r="AB42" s="6"/>
      <c r="AC42" s="6"/>
      <c r="AD42" t="s">
        <v>20</v>
      </c>
      <c r="AE42" t="s">
        <v>20</v>
      </c>
      <c r="AG42">
        <v>0</v>
      </c>
    </row>
    <row r="43" spans="1:33">
      <c r="A43" t="s">
        <v>211</v>
      </c>
      <c r="B43" s="3" t="s">
        <v>212</v>
      </c>
      <c r="C43" s="3" t="s">
        <v>213</v>
      </c>
      <c r="F43" t="s">
        <v>19</v>
      </c>
      <c r="G43" s="6" t="s">
        <v>851</v>
      </c>
      <c r="H43" s="6"/>
      <c r="I43" s="6"/>
      <c r="J43" s="6"/>
      <c r="K43" s="6"/>
      <c r="L43" s="6"/>
      <c r="M43" s="6"/>
      <c r="N43" s="7"/>
      <c r="O43" s="6"/>
      <c r="P43" s="6"/>
      <c r="Q43" s="6"/>
      <c r="R43" s="6" t="s">
        <v>963</v>
      </c>
      <c r="S43" s="6" t="s">
        <v>963</v>
      </c>
      <c r="T43" s="6"/>
      <c r="U43" s="6"/>
      <c r="V43" s="6"/>
      <c r="W43" s="6"/>
      <c r="X43" s="6"/>
      <c r="Y43" s="6"/>
      <c r="Z43" s="6"/>
      <c r="AA43" s="6"/>
      <c r="AB43" s="6"/>
      <c r="AC43" s="6"/>
      <c r="AD43" t="s">
        <v>20</v>
      </c>
      <c r="AE43" t="s">
        <v>20</v>
      </c>
      <c r="AG43">
        <v>0</v>
      </c>
    </row>
    <row r="44" spans="1:33" ht="130.5">
      <c r="A44" t="s">
        <v>214</v>
      </c>
      <c r="B44" s="3" t="s">
        <v>902</v>
      </c>
      <c r="C44" s="3" t="s">
        <v>904</v>
      </c>
      <c r="G44" s="6" t="s">
        <v>25</v>
      </c>
      <c r="H44" s="6"/>
      <c r="I44" s="6">
        <v>1</v>
      </c>
      <c r="J44" s="6">
        <v>5</v>
      </c>
      <c r="K44" s="6" t="s">
        <v>802</v>
      </c>
      <c r="L44" s="6" t="s">
        <v>809</v>
      </c>
      <c r="M44" s="6"/>
      <c r="N44" s="7"/>
      <c r="O44" s="6"/>
      <c r="P44" s="6">
        <v>266</v>
      </c>
      <c r="Q44" s="6"/>
      <c r="R44" s="6" t="s">
        <v>963</v>
      </c>
      <c r="S44" s="6" t="s">
        <v>963</v>
      </c>
      <c r="T44" s="6"/>
      <c r="U44" s="6"/>
      <c r="V44" s="6"/>
      <c r="W44" s="6"/>
      <c r="X44" s="6"/>
      <c r="Y44" s="6"/>
      <c r="Z44" s="6"/>
      <c r="AA44" s="6"/>
      <c r="AB44" s="6"/>
      <c r="AC44" s="6"/>
      <c r="AD44" t="s">
        <v>19</v>
      </c>
      <c r="AE44" t="s">
        <v>20</v>
      </c>
      <c r="AG44">
        <v>1</v>
      </c>
    </row>
    <row r="45" spans="1:33" ht="43.5">
      <c r="A45" t="s">
        <v>216</v>
      </c>
      <c r="B45" s="3" t="s">
        <v>648</v>
      </c>
      <c r="C45" s="3" t="s">
        <v>649</v>
      </c>
      <c r="G45" s="6" t="s">
        <v>25</v>
      </c>
      <c r="H45" s="6"/>
      <c r="I45" s="6">
        <v>1</v>
      </c>
      <c r="J45" s="6">
        <v>4</v>
      </c>
      <c r="K45" s="6" t="s">
        <v>808</v>
      </c>
      <c r="L45" s="6" t="s">
        <v>803</v>
      </c>
      <c r="M45" s="6" t="s">
        <v>868</v>
      </c>
      <c r="N45" s="7" t="s">
        <v>867</v>
      </c>
      <c r="O45" s="6"/>
      <c r="P45" s="6">
        <v>2475</v>
      </c>
      <c r="Q45" s="6"/>
      <c r="R45" s="6" t="s">
        <v>963</v>
      </c>
      <c r="S45" s="6" t="s">
        <v>963</v>
      </c>
      <c r="T45" s="6"/>
      <c r="U45" s="6"/>
      <c r="V45" s="6"/>
      <c r="W45" s="6"/>
      <c r="X45" s="6"/>
      <c r="Y45" s="6"/>
      <c r="Z45" s="6"/>
      <c r="AA45" s="6"/>
      <c r="AB45" s="6"/>
      <c r="AC45" s="6"/>
      <c r="AD45" t="s">
        <v>19</v>
      </c>
      <c r="AE45" t="s">
        <v>20</v>
      </c>
      <c r="AG45">
        <v>1</v>
      </c>
    </row>
    <row r="46" spans="1:33" ht="29">
      <c r="A46" t="s">
        <v>240</v>
      </c>
      <c r="B46" s="3" t="s">
        <v>241</v>
      </c>
      <c r="C46" s="3" t="s">
        <v>242</v>
      </c>
      <c r="G46" s="6" t="s">
        <v>851</v>
      </c>
      <c r="H46" s="6"/>
      <c r="I46" s="6"/>
      <c r="J46" s="6"/>
      <c r="K46" s="6"/>
      <c r="L46" s="6"/>
      <c r="M46" s="6"/>
      <c r="N46" s="7"/>
      <c r="O46" s="6"/>
      <c r="P46" s="6"/>
      <c r="Q46" s="6"/>
      <c r="R46" s="6" t="s">
        <v>963</v>
      </c>
      <c r="S46" s="6" t="s">
        <v>963</v>
      </c>
      <c r="T46" s="6"/>
      <c r="U46" s="6"/>
      <c r="V46" s="6"/>
      <c r="W46" s="6"/>
      <c r="X46" s="6"/>
      <c r="Y46" s="6"/>
      <c r="Z46" s="6"/>
      <c r="AA46" s="6"/>
      <c r="AB46" s="6"/>
      <c r="AC46" s="6"/>
      <c r="AD46" t="s">
        <v>20</v>
      </c>
      <c r="AE46" t="s">
        <v>20</v>
      </c>
      <c r="AG46">
        <v>0</v>
      </c>
    </row>
    <row r="47" spans="1:33" ht="87">
      <c r="A47" t="s">
        <v>243</v>
      </c>
      <c r="B47" s="3" t="s">
        <v>699</v>
      </c>
      <c r="C47" s="3" t="s">
        <v>698</v>
      </c>
      <c r="G47" s="6" t="s">
        <v>851</v>
      </c>
      <c r="H47" s="6"/>
      <c r="I47" s="6"/>
      <c r="J47" s="6"/>
      <c r="K47" s="6"/>
      <c r="L47" s="6"/>
      <c r="M47" s="6"/>
      <c r="N47" s="7"/>
      <c r="O47" s="6"/>
      <c r="P47" s="6"/>
      <c r="Q47" s="6"/>
      <c r="R47" s="6" t="s">
        <v>963</v>
      </c>
      <c r="S47" s="6" t="s">
        <v>963</v>
      </c>
      <c r="T47" s="6"/>
      <c r="U47" s="6"/>
      <c r="V47" s="6"/>
      <c r="W47" s="6"/>
      <c r="X47" s="6"/>
      <c r="Y47" s="6"/>
      <c r="Z47" s="6"/>
      <c r="AA47" s="6"/>
      <c r="AB47" s="6"/>
      <c r="AC47" s="6"/>
      <c r="AD47" t="s">
        <v>19</v>
      </c>
      <c r="AE47" t="s">
        <v>20</v>
      </c>
      <c r="AG47">
        <v>1</v>
      </c>
    </row>
    <row r="48" spans="1:33" ht="29">
      <c r="A48" t="s">
        <v>247</v>
      </c>
      <c r="B48" s="3" t="s">
        <v>701</v>
      </c>
      <c r="C48" s="3" t="s">
        <v>700</v>
      </c>
      <c r="G48" s="6" t="s">
        <v>849</v>
      </c>
      <c r="H48" s="6"/>
      <c r="I48" s="6"/>
      <c r="J48" s="6"/>
      <c r="K48" s="6"/>
      <c r="L48" s="6"/>
      <c r="M48" s="6"/>
      <c r="N48" s="7"/>
      <c r="O48" s="6"/>
      <c r="P48" s="6"/>
      <c r="Q48" s="6">
        <v>28</v>
      </c>
      <c r="R48" s="6">
        <v>1</v>
      </c>
      <c r="S48" s="6">
        <v>29</v>
      </c>
      <c r="T48" s="6"/>
      <c r="U48" s="6"/>
      <c r="V48" s="6"/>
      <c r="W48" s="6"/>
      <c r="X48" s="6"/>
      <c r="Y48" s="6"/>
      <c r="Z48" s="6"/>
      <c r="AA48" s="6"/>
      <c r="AB48" s="6"/>
      <c r="AC48" s="6"/>
      <c r="AD48" t="s">
        <v>19</v>
      </c>
      <c r="AE48" t="s">
        <v>20</v>
      </c>
      <c r="AG48">
        <v>1</v>
      </c>
    </row>
    <row r="49" spans="1:33" ht="43.5">
      <c r="A49" t="s">
        <v>247</v>
      </c>
      <c r="B49" s="3" t="s">
        <v>703</v>
      </c>
      <c r="C49" s="3" t="s">
        <v>702</v>
      </c>
      <c r="G49" s="6" t="s">
        <v>24</v>
      </c>
      <c r="H49" s="6"/>
      <c r="I49" s="6">
        <v>1</v>
      </c>
      <c r="J49" s="6">
        <v>3</v>
      </c>
      <c r="K49" s="6" t="s">
        <v>818</v>
      </c>
      <c r="L49" s="6" t="s">
        <v>809</v>
      </c>
      <c r="M49" s="6"/>
      <c r="N49" s="7"/>
      <c r="O49" s="6"/>
      <c r="P49" s="6">
        <v>1701</v>
      </c>
      <c r="Q49" s="6"/>
      <c r="R49" s="6" t="s">
        <v>963</v>
      </c>
      <c r="S49" s="6" t="s">
        <v>963</v>
      </c>
      <c r="T49" s="6"/>
      <c r="U49" s="6"/>
      <c r="V49" s="6"/>
      <c r="W49" s="6"/>
      <c r="X49" s="6"/>
      <c r="Y49" s="6"/>
      <c r="Z49" s="6"/>
      <c r="AA49" s="6"/>
      <c r="AB49" s="6"/>
      <c r="AC49" s="6"/>
      <c r="AD49" t="s">
        <v>19</v>
      </c>
      <c r="AE49" t="s">
        <v>20</v>
      </c>
      <c r="AG49">
        <v>1</v>
      </c>
    </row>
    <row r="50" spans="1:33" ht="58">
      <c r="A50" t="s">
        <v>252</v>
      </c>
      <c r="B50" s="3" t="s">
        <v>715</v>
      </c>
      <c r="C50" s="3" t="s">
        <v>716</v>
      </c>
      <c r="G50" s="6" t="s">
        <v>849</v>
      </c>
      <c r="H50" s="6"/>
      <c r="I50" s="6"/>
      <c r="J50" s="6"/>
      <c r="K50" s="6"/>
      <c r="L50" s="6"/>
      <c r="M50" s="6"/>
      <c r="N50" s="7"/>
      <c r="O50" s="6"/>
      <c r="P50" s="6"/>
      <c r="Q50" s="6">
        <v>51</v>
      </c>
      <c r="R50" s="6">
        <v>48</v>
      </c>
      <c r="S50" s="6">
        <v>99</v>
      </c>
      <c r="T50" s="6"/>
      <c r="U50" s="6"/>
      <c r="V50" s="6"/>
      <c r="W50" s="6"/>
      <c r="X50" s="6"/>
      <c r="Y50" s="6"/>
      <c r="Z50" s="6"/>
      <c r="AA50" s="6"/>
      <c r="AB50" s="6"/>
      <c r="AC50" s="6"/>
      <c r="AD50" t="s">
        <v>19</v>
      </c>
      <c r="AE50" t="s">
        <v>20</v>
      </c>
      <c r="AG50">
        <v>1</v>
      </c>
    </row>
    <row r="51" spans="1:33" ht="43.5">
      <c r="A51" t="s">
        <v>258</v>
      </c>
      <c r="B51" s="3" t="s">
        <v>722</v>
      </c>
      <c r="C51" s="3" t="s">
        <v>721</v>
      </c>
      <c r="G51" s="6" t="s">
        <v>849</v>
      </c>
      <c r="H51" s="6"/>
      <c r="I51" s="6"/>
      <c r="J51" s="6"/>
      <c r="K51" s="6"/>
      <c r="L51" s="6"/>
      <c r="M51" s="6"/>
      <c r="N51" s="7"/>
      <c r="O51" s="6"/>
      <c r="P51" s="6"/>
      <c r="Q51" s="6">
        <v>-80</v>
      </c>
      <c r="R51" s="6">
        <v>105</v>
      </c>
      <c r="S51" s="6">
        <v>25</v>
      </c>
      <c r="T51" s="6"/>
      <c r="U51" s="6"/>
      <c r="V51" s="6"/>
      <c r="W51" s="6"/>
      <c r="X51" s="6"/>
      <c r="Y51" s="6"/>
      <c r="Z51" s="6"/>
      <c r="AA51" s="6"/>
      <c r="AB51" s="6"/>
      <c r="AC51" s="6"/>
      <c r="AD51" t="s">
        <v>19</v>
      </c>
      <c r="AE51" t="s">
        <v>20</v>
      </c>
      <c r="AG51">
        <v>1</v>
      </c>
    </row>
    <row r="52" spans="1:33" ht="29">
      <c r="A52" t="s">
        <v>264</v>
      </c>
      <c r="B52" s="3" t="s">
        <v>736</v>
      </c>
      <c r="C52" s="3" t="s">
        <v>735</v>
      </c>
      <c r="G52" s="6" t="s">
        <v>25</v>
      </c>
      <c r="H52" s="6"/>
      <c r="I52" s="6">
        <v>1</v>
      </c>
      <c r="J52" s="6">
        <v>3</v>
      </c>
      <c r="K52" s="6" t="s">
        <v>825</v>
      </c>
      <c r="L52" s="6" t="s">
        <v>809</v>
      </c>
      <c r="M52" s="6"/>
      <c r="N52" s="7"/>
      <c r="O52" s="6"/>
      <c r="P52" s="6">
        <v>743</v>
      </c>
      <c r="Q52" s="6"/>
      <c r="R52" s="6" t="s">
        <v>963</v>
      </c>
      <c r="S52" s="6" t="s">
        <v>963</v>
      </c>
      <c r="T52" s="6"/>
      <c r="U52" s="6"/>
      <c r="V52" s="6"/>
      <c r="W52" s="6"/>
      <c r="X52" s="6"/>
      <c r="Y52" s="6"/>
      <c r="Z52" s="6"/>
      <c r="AA52" s="6"/>
      <c r="AB52" s="6"/>
      <c r="AC52" s="6"/>
      <c r="AD52" t="s">
        <v>19</v>
      </c>
      <c r="AE52" t="s">
        <v>20</v>
      </c>
      <c r="AG52">
        <v>1</v>
      </c>
    </row>
    <row r="53" spans="1:33">
      <c r="A53" t="s">
        <v>272</v>
      </c>
      <c r="B53" s="3" t="s">
        <v>273</v>
      </c>
      <c r="C53" s="3" t="s">
        <v>215</v>
      </c>
      <c r="G53" s="6" t="s">
        <v>851</v>
      </c>
      <c r="H53" s="6"/>
      <c r="I53" s="6"/>
      <c r="J53" s="6"/>
      <c r="K53" s="6"/>
      <c r="L53" s="6"/>
      <c r="M53" s="6"/>
      <c r="N53" s="7"/>
      <c r="O53" s="6"/>
      <c r="P53" s="6"/>
      <c r="Q53" s="6"/>
      <c r="R53" s="6" t="s">
        <v>963</v>
      </c>
      <c r="S53" s="6" t="s">
        <v>963</v>
      </c>
      <c r="T53" s="6"/>
      <c r="U53" s="6"/>
      <c r="V53" s="6"/>
      <c r="W53" s="6"/>
      <c r="X53" s="6"/>
      <c r="Y53" s="6"/>
      <c r="Z53" s="6"/>
      <c r="AA53" s="6"/>
      <c r="AB53" s="6"/>
      <c r="AC53" s="6"/>
      <c r="AD53" t="s">
        <v>19</v>
      </c>
      <c r="AE53" t="s">
        <v>20</v>
      </c>
      <c r="AG53">
        <v>1</v>
      </c>
    </row>
    <row r="54" spans="1:33" ht="72.5">
      <c r="A54" t="s">
        <v>274</v>
      </c>
      <c r="B54" s="3" t="s">
        <v>746</v>
      </c>
      <c r="C54" s="3" t="s">
        <v>745</v>
      </c>
      <c r="G54" s="6" t="s">
        <v>849</v>
      </c>
      <c r="H54" s="6"/>
      <c r="I54" s="6"/>
      <c r="J54" s="6"/>
      <c r="K54" s="6"/>
      <c r="L54" s="6"/>
      <c r="M54" s="6"/>
      <c r="N54" s="7"/>
      <c r="O54" s="6"/>
      <c r="P54" s="6"/>
      <c r="Q54" s="6">
        <v>-4</v>
      </c>
      <c r="R54" s="6">
        <v>8</v>
      </c>
      <c r="S54" s="6">
        <v>4</v>
      </c>
      <c r="T54" s="6"/>
      <c r="U54" s="6"/>
      <c r="V54" s="6"/>
      <c r="W54" s="6"/>
      <c r="X54" s="6"/>
      <c r="Y54" s="6"/>
      <c r="Z54" s="6"/>
      <c r="AA54" s="6"/>
      <c r="AB54" s="6"/>
      <c r="AC54" s="6"/>
      <c r="AD54" t="s">
        <v>19</v>
      </c>
      <c r="AE54" t="s">
        <v>20</v>
      </c>
      <c r="AG54">
        <v>1</v>
      </c>
    </row>
    <row r="55" spans="1:33" ht="43.5">
      <c r="A55" t="s">
        <v>280</v>
      </c>
      <c r="B55" s="3" t="s">
        <v>754</v>
      </c>
      <c r="C55" s="3" t="s">
        <v>755</v>
      </c>
      <c r="G55" s="6" t="s">
        <v>849</v>
      </c>
      <c r="H55" s="6"/>
      <c r="I55" s="6"/>
      <c r="J55" s="6"/>
      <c r="K55" s="6"/>
      <c r="L55" s="6"/>
      <c r="M55" s="6"/>
      <c r="N55" s="7"/>
      <c r="O55" s="6"/>
      <c r="P55" s="6"/>
      <c r="Q55" s="6">
        <v>2450</v>
      </c>
      <c r="R55" s="6">
        <v>25</v>
      </c>
      <c r="S55" s="6">
        <v>2475</v>
      </c>
      <c r="T55" s="6"/>
      <c r="U55" s="6"/>
      <c r="V55" s="6"/>
      <c r="W55" s="6"/>
      <c r="X55" s="6"/>
      <c r="Y55" s="6"/>
      <c r="Z55" s="6"/>
      <c r="AA55" s="6"/>
      <c r="AB55" s="6"/>
      <c r="AC55" s="6"/>
      <c r="AD55" t="s">
        <v>19</v>
      </c>
      <c r="AE55" t="s">
        <v>20</v>
      </c>
      <c r="AG55">
        <v>1</v>
      </c>
    </row>
    <row r="56" spans="1:33" ht="58">
      <c r="A56" t="s">
        <v>291</v>
      </c>
      <c r="B56" s="3" t="s">
        <v>772</v>
      </c>
      <c r="C56" s="3" t="s">
        <v>773</v>
      </c>
      <c r="D56" t="s">
        <v>28</v>
      </c>
      <c r="F56" t="s">
        <v>19</v>
      </c>
      <c r="G56" s="6" t="s">
        <v>849</v>
      </c>
      <c r="H56" s="6"/>
      <c r="I56" s="6"/>
      <c r="J56" s="6"/>
      <c r="K56" s="6"/>
      <c r="L56" s="6"/>
      <c r="M56" s="6"/>
      <c r="N56" s="7"/>
      <c r="O56" s="6"/>
      <c r="P56" s="6"/>
      <c r="Q56" s="6">
        <v>1645</v>
      </c>
      <c r="R56" s="6">
        <v>830</v>
      </c>
      <c r="S56" s="6">
        <v>2475</v>
      </c>
      <c r="T56" s="6"/>
      <c r="U56" s="6"/>
      <c r="V56" s="6"/>
      <c r="W56" s="6"/>
      <c r="X56" s="6"/>
      <c r="Y56" s="6"/>
      <c r="Z56" s="6"/>
      <c r="AA56" s="6"/>
      <c r="AB56" s="6"/>
      <c r="AC56" s="6"/>
      <c r="AD56" t="s">
        <v>20</v>
      </c>
      <c r="AE56" t="s">
        <v>20</v>
      </c>
      <c r="AG56">
        <v>0</v>
      </c>
    </row>
    <row r="57" spans="1:33" ht="29">
      <c r="A57" t="s">
        <v>304</v>
      </c>
      <c r="B57" s="3" t="s">
        <v>784</v>
      </c>
      <c r="C57" s="3" t="s">
        <v>785</v>
      </c>
      <c r="G57" s="6" t="s">
        <v>849</v>
      </c>
      <c r="H57" s="6"/>
      <c r="I57" s="6"/>
      <c r="J57" s="6"/>
      <c r="K57" s="6"/>
      <c r="L57" s="6"/>
      <c r="M57" s="6"/>
      <c r="N57" s="7"/>
      <c r="O57" s="6"/>
      <c r="P57" s="6"/>
      <c r="Q57" s="6">
        <v>-2400</v>
      </c>
      <c r="R57" s="6">
        <v>2475</v>
      </c>
      <c r="S57" s="6">
        <v>75</v>
      </c>
      <c r="T57" s="6"/>
      <c r="U57" s="6"/>
      <c r="V57" s="6"/>
      <c r="W57" s="6"/>
      <c r="X57" s="6"/>
      <c r="Y57" s="6"/>
      <c r="Z57" s="6"/>
      <c r="AA57" s="6"/>
      <c r="AB57" s="6"/>
      <c r="AC57" s="6"/>
      <c r="AD57" t="s">
        <v>19</v>
      </c>
      <c r="AE57" t="s">
        <v>20</v>
      </c>
      <c r="AG57">
        <v>1</v>
      </c>
    </row>
  </sheetData>
  <conditionalFormatting sqref="G2:G57">
    <cfRule type="expression" dxfId="148" priority="1">
      <formula>$I2&lt;&gt;""</formula>
    </cfRule>
    <cfRule type="expression" dxfId="147" priority="2">
      <formula>$I2=""</formula>
    </cfRule>
  </conditionalFormatting>
  <conditionalFormatting sqref="H2:L57 O2:P57">
    <cfRule type="expression" dxfId="146" priority="13">
      <formula>AND(OR($I2="Addition",$I2="Omission"), H2="")</formula>
    </cfRule>
    <cfRule type="expression" dxfId="145" priority="14">
      <formula>AND($I2&lt;&gt;"Addition",$I2&lt;&gt;"Omission",$I2&lt;&gt;"Substitution - Word")</formula>
    </cfRule>
  </conditionalFormatting>
  <conditionalFormatting sqref="H2:P57">
    <cfRule type="expression" dxfId="144" priority="12">
      <formula>AND(OR($I2="Addition",$I2="Omission"), H2&lt;&gt;"")</formula>
    </cfRule>
  </conditionalFormatting>
  <conditionalFormatting sqref="K2:K57">
    <cfRule type="expression" dxfId="143" priority="10">
      <formula>AND($K2&lt;&gt;"",$K2&gt;1)</formula>
    </cfRule>
  </conditionalFormatting>
  <conditionalFormatting sqref="M2:N57">
    <cfRule type="expression" dxfId="142" priority="6">
      <formula>$N2="Absent"</formula>
    </cfRule>
    <cfRule type="expression" dxfId="141" priority="7">
      <formula>$N2="NA"</formula>
    </cfRule>
    <cfRule type="expression" dxfId="140" priority="8">
      <formula>AND(OR($I2="Addition",$I2="Omission"), M2="")</formula>
    </cfRule>
    <cfRule type="expression" dxfId="139" priority="9">
      <formula>AND($I2&lt;&gt;"Addition",$I2&lt;&gt;"Omission")</formula>
    </cfRule>
  </conditionalFormatting>
  <conditionalFormatting sqref="O2:O57">
    <cfRule type="expression" dxfId="138" priority="11">
      <formula>OR($I2="Addition",$I2="Omission",$I2 = "Substitution - Word")</formula>
    </cfRule>
  </conditionalFormatting>
  <conditionalFormatting sqref="Q2:S57">
    <cfRule type="expression" dxfId="137" priority="20">
      <formula>AND(AND(LEFT($I2,3)="Sub", RIGHT($I2,4)&lt;&gt;"Form"),$S2&lt;&gt;"")</formula>
    </cfRule>
    <cfRule type="expression" dxfId="136" priority="21">
      <formula>AND(AND(LEFT($I2,3)="Sub", RIGHT($I2,4)&lt;&gt;"Form"),$S2="")</formula>
    </cfRule>
    <cfRule type="expression" dxfId="135" priority="22">
      <formula>"&lt;&gt;AND(LEFT($J2,3)=""Sub"", RIGHT($J2,4)&lt;&gt;""Form"")"</formula>
    </cfRule>
  </conditionalFormatting>
  <conditionalFormatting sqref="T2:T57">
    <cfRule type="expression" dxfId="134" priority="4">
      <formula>AND($V2&lt;&gt;"",OR($AC2="Yes",$AD2&lt;&gt;""))</formula>
    </cfRule>
    <cfRule type="expression" dxfId="133" priority="5">
      <formula>OR($AC2="Yes",$AD2&lt;&gt;"")</formula>
    </cfRule>
    <cfRule type="expression" dxfId="132" priority="17">
      <formula>AND($AC2&lt;&gt;"Yes",$AD2="")</formula>
    </cfRule>
  </conditionalFormatting>
  <conditionalFormatting sqref="T2:AC57">
    <cfRule type="expression" dxfId="131" priority="15">
      <formula>AND($I2&lt;&gt;"",$I2&lt;&gt;"Unclear due to correction")</formula>
    </cfRule>
    <cfRule type="expression" dxfId="130" priority="16">
      <formula>OR($I2="",$I2="Unclear due to correction")</formula>
    </cfRule>
  </conditionalFormatting>
  <conditionalFormatting sqref="U2:U57">
    <cfRule type="expression" dxfId="129" priority="3">
      <formula>AND($I2&lt;&gt;"",$I2&lt;&gt;"Unclear due to correction",$W2="")</formula>
    </cfRule>
  </conditionalFormatting>
  <conditionalFormatting sqref="V2:V57">
    <cfRule type="expression" dxfId="128" priority="18">
      <formula>AND($W2="Yes",$X2="")</formula>
    </cfRule>
    <cfRule type="expression" dxfId="127" priority="19">
      <formula>$W2=""</formula>
    </cfRule>
  </conditionalFormatting>
  <conditionalFormatting sqref="AA2:AA57">
    <cfRule type="expression" dxfId="126" priority="23">
      <formula>AND(OR($AA2&lt;&gt;"",$AB2&lt;&gt;""),$AC2="")</formula>
    </cfRule>
  </conditionalFormatting>
  <dataValidations count="1">
    <dataValidation allowBlank="1" showInputMessage="1" sqref="U2:U57" xr:uid="{0BCFB6E0-AB43-4C84-AF5E-7D1C4BAB2060}"/>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1B49AA0F-BA0F-4970-B680-A35370D0EC33}">
          <x14:formula1>
            <xm:f>'Data Regularization'!$Q$2:$Q$4</xm:f>
          </x14:formula1>
          <xm:sqref>AD2:AD57 AF2:AF57</xm:sqref>
        </x14:dataValidation>
        <x14:dataValidation type="list" allowBlank="1" showInputMessage="1" showErrorMessage="1" xr:uid="{986B3A64-FC48-46CF-9EF7-B6D021556EB8}">
          <x14:formula1>
            <xm:f>'Data Regularization'!$B$2:$B$1048576</xm:f>
          </x14:formula1>
          <xm:sqref>E2:E57</xm:sqref>
        </x14:dataValidation>
        <x14:dataValidation type="list" allowBlank="1" showInputMessage="1" showErrorMessage="1" xr:uid="{7393158E-FF76-46DB-A4FA-CC196C13C209}">
          <x14:formula1>
            <xm:f>'Data Regularization'!$A$2:$A$1048576</xm:f>
          </x14:formula1>
          <xm:sqref>D2:D57</xm:sqref>
        </x14:dataValidation>
        <x14:dataValidation type="list" allowBlank="1" showInputMessage="1" showErrorMessage="1" xr:uid="{4478242F-DDE5-4D42-A4F4-70D6AC176B43}">
          <x14:formula1>
            <xm:f>'Data Regularization'!$C$2:$C$29</xm:f>
          </x14:formula1>
          <xm:sqref>F2:F57</xm:sqref>
        </x14:dataValidation>
        <x14:dataValidation type="list" allowBlank="1" showInputMessage="1" showErrorMessage="1" xr:uid="{CB09B7CB-6093-4904-A89F-3FF621EBBD9B}">
          <x14:formula1>
            <xm:f>'Data Regularization'!$Q$2:$Q$1048576</xm:f>
          </x14:formula1>
          <xm:sqref>AC2:AC57</xm:sqref>
        </x14:dataValidation>
        <x14:dataValidation type="list" allowBlank="1" showInputMessage="1" showErrorMessage="1" xr:uid="{7A413338-152E-4CFB-A108-269E1DDAFBEC}">
          <x14:formula1>
            <xm:f>'Data Regularization'!$P$2:$P$1048576</xm:f>
          </x14:formula1>
          <xm:sqref>AB2:AB57</xm:sqref>
        </x14:dataValidation>
        <x14:dataValidation type="list" allowBlank="1" showInputMessage="1" showErrorMessage="1" xr:uid="{37A73713-0144-44D1-8B82-EF81693807FD}">
          <x14:formula1>
            <xm:f>'Data Regularization'!$O$2:$O$1048576</xm:f>
          </x14:formula1>
          <xm:sqref>AA2:AA57</xm:sqref>
        </x14:dataValidation>
        <x14:dataValidation type="list" allowBlank="1" showInputMessage="1" showErrorMessage="1" xr:uid="{D501FF06-FD5A-41AB-A2BD-57AD916214BB}">
          <x14:formula1>
            <xm:f>'Data Regularization'!$N$2:$N$1048576</xm:f>
          </x14:formula1>
          <xm:sqref>Y2:Y57</xm:sqref>
        </x14:dataValidation>
        <x14:dataValidation type="list" allowBlank="1" showInputMessage="1" showErrorMessage="1" xr:uid="{1EA8B293-9D61-4CD4-B921-1052E1A730EC}">
          <x14:formula1>
            <xm:f>'Data Regularization'!$M$2:$M$1048576</xm:f>
          </x14:formula1>
          <xm:sqref>X2:X57</xm:sqref>
        </x14:dataValidation>
        <x14:dataValidation type="list" allowBlank="1" showInputMessage="1" showErrorMessage="1" xr:uid="{16169994-10B3-4B75-A868-60A504E2CEBC}">
          <x14:formula1>
            <xm:f>'Data Regularization'!$L$2:$L$1048576</xm:f>
          </x14:formula1>
          <xm:sqref>W2:W57</xm:sqref>
        </x14:dataValidation>
        <x14:dataValidation type="list" allowBlank="1" showInputMessage="1" showErrorMessage="1" xr:uid="{F9455B73-DDD5-45FA-B0AE-ABD51EDE18C3}">
          <x14:formula1>
            <xm:f>'Data Regularization'!$K$2:$K$1048576</xm:f>
          </x14:formula1>
          <xm:sqref>T2:T57 V2:V57</xm:sqref>
        </x14:dataValidation>
        <x14:dataValidation type="list" allowBlank="1" showInputMessage="1" showErrorMessage="1" xr:uid="{BB292935-3735-4FE8-9B8E-F9FED3214EBC}">
          <x14:formula1>
            <xm:f>'Data Regularization'!$G$2:$G$1048576</xm:f>
          </x14:formula1>
          <xm:sqref>O2:O57</xm:sqref>
        </x14:dataValidation>
        <x14:dataValidation type="list" allowBlank="1" showInputMessage="1" showErrorMessage="1" xr:uid="{484370D9-AFF0-4908-A2C6-DFC2FBA6CE00}">
          <x14:formula1>
            <xm:f>'Data Regularization'!$F$2:$F$1048576</xm:f>
          </x14:formula1>
          <xm:sqref>L2:L57</xm:sqref>
        </x14:dataValidation>
        <x14:dataValidation type="list" allowBlank="1" showInputMessage="1" showErrorMessage="1" xr:uid="{CD0D7E64-4805-4F2C-A2D2-5006155B6E89}">
          <x14:formula1>
            <xm:f>'Data Regularization'!$E$2:$E$1048576</xm:f>
          </x14:formula1>
          <xm:sqref>K2:K57</xm:sqref>
        </x14:dataValidation>
        <x14:dataValidation type="list" allowBlank="1" showInputMessage="1" showErrorMessage="1" xr:uid="{87A9106D-4D44-4CD4-B49D-145F59729BE0}">
          <x14:formula1>
            <xm:f>'Data Regularization'!$D$2:$D$1048576</xm:f>
          </x14:formula1>
          <xm:sqref>G2:G57</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68F2-365A-49CB-B8FC-453E0B0A8FD4}">
  <dimension ref="A1:AH78"/>
  <sheetViews>
    <sheetView topLeftCell="A25" workbookViewId="0">
      <selection activeCell="A26" sqref="A26"/>
    </sheetView>
  </sheetViews>
  <sheetFormatPr defaultRowHeight="14.5"/>
  <cols>
    <col min="1" max="1" width="9.453125" bestFit="1" customWidth="1"/>
  </cols>
  <sheetData>
    <row r="1" spans="1:34" s="1" customFormat="1" ht="29">
      <c r="A1" s="1" t="s">
        <v>0</v>
      </c>
      <c r="B1" s="1" t="s">
        <v>5</v>
      </c>
      <c r="C1" s="2" t="s">
        <v>6</v>
      </c>
      <c r="D1" s="1" t="s">
        <v>831</v>
      </c>
      <c r="E1" s="1" t="s">
        <v>832</v>
      </c>
      <c r="F1" s="1" t="s">
        <v>833</v>
      </c>
      <c r="G1" s="1" t="s">
        <v>3</v>
      </c>
      <c r="H1" s="1" t="s">
        <v>834</v>
      </c>
      <c r="I1" s="1" t="s">
        <v>835</v>
      </c>
      <c r="J1" s="1" t="s">
        <v>836</v>
      </c>
      <c r="K1" s="1" t="s">
        <v>837</v>
      </c>
      <c r="L1" s="1" t="s">
        <v>796</v>
      </c>
      <c r="M1" s="1" t="s">
        <v>838</v>
      </c>
      <c r="N1" s="5" t="s">
        <v>839</v>
      </c>
      <c r="O1" s="1" t="s">
        <v>797</v>
      </c>
      <c r="P1" s="1" t="s">
        <v>840</v>
      </c>
      <c r="Q1" s="1" t="s">
        <v>964</v>
      </c>
      <c r="R1" s="1" t="s">
        <v>841</v>
      </c>
      <c r="S1" s="1" t="s">
        <v>961</v>
      </c>
      <c r="T1" s="1" t="s">
        <v>962</v>
      </c>
      <c r="U1" s="1" t="s">
        <v>844</v>
      </c>
      <c r="V1" s="1" t="s">
        <v>845</v>
      </c>
      <c r="W1" s="1" t="s">
        <v>846</v>
      </c>
      <c r="X1" s="1" t="s">
        <v>798</v>
      </c>
      <c r="Y1" s="1" t="s">
        <v>799</v>
      </c>
      <c r="Z1" s="1" t="s">
        <v>800</v>
      </c>
      <c r="AA1" s="1" t="s">
        <v>842</v>
      </c>
      <c r="AB1" s="1" t="s">
        <v>847</v>
      </c>
      <c r="AC1" s="1" t="s">
        <v>801</v>
      </c>
      <c r="AD1" s="1" t="s">
        <v>843</v>
      </c>
      <c r="AE1" s="1" t="s">
        <v>859</v>
      </c>
      <c r="AF1" s="1" t="s">
        <v>857</v>
      </c>
      <c r="AG1" s="1" t="s">
        <v>858</v>
      </c>
    </row>
    <row r="2" spans="1:34" ht="43.5">
      <c r="A2" t="s">
        <v>50</v>
      </c>
      <c r="B2" s="3" t="s">
        <v>332</v>
      </c>
      <c r="C2" s="3" t="s">
        <v>331</v>
      </c>
      <c r="G2" s="6" t="s">
        <v>25</v>
      </c>
      <c r="H2" s="6"/>
      <c r="I2" s="6">
        <v>1</v>
      </c>
      <c r="J2" s="6">
        <v>4</v>
      </c>
      <c r="K2" s="6" t="s">
        <v>825</v>
      </c>
      <c r="L2" s="6" t="s">
        <v>809</v>
      </c>
      <c r="M2" s="6"/>
      <c r="N2" s="7"/>
      <c r="O2" s="6"/>
      <c r="P2" s="6">
        <v>743</v>
      </c>
      <c r="Q2" s="6">
        <v>365.32599075621988</v>
      </c>
      <c r="R2" s="6"/>
      <c r="S2" s="6" t="s">
        <v>963</v>
      </c>
      <c r="T2" s="6" t="s">
        <v>963</v>
      </c>
      <c r="U2" s="6"/>
      <c r="V2" s="6"/>
      <c r="W2" s="6"/>
      <c r="X2" s="6"/>
      <c r="Y2" s="6"/>
      <c r="Z2" s="6"/>
      <c r="AA2" s="6"/>
      <c r="AB2" s="6"/>
      <c r="AC2" s="6"/>
      <c r="AD2" s="6"/>
      <c r="AE2" t="s">
        <v>19</v>
      </c>
      <c r="AF2" t="s">
        <v>20</v>
      </c>
      <c r="AH2">
        <v>1</v>
      </c>
    </row>
    <row r="3" spans="1:34" ht="87">
      <c r="A3" t="s">
        <v>54</v>
      </c>
      <c r="B3" s="3" t="s">
        <v>334</v>
      </c>
      <c r="C3" s="3" t="s">
        <v>335</v>
      </c>
      <c r="G3" s="6" t="s">
        <v>24</v>
      </c>
      <c r="H3" s="6"/>
      <c r="I3" s="6">
        <v>1</v>
      </c>
      <c r="J3" s="6">
        <v>2</v>
      </c>
      <c r="K3" s="6" t="s">
        <v>827</v>
      </c>
      <c r="L3" s="6" t="s">
        <v>850</v>
      </c>
      <c r="M3" s="6"/>
      <c r="N3" s="7"/>
      <c r="O3" s="6"/>
      <c r="P3" s="6">
        <v>613</v>
      </c>
      <c r="Q3" s="6">
        <v>301.40623463467404</v>
      </c>
      <c r="R3" s="6"/>
      <c r="S3" s="6" t="s">
        <v>963</v>
      </c>
      <c r="T3" s="6" t="s">
        <v>963</v>
      </c>
      <c r="U3" s="6"/>
      <c r="V3" s="6"/>
      <c r="W3" s="6"/>
      <c r="X3" s="6"/>
      <c r="Y3" s="6"/>
      <c r="Z3" s="6"/>
      <c r="AA3" s="6"/>
      <c r="AB3" s="6"/>
      <c r="AC3" s="6"/>
      <c r="AD3" s="6"/>
      <c r="AE3" t="s">
        <v>19</v>
      </c>
      <c r="AF3" t="s">
        <v>20</v>
      </c>
      <c r="AH3">
        <v>1</v>
      </c>
    </row>
    <row r="4" spans="1:34" ht="29">
      <c r="A4" t="s">
        <v>63</v>
      </c>
      <c r="B4" s="3" t="s">
        <v>349</v>
      </c>
      <c r="C4" s="3" t="s">
        <v>350</v>
      </c>
      <c r="G4" s="6" t="s">
        <v>25</v>
      </c>
      <c r="H4" s="6"/>
      <c r="I4" s="6">
        <v>1</v>
      </c>
      <c r="J4" s="6">
        <v>3</v>
      </c>
      <c r="K4" s="6" t="s">
        <v>825</v>
      </c>
      <c r="L4" s="6" t="s">
        <v>809</v>
      </c>
      <c r="M4" s="6"/>
      <c r="N4" s="7"/>
      <c r="O4" s="6"/>
      <c r="P4" s="6">
        <v>2475</v>
      </c>
      <c r="Q4" s="6">
        <v>1216.9338184678927</v>
      </c>
      <c r="R4" s="6"/>
      <c r="S4" s="6" t="s">
        <v>963</v>
      </c>
      <c r="T4" s="6" t="s">
        <v>963</v>
      </c>
      <c r="U4" s="6" t="s">
        <v>848</v>
      </c>
      <c r="V4" s="6"/>
      <c r="W4" s="6"/>
      <c r="X4" s="6"/>
      <c r="Y4" s="6"/>
      <c r="Z4" s="6"/>
      <c r="AA4" s="6"/>
      <c r="AB4" s="6"/>
      <c r="AC4" s="6"/>
      <c r="AD4" s="6"/>
      <c r="AE4" t="s">
        <v>19</v>
      </c>
      <c r="AF4" t="s">
        <v>20</v>
      </c>
      <c r="AH4">
        <v>1</v>
      </c>
    </row>
    <row r="5" spans="1:34" ht="116">
      <c r="A5" t="s">
        <v>79</v>
      </c>
      <c r="B5" s="3" t="s">
        <v>375</v>
      </c>
      <c r="C5" s="3" t="s">
        <v>883</v>
      </c>
      <c r="G5" s="6" t="s">
        <v>24</v>
      </c>
      <c r="H5" s="6"/>
      <c r="I5" s="6">
        <v>1</v>
      </c>
      <c r="J5" s="6">
        <v>3</v>
      </c>
      <c r="K5" s="6" t="s">
        <v>818</v>
      </c>
      <c r="L5" s="6" t="s">
        <v>803</v>
      </c>
      <c r="M5" s="6" t="s">
        <v>866</v>
      </c>
      <c r="N5" s="7" t="s">
        <v>867</v>
      </c>
      <c r="O5" s="6"/>
      <c r="P5" s="6">
        <v>1701</v>
      </c>
      <c r="Q5" s="6">
        <v>836.36542432884255</v>
      </c>
      <c r="R5" s="6"/>
      <c r="S5" s="6" t="s">
        <v>963</v>
      </c>
      <c r="T5" s="6" t="s">
        <v>963</v>
      </c>
      <c r="U5" s="6"/>
      <c r="V5" s="6"/>
      <c r="W5" s="6"/>
      <c r="X5" s="6"/>
      <c r="Y5" s="6"/>
      <c r="Z5" s="6"/>
      <c r="AA5" s="6"/>
      <c r="AB5" s="6"/>
      <c r="AC5" s="6"/>
      <c r="AD5" s="6"/>
      <c r="AE5" t="s">
        <v>19</v>
      </c>
      <c r="AF5" t="s">
        <v>20</v>
      </c>
      <c r="AH5">
        <v>1</v>
      </c>
    </row>
    <row r="6" spans="1:34" ht="409.5">
      <c r="A6" t="s">
        <v>80</v>
      </c>
      <c r="B6" s="3" t="s">
        <v>886</v>
      </c>
      <c r="C6" s="3" t="s">
        <v>891</v>
      </c>
      <c r="G6" s="6" t="s">
        <v>24</v>
      </c>
      <c r="H6" s="6"/>
      <c r="I6" s="6">
        <v>1</v>
      </c>
      <c r="J6" s="6">
        <v>4</v>
      </c>
      <c r="K6" s="6" t="s">
        <v>818</v>
      </c>
      <c r="L6" s="6" t="s">
        <v>809</v>
      </c>
      <c r="M6" s="6"/>
      <c r="N6" s="7"/>
      <c r="O6" s="6"/>
      <c r="P6" s="6">
        <v>55</v>
      </c>
      <c r="Q6" s="6">
        <v>27.042973743730947</v>
      </c>
      <c r="R6" s="6"/>
      <c r="S6" s="6" t="s">
        <v>963</v>
      </c>
      <c r="T6" s="6" t="s">
        <v>963</v>
      </c>
      <c r="U6" s="6"/>
      <c r="V6" s="6"/>
      <c r="W6" s="6"/>
      <c r="X6" s="6"/>
      <c r="Y6" s="6"/>
      <c r="Z6" s="6"/>
      <c r="AA6" s="6"/>
      <c r="AB6" s="6"/>
      <c r="AC6" s="6"/>
      <c r="AD6" s="6"/>
      <c r="AE6" t="s">
        <v>19</v>
      </c>
      <c r="AF6" t="s">
        <v>20</v>
      </c>
      <c r="AH6">
        <v>1</v>
      </c>
    </row>
    <row r="7" spans="1:34" ht="409.5">
      <c r="A7" t="s">
        <v>81</v>
      </c>
      <c r="B7" s="3" t="s">
        <v>892</v>
      </c>
      <c r="C7" s="3" t="s">
        <v>887</v>
      </c>
      <c r="G7" s="6" t="s">
        <v>25</v>
      </c>
      <c r="H7" s="6"/>
      <c r="I7" s="6">
        <v>5</v>
      </c>
      <c r="J7" s="6">
        <v>20</v>
      </c>
      <c r="K7" s="6"/>
      <c r="L7" s="6" t="s">
        <v>809</v>
      </c>
      <c r="M7" s="6"/>
      <c r="N7" s="7"/>
      <c r="O7" s="6"/>
      <c r="P7" s="6">
        <v>34</v>
      </c>
      <c r="Q7" s="6">
        <v>16.717474677942768</v>
      </c>
      <c r="R7" s="6"/>
      <c r="S7" s="6" t="s">
        <v>963</v>
      </c>
      <c r="T7" s="6" t="s">
        <v>963</v>
      </c>
      <c r="U7" s="6"/>
      <c r="V7" s="6"/>
      <c r="W7" s="6"/>
      <c r="X7" s="6"/>
      <c r="Y7" s="6"/>
      <c r="Z7" s="6"/>
      <c r="AA7" s="6"/>
      <c r="AB7" s="6"/>
      <c r="AC7" s="6"/>
      <c r="AD7" s="6"/>
      <c r="AE7" t="s">
        <v>19</v>
      </c>
      <c r="AF7" t="s">
        <v>20</v>
      </c>
      <c r="AH7">
        <v>1</v>
      </c>
    </row>
    <row r="8" spans="1:34" ht="58">
      <c r="A8" t="s">
        <v>84</v>
      </c>
      <c r="B8" s="3" t="s">
        <v>380</v>
      </c>
      <c r="C8" s="3" t="s">
        <v>379</v>
      </c>
      <c r="G8" s="6" t="s">
        <v>25</v>
      </c>
      <c r="H8" s="6"/>
      <c r="I8" s="6">
        <v>1</v>
      </c>
      <c r="J8" s="6">
        <v>5</v>
      </c>
      <c r="K8" s="6" t="s">
        <v>825</v>
      </c>
      <c r="L8" s="6" t="s">
        <v>809</v>
      </c>
      <c r="M8" s="6"/>
      <c r="N8" s="7"/>
      <c r="O8" s="6"/>
      <c r="P8" s="6">
        <v>830</v>
      </c>
      <c r="Q8" s="6">
        <v>408.10305831448517</v>
      </c>
      <c r="R8" s="6"/>
      <c r="S8" s="6" t="s">
        <v>963</v>
      </c>
      <c r="T8" s="6" t="s">
        <v>963</v>
      </c>
      <c r="U8" s="6"/>
      <c r="V8" s="6"/>
      <c r="W8" s="6"/>
      <c r="X8" s="6"/>
      <c r="Y8" s="6"/>
      <c r="Z8" s="6"/>
      <c r="AA8" s="6"/>
      <c r="AB8" s="6"/>
      <c r="AC8" s="6"/>
      <c r="AD8" s="6"/>
      <c r="AE8" t="s">
        <v>19</v>
      </c>
      <c r="AF8" t="s">
        <v>20</v>
      </c>
      <c r="AH8">
        <v>1</v>
      </c>
    </row>
    <row r="9" spans="1:34" ht="159.5">
      <c r="A9" t="s">
        <v>87</v>
      </c>
      <c r="B9" s="3" t="s">
        <v>395</v>
      </c>
      <c r="C9" s="3" t="s">
        <v>391</v>
      </c>
      <c r="G9" s="6" t="s">
        <v>25</v>
      </c>
      <c r="H9" s="6"/>
      <c r="I9" s="6">
        <v>1</v>
      </c>
      <c r="J9" s="6">
        <v>5</v>
      </c>
      <c r="K9" s="6" t="s">
        <v>829</v>
      </c>
      <c r="L9" s="6" t="s">
        <v>809</v>
      </c>
      <c r="M9" s="6"/>
      <c r="N9" s="7"/>
      <c r="O9" s="6"/>
      <c r="P9" s="6">
        <v>168</v>
      </c>
      <c r="Q9" s="6">
        <v>82.603992526305433</v>
      </c>
      <c r="R9" s="6"/>
      <c r="S9" s="6" t="s">
        <v>963</v>
      </c>
      <c r="T9" s="6" t="s">
        <v>963</v>
      </c>
      <c r="U9" s="6"/>
      <c r="V9" s="6"/>
      <c r="W9" s="6"/>
      <c r="X9" s="6"/>
      <c r="Y9" s="6"/>
      <c r="Z9" s="6"/>
      <c r="AA9" s="6"/>
      <c r="AB9" s="6"/>
      <c r="AC9" s="6"/>
      <c r="AD9" s="6"/>
      <c r="AE9" t="s">
        <v>19</v>
      </c>
      <c r="AF9" t="s">
        <v>20</v>
      </c>
      <c r="AH9">
        <v>1</v>
      </c>
    </row>
    <row r="10" spans="1:34" ht="43.5">
      <c r="A10" t="s">
        <v>94</v>
      </c>
      <c r="B10" s="3" t="s">
        <v>418</v>
      </c>
      <c r="C10" s="3" t="s">
        <v>419</v>
      </c>
      <c r="F10" t="s">
        <v>19</v>
      </c>
      <c r="G10" s="6" t="s">
        <v>25</v>
      </c>
      <c r="H10" s="6"/>
      <c r="I10" s="6">
        <v>1</v>
      </c>
      <c r="J10" s="6">
        <v>5</v>
      </c>
      <c r="K10" s="6" t="s">
        <v>860</v>
      </c>
      <c r="L10" s="6" t="s">
        <v>809</v>
      </c>
      <c r="M10" s="6"/>
      <c r="N10" s="7"/>
      <c r="O10" s="6"/>
      <c r="P10" s="6">
        <v>4</v>
      </c>
      <c r="Q10" s="6">
        <v>1.9667617268167963</v>
      </c>
      <c r="R10" s="6"/>
      <c r="S10" s="6" t="s">
        <v>963</v>
      </c>
      <c r="T10" s="6" t="s">
        <v>963</v>
      </c>
      <c r="U10" s="6"/>
      <c r="V10" s="6"/>
      <c r="W10" s="6"/>
      <c r="X10" s="6"/>
      <c r="Y10" s="6"/>
      <c r="Z10" s="6"/>
      <c r="AA10" s="6"/>
      <c r="AB10" s="6"/>
      <c r="AC10" s="6"/>
      <c r="AD10" s="6"/>
      <c r="AE10" t="s">
        <v>20</v>
      </c>
      <c r="AF10" t="s">
        <v>20</v>
      </c>
      <c r="AH10">
        <v>0</v>
      </c>
    </row>
    <row r="11" spans="1:34" ht="29">
      <c r="A11" t="s">
        <v>101</v>
      </c>
      <c r="B11" s="3" t="s">
        <v>424</v>
      </c>
      <c r="C11" s="3" t="s">
        <v>425</v>
      </c>
      <c r="F11" t="s">
        <v>19</v>
      </c>
      <c r="G11" s="6" t="s">
        <v>24</v>
      </c>
      <c r="H11" s="6"/>
      <c r="I11" s="6">
        <v>1</v>
      </c>
      <c r="J11" s="6">
        <v>2</v>
      </c>
      <c r="K11" s="6" t="s">
        <v>818</v>
      </c>
      <c r="L11" s="6" t="s">
        <v>850</v>
      </c>
      <c r="M11" s="6"/>
      <c r="N11" s="7"/>
      <c r="O11" s="6"/>
      <c r="P11" s="6">
        <v>171</v>
      </c>
      <c r="Q11" s="6">
        <v>84.079063821418046</v>
      </c>
      <c r="R11" s="6"/>
      <c r="S11" s="6" t="s">
        <v>963</v>
      </c>
      <c r="T11" s="6" t="s">
        <v>963</v>
      </c>
      <c r="U11" s="6"/>
      <c r="V11" s="6"/>
      <c r="W11" s="6"/>
      <c r="X11" s="6"/>
      <c r="Y11" s="6"/>
      <c r="Z11" s="6"/>
      <c r="AA11" s="6"/>
      <c r="AB11" s="6"/>
      <c r="AC11" s="6"/>
      <c r="AD11" s="6"/>
      <c r="AE11" t="s">
        <v>20</v>
      </c>
      <c r="AF11" t="s">
        <v>20</v>
      </c>
      <c r="AH11">
        <v>0</v>
      </c>
    </row>
    <row r="12" spans="1:34" ht="58">
      <c r="A12" t="s">
        <v>122</v>
      </c>
      <c r="B12" s="3" t="s">
        <v>456</v>
      </c>
      <c r="C12" s="3" t="s">
        <v>455</v>
      </c>
      <c r="G12" s="6" t="s">
        <v>24</v>
      </c>
      <c r="H12" s="6"/>
      <c r="I12" s="6">
        <v>1</v>
      </c>
      <c r="J12" s="6">
        <v>3</v>
      </c>
      <c r="K12" s="6" t="s">
        <v>808</v>
      </c>
      <c r="L12" s="6" t="s">
        <v>809</v>
      </c>
      <c r="M12" s="6"/>
      <c r="N12" s="7"/>
      <c r="O12" s="6"/>
      <c r="P12" s="6">
        <v>2475</v>
      </c>
      <c r="Q12" s="6">
        <v>1216.9338184678927</v>
      </c>
      <c r="R12" s="6"/>
      <c r="S12" s="6" t="s">
        <v>963</v>
      </c>
      <c r="T12" s="6" t="s">
        <v>963</v>
      </c>
      <c r="U12" s="6"/>
      <c r="V12" s="6"/>
      <c r="W12" s="6"/>
      <c r="X12" s="6"/>
      <c r="Y12" s="6"/>
      <c r="Z12" s="6"/>
      <c r="AA12" s="6"/>
      <c r="AB12" s="6"/>
      <c r="AC12" s="6"/>
      <c r="AD12" s="6"/>
      <c r="AE12" t="s">
        <v>19</v>
      </c>
      <c r="AF12" t="s">
        <v>20</v>
      </c>
      <c r="AH12">
        <v>1</v>
      </c>
    </row>
    <row r="13" spans="1:34" ht="58">
      <c r="A13" t="s">
        <v>130</v>
      </c>
      <c r="B13" s="3" t="s">
        <v>477</v>
      </c>
      <c r="C13" s="3" t="s">
        <v>476</v>
      </c>
      <c r="G13" s="6" t="s">
        <v>25</v>
      </c>
      <c r="H13" s="6"/>
      <c r="I13" s="6">
        <v>2</v>
      </c>
      <c r="J13" s="6">
        <v>4</v>
      </c>
      <c r="K13" s="6"/>
      <c r="L13" s="6" t="s">
        <v>809</v>
      </c>
      <c r="M13" s="6"/>
      <c r="N13" s="7"/>
      <c r="O13" s="6"/>
      <c r="P13" s="6">
        <v>99</v>
      </c>
      <c r="Q13" s="6">
        <v>48.677352738715705</v>
      </c>
      <c r="R13" s="6"/>
      <c r="S13" s="6" t="s">
        <v>963</v>
      </c>
      <c r="T13" s="6" t="s">
        <v>963</v>
      </c>
      <c r="U13" s="6"/>
      <c r="V13" s="6"/>
      <c r="W13" s="6"/>
      <c r="X13" s="6"/>
      <c r="Y13" s="6"/>
      <c r="Z13" s="6"/>
      <c r="AA13" s="6"/>
      <c r="AB13" s="6"/>
      <c r="AC13" s="6"/>
      <c r="AD13" s="6"/>
      <c r="AE13" t="s">
        <v>19</v>
      </c>
      <c r="AF13" t="s">
        <v>20</v>
      </c>
      <c r="AH13">
        <v>1</v>
      </c>
    </row>
    <row r="14" spans="1:34" ht="58">
      <c r="A14" t="s">
        <v>131</v>
      </c>
      <c r="B14" s="3" t="s">
        <v>484</v>
      </c>
      <c r="C14" s="3" t="s">
        <v>485</v>
      </c>
      <c r="G14" s="6" t="s">
        <v>25</v>
      </c>
      <c r="H14" s="6"/>
      <c r="I14" s="6">
        <v>3</v>
      </c>
      <c r="J14" s="6">
        <v>8</v>
      </c>
      <c r="K14" s="6"/>
      <c r="L14" s="6" t="s">
        <v>803</v>
      </c>
      <c r="M14" s="6" t="s">
        <v>873</v>
      </c>
      <c r="N14" s="7" t="s">
        <v>894</v>
      </c>
      <c r="O14" s="6"/>
      <c r="P14" s="6">
        <v>86</v>
      </c>
      <c r="Q14" s="6">
        <v>42.285377126561116</v>
      </c>
      <c r="R14" s="6"/>
      <c r="S14" s="6" t="s">
        <v>963</v>
      </c>
      <c r="T14" s="6" t="s">
        <v>963</v>
      </c>
      <c r="U14" s="6"/>
      <c r="V14" s="6"/>
      <c r="W14" s="6"/>
      <c r="X14" s="6"/>
      <c r="Y14" s="6"/>
      <c r="Z14" s="6"/>
      <c r="AA14" s="6"/>
      <c r="AB14" s="6"/>
      <c r="AC14" s="6"/>
      <c r="AD14" s="6"/>
      <c r="AE14" t="s">
        <v>19</v>
      </c>
      <c r="AF14" t="s">
        <v>20</v>
      </c>
      <c r="AH14">
        <v>1</v>
      </c>
    </row>
    <row r="15" spans="1:34" ht="43.5">
      <c r="A15" t="s">
        <v>151</v>
      </c>
      <c r="B15" s="3" t="s">
        <v>500</v>
      </c>
      <c r="C15" s="3" t="s">
        <v>501</v>
      </c>
      <c r="G15" s="6" t="s">
        <v>24</v>
      </c>
      <c r="H15" s="6"/>
      <c r="I15" s="6">
        <v>1</v>
      </c>
      <c r="J15" s="6">
        <v>3</v>
      </c>
      <c r="K15" s="6" t="s">
        <v>808</v>
      </c>
      <c r="L15" s="6" t="s">
        <v>809</v>
      </c>
      <c r="M15" s="6"/>
      <c r="N15" s="7"/>
      <c r="O15" s="6"/>
      <c r="P15" s="6">
        <v>2475</v>
      </c>
      <c r="Q15" s="6">
        <v>1216.9338184678927</v>
      </c>
      <c r="R15" s="6"/>
      <c r="S15" s="6" t="s">
        <v>963</v>
      </c>
      <c r="T15" s="6" t="s">
        <v>963</v>
      </c>
      <c r="U15" s="6"/>
      <c r="V15" s="6"/>
      <c r="W15" s="6"/>
      <c r="X15" s="6"/>
      <c r="Y15" s="6"/>
      <c r="Z15" s="6"/>
      <c r="AA15" s="6"/>
      <c r="AB15" s="6"/>
      <c r="AC15" s="6"/>
      <c r="AD15" s="6"/>
      <c r="AE15" t="s">
        <v>19</v>
      </c>
      <c r="AF15" t="s">
        <v>20</v>
      </c>
      <c r="AH15">
        <v>1</v>
      </c>
    </row>
    <row r="16" spans="1:34" ht="72.5">
      <c r="A16" t="s">
        <v>158</v>
      </c>
      <c r="B16" s="3" t="s">
        <v>510</v>
      </c>
      <c r="C16" s="3" t="s">
        <v>509</v>
      </c>
      <c r="G16" s="6" t="s">
        <v>25</v>
      </c>
      <c r="H16" s="6"/>
      <c r="I16" s="6">
        <v>3</v>
      </c>
      <c r="J16" s="6">
        <v>14</v>
      </c>
      <c r="K16" s="6"/>
      <c r="L16" s="6" t="s">
        <v>803</v>
      </c>
      <c r="M16" s="6" t="s">
        <v>873</v>
      </c>
      <c r="N16" s="7" t="s">
        <v>895</v>
      </c>
      <c r="O16" s="6"/>
      <c r="P16" s="6">
        <v>7</v>
      </c>
      <c r="Q16" s="6">
        <v>3.4418330219293933</v>
      </c>
      <c r="R16" s="6"/>
      <c r="S16" s="6" t="s">
        <v>963</v>
      </c>
      <c r="T16" s="6" t="s">
        <v>963</v>
      </c>
      <c r="U16" s="6"/>
      <c r="V16" s="6"/>
      <c r="W16" s="6"/>
      <c r="X16" s="6"/>
      <c r="Y16" s="6"/>
      <c r="Z16" s="6"/>
      <c r="AA16" s="6"/>
      <c r="AB16" s="6"/>
      <c r="AC16" s="6"/>
      <c r="AD16" s="6"/>
      <c r="AE16" t="s">
        <v>19</v>
      </c>
      <c r="AF16" t="s">
        <v>20</v>
      </c>
      <c r="AH16">
        <v>1</v>
      </c>
    </row>
    <row r="17" spans="1:34" ht="87">
      <c r="A17" t="s">
        <v>159</v>
      </c>
      <c r="B17" s="3" t="s">
        <v>511</v>
      </c>
      <c r="C17" s="3" t="s">
        <v>512</v>
      </c>
      <c r="G17" s="6" t="s">
        <v>24</v>
      </c>
      <c r="H17" s="6"/>
      <c r="I17" s="6">
        <v>1</v>
      </c>
      <c r="J17" s="6">
        <v>2</v>
      </c>
      <c r="K17" s="6" t="s">
        <v>827</v>
      </c>
      <c r="L17" s="6" t="s">
        <v>850</v>
      </c>
      <c r="M17" s="6"/>
      <c r="N17" s="7"/>
      <c r="O17" s="6"/>
      <c r="P17" s="6">
        <v>613</v>
      </c>
      <c r="Q17" s="6">
        <v>301.40623463467404</v>
      </c>
      <c r="R17" s="6"/>
      <c r="S17" s="6" t="s">
        <v>963</v>
      </c>
      <c r="T17" s="6" t="s">
        <v>963</v>
      </c>
      <c r="U17" s="6"/>
      <c r="V17" s="6"/>
      <c r="W17" s="6"/>
      <c r="X17" s="6"/>
      <c r="Y17" s="6"/>
      <c r="Z17" s="6"/>
      <c r="AA17" s="6"/>
      <c r="AB17" s="6"/>
      <c r="AC17" s="6"/>
      <c r="AD17" s="6"/>
      <c r="AE17" t="s">
        <v>19</v>
      </c>
      <c r="AF17" t="s">
        <v>20</v>
      </c>
      <c r="AH17">
        <v>1</v>
      </c>
    </row>
    <row r="18" spans="1:34" ht="58">
      <c r="A18" t="s">
        <v>165</v>
      </c>
      <c r="B18" s="3" t="s">
        <v>524</v>
      </c>
      <c r="C18" s="3" t="s">
        <v>523</v>
      </c>
      <c r="G18" s="6" t="s">
        <v>25</v>
      </c>
      <c r="H18" s="6"/>
      <c r="I18" s="6">
        <v>1</v>
      </c>
      <c r="J18" s="6">
        <v>3</v>
      </c>
      <c r="K18" s="6" t="s">
        <v>808</v>
      </c>
      <c r="L18" s="6" t="s">
        <v>809</v>
      </c>
      <c r="M18" s="6"/>
      <c r="N18" s="7"/>
      <c r="O18" s="6"/>
      <c r="P18" s="6">
        <v>2475</v>
      </c>
      <c r="Q18" s="6">
        <v>1216.9338184678927</v>
      </c>
      <c r="R18" s="6"/>
      <c r="S18" s="6" t="s">
        <v>963</v>
      </c>
      <c r="T18" s="6" t="s">
        <v>963</v>
      </c>
      <c r="U18" s="6"/>
      <c r="V18" s="6"/>
      <c r="W18" s="6"/>
      <c r="X18" s="6"/>
      <c r="Y18" s="6"/>
      <c r="Z18" s="6"/>
      <c r="AA18" s="6"/>
      <c r="AB18" s="6"/>
      <c r="AC18" s="6"/>
      <c r="AD18" s="6"/>
      <c r="AE18" t="s">
        <v>19</v>
      </c>
      <c r="AF18" t="s">
        <v>20</v>
      </c>
      <c r="AH18">
        <v>1</v>
      </c>
    </row>
    <row r="19" spans="1:34" ht="145">
      <c r="A19" t="s">
        <v>194</v>
      </c>
      <c r="B19" s="3" t="s">
        <v>1012</v>
      </c>
      <c r="C19" s="3" t="s">
        <v>1013</v>
      </c>
      <c r="G19" s="6" t="s">
        <v>25</v>
      </c>
      <c r="H19" s="6"/>
      <c r="I19" s="6">
        <v>1</v>
      </c>
      <c r="J19" s="6">
        <v>4</v>
      </c>
      <c r="K19" s="6" t="s">
        <v>823</v>
      </c>
      <c r="L19" s="6" t="s">
        <v>809</v>
      </c>
      <c r="M19" s="6"/>
      <c r="N19" s="7"/>
      <c r="O19" s="6"/>
      <c r="P19" s="6">
        <v>109</v>
      </c>
      <c r="Q19" s="6">
        <v>53.594257055757701</v>
      </c>
      <c r="R19" s="6"/>
      <c r="S19" s="6"/>
      <c r="T19" s="6"/>
      <c r="U19" s="6"/>
      <c r="V19" s="6"/>
      <c r="W19" s="6"/>
      <c r="X19" s="6"/>
      <c r="Y19" s="6"/>
      <c r="Z19" s="6"/>
      <c r="AA19" s="6"/>
      <c r="AB19" s="6"/>
      <c r="AC19" s="6"/>
      <c r="AD19" s="6"/>
      <c r="AE19" t="s">
        <v>19</v>
      </c>
      <c r="AF19" t="s">
        <v>20</v>
      </c>
      <c r="AH19">
        <v>1</v>
      </c>
    </row>
    <row r="20" spans="1:34" ht="43.5">
      <c r="A20" t="s">
        <v>195</v>
      </c>
      <c r="B20" s="3" t="s">
        <v>607</v>
      </c>
      <c r="C20" s="3" t="s">
        <v>610</v>
      </c>
      <c r="F20" t="s">
        <v>19</v>
      </c>
      <c r="G20" s="6" t="s">
        <v>24</v>
      </c>
      <c r="H20" s="6"/>
      <c r="I20" s="6">
        <v>1</v>
      </c>
      <c r="J20" s="6">
        <v>1</v>
      </c>
      <c r="K20" s="6" t="s">
        <v>802</v>
      </c>
      <c r="L20" s="6" t="s">
        <v>850</v>
      </c>
      <c r="M20" s="6"/>
      <c r="N20" s="7"/>
      <c r="O20" s="6"/>
      <c r="P20" s="6">
        <v>6</v>
      </c>
      <c r="Q20" s="6">
        <v>2.9501425902251945</v>
      </c>
      <c r="R20" s="6"/>
      <c r="S20" s="6" t="s">
        <v>963</v>
      </c>
      <c r="T20" s="6" t="s">
        <v>963</v>
      </c>
      <c r="U20" s="6"/>
      <c r="V20" s="6"/>
      <c r="W20" s="6"/>
      <c r="X20" s="6"/>
      <c r="Y20" s="6"/>
      <c r="Z20" s="6"/>
      <c r="AA20" s="6"/>
      <c r="AB20" s="6"/>
      <c r="AC20" s="6"/>
      <c r="AD20" s="6"/>
      <c r="AE20" t="s">
        <v>20</v>
      </c>
      <c r="AF20" t="s">
        <v>20</v>
      </c>
      <c r="AH20">
        <v>0</v>
      </c>
    </row>
    <row r="21" spans="1:34" ht="72.5">
      <c r="A21" t="s">
        <v>204</v>
      </c>
      <c r="B21" s="3" t="s">
        <v>620</v>
      </c>
      <c r="C21" s="3" t="s">
        <v>617</v>
      </c>
      <c r="G21" s="6" t="s">
        <v>25</v>
      </c>
      <c r="H21" s="6"/>
      <c r="I21" s="6">
        <v>1</v>
      </c>
      <c r="J21" s="6">
        <v>3</v>
      </c>
      <c r="K21" s="6" t="s">
        <v>818</v>
      </c>
      <c r="L21" s="6" t="s">
        <v>809</v>
      </c>
      <c r="M21" s="6"/>
      <c r="N21" s="7"/>
      <c r="O21" s="6"/>
      <c r="P21" s="6">
        <v>1701</v>
      </c>
      <c r="Q21" s="6">
        <v>836.36542432884255</v>
      </c>
      <c r="R21" s="6"/>
      <c r="S21" s="6" t="s">
        <v>963</v>
      </c>
      <c r="T21" s="6" t="s">
        <v>963</v>
      </c>
      <c r="U21" s="6"/>
      <c r="V21" s="6"/>
      <c r="W21" s="6"/>
      <c r="X21" s="6"/>
      <c r="Y21" s="6"/>
      <c r="Z21" s="6"/>
      <c r="AA21" s="6"/>
      <c r="AB21" s="6"/>
      <c r="AC21" s="6"/>
      <c r="AD21" s="6"/>
      <c r="AE21" t="s">
        <v>19</v>
      </c>
      <c r="AF21" t="s">
        <v>20</v>
      </c>
      <c r="AH21">
        <v>1</v>
      </c>
    </row>
    <row r="22" spans="1:34" ht="72.5">
      <c r="A22" t="s">
        <v>207</v>
      </c>
      <c r="B22" s="3" t="s">
        <v>629</v>
      </c>
      <c r="C22" s="3" t="s">
        <v>630</v>
      </c>
      <c r="G22" s="6" t="s">
        <v>24</v>
      </c>
      <c r="H22" s="6"/>
      <c r="I22" s="6">
        <v>1</v>
      </c>
      <c r="J22" s="6">
        <v>3</v>
      </c>
      <c r="K22" s="6" t="s">
        <v>818</v>
      </c>
      <c r="L22" s="6" t="s">
        <v>809</v>
      </c>
      <c r="M22" s="6"/>
      <c r="N22" s="7"/>
      <c r="O22" s="6"/>
      <c r="P22" s="6">
        <v>1701</v>
      </c>
      <c r="Q22" s="6">
        <v>836.36542432884255</v>
      </c>
      <c r="R22" s="6"/>
      <c r="S22" s="6" t="s">
        <v>963</v>
      </c>
      <c r="T22" s="6" t="s">
        <v>963</v>
      </c>
      <c r="U22" s="6"/>
      <c r="V22" s="6"/>
      <c r="W22" s="6"/>
      <c r="X22" s="6"/>
      <c r="Y22" s="6"/>
      <c r="Z22" s="6"/>
      <c r="AA22" s="6"/>
      <c r="AB22" s="6"/>
      <c r="AC22" s="6"/>
      <c r="AD22" s="6"/>
      <c r="AE22" t="s">
        <v>19</v>
      </c>
      <c r="AF22" t="s">
        <v>20</v>
      </c>
      <c r="AH22">
        <v>1</v>
      </c>
    </row>
    <row r="23" spans="1:34" ht="130.5">
      <c r="A23" t="s">
        <v>214</v>
      </c>
      <c r="B23" s="3" t="s">
        <v>902</v>
      </c>
      <c r="C23" s="3" t="s">
        <v>904</v>
      </c>
      <c r="G23" s="6" t="s">
        <v>25</v>
      </c>
      <c r="H23" s="6"/>
      <c r="I23" s="6">
        <v>1</v>
      </c>
      <c r="J23" s="6">
        <v>5</v>
      </c>
      <c r="K23" s="6" t="s">
        <v>802</v>
      </c>
      <c r="L23" s="6" t="s">
        <v>809</v>
      </c>
      <c r="M23" s="6"/>
      <c r="N23" s="7"/>
      <c r="O23" s="6"/>
      <c r="P23" s="6">
        <v>266</v>
      </c>
      <c r="Q23" s="6">
        <v>130.78965483331694</v>
      </c>
      <c r="R23" s="6"/>
      <c r="S23" s="6" t="s">
        <v>963</v>
      </c>
      <c r="T23" s="6" t="s">
        <v>963</v>
      </c>
      <c r="U23" s="6"/>
      <c r="V23" s="6"/>
      <c r="W23" s="6"/>
      <c r="X23" s="6"/>
      <c r="Y23" s="6"/>
      <c r="Z23" s="6"/>
      <c r="AA23" s="6"/>
      <c r="AB23" s="6"/>
      <c r="AC23" s="6"/>
      <c r="AD23" s="6"/>
      <c r="AE23" t="s">
        <v>19</v>
      </c>
      <c r="AF23" t="s">
        <v>20</v>
      </c>
      <c r="AH23">
        <v>1</v>
      </c>
    </row>
    <row r="24" spans="1:34" ht="43.5">
      <c r="A24" t="s">
        <v>216</v>
      </c>
      <c r="B24" s="3" t="s">
        <v>648</v>
      </c>
      <c r="C24" s="3" t="s">
        <v>649</v>
      </c>
      <c r="G24" s="6" t="s">
        <v>25</v>
      </c>
      <c r="H24" s="6"/>
      <c r="I24" s="6">
        <v>1</v>
      </c>
      <c r="J24" s="6">
        <v>4</v>
      </c>
      <c r="K24" s="6" t="s">
        <v>808</v>
      </c>
      <c r="L24" s="6" t="s">
        <v>803</v>
      </c>
      <c r="M24" s="6" t="s">
        <v>868</v>
      </c>
      <c r="N24" s="7" t="s">
        <v>867</v>
      </c>
      <c r="O24" s="6"/>
      <c r="P24" s="6">
        <v>2475</v>
      </c>
      <c r="Q24" s="6">
        <v>1216.9338184678927</v>
      </c>
      <c r="R24" s="6"/>
      <c r="S24" s="6" t="s">
        <v>963</v>
      </c>
      <c r="T24" s="6" t="s">
        <v>963</v>
      </c>
      <c r="U24" s="6"/>
      <c r="V24" s="6"/>
      <c r="W24" s="6"/>
      <c r="X24" s="6"/>
      <c r="Y24" s="6"/>
      <c r="Z24" s="6"/>
      <c r="AA24" s="6"/>
      <c r="AB24" s="6"/>
      <c r="AC24" s="6"/>
      <c r="AD24" s="6"/>
      <c r="AE24" t="s">
        <v>19</v>
      </c>
      <c r="AF24" t="s">
        <v>20</v>
      </c>
      <c r="AH24">
        <v>1</v>
      </c>
    </row>
    <row r="25" spans="1:34" ht="43.5">
      <c r="A25" t="s">
        <v>247</v>
      </c>
      <c r="B25" s="3" t="s">
        <v>703</v>
      </c>
      <c r="C25" s="3" t="s">
        <v>702</v>
      </c>
      <c r="G25" s="6" t="s">
        <v>24</v>
      </c>
      <c r="H25" s="6"/>
      <c r="I25" s="6">
        <v>1</v>
      </c>
      <c r="J25" s="6">
        <v>3</v>
      </c>
      <c r="K25" s="6" t="s">
        <v>818</v>
      </c>
      <c r="L25" s="6" t="s">
        <v>809</v>
      </c>
      <c r="M25" s="6"/>
      <c r="N25" s="7"/>
      <c r="O25" s="6"/>
      <c r="P25" s="6">
        <v>1701</v>
      </c>
      <c r="Q25" s="6">
        <v>836.36542432884255</v>
      </c>
      <c r="R25" s="6"/>
      <c r="S25" s="6" t="s">
        <v>963</v>
      </c>
      <c r="T25" s="6" t="s">
        <v>963</v>
      </c>
      <c r="U25" s="6"/>
      <c r="V25" s="6"/>
      <c r="W25" s="6"/>
      <c r="X25" s="6"/>
      <c r="Y25" s="6"/>
      <c r="Z25" s="6"/>
      <c r="AA25" s="6"/>
      <c r="AB25" s="6"/>
      <c r="AC25" s="6"/>
      <c r="AD25" s="6"/>
      <c r="AE25" t="s">
        <v>19</v>
      </c>
      <c r="AF25" t="s">
        <v>20</v>
      </c>
      <c r="AH25">
        <v>1</v>
      </c>
    </row>
    <row r="26" spans="1:34" ht="29">
      <c r="A26" t="s">
        <v>264</v>
      </c>
      <c r="B26" s="3" t="s">
        <v>736</v>
      </c>
      <c r="C26" s="3" t="s">
        <v>735</v>
      </c>
      <c r="G26" s="6" t="s">
        <v>25</v>
      </c>
      <c r="H26" s="6"/>
      <c r="I26" s="6">
        <v>1</v>
      </c>
      <c r="J26" s="6">
        <v>3</v>
      </c>
      <c r="K26" s="6" t="s">
        <v>825</v>
      </c>
      <c r="L26" s="6" t="s">
        <v>809</v>
      </c>
      <c r="M26" s="6"/>
      <c r="N26" s="7"/>
      <c r="O26" s="6"/>
      <c r="P26" s="6">
        <v>743</v>
      </c>
      <c r="Q26" s="6">
        <v>365.32599075621988</v>
      </c>
      <c r="R26" s="6"/>
      <c r="S26" s="6" t="s">
        <v>963</v>
      </c>
      <c r="T26" s="6" t="s">
        <v>963</v>
      </c>
      <c r="U26" s="6"/>
      <c r="V26" s="6"/>
      <c r="W26" s="6"/>
      <c r="X26" s="6"/>
      <c r="Y26" s="6"/>
      <c r="Z26" s="6"/>
      <c r="AA26" s="6"/>
      <c r="AB26" s="6"/>
      <c r="AC26" s="6"/>
      <c r="AD26" s="6"/>
      <c r="AE26" t="s">
        <v>19</v>
      </c>
      <c r="AF26" t="s">
        <v>20</v>
      </c>
      <c r="AH26">
        <v>1</v>
      </c>
    </row>
    <row r="29" spans="1:34">
      <c r="E29" t="s">
        <v>932</v>
      </c>
      <c r="F29">
        <f>COUNTIF(G:G,"Addition")</f>
        <v>10</v>
      </c>
    </row>
    <row r="30" spans="1:34">
      <c r="B30" t="s">
        <v>938</v>
      </c>
      <c r="C30" t="s">
        <v>939</v>
      </c>
      <c r="E30" t="s">
        <v>933</v>
      </c>
      <c r="F30">
        <f>COUNTIF(G:G,"Omission")</f>
        <v>15</v>
      </c>
    </row>
    <row r="31" spans="1:34">
      <c r="B31" t="s">
        <v>808</v>
      </c>
      <c r="C31" t="s">
        <v>802</v>
      </c>
      <c r="E31" t="s">
        <v>934</v>
      </c>
      <c r="F31">
        <f>F29/(F29+F30)</f>
        <v>0.4</v>
      </c>
    </row>
    <row r="32" spans="1:34">
      <c r="B32" t="s">
        <v>818</v>
      </c>
      <c r="C32" t="s">
        <v>814</v>
      </c>
    </row>
    <row r="33" spans="2:6">
      <c r="B33" t="s">
        <v>825</v>
      </c>
      <c r="C33" t="s">
        <v>823</v>
      </c>
    </row>
    <row r="34" spans="2:6">
      <c r="B34" t="s">
        <v>827</v>
      </c>
      <c r="C34" t="s">
        <v>829</v>
      </c>
      <c r="E34" t="s">
        <v>935</v>
      </c>
      <c r="F34">
        <f>COUNTIFS(G:G,"Addition", K:K,"Article")+COUNTIFS(G:G,"Addition", K:K,"Conjunction")+COUNTIFS(G:G,"Addition", K:K,"Pronoun")+COUNTIFS(G:G,"Addition", K:K,"Preposition")+COUNTIFS(G:G,"Addition", K:K,"Particle")+COUNTIFS(G:G,"Addition", K:K,"Vocative")</f>
        <v>9</v>
      </c>
    </row>
    <row r="35" spans="2:6">
      <c r="B35" t="s">
        <v>854</v>
      </c>
      <c r="C35" t="s">
        <v>860</v>
      </c>
      <c r="E35" t="s">
        <v>936</v>
      </c>
      <c r="F35">
        <f>COUNTIFS(G:G,"Omission", K:K,"Article")+COUNTIFS(G:G,"Omission", K:K,"Conjunction")+COUNTIFS(G:G,"Omission", K:K,"Pronoun")+COUNTIFS(G:G,"Omission", K:K,"Preposition")+COUNTIFS(G:G,"Omission", K:K,"Particle")+COUNTIFS(G:G,"Omission", K:K,"Vocative")</f>
        <v>7</v>
      </c>
    </row>
    <row r="36" spans="2:6">
      <c r="B36" t="s">
        <v>830</v>
      </c>
      <c r="E36" t="s">
        <v>937</v>
      </c>
      <c r="F36">
        <f>F34/(F34+F35)</f>
        <v>0.5625</v>
      </c>
    </row>
    <row r="39" spans="2:6">
      <c r="E39" t="s">
        <v>944</v>
      </c>
      <c r="F39">
        <f>COUNTIFS(G:G,"Addition", K:K,"Adjective")+COUNTIFS(G:G,"Addition", K:K,"Adverb")+COUNTIFS(G:G,"Addition", K:K,"Noun")+COUNTIFS(G:G,"Addition", K:K,"Participle")+COUNTIFS(G:G,"Addition", K:K,"Verb")</f>
        <v>1</v>
      </c>
    </row>
    <row r="40" spans="2:6">
      <c r="E40" t="s">
        <v>945</v>
      </c>
      <c r="F40">
        <f>COUNTIFS(G:G,"Omission", K:K,"Adjective")+COUNTIFS(G:G,"Omission", K:K,"Adverb")+COUNTIFS(G:G,"Omission", K:K,"Noun")+COUNTIFS(G:G,"Omission", K:K,"Participle")+COUNTIFS(G:G,"Omission", K:K,"Verb")</f>
        <v>4</v>
      </c>
    </row>
    <row r="41" spans="2:6">
      <c r="E41" t="s">
        <v>946</v>
      </c>
      <c r="F41">
        <f>F39/(F39+F40)</f>
        <v>0.2</v>
      </c>
    </row>
    <row r="42" spans="2:6">
      <c r="E42" t="s">
        <v>951</v>
      </c>
      <c r="F42">
        <f>F41-F36</f>
        <v>-0.36249999999999999</v>
      </c>
    </row>
    <row r="45" spans="2:6">
      <c r="D45" s="10" t="s">
        <v>947</v>
      </c>
      <c r="E45" s="10"/>
      <c r="F45" s="10"/>
    </row>
    <row r="46" spans="2:6">
      <c r="D46" t="s">
        <v>803</v>
      </c>
      <c r="E46" t="s">
        <v>948</v>
      </c>
      <c r="F46" t="s">
        <v>949</v>
      </c>
    </row>
    <row r="47" spans="2:6">
      <c r="C47" t="s">
        <v>941</v>
      </c>
      <c r="D47">
        <f>COUNTIFS(G:G,"Addition", L:L, "Present")</f>
        <v>1</v>
      </c>
      <c r="E47">
        <f>COUNTIFS(G:G,"Addition", L:L, "Absent")</f>
        <v>5</v>
      </c>
      <c r="F47">
        <f>D47/(D47+E47)</f>
        <v>0.16666666666666666</v>
      </c>
    </row>
    <row r="48" spans="2:6">
      <c r="C48" t="s">
        <v>942</v>
      </c>
      <c r="D48">
        <f>COUNTIFS(G:G,"Omission", L:L, "Present")</f>
        <v>3</v>
      </c>
      <c r="E48">
        <f>COUNTIFS(G:G,"Omission", L:L, "Absent")</f>
        <v>12</v>
      </c>
      <c r="F48">
        <f>D48/(D48+E48)</f>
        <v>0.2</v>
      </c>
    </row>
    <row r="49" spans="3:6">
      <c r="C49" t="s">
        <v>950</v>
      </c>
      <c r="D49">
        <f>SUM(D47+D48)</f>
        <v>4</v>
      </c>
      <c r="E49">
        <f>SUM(E47+E48)</f>
        <v>17</v>
      </c>
      <c r="F49">
        <f>D49/(D49+E49)</f>
        <v>0.19047619047619047</v>
      </c>
    </row>
    <row r="52" spans="3:6">
      <c r="D52" t="s">
        <v>941</v>
      </c>
      <c r="E52" t="s">
        <v>942</v>
      </c>
      <c r="F52" t="s">
        <v>952</v>
      </c>
    </row>
    <row r="53" spans="3:6">
      <c r="C53" t="s">
        <v>953</v>
      </c>
      <c r="D53">
        <f>COUNTIFS(G:G,"Addition", L:L, "Absent")</f>
        <v>5</v>
      </c>
      <c r="E53">
        <f>COUNTIFS(G:G,"Omission", L:L, "Absent")</f>
        <v>12</v>
      </c>
      <c r="F53">
        <f>D53/(D53+E53)</f>
        <v>0.29411764705882354</v>
      </c>
    </row>
    <row r="54" spans="3:6">
      <c r="C54" t="s">
        <v>954</v>
      </c>
      <c r="D54">
        <f>COUNTIFS(G:G,"Addition", L:L, "Present")</f>
        <v>1</v>
      </c>
      <c r="E54">
        <f>COUNTIFS(G:G,"Omission", L:L, "Present")</f>
        <v>3</v>
      </c>
      <c r="F54">
        <f>D54/(D54+E54)</f>
        <v>0.25</v>
      </c>
    </row>
    <row r="55" spans="3:6">
      <c r="E55" t="s">
        <v>1005</v>
      </c>
      <c r="F55">
        <f>F54-F53</f>
        <v>-4.4117647058823539E-2</v>
      </c>
    </row>
    <row r="58" spans="3:6">
      <c r="D58" t="s">
        <v>941</v>
      </c>
      <c r="E58" t="s">
        <v>942</v>
      </c>
      <c r="F58" t="s">
        <v>952</v>
      </c>
    </row>
    <row r="59" spans="3:6">
      <c r="C59" t="s">
        <v>955</v>
      </c>
      <c r="D59">
        <f>COUNTIFS(G:G,"Addition", O:O, "")</f>
        <v>10</v>
      </c>
      <c r="E59">
        <f>COUNTIFS(G:G,"Omission", O:O, "")</f>
        <v>15</v>
      </c>
      <c r="F59">
        <f>D59/(D59+E59)</f>
        <v>0.4</v>
      </c>
    </row>
    <row r="60" spans="3:6">
      <c r="C60" t="s">
        <v>956</v>
      </c>
      <c r="D60">
        <f>COUNTIFS(G:G,"Addition", O:O, "Dittography")</f>
        <v>0</v>
      </c>
      <c r="E60">
        <f>COUNTIFS(G:G,"Omission", O:O, "Dittography")</f>
        <v>0</v>
      </c>
      <c r="F60" t="e">
        <f>D60/(D60+E60)</f>
        <v>#DIV/0!</v>
      </c>
    </row>
    <row r="61" spans="3:6">
      <c r="E61" t="s">
        <v>1005</v>
      </c>
      <c r="F61" t="e">
        <f>F60-F59</f>
        <v>#DIV/0!</v>
      </c>
    </row>
    <row r="64" spans="3:6">
      <c r="C64" t="s">
        <v>940</v>
      </c>
      <c r="D64" t="s">
        <v>941</v>
      </c>
      <c r="E64" t="s">
        <v>942</v>
      </c>
      <c r="F64" t="s">
        <v>952</v>
      </c>
    </row>
    <row r="65" spans="3:6">
      <c r="C65" s="8">
        <v>1</v>
      </c>
      <c r="D65">
        <f>COUNTIFS(G:G,"Addition", I:I, 1)</f>
        <v>10</v>
      </c>
      <c r="E65">
        <f>COUNTIFS(G:G,"Omission", I:I, 1)</f>
        <v>11</v>
      </c>
      <c r="F65">
        <f>D65/(D65+E65)</f>
        <v>0.47619047619047616</v>
      </c>
    </row>
    <row r="66" spans="3:6">
      <c r="C66" s="8" t="s">
        <v>957</v>
      </c>
      <c r="D66">
        <f>COUNTIFS(G:G,"Addition", I:I, "&gt;=2", I:I, "&lt;=3")</f>
        <v>0</v>
      </c>
      <c r="E66">
        <f>COUNTIFS(G:G,"Omission", I:I, "&gt;=2", I:I, "&lt;=3")</f>
        <v>3</v>
      </c>
      <c r="F66">
        <f t="shared" ref="F66:F67" si="0">D66/(D66+E66)</f>
        <v>0</v>
      </c>
    </row>
    <row r="67" spans="3:6">
      <c r="C67" s="8" t="s">
        <v>958</v>
      </c>
      <c r="D67">
        <f>COUNTIFS(G:G,"Addition", I:I, "&gt;=4")</f>
        <v>0</v>
      </c>
      <c r="E67">
        <f>COUNTIFS(G:G,"Omission", I:I, "&gt;=4")</f>
        <v>1</v>
      </c>
      <c r="F67">
        <f t="shared" si="0"/>
        <v>0</v>
      </c>
    </row>
    <row r="70" spans="3:6">
      <c r="C70" t="s">
        <v>940</v>
      </c>
      <c r="D70" t="s">
        <v>941</v>
      </c>
      <c r="E70" t="s">
        <v>942</v>
      </c>
      <c r="F70" t="s">
        <v>943</v>
      </c>
    </row>
    <row r="71" spans="3:6">
      <c r="C71">
        <v>1</v>
      </c>
      <c r="D71" s="8">
        <f>COUNTIFS(G:G,"Addition", I:I, C71)</f>
        <v>10</v>
      </c>
      <c r="E71">
        <f>COUNTIFS(G:G,"Omission", I:I, C71)</f>
        <v>11</v>
      </c>
      <c r="F71">
        <f>D71/(D71+E71)</f>
        <v>0.47619047619047616</v>
      </c>
    </row>
    <row r="72" spans="3:6">
      <c r="C72">
        <v>2</v>
      </c>
      <c r="D72" s="8">
        <f>COUNTIFS(G:G,"Addition", I:I, C72)</f>
        <v>0</v>
      </c>
      <c r="E72">
        <f>COUNTIFS(G:G,"Omission", I:I, C72)</f>
        <v>1</v>
      </c>
      <c r="F72">
        <f t="shared" ref="F72:F75" si="1">D72/(D72+E72)</f>
        <v>0</v>
      </c>
    </row>
    <row r="73" spans="3:6">
      <c r="C73">
        <v>3</v>
      </c>
      <c r="D73" s="8">
        <f>COUNTIFS(G:G,"Addition", I:I, C73)</f>
        <v>0</v>
      </c>
      <c r="E73">
        <f>COUNTIFS(G:G,"Omission", I:I, C73)</f>
        <v>2</v>
      </c>
      <c r="F73">
        <f t="shared" si="1"/>
        <v>0</v>
      </c>
    </row>
    <row r="74" spans="3:6">
      <c r="C74">
        <v>4</v>
      </c>
      <c r="D74" s="8">
        <f>COUNTIFS(G:G,"Addition", I:I, C74)</f>
        <v>0</v>
      </c>
      <c r="E74">
        <f>COUNTIFS(G:G,"Omission", I:I, C74)</f>
        <v>0</v>
      </c>
      <c r="F74" t="e">
        <f t="shared" si="1"/>
        <v>#DIV/0!</v>
      </c>
    </row>
    <row r="75" spans="3:6">
      <c r="C75" t="s">
        <v>959</v>
      </c>
      <c r="D75" s="8">
        <f>COUNTIFS(G:G,"Addition", I:I, C75)</f>
        <v>0</v>
      </c>
      <c r="E75">
        <f>COUNTIFS(G:G,"Omission", I:I, C75)</f>
        <v>1</v>
      </c>
      <c r="F75">
        <f t="shared" si="1"/>
        <v>0</v>
      </c>
    </row>
    <row r="76" spans="3:6">
      <c r="D76" s="8"/>
    </row>
    <row r="78" spans="3:6">
      <c r="E78" t="s">
        <v>960</v>
      </c>
      <c r="F78">
        <v>20338</v>
      </c>
    </row>
  </sheetData>
  <mergeCells count="1">
    <mergeCell ref="D45:F45"/>
  </mergeCells>
  <conditionalFormatting sqref="G2:G26">
    <cfRule type="expression" dxfId="125" priority="4">
      <formula>$I2&lt;&gt;""</formula>
    </cfRule>
    <cfRule type="expression" dxfId="124" priority="5">
      <formula>$I2=""</formula>
    </cfRule>
  </conditionalFormatting>
  <conditionalFormatting sqref="H2:L26 O2:P26">
    <cfRule type="expression" dxfId="123" priority="16">
      <formula>AND(OR($I2="Addition",$I2="Omission"), H2="")</formula>
    </cfRule>
    <cfRule type="expression" dxfId="122" priority="17">
      <formula>AND($I2&lt;&gt;"Addition",$I2&lt;&gt;"Omission",$I2&lt;&gt;"Substitution - Word")</formula>
    </cfRule>
  </conditionalFormatting>
  <conditionalFormatting sqref="H2:P26">
    <cfRule type="expression" dxfId="121" priority="15">
      <formula>AND(OR($I2="Addition",$I2="Omission"), H2&lt;&gt;"")</formula>
    </cfRule>
  </conditionalFormatting>
  <conditionalFormatting sqref="K2:K26">
    <cfRule type="expression" dxfId="120" priority="13">
      <formula>AND($K2&lt;&gt;"",$K2&gt;1)</formula>
    </cfRule>
  </conditionalFormatting>
  <conditionalFormatting sqref="M2:N26">
    <cfRule type="expression" dxfId="119" priority="9">
      <formula>$N2="Absent"</formula>
    </cfRule>
    <cfRule type="expression" dxfId="118" priority="10">
      <formula>$N2="NA"</formula>
    </cfRule>
    <cfRule type="expression" dxfId="117" priority="11">
      <formula>AND(OR($I2="Addition",$I2="Omission"), M2="")</formula>
    </cfRule>
    <cfRule type="expression" dxfId="116" priority="12">
      <formula>AND($I2&lt;&gt;"Addition",$I2&lt;&gt;"Omission")</formula>
    </cfRule>
  </conditionalFormatting>
  <conditionalFormatting sqref="O2:O26">
    <cfRule type="expression" dxfId="115" priority="14">
      <formula>OR($I2="Addition",$I2="Omission",$I2 = "Substitution - Word")</formula>
    </cfRule>
  </conditionalFormatting>
  <conditionalFormatting sqref="Q2:Q26">
    <cfRule type="expression" dxfId="114" priority="1">
      <formula>AND(OR($I2="Addition",$I2="Omission"), Q2&lt;&gt;"")</formula>
    </cfRule>
    <cfRule type="expression" dxfId="113" priority="2">
      <formula>AND(OR($I2="Addition",$I2="Omission"), Q2="")</formula>
    </cfRule>
    <cfRule type="expression" dxfId="112" priority="3">
      <formula>AND($I2&lt;&gt;"Addition",$I2&lt;&gt;"Omission",$I2&lt;&gt;"Substitution - Word")</formula>
    </cfRule>
  </conditionalFormatting>
  <conditionalFormatting sqref="R2:T26">
    <cfRule type="expression" dxfId="111" priority="23">
      <formula>AND(AND(LEFT($I2,3)="Sub", RIGHT($I2,4)&lt;&gt;"Form"),$T2&lt;&gt;"")</formula>
    </cfRule>
    <cfRule type="expression" dxfId="110" priority="24">
      <formula>AND(AND(LEFT($I2,3)="Sub", RIGHT($I2,4)&lt;&gt;"Form"),$T2="")</formula>
    </cfRule>
    <cfRule type="expression" dxfId="109" priority="25">
      <formula>"&lt;&gt;AND(LEFT($J2,3)=""Sub"", RIGHT($J2,4)&lt;&gt;""Form"")"</formula>
    </cfRule>
  </conditionalFormatting>
  <conditionalFormatting sqref="U2:U26">
    <cfRule type="expression" dxfId="108" priority="7">
      <formula>AND($W2&lt;&gt;"",OR($AD2="Yes",$AE2&lt;&gt;""))</formula>
    </cfRule>
    <cfRule type="expression" dxfId="107" priority="8">
      <formula>OR($AD2="Yes",$AE2&lt;&gt;"")</formula>
    </cfRule>
    <cfRule type="expression" dxfId="106" priority="20">
      <formula>AND($AD2&lt;&gt;"Yes",$AE2="")</formula>
    </cfRule>
  </conditionalFormatting>
  <conditionalFormatting sqref="U2:AD26">
    <cfRule type="expression" dxfId="105" priority="18">
      <formula>AND($I2&lt;&gt;"",$I2&lt;&gt;"Unclear due to correction")</formula>
    </cfRule>
    <cfRule type="expression" dxfId="104" priority="19">
      <formula>OR($I2="",$I2="Unclear due to correction")</formula>
    </cfRule>
  </conditionalFormatting>
  <conditionalFormatting sqref="V2:V26">
    <cfRule type="expression" dxfId="103" priority="6">
      <formula>AND($I2&lt;&gt;"",$I2&lt;&gt;"Unclear due to correction",$X2="")</formula>
    </cfRule>
  </conditionalFormatting>
  <conditionalFormatting sqref="W2:W26">
    <cfRule type="expression" dxfId="102" priority="21">
      <formula>AND($X2="Yes",$Y2="")</formula>
    </cfRule>
    <cfRule type="expression" dxfId="101" priority="22">
      <formula>$X2=""</formula>
    </cfRule>
  </conditionalFormatting>
  <conditionalFormatting sqref="AB2:AB26">
    <cfRule type="expression" dxfId="100" priority="26">
      <formula>AND(OR($AB2&lt;&gt;"",$AC2&lt;&gt;""),$AD2="")</formula>
    </cfRule>
  </conditionalFormatting>
  <dataValidations count="1">
    <dataValidation allowBlank="1" showInputMessage="1" sqref="V2:V26" xr:uid="{1C40C62D-71F4-4206-8471-4E2DBD01AFAE}"/>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8E0ACDE8-6D47-4199-A4D7-79738FCF8A6D}">
          <x14:formula1>
            <xm:f>'Data Regularization'!$Q$2:$Q$4</xm:f>
          </x14:formula1>
          <xm:sqref>AE2:AE26 AG2:AG26</xm:sqref>
        </x14:dataValidation>
        <x14:dataValidation type="list" allowBlank="1" showInputMessage="1" showErrorMessage="1" xr:uid="{15F4EE53-823D-4F01-A83A-98D261F86ABD}">
          <x14:formula1>
            <xm:f>'Data Regularization'!$D$2:$D$1048576</xm:f>
          </x14:formula1>
          <xm:sqref>G2:G26</xm:sqref>
        </x14:dataValidation>
        <x14:dataValidation type="list" allowBlank="1" showInputMessage="1" showErrorMessage="1" xr:uid="{9EDCF4A9-B2E1-452E-BEB2-D8A4C462E658}">
          <x14:formula1>
            <xm:f>'Data Regularization'!$E$2:$E$1048576</xm:f>
          </x14:formula1>
          <xm:sqref>K2:K26</xm:sqref>
        </x14:dataValidation>
        <x14:dataValidation type="list" allowBlank="1" showInputMessage="1" showErrorMessage="1" xr:uid="{C24AAEC4-A7CB-4C25-A83E-1FE91381FED3}">
          <x14:formula1>
            <xm:f>'Data Regularization'!$F$2:$F$1048576</xm:f>
          </x14:formula1>
          <xm:sqref>L2:L26</xm:sqref>
        </x14:dataValidation>
        <x14:dataValidation type="list" allowBlank="1" showInputMessage="1" showErrorMessage="1" xr:uid="{E089EC84-AD4E-4EC7-BD4A-8E7D74987CFF}">
          <x14:formula1>
            <xm:f>'Data Regularization'!$G$2:$G$1048576</xm:f>
          </x14:formula1>
          <xm:sqref>O2:O26</xm:sqref>
        </x14:dataValidation>
        <x14:dataValidation type="list" allowBlank="1" showInputMessage="1" showErrorMessage="1" xr:uid="{411A4A7F-828D-4D8B-868C-1DDD333EA9F7}">
          <x14:formula1>
            <xm:f>'Data Regularization'!$K$2:$K$1048576</xm:f>
          </x14:formula1>
          <xm:sqref>U2:U26 W2:W26</xm:sqref>
        </x14:dataValidation>
        <x14:dataValidation type="list" allowBlank="1" showInputMessage="1" showErrorMessage="1" xr:uid="{FD3E5427-6C5C-49EC-BF35-AB61791ADE1F}">
          <x14:formula1>
            <xm:f>'Data Regularization'!$L$2:$L$1048576</xm:f>
          </x14:formula1>
          <xm:sqref>X2:X26</xm:sqref>
        </x14:dataValidation>
        <x14:dataValidation type="list" allowBlank="1" showInputMessage="1" showErrorMessage="1" xr:uid="{2FEAB48E-DAE4-4BF0-8DE3-2FDA07280BFB}">
          <x14:formula1>
            <xm:f>'Data Regularization'!$M$2:$M$1048576</xm:f>
          </x14:formula1>
          <xm:sqref>Y2:Y26</xm:sqref>
        </x14:dataValidation>
        <x14:dataValidation type="list" allowBlank="1" showInputMessage="1" showErrorMessage="1" xr:uid="{611B8742-4043-40ED-9DB8-28BFC1123DBA}">
          <x14:formula1>
            <xm:f>'Data Regularization'!$N$2:$N$1048576</xm:f>
          </x14:formula1>
          <xm:sqref>Z2:Z26</xm:sqref>
        </x14:dataValidation>
        <x14:dataValidation type="list" allowBlank="1" showInputMessage="1" showErrorMessage="1" xr:uid="{D7EA6324-01CE-4F90-A2B2-941D4538DDA8}">
          <x14:formula1>
            <xm:f>'Data Regularization'!$O$2:$O$1048576</xm:f>
          </x14:formula1>
          <xm:sqref>AB2:AB26</xm:sqref>
        </x14:dataValidation>
        <x14:dataValidation type="list" allowBlank="1" showInputMessage="1" showErrorMessage="1" xr:uid="{A41F39CC-F4CC-4055-A19C-2BFEA6862D5D}">
          <x14:formula1>
            <xm:f>'Data Regularization'!$P$2:$P$1048576</xm:f>
          </x14:formula1>
          <xm:sqref>AC2:AC26</xm:sqref>
        </x14:dataValidation>
        <x14:dataValidation type="list" allowBlank="1" showInputMessage="1" showErrorMessage="1" xr:uid="{254E7F0A-D719-4FD0-B452-D9653F5B1E96}">
          <x14:formula1>
            <xm:f>'Data Regularization'!$Q$2:$Q$1048576</xm:f>
          </x14:formula1>
          <xm:sqref>AD2:AD26</xm:sqref>
        </x14:dataValidation>
        <x14:dataValidation type="list" allowBlank="1" showInputMessage="1" showErrorMessage="1" xr:uid="{F8D9E659-EF1E-48D3-AAFD-F68A4D9533DB}">
          <x14:formula1>
            <xm:f>'Data Regularization'!$C$2:$C$29</xm:f>
          </x14:formula1>
          <xm:sqref>F2:F26</xm:sqref>
        </x14:dataValidation>
        <x14:dataValidation type="list" allowBlank="1" showInputMessage="1" showErrorMessage="1" xr:uid="{20E6DA37-E9FB-473D-BA82-BC927D806797}">
          <x14:formula1>
            <xm:f>'Data Regularization'!$A$2:$A$1048576</xm:f>
          </x14:formula1>
          <xm:sqref>D2:D26</xm:sqref>
        </x14:dataValidation>
        <x14:dataValidation type="list" allowBlank="1" showInputMessage="1" showErrorMessage="1" xr:uid="{CC44D075-B1C8-4A0F-BB45-A498EEBCC9CC}">
          <x14:formula1>
            <xm:f>'Data Regularization'!$B$2:$B$1048576</xm:f>
          </x14:formula1>
          <xm:sqref>E2:E26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BE4F-3FB0-48EE-B60F-FCA1A716D481}">
  <dimension ref="A1:AH34"/>
  <sheetViews>
    <sheetView workbookViewId="0"/>
  </sheetViews>
  <sheetFormatPr defaultRowHeight="14.5"/>
  <sheetData>
    <row r="1" spans="1:34" s="1" customFormat="1" ht="29">
      <c r="A1" s="1" t="s">
        <v>0</v>
      </c>
      <c r="B1" s="1" t="s">
        <v>5</v>
      </c>
      <c r="C1" s="2" t="s">
        <v>6</v>
      </c>
      <c r="D1" s="1" t="s">
        <v>831</v>
      </c>
      <c r="E1" s="1" t="s">
        <v>832</v>
      </c>
      <c r="F1" s="1" t="s">
        <v>833</v>
      </c>
      <c r="G1" s="1" t="s">
        <v>3</v>
      </c>
      <c r="H1" s="1" t="s">
        <v>834</v>
      </c>
      <c r="I1" s="1" t="s">
        <v>835</v>
      </c>
      <c r="J1" s="1" t="s">
        <v>836</v>
      </c>
      <c r="K1" s="1" t="s">
        <v>837</v>
      </c>
      <c r="L1" s="1" t="s">
        <v>796</v>
      </c>
      <c r="M1" s="1" t="s">
        <v>838</v>
      </c>
      <c r="N1" s="5" t="s">
        <v>839</v>
      </c>
      <c r="O1" s="1" t="s">
        <v>797</v>
      </c>
      <c r="P1" s="1" t="s">
        <v>840</v>
      </c>
      <c r="Q1" s="1" t="s">
        <v>964</v>
      </c>
      <c r="R1" s="1" t="s">
        <v>841</v>
      </c>
      <c r="S1" s="1" t="s">
        <v>961</v>
      </c>
      <c r="T1" s="1" t="s">
        <v>962</v>
      </c>
      <c r="U1" s="1" t="s">
        <v>844</v>
      </c>
      <c r="V1" s="1" t="s">
        <v>845</v>
      </c>
      <c r="W1" s="1" t="s">
        <v>846</v>
      </c>
      <c r="X1" s="1" t="s">
        <v>798</v>
      </c>
      <c r="Y1" s="1" t="s">
        <v>799</v>
      </c>
      <c r="Z1" s="1" t="s">
        <v>800</v>
      </c>
      <c r="AA1" s="1" t="s">
        <v>842</v>
      </c>
      <c r="AB1" s="1" t="s">
        <v>847</v>
      </c>
      <c r="AC1" s="1" t="s">
        <v>801</v>
      </c>
      <c r="AD1" s="1" t="s">
        <v>843</v>
      </c>
      <c r="AE1" s="1" t="s">
        <v>859</v>
      </c>
      <c r="AF1" s="1" t="s">
        <v>857</v>
      </c>
      <c r="AG1" s="1" t="s">
        <v>858</v>
      </c>
    </row>
    <row r="2" spans="1:34" ht="43.5">
      <c r="A2" t="s">
        <v>50</v>
      </c>
      <c r="B2" s="3" t="s">
        <v>332</v>
      </c>
      <c r="C2" s="3" t="s">
        <v>331</v>
      </c>
      <c r="G2" s="6" t="s">
        <v>25</v>
      </c>
      <c r="H2" s="6"/>
      <c r="I2" s="6">
        <v>1</v>
      </c>
      <c r="J2" s="6">
        <v>4</v>
      </c>
      <c r="K2" s="6" t="s">
        <v>825</v>
      </c>
      <c r="L2" s="6" t="s">
        <v>809</v>
      </c>
      <c r="M2" s="6"/>
      <c r="N2" s="7"/>
      <c r="O2" s="6"/>
      <c r="P2" s="6">
        <v>743</v>
      </c>
      <c r="Q2" s="6">
        <v>365.32599075621988</v>
      </c>
      <c r="R2" s="6"/>
      <c r="S2" s="6" t="s">
        <v>963</v>
      </c>
      <c r="T2" s="6" t="s">
        <v>963</v>
      </c>
      <c r="U2" s="6"/>
      <c r="V2" s="6"/>
      <c r="W2" s="6"/>
      <c r="X2" s="6"/>
      <c r="Y2" s="6"/>
      <c r="Z2" s="6"/>
      <c r="AA2" s="6"/>
      <c r="AB2" s="6"/>
      <c r="AC2" s="6"/>
      <c r="AD2" s="6"/>
      <c r="AE2" t="s">
        <v>19</v>
      </c>
      <c r="AF2" t="s">
        <v>20</v>
      </c>
      <c r="AH2">
        <v>1</v>
      </c>
    </row>
    <row r="3" spans="1:34" ht="87">
      <c r="A3" t="s">
        <v>54</v>
      </c>
      <c r="B3" s="3" t="s">
        <v>334</v>
      </c>
      <c r="C3" s="3" t="s">
        <v>335</v>
      </c>
      <c r="G3" s="6" t="s">
        <v>24</v>
      </c>
      <c r="H3" s="6"/>
      <c r="I3" s="6">
        <v>1</v>
      </c>
      <c r="J3" s="6">
        <v>2</v>
      </c>
      <c r="K3" s="6" t="s">
        <v>827</v>
      </c>
      <c r="L3" s="6" t="s">
        <v>850</v>
      </c>
      <c r="M3" s="6"/>
      <c r="N3" s="7"/>
      <c r="O3" s="6"/>
      <c r="P3" s="6">
        <v>613</v>
      </c>
      <c r="Q3" s="6">
        <v>301.40623463467404</v>
      </c>
      <c r="R3" s="6"/>
      <c r="S3" s="6" t="s">
        <v>963</v>
      </c>
      <c r="T3" s="6" t="s">
        <v>963</v>
      </c>
      <c r="U3" s="6"/>
      <c r="V3" s="6"/>
      <c r="W3" s="6"/>
      <c r="X3" s="6"/>
      <c r="Y3" s="6"/>
      <c r="Z3" s="6"/>
      <c r="AA3" s="6"/>
      <c r="AB3" s="6"/>
      <c r="AC3" s="6"/>
      <c r="AD3" s="6"/>
      <c r="AE3" t="s">
        <v>19</v>
      </c>
      <c r="AF3" t="s">
        <v>20</v>
      </c>
      <c r="AH3">
        <v>1</v>
      </c>
    </row>
    <row r="4" spans="1:34" ht="29">
      <c r="A4" t="s">
        <v>63</v>
      </c>
      <c r="B4" s="3" t="s">
        <v>349</v>
      </c>
      <c r="C4" s="3" t="s">
        <v>350</v>
      </c>
      <c r="G4" s="6" t="s">
        <v>25</v>
      </c>
      <c r="H4" s="6"/>
      <c r="I4" s="6">
        <v>1</v>
      </c>
      <c r="J4" s="6">
        <v>3</v>
      </c>
      <c r="K4" s="6" t="s">
        <v>825</v>
      </c>
      <c r="L4" s="6" t="s">
        <v>809</v>
      </c>
      <c r="M4" s="6"/>
      <c r="N4" s="7"/>
      <c r="O4" s="6"/>
      <c r="P4" s="6">
        <v>2475</v>
      </c>
      <c r="Q4" s="6">
        <v>1216.9338184678927</v>
      </c>
      <c r="R4" s="6"/>
      <c r="S4" s="6" t="s">
        <v>963</v>
      </c>
      <c r="T4" s="6" t="s">
        <v>963</v>
      </c>
      <c r="U4" s="6" t="s">
        <v>848</v>
      </c>
      <c r="V4" s="6"/>
      <c r="W4" s="6"/>
      <c r="X4" s="6"/>
      <c r="Y4" s="6"/>
      <c r="Z4" s="6"/>
      <c r="AA4" s="6"/>
      <c r="AB4" s="6"/>
      <c r="AC4" s="6"/>
      <c r="AD4" s="6"/>
      <c r="AE4" t="s">
        <v>19</v>
      </c>
      <c r="AF4" t="s">
        <v>20</v>
      </c>
      <c r="AH4">
        <v>1</v>
      </c>
    </row>
    <row r="5" spans="1:34" ht="116">
      <c r="A5" t="s">
        <v>79</v>
      </c>
      <c r="B5" s="3" t="s">
        <v>375</v>
      </c>
      <c r="C5" s="3" t="s">
        <v>883</v>
      </c>
      <c r="G5" s="6" t="s">
        <v>24</v>
      </c>
      <c r="H5" s="6"/>
      <c r="I5" s="6">
        <v>1</v>
      </c>
      <c r="J5" s="6">
        <v>3</v>
      </c>
      <c r="K5" s="6" t="s">
        <v>818</v>
      </c>
      <c r="L5" s="6" t="s">
        <v>803</v>
      </c>
      <c r="M5" s="6" t="s">
        <v>866</v>
      </c>
      <c r="N5" s="7" t="s">
        <v>867</v>
      </c>
      <c r="O5" s="6"/>
      <c r="P5" s="6">
        <v>1701</v>
      </c>
      <c r="Q5" s="6">
        <v>836.36542432884255</v>
      </c>
      <c r="R5" s="6"/>
      <c r="S5" s="6" t="s">
        <v>963</v>
      </c>
      <c r="T5" s="6" t="s">
        <v>963</v>
      </c>
      <c r="U5" s="6"/>
      <c r="V5" s="6"/>
      <c r="W5" s="6"/>
      <c r="X5" s="6"/>
      <c r="Y5" s="6"/>
      <c r="Z5" s="6"/>
      <c r="AA5" s="6"/>
      <c r="AB5" s="6"/>
      <c r="AC5" s="6"/>
      <c r="AD5" s="6"/>
      <c r="AE5" t="s">
        <v>19</v>
      </c>
      <c r="AF5" t="s">
        <v>20</v>
      </c>
      <c r="AH5">
        <v>1</v>
      </c>
    </row>
    <row r="6" spans="1:34" ht="409.5">
      <c r="A6" t="s">
        <v>80</v>
      </c>
      <c r="B6" s="3" t="s">
        <v>886</v>
      </c>
      <c r="C6" s="3" t="s">
        <v>891</v>
      </c>
      <c r="G6" s="6" t="s">
        <v>24</v>
      </c>
      <c r="H6" s="6"/>
      <c r="I6" s="6">
        <v>1</v>
      </c>
      <c r="J6" s="6">
        <v>4</v>
      </c>
      <c r="K6" s="6" t="s">
        <v>818</v>
      </c>
      <c r="L6" s="6" t="s">
        <v>809</v>
      </c>
      <c r="M6" s="6"/>
      <c r="N6" s="7"/>
      <c r="O6" s="6"/>
      <c r="P6" s="6">
        <v>55</v>
      </c>
      <c r="Q6" s="6">
        <v>27.042973743730947</v>
      </c>
      <c r="R6" s="6"/>
      <c r="S6" s="6" t="s">
        <v>963</v>
      </c>
      <c r="T6" s="6" t="s">
        <v>963</v>
      </c>
      <c r="U6" s="6"/>
      <c r="V6" s="6"/>
      <c r="W6" s="6"/>
      <c r="X6" s="6"/>
      <c r="Y6" s="6"/>
      <c r="Z6" s="6"/>
      <c r="AA6" s="6"/>
      <c r="AB6" s="6"/>
      <c r="AC6" s="6"/>
      <c r="AD6" s="6"/>
      <c r="AE6" t="s">
        <v>19</v>
      </c>
      <c r="AF6" t="s">
        <v>20</v>
      </c>
      <c r="AH6">
        <v>1</v>
      </c>
    </row>
    <row r="7" spans="1:34" ht="58">
      <c r="A7" t="s">
        <v>84</v>
      </c>
      <c r="B7" s="3" t="s">
        <v>380</v>
      </c>
      <c r="C7" s="3" t="s">
        <v>379</v>
      </c>
      <c r="G7" s="6" t="s">
        <v>25</v>
      </c>
      <c r="H7" s="6"/>
      <c r="I7" s="6">
        <v>1</v>
      </c>
      <c r="J7" s="6">
        <v>5</v>
      </c>
      <c r="K7" s="6" t="s">
        <v>825</v>
      </c>
      <c r="L7" s="6" t="s">
        <v>809</v>
      </c>
      <c r="M7" s="6"/>
      <c r="N7" s="7"/>
      <c r="O7" s="6"/>
      <c r="P7" s="6">
        <v>830</v>
      </c>
      <c r="Q7" s="6">
        <v>408.10305831448517</v>
      </c>
      <c r="R7" s="6"/>
      <c r="S7" s="6" t="s">
        <v>963</v>
      </c>
      <c r="T7" s="6" t="s">
        <v>963</v>
      </c>
      <c r="U7" s="6"/>
      <c r="V7" s="6"/>
      <c r="W7" s="6"/>
      <c r="X7" s="6"/>
      <c r="Y7" s="6"/>
      <c r="Z7" s="6"/>
      <c r="AA7" s="6"/>
      <c r="AB7" s="6"/>
      <c r="AC7" s="6"/>
      <c r="AD7" s="6"/>
      <c r="AE7" t="s">
        <v>19</v>
      </c>
      <c r="AF7" t="s">
        <v>20</v>
      </c>
      <c r="AH7">
        <v>1</v>
      </c>
    </row>
    <row r="8" spans="1:34" ht="29">
      <c r="A8" t="s">
        <v>101</v>
      </c>
      <c r="B8" s="3" t="s">
        <v>424</v>
      </c>
      <c r="C8" s="3" t="s">
        <v>425</v>
      </c>
      <c r="F8" t="s">
        <v>19</v>
      </c>
      <c r="G8" s="6" t="s">
        <v>24</v>
      </c>
      <c r="H8" s="6"/>
      <c r="I8" s="6">
        <v>1</v>
      </c>
      <c r="J8" s="6">
        <v>2</v>
      </c>
      <c r="K8" s="6" t="s">
        <v>818</v>
      </c>
      <c r="L8" s="6" t="s">
        <v>850</v>
      </c>
      <c r="M8" s="6"/>
      <c r="N8" s="7"/>
      <c r="O8" s="6"/>
      <c r="P8" s="6">
        <v>171</v>
      </c>
      <c r="Q8" s="6">
        <v>84.079063821418046</v>
      </c>
      <c r="R8" s="6"/>
      <c r="S8" s="6" t="s">
        <v>963</v>
      </c>
      <c r="T8" s="6" t="s">
        <v>963</v>
      </c>
      <c r="U8" s="6"/>
      <c r="V8" s="6"/>
      <c r="W8" s="6"/>
      <c r="X8" s="6"/>
      <c r="Y8" s="6"/>
      <c r="Z8" s="6"/>
      <c r="AA8" s="6"/>
      <c r="AB8" s="6"/>
      <c r="AC8" s="6"/>
      <c r="AD8" s="6"/>
      <c r="AE8" t="s">
        <v>20</v>
      </c>
      <c r="AF8" t="s">
        <v>20</v>
      </c>
      <c r="AH8">
        <v>0</v>
      </c>
    </row>
    <row r="9" spans="1:34" ht="58">
      <c r="A9" t="s">
        <v>122</v>
      </c>
      <c r="B9" s="3" t="s">
        <v>456</v>
      </c>
      <c r="C9" s="3" t="s">
        <v>455</v>
      </c>
      <c r="G9" s="6" t="s">
        <v>24</v>
      </c>
      <c r="H9" s="6"/>
      <c r="I9" s="6">
        <v>1</v>
      </c>
      <c r="J9" s="6">
        <v>3</v>
      </c>
      <c r="K9" s="6" t="s">
        <v>808</v>
      </c>
      <c r="L9" s="6" t="s">
        <v>809</v>
      </c>
      <c r="M9" s="6"/>
      <c r="N9" s="7"/>
      <c r="O9" s="6"/>
      <c r="P9" s="6">
        <v>2475</v>
      </c>
      <c r="Q9" s="6">
        <v>1216.9338184678927</v>
      </c>
      <c r="R9" s="6"/>
      <c r="S9" s="6" t="s">
        <v>963</v>
      </c>
      <c r="T9" s="6" t="s">
        <v>963</v>
      </c>
      <c r="U9" s="6"/>
      <c r="V9" s="6"/>
      <c r="W9" s="6"/>
      <c r="X9" s="6"/>
      <c r="Y9" s="6"/>
      <c r="Z9" s="6"/>
      <c r="AA9" s="6"/>
      <c r="AB9" s="6"/>
      <c r="AC9" s="6"/>
      <c r="AD9" s="6"/>
      <c r="AE9" t="s">
        <v>19</v>
      </c>
      <c r="AF9" t="s">
        <v>20</v>
      </c>
      <c r="AH9">
        <v>1</v>
      </c>
    </row>
    <row r="10" spans="1:34" ht="43.5">
      <c r="A10" t="s">
        <v>151</v>
      </c>
      <c r="B10" s="3" t="s">
        <v>500</v>
      </c>
      <c r="C10" s="3" t="s">
        <v>501</v>
      </c>
      <c r="G10" s="6" t="s">
        <v>24</v>
      </c>
      <c r="H10" s="6"/>
      <c r="I10" s="6">
        <v>1</v>
      </c>
      <c r="J10" s="6">
        <v>3</v>
      </c>
      <c r="K10" s="6" t="s">
        <v>808</v>
      </c>
      <c r="L10" s="6" t="s">
        <v>809</v>
      </c>
      <c r="M10" s="6"/>
      <c r="N10" s="7"/>
      <c r="O10" s="6"/>
      <c r="P10" s="6">
        <v>2475</v>
      </c>
      <c r="Q10" s="6">
        <v>1216.9338184678927</v>
      </c>
      <c r="R10" s="6"/>
      <c r="S10" s="6" t="s">
        <v>963</v>
      </c>
      <c r="T10" s="6" t="s">
        <v>963</v>
      </c>
      <c r="U10" s="6"/>
      <c r="V10" s="6"/>
      <c r="W10" s="6"/>
      <c r="X10" s="6"/>
      <c r="Y10" s="6"/>
      <c r="Z10" s="6"/>
      <c r="AA10" s="6"/>
      <c r="AB10" s="6"/>
      <c r="AC10" s="6"/>
      <c r="AD10" s="6"/>
      <c r="AE10" t="s">
        <v>19</v>
      </c>
      <c r="AF10" t="s">
        <v>20</v>
      </c>
      <c r="AH10">
        <v>1</v>
      </c>
    </row>
    <row r="11" spans="1:34" ht="87">
      <c r="A11" t="s">
        <v>159</v>
      </c>
      <c r="B11" s="3" t="s">
        <v>511</v>
      </c>
      <c r="C11" s="3" t="s">
        <v>512</v>
      </c>
      <c r="G11" s="6" t="s">
        <v>24</v>
      </c>
      <c r="H11" s="6"/>
      <c r="I11" s="6">
        <v>1</v>
      </c>
      <c r="J11" s="6">
        <v>2</v>
      </c>
      <c r="K11" s="6" t="s">
        <v>827</v>
      </c>
      <c r="L11" s="6" t="s">
        <v>850</v>
      </c>
      <c r="M11" s="6"/>
      <c r="N11" s="7"/>
      <c r="O11" s="6"/>
      <c r="P11" s="6">
        <v>613</v>
      </c>
      <c r="Q11" s="6">
        <v>301.40623463467404</v>
      </c>
      <c r="R11" s="6"/>
      <c r="S11" s="6" t="s">
        <v>963</v>
      </c>
      <c r="T11" s="6" t="s">
        <v>963</v>
      </c>
      <c r="U11" s="6"/>
      <c r="V11" s="6"/>
      <c r="W11" s="6"/>
      <c r="X11" s="6"/>
      <c r="Y11" s="6"/>
      <c r="Z11" s="6"/>
      <c r="AA11" s="6"/>
      <c r="AB11" s="6"/>
      <c r="AC11" s="6"/>
      <c r="AD11" s="6"/>
      <c r="AE11" t="s">
        <v>19</v>
      </c>
      <c r="AF11" t="s">
        <v>20</v>
      </c>
      <c r="AH11">
        <v>1</v>
      </c>
    </row>
    <row r="12" spans="1:34" ht="58">
      <c r="A12" t="s">
        <v>165</v>
      </c>
      <c r="B12" s="3" t="s">
        <v>524</v>
      </c>
      <c r="C12" s="3" t="s">
        <v>523</v>
      </c>
      <c r="G12" s="6" t="s">
        <v>25</v>
      </c>
      <c r="H12" s="6"/>
      <c r="I12" s="6">
        <v>1</v>
      </c>
      <c r="J12" s="6">
        <v>3</v>
      </c>
      <c r="K12" s="6" t="s">
        <v>808</v>
      </c>
      <c r="L12" s="6" t="s">
        <v>809</v>
      </c>
      <c r="M12" s="6"/>
      <c r="N12" s="7"/>
      <c r="O12" s="6"/>
      <c r="P12" s="6">
        <v>2475</v>
      </c>
      <c r="Q12" s="6">
        <v>1216.9338184678927</v>
      </c>
      <c r="R12" s="6"/>
      <c r="S12" s="6" t="s">
        <v>963</v>
      </c>
      <c r="T12" s="6" t="s">
        <v>963</v>
      </c>
      <c r="U12" s="6"/>
      <c r="V12" s="6"/>
      <c r="W12" s="6"/>
      <c r="X12" s="6"/>
      <c r="Y12" s="6"/>
      <c r="Z12" s="6"/>
      <c r="AA12" s="6"/>
      <c r="AB12" s="6"/>
      <c r="AC12" s="6"/>
      <c r="AD12" s="6"/>
      <c r="AE12" t="s">
        <v>19</v>
      </c>
      <c r="AF12" t="s">
        <v>20</v>
      </c>
      <c r="AH12">
        <v>1</v>
      </c>
    </row>
    <row r="13" spans="1:34" ht="72.5">
      <c r="A13" t="s">
        <v>204</v>
      </c>
      <c r="B13" s="3" t="s">
        <v>620</v>
      </c>
      <c r="C13" s="3" t="s">
        <v>617</v>
      </c>
      <c r="G13" s="6" t="s">
        <v>25</v>
      </c>
      <c r="H13" s="6"/>
      <c r="I13" s="6">
        <v>1</v>
      </c>
      <c r="J13" s="6">
        <v>3</v>
      </c>
      <c r="K13" s="6" t="s">
        <v>818</v>
      </c>
      <c r="L13" s="6" t="s">
        <v>809</v>
      </c>
      <c r="M13" s="6"/>
      <c r="N13" s="7"/>
      <c r="O13" s="6"/>
      <c r="P13" s="6">
        <v>1701</v>
      </c>
      <c r="Q13" s="6">
        <v>836.36542432884255</v>
      </c>
      <c r="R13" s="6"/>
      <c r="S13" s="6" t="s">
        <v>963</v>
      </c>
      <c r="T13" s="6" t="s">
        <v>963</v>
      </c>
      <c r="U13" s="6"/>
      <c r="V13" s="6"/>
      <c r="W13" s="6"/>
      <c r="X13" s="6"/>
      <c r="Y13" s="6"/>
      <c r="Z13" s="6"/>
      <c r="AA13" s="6"/>
      <c r="AB13" s="6"/>
      <c r="AC13" s="6"/>
      <c r="AD13" s="6"/>
      <c r="AE13" t="s">
        <v>19</v>
      </c>
      <c r="AF13" t="s">
        <v>20</v>
      </c>
      <c r="AH13">
        <v>1</v>
      </c>
    </row>
    <row r="14" spans="1:34" ht="72.5">
      <c r="A14" t="s">
        <v>207</v>
      </c>
      <c r="B14" s="3" t="s">
        <v>629</v>
      </c>
      <c r="C14" s="3" t="s">
        <v>630</v>
      </c>
      <c r="G14" s="6" t="s">
        <v>24</v>
      </c>
      <c r="H14" s="6"/>
      <c r="I14" s="6">
        <v>1</v>
      </c>
      <c r="J14" s="6">
        <v>3</v>
      </c>
      <c r="K14" s="6" t="s">
        <v>818</v>
      </c>
      <c r="L14" s="6" t="s">
        <v>809</v>
      </c>
      <c r="M14" s="6"/>
      <c r="N14" s="7"/>
      <c r="O14" s="6"/>
      <c r="P14" s="6">
        <v>1701</v>
      </c>
      <c r="Q14" s="6">
        <v>836.36542432884255</v>
      </c>
      <c r="R14" s="6"/>
      <c r="S14" s="6" t="s">
        <v>963</v>
      </c>
      <c r="T14" s="6" t="s">
        <v>963</v>
      </c>
      <c r="U14" s="6"/>
      <c r="V14" s="6"/>
      <c r="W14" s="6"/>
      <c r="X14" s="6"/>
      <c r="Y14" s="6"/>
      <c r="Z14" s="6"/>
      <c r="AA14" s="6"/>
      <c r="AB14" s="6"/>
      <c r="AC14" s="6"/>
      <c r="AD14" s="6"/>
      <c r="AE14" t="s">
        <v>19</v>
      </c>
      <c r="AF14" t="s">
        <v>20</v>
      </c>
      <c r="AH14">
        <v>1</v>
      </c>
    </row>
    <row r="15" spans="1:34" ht="43.5">
      <c r="A15" t="s">
        <v>216</v>
      </c>
      <c r="B15" s="3" t="s">
        <v>648</v>
      </c>
      <c r="C15" s="3" t="s">
        <v>649</v>
      </c>
      <c r="G15" s="6" t="s">
        <v>25</v>
      </c>
      <c r="H15" s="6"/>
      <c r="I15" s="6">
        <v>1</v>
      </c>
      <c r="J15" s="6">
        <v>4</v>
      </c>
      <c r="K15" s="6" t="s">
        <v>808</v>
      </c>
      <c r="L15" s="6" t="s">
        <v>803</v>
      </c>
      <c r="M15" s="6" t="s">
        <v>868</v>
      </c>
      <c r="N15" s="7" t="s">
        <v>867</v>
      </c>
      <c r="O15" s="6"/>
      <c r="P15" s="6">
        <v>2475</v>
      </c>
      <c r="Q15" s="6">
        <v>1216.9338184678927</v>
      </c>
      <c r="R15" s="6"/>
      <c r="S15" s="6" t="s">
        <v>963</v>
      </c>
      <c r="T15" s="6" t="s">
        <v>963</v>
      </c>
      <c r="U15" s="6"/>
      <c r="V15" s="6"/>
      <c r="W15" s="6"/>
      <c r="X15" s="6"/>
      <c r="Y15" s="6"/>
      <c r="Z15" s="6"/>
      <c r="AA15" s="6"/>
      <c r="AB15" s="6"/>
      <c r="AC15" s="6"/>
      <c r="AD15" s="6"/>
      <c r="AE15" t="s">
        <v>19</v>
      </c>
      <c r="AF15" t="s">
        <v>20</v>
      </c>
      <c r="AH15">
        <v>1</v>
      </c>
    </row>
    <row r="16" spans="1:34" ht="43.5">
      <c r="A16" t="s">
        <v>247</v>
      </c>
      <c r="B16" s="3" t="s">
        <v>703</v>
      </c>
      <c r="C16" s="3" t="s">
        <v>702</v>
      </c>
      <c r="G16" s="6" t="s">
        <v>24</v>
      </c>
      <c r="H16" s="6"/>
      <c r="I16" s="6">
        <v>1</v>
      </c>
      <c r="J16" s="6">
        <v>3</v>
      </c>
      <c r="K16" s="6" t="s">
        <v>818</v>
      </c>
      <c r="L16" s="6" t="s">
        <v>809</v>
      </c>
      <c r="M16" s="6"/>
      <c r="N16" s="7"/>
      <c r="O16" s="6"/>
      <c r="P16" s="6">
        <v>1701</v>
      </c>
      <c r="Q16" s="6">
        <v>836.36542432884255</v>
      </c>
      <c r="R16" s="6"/>
      <c r="S16" s="6" t="s">
        <v>963</v>
      </c>
      <c r="T16" s="6" t="s">
        <v>963</v>
      </c>
      <c r="U16" s="6"/>
      <c r="V16" s="6"/>
      <c r="W16" s="6"/>
      <c r="X16" s="6"/>
      <c r="Y16" s="6"/>
      <c r="Z16" s="6"/>
      <c r="AA16" s="6"/>
      <c r="AB16" s="6"/>
      <c r="AC16" s="6"/>
      <c r="AD16" s="6"/>
      <c r="AE16" t="s">
        <v>19</v>
      </c>
      <c r="AF16" t="s">
        <v>20</v>
      </c>
      <c r="AH16">
        <v>1</v>
      </c>
    </row>
    <row r="17" spans="1:34" ht="29">
      <c r="A17" t="s">
        <v>264</v>
      </c>
      <c r="B17" s="3" t="s">
        <v>736</v>
      </c>
      <c r="C17" s="3" t="s">
        <v>735</v>
      </c>
      <c r="G17" s="6" t="s">
        <v>25</v>
      </c>
      <c r="H17" s="6"/>
      <c r="I17" s="6">
        <v>1</v>
      </c>
      <c r="J17" s="6">
        <v>3</v>
      </c>
      <c r="K17" s="6" t="s">
        <v>825</v>
      </c>
      <c r="L17" s="6" t="s">
        <v>809</v>
      </c>
      <c r="M17" s="6"/>
      <c r="N17" s="7"/>
      <c r="O17" s="6"/>
      <c r="P17" s="6">
        <v>743</v>
      </c>
      <c r="Q17" s="6">
        <v>365.32599075621988</v>
      </c>
      <c r="R17" s="6"/>
      <c r="S17" s="6" t="s">
        <v>963</v>
      </c>
      <c r="T17" s="6" t="s">
        <v>963</v>
      </c>
      <c r="U17" s="6"/>
      <c r="V17" s="6"/>
      <c r="W17" s="6"/>
      <c r="X17" s="6"/>
      <c r="Y17" s="6"/>
      <c r="Z17" s="6"/>
      <c r="AA17" s="6"/>
      <c r="AB17" s="6"/>
      <c r="AC17" s="6"/>
      <c r="AD17" s="6"/>
      <c r="AE17" t="s">
        <v>19</v>
      </c>
      <c r="AF17" t="s">
        <v>20</v>
      </c>
      <c r="AH17">
        <v>1</v>
      </c>
    </row>
    <row r="20" spans="1:34">
      <c r="D20" t="s">
        <v>960</v>
      </c>
      <c r="E20">
        <v>20338</v>
      </c>
    </row>
    <row r="21" spans="1:34">
      <c r="D21" t="s">
        <v>965</v>
      </c>
      <c r="E21">
        <f>MEDIAN(Q:Q)</f>
        <v>836.36542432884255</v>
      </c>
    </row>
    <row r="24" spans="1:34">
      <c r="D24" t="s">
        <v>966</v>
      </c>
      <c r="E24">
        <f>COUNTIFS(G:G, "Addition", Q:Q, "&gt;=" &amp; $E$21)</f>
        <v>5</v>
      </c>
    </row>
    <row r="25" spans="1:34">
      <c r="D25" t="s">
        <v>967</v>
      </c>
      <c r="E25">
        <f>COUNTIFS(G:G, "Omission", Q:Q, "&gt;=" &amp; $E$21)</f>
        <v>4</v>
      </c>
    </row>
    <row r="26" spans="1:34">
      <c r="D26" t="s">
        <v>968</v>
      </c>
      <c r="E26">
        <f>E24/(E24+E25)</f>
        <v>0.55555555555555558</v>
      </c>
    </row>
    <row r="27" spans="1:34">
      <c r="D27" t="s">
        <v>969</v>
      </c>
      <c r="E27">
        <f>COUNTIFS(G:G, "Addition", Q:Q, "&lt;" &amp; $E$21)</f>
        <v>4</v>
      </c>
    </row>
    <row r="28" spans="1:34">
      <c r="D28" t="s">
        <v>970</v>
      </c>
      <c r="E28">
        <f>COUNTIFS(G:G, "Omission", Q:Q, "&lt;" &amp; $E$21)</f>
        <v>3</v>
      </c>
    </row>
    <row r="29" spans="1:34">
      <c r="D29" t="s">
        <v>971</v>
      </c>
      <c r="E29">
        <f>E27/(E27+E28)</f>
        <v>0.5714285714285714</v>
      </c>
    </row>
    <row r="32" spans="1:34">
      <c r="D32" t="s">
        <v>972</v>
      </c>
      <c r="E32">
        <f>COUNTIFS(G:G, "Addition", K:K, "Article")</f>
        <v>2</v>
      </c>
    </row>
    <row r="33" spans="4:5">
      <c r="D33" t="s">
        <v>973</v>
      </c>
      <c r="E33">
        <f>COUNTIFS(G:G, "Omission", K:K, "Article")</f>
        <v>2</v>
      </c>
    </row>
    <row r="34" spans="4:5">
      <c r="D34" t="s">
        <v>974</v>
      </c>
      <c r="E34">
        <f>COUNTIFS(G:G, "Addition", K:K, "Article")/(COUNTIFS(G:G, "Addition", K:K, "Article") + COUNTIFS(G:G, "Omission", K:K, "Article"))</f>
        <v>0.5</v>
      </c>
    </row>
  </sheetData>
  <conditionalFormatting sqref="G2:G17">
    <cfRule type="expression" dxfId="99" priority="4">
      <formula>$I2&lt;&gt;""</formula>
    </cfRule>
    <cfRule type="expression" dxfId="98" priority="5">
      <formula>$I2=""</formula>
    </cfRule>
  </conditionalFormatting>
  <conditionalFormatting sqref="H2:L17 O2:P17">
    <cfRule type="expression" dxfId="97" priority="16">
      <formula>AND(OR($I2="Addition",$I2="Omission"), H2="")</formula>
    </cfRule>
    <cfRule type="expression" dxfId="96" priority="17">
      <formula>AND($I2&lt;&gt;"Addition",$I2&lt;&gt;"Omission",$I2&lt;&gt;"Substitution - Word")</formula>
    </cfRule>
  </conditionalFormatting>
  <conditionalFormatting sqref="H2:P17">
    <cfRule type="expression" dxfId="95" priority="15">
      <formula>AND(OR($I2="Addition",$I2="Omission"), H2&lt;&gt;"")</formula>
    </cfRule>
  </conditionalFormatting>
  <conditionalFormatting sqref="K2:K17">
    <cfRule type="expression" dxfId="94" priority="13">
      <formula>AND($K2&lt;&gt;"",$K2&gt;1)</formula>
    </cfRule>
  </conditionalFormatting>
  <conditionalFormatting sqref="M2:N17">
    <cfRule type="expression" dxfId="93" priority="9">
      <formula>$N2="Absent"</formula>
    </cfRule>
    <cfRule type="expression" dxfId="92" priority="10">
      <formula>$N2="NA"</formula>
    </cfRule>
    <cfRule type="expression" dxfId="91" priority="11">
      <formula>AND(OR($I2="Addition",$I2="Omission"), M2="")</formula>
    </cfRule>
    <cfRule type="expression" dxfId="90" priority="12">
      <formula>AND($I2&lt;&gt;"Addition",$I2&lt;&gt;"Omission")</formula>
    </cfRule>
  </conditionalFormatting>
  <conditionalFormatting sqref="O2:O17">
    <cfRule type="expression" dxfId="89" priority="14">
      <formula>OR($I2="Addition",$I2="Omission",$I2 = "Substitution - Word")</formula>
    </cfRule>
  </conditionalFormatting>
  <conditionalFormatting sqref="Q2:Q17">
    <cfRule type="expression" dxfId="88" priority="1">
      <formula>AND(OR($I2="Addition",$I2="Omission"), Q2&lt;&gt;"")</formula>
    </cfRule>
    <cfRule type="expression" dxfId="87" priority="2">
      <formula>AND(OR($I2="Addition",$I2="Omission"), Q2="")</formula>
    </cfRule>
    <cfRule type="expression" dxfId="86" priority="3">
      <formula>AND($I2&lt;&gt;"Addition",$I2&lt;&gt;"Omission",$I2&lt;&gt;"Substitution - Word")</formula>
    </cfRule>
  </conditionalFormatting>
  <conditionalFormatting sqref="R2:T17">
    <cfRule type="expression" dxfId="85" priority="23">
      <formula>AND(AND(LEFT($I2,3)="Sub", RIGHT($I2,4)&lt;&gt;"Form"),$T2&lt;&gt;"")</formula>
    </cfRule>
    <cfRule type="expression" dxfId="84" priority="24">
      <formula>AND(AND(LEFT($I2,3)="Sub", RIGHT($I2,4)&lt;&gt;"Form"),$T2="")</formula>
    </cfRule>
    <cfRule type="expression" dxfId="83" priority="25">
      <formula>"&lt;&gt;AND(LEFT($J2,3)=""Sub"", RIGHT($J2,4)&lt;&gt;""Form"")"</formula>
    </cfRule>
  </conditionalFormatting>
  <conditionalFormatting sqref="U2:U17">
    <cfRule type="expression" dxfId="82" priority="7">
      <formula>AND($W2&lt;&gt;"",OR($AD2="Yes",$AE2&lt;&gt;""))</formula>
    </cfRule>
    <cfRule type="expression" dxfId="81" priority="8">
      <formula>OR($AD2="Yes",$AE2&lt;&gt;"")</formula>
    </cfRule>
    <cfRule type="expression" dxfId="80" priority="20">
      <formula>AND($AD2&lt;&gt;"Yes",$AE2="")</formula>
    </cfRule>
  </conditionalFormatting>
  <conditionalFormatting sqref="U2:AD17">
    <cfRule type="expression" dxfId="79" priority="18">
      <formula>AND($I2&lt;&gt;"",$I2&lt;&gt;"Unclear due to correction")</formula>
    </cfRule>
    <cfRule type="expression" dxfId="78" priority="19">
      <formula>OR($I2="",$I2="Unclear due to correction")</formula>
    </cfRule>
  </conditionalFormatting>
  <conditionalFormatting sqref="V2:V17">
    <cfRule type="expression" dxfId="77" priority="6">
      <formula>AND($I2&lt;&gt;"",$I2&lt;&gt;"Unclear due to correction",$X2="")</formula>
    </cfRule>
  </conditionalFormatting>
  <conditionalFormatting sqref="W2:W17">
    <cfRule type="expression" dxfId="76" priority="21">
      <formula>AND($X2="Yes",$Y2="")</formula>
    </cfRule>
    <cfRule type="expression" dxfId="75" priority="22">
      <formula>$X2=""</formula>
    </cfRule>
  </conditionalFormatting>
  <conditionalFormatting sqref="AB2:AB17">
    <cfRule type="expression" dxfId="74" priority="26">
      <formula>AND(OR($AB2&lt;&gt;"",$AC2&lt;&gt;""),$AD2="")</formula>
    </cfRule>
  </conditionalFormatting>
  <dataValidations count="1">
    <dataValidation allowBlank="1" showInputMessage="1" sqref="V2:V17" xr:uid="{786EA6D3-E063-43D4-B7C0-ED132010CE69}"/>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0ED353C1-9248-4F8F-8F17-9318CD017E18}">
          <x14:formula1>
            <xm:f>'Data Regularization'!$Q$2:$Q$4</xm:f>
          </x14:formula1>
          <xm:sqref>AE2:AE17 AG2:AG17</xm:sqref>
        </x14:dataValidation>
        <x14:dataValidation type="list" allowBlank="1" showInputMessage="1" showErrorMessage="1" xr:uid="{5950B5BD-BEC1-46C6-9729-6DD8B6A95362}">
          <x14:formula1>
            <xm:f>'Data Regularization'!$D$2:$D$1048576</xm:f>
          </x14:formula1>
          <xm:sqref>G2:G17</xm:sqref>
        </x14:dataValidation>
        <x14:dataValidation type="list" allowBlank="1" showInputMessage="1" showErrorMessage="1" xr:uid="{B142797B-9FB4-4582-90D0-B0E65D9034D8}">
          <x14:formula1>
            <xm:f>'Data Regularization'!$E$2:$E$1048576</xm:f>
          </x14:formula1>
          <xm:sqref>K2:K17</xm:sqref>
        </x14:dataValidation>
        <x14:dataValidation type="list" allowBlank="1" showInputMessage="1" showErrorMessage="1" xr:uid="{5068ACEF-D867-498F-AA22-79D888F90752}">
          <x14:formula1>
            <xm:f>'Data Regularization'!$F$2:$F$1048576</xm:f>
          </x14:formula1>
          <xm:sqref>L2:L17</xm:sqref>
        </x14:dataValidation>
        <x14:dataValidation type="list" allowBlank="1" showInputMessage="1" showErrorMessage="1" xr:uid="{9CFAB7BF-3224-43D3-BC9F-76713ADF8FDC}">
          <x14:formula1>
            <xm:f>'Data Regularization'!$G$2:$G$1048576</xm:f>
          </x14:formula1>
          <xm:sqref>O2:O17</xm:sqref>
        </x14:dataValidation>
        <x14:dataValidation type="list" allowBlank="1" showInputMessage="1" showErrorMessage="1" xr:uid="{F8534E6B-B92D-4DD5-9B09-25E97CA4CE73}">
          <x14:formula1>
            <xm:f>'Data Regularization'!$K$2:$K$1048576</xm:f>
          </x14:formula1>
          <xm:sqref>U2:U17 W2:W17</xm:sqref>
        </x14:dataValidation>
        <x14:dataValidation type="list" allowBlank="1" showInputMessage="1" showErrorMessage="1" xr:uid="{B2BCE06D-D801-455B-9B93-5928B3FEE91D}">
          <x14:formula1>
            <xm:f>'Data Regularization'!$L$2:$L$1048576</xm:f>
          </x14:formula1>
          <xm:sqref>X2:X17</xm:sqref>
        </x14:dataValidation>
        <x14:dataValidation type="list" allowBlank="1" showInputMessage="1" showErrorMessage="1" xr:uid="{31141446-A4F8-4697-9066-ED2F0FB80DF1}">
          <x14:formula1>
            <xm:f>'Data Regularization'!$M$2:$M$1048576</xm:f>
          </x14:formula1>
          <xm:sqref>Y2:Y17</xm:sqref>
        </x14:dataValidation>
        <x14:dataValidation type="list" allowBlank="1" showInputMessage="1" showErrorMessage="1" xr:uid="{86E895B0-21F6-4C10-AB3E-7C6D3BD32E1D}">
          <x14:formula1>
            <xm:f>'Data Regularization'!$N$2:$N$1048576</xm:f>
          </x14:formula1>
          <xm:sqref>Z2:Z17</xm:sqref>
        </x14:dataValidation>
        <x14:dataValidation type="list" allowBlank="1" showInputMessage="1" showErrorMessage="1" xr:uid="{AEB4A54A-D471-4DEE-B602-2D0943913F66}">
          <x14:formula1>
            <xm:f>'Data Regularization'!$O$2:$O$1048576</xm:f>
          </x14:formula1>
          <xm:sqref>AB2:AB17</xm:sqref>
        </x14:dataValidation>
        <x14:dataValidation type="list" allowBlank="1" showInputMessage="1" showErrorMessage="1" xr:uid="{9A266823-7C69-40B6-97DE-6FB161C5725B}">
          <x14:formula1>
            <xm:f>'Data Regularization'!$P$2:$P$1048576</xm:f>
          </x14:formula1>
          <xm:sqref>AC2:AC17</xm:sqref>
        </x14:dataValidation>
        <x14:dataValidation type="list" allowBlank="1" showInputMessage="1" showErrorMessage="1" xr:uid="{ECA6CF56-3942-4C5C-82E8-FCC535688CD2}">
          <x14:formula1>
            <xm:f>'Data Regularization'!$Q$2:$Q$1048576</xm:f>
          </x14:formula1>
          <xm:sqref>AD2:AD17</xm:sqref>
        </x14:dataValidation>
        <x14:dataValidation type="list" allowBlank="1" showInputMessage="1" showErrorMessage="1" xr:uid="{339ACAF6-E3A2-4811-B566-2B752D9959F9}">
          <x14:formula1>
            <xm:f>'Data Regularization'!$C$2:$C$29</xm:f>
          </x14:formula1>
          <xm:sqref>F2:F17</xm:sqref>
        </x14:dataValidation>
        <x14:dataValidation type="list" allowBlank="1" showInputMessage="1" showErrorMessage="1" xr:uid="{DC328A88-557E-4CF8-AABE-8E6B0FA112AE}">
          <x14:formula1>
            <xm:f>'Data Regularization'!$A$2:$A$1048576</xm:f>
          </x14:formula1>
          <xm:sqref>D2:D17</xm:sqref>
        </x14:dataValidation>
        <x14:dataValidation type="list" allowBlank="1" showInputMessage="1" showErrorMessage="1" xr:uid="{958CA2CC-BFF8-46A8-BDC2-F71DEF8721FF}">
          <x14:formula1>
            <xm:f>'Data Regularization'!$B$2:$B$1048576</xm:f>
          </x14:formula1>
          <xm:sqref>E2:E17</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D1D3-7275-4AAA-B05E-CB18601231D1}">
  <dimension ref="A1:AH19"/>
  <sheetViews>
    <sheetView workbookViewId="0"/>
  </sheetViews>
  <sheetFormatPr defaultRowHeight="14.5"/>
  <sheetData>
    <row r="1" spans="1:34" s="1" customFormat="1" ht="29">
      <c r="A1" s="1" t="s">
        <v>0</v>
      </c>
      <c r="B1" s="1" t="s">
        <v>5</v>
      </c>
      <c r="C1" s="2" t="s">
        <v>6</v>
      </c>
      <c r="D1" s="1" t="s">
        <v>831</v>
      </c>
      <c r="E1" s="1" t="s">
        <v>832</v>
      </c>
      <c r="F1" s="1" t="s">
        <v>833</v>
      </c>
      <c r="G1" s="1" t="s">
        <v>3</v>
      </c>
      <c r="H1" s="1" t="s">
        <v>834</v>
      </c>
      <c r="I1" s="1" t="s">
        <v>835</v>
      </c>
      <c r="J1" s="1" t="s">
        <v>836</v>
      </c>
      <c r="K1" s="1" t="s">
        <v>837</v>
      </c>
      <c r="L1" s="1" t="s">
        <v>796</v>
      </c>
      <c r="M1" s="1" t="s">
        <v>838</v>
      </c>
      <c r="N1" s="5" t="s">
        <v>839</v>
      </c>
      <c r="O1" s="1" t="s">
        <v>797</v>
      </c>
      <c r="P1" s="1" t="s">
        <v>840</v>
      </c>
      <c r="Q1" s="1" t="s">
        <v>964</v>
      </c>
      <c r="R1" s="1" t="s">
        <v>841</v>
      </c>
      <c r="S1" s="1" t="s">
        <v>961</v>
      </c>
      <c r="T1" s="1" t="s">
        <v>962</v>
      </c>
      <c r="U1" s="1" t="s">
        <v>844</v>
      </c>
      <c r="V1" s="1" t="s">
        <v>845</v>
      </c>
      <c r="W1" s="1" t="s">
        <v>846</v>
      </c>
      <c r="X1" s="1" t="s">
        <v>798</v>
      </c>
      <c r="Y1" s="1" t="s">
        <v>799</v>
      </c>
      <c r="Z1" s="1" t="s">
        <v>800</v>
      </c>
      <c r="AA1" s="1" t="s">
        <v>842</v>
      </c>
      <c r="AB1" s="1" t="s">
        <v>847</v>
      </c>
      <c r="AC1" s="1" t="s">
        <v>801</v>
      </c>
      <c r="AD1" s="1" t="s">
        <v>843</v>
      </c>
      <c r="AE1" s="1" t="s">
        <v>859</v>
      </c>
      <c r="AF1" s="1" t="s">
        <v>857</v>
      </c>
      <c r="AG1" s="1" t="s">
        <v>858</v>
      </c>
    </row>
    <row r="2" spans="1:34" ht="159.5">
      <c r="A2" t="s">
        <v>87</v>
      </c>
      <c r="B2" s="3" t="s">
        <v>395</v>
      </c>
      <c r="C2" s="3" t="s">
        <v>391</v>
      </c>
      <c r="G2" s="6" t="s">
        <v>25</v>
      </c>
      <c r="H2" s="6"/>
      <c r="I2" s="6">
        <v>1</v>
      </c>
      <c r="J2" s="6">
        <v>5</v>
      </c>
      <c r="K2" s="6" t="s">
        <v>829</v>
      </c>
      <c r="L2" s="6" t="s">
        <v>809</v>
      </c>
      <c r="M2" s="6"/>
      <c r="N2" s="7"/>
      <c r="O2" s="6"/>
      <c r="P2" s="6">
        <v>168</v>
      </c>
      <c r="Q2" s="6">
        <v>82.603992526305433</v>
      </c>
      <c r="R2" s="6"/>
      <c r="S2" s="6" t="s">
        <v>963</v>
      </c>
      <c r="T2" s="6" t="s">
        <v>963</v>
      </c>
      <c r="U2" s="6"/>
      <c r="V2" s="6"/>
      <c r="W2" s="6"/>
      <c r="X2" s="6"/>
      <c r="Y2" s="6"/>
      <c r="Z2" s="6"/>
      <c r="AA2" s="6"/>
      <c r="AB2" s="6"/>
      <c r="AC2" s="6"/>
      <c r="AD2" s="6"/>
      <c r="AE2" t="s">
        <v>19</v>
      </c>
      <c r="AF2" t="s">
        <v>20</v>
      </c>
      <c r="AH2">
        <v>1</v>
      </c>
    </row>
    <row r="3" spans="1:34" ht="43.5">
      <c r="A3" t="s">
        <v>94</v>
      </c>
      <c r="B3" s="3" t="s">
        <v>418</v>
      </c>
      <c r="C3" s="3" t="s">
        <v>419</v>
      </c>
      <c r="F3" t="s">
        <v>19</v>
      </c>
      <c r="G3" s="6" t="s">
        <v>25</v>
      </c>
      <c r="H3" s="6"/>
      <c r="I3" s="6">
        <v>1</v>
      </c>
      <c r="J3" s="6">
        <v>5</v>
      </c>
      <c r="K3" s="6" t="s">
        <v>860</v>
      </c>
      <c r="L3" s="6" t="s">
        <v>809</v>
      </c>
      <c r="M3" s="6"/>
      <c r="N3" s="7"/>
      <c r="O3" s="6"/>
      <c r="P3" s="6">
        <v>4</v>
      </c>
      <c r="Q3" s="6">
        <v>1.9667617268167963</v>
      </c>
      <c r="R3" s="6"/>
      <c r="S3" s="6" t="s">
        <v>963</v>
      </c>
      <c r="T3" s="6" t="s">
        <v>963</v>
      </c>
      <c r="U3" s="6"/>
      <c r="V3" s="6"/>
      <c r="W3" s="6"/>
      <c r="X3" s="6"/>
      <c r="Y3" s="6"/>
      <c r="Z3" s="6"/>
      <c r="AA3" s="6"/>
      <c r="AB3" s="6"/>
      <c r="AC3" s="6"/>
      <c r="AD3" s="6"/>
      <c r="AE3" t="s">
        <v>20</v>
      </c>
      <c r="AF3" t="s">
        <v>20</v>
      </c>
      <c r="AH3">
        <v>0</v>
      </c>
    </row>
    <row r="4" spans="1:34" ht="145">
      <c r="A4" t="s">
        <v>194</v>
      </c>
      <c r="B4" s="3" t="s">
        <v>1012</v>
      </c>
      <c r="C4" s="3" t="s">
        <v>1013</v>
      </c>
      <c r="G4" s="6" t="s">
        <v>25</v>
      </c>
      <c r="H4" s="6"/>
      <c r="I4" s="6">
        <v>1</v>
      </c>
      <c r="J4" s="6">
        <v>4</v>
      </c>
      <c r="K4" s="6" t="s">
        <v>823</v>
      </c>
      <c r="L4" s="6" t="s">
        <v>809</v>
      </c>
      <c r="M4" s="6"/>
      <c r="N4" s="7"/>
      <c r="O4" s="6"/>
      <c r="P4" s="6">
        <v>109</v>
      </c>
      <c r="Q4" s="6">
        <v>53.594257055757701</v>
      </c>
      <c r="R4" s="6"/>
      <c r="S4" s="6"/>
      <c r="T4" s="6"/>
      <c r="U4" s="6"/>
      <c r="V4" s="6"/>
      <c r="W4" s="6"/>
      <c r="X4" s="6"/>
      <c r="Y4" s="6"/>
      <c r="Z4" s="6"/>
      <c r="AA4" s="6"/>
      <c r="AB4" s="6"/>
      <c r="AC4" s="6"/>
      <c r="AD4" s="6"/>
      <c r="AE4" t="s">
        <v>19</v>
      </c>
      <c r="AF4" t="s">
        <v>20</v>
      </c>
      <c r="AH4">
        <v>1</v>
      </c>
    </row>
    <row r="5" spans="1:34" ht="43.5">
      <c r="A5" t="s">
        <v>195</v>
      </c>
      <c r="B5" s="3" t="s">
        <v>607</v>
      </c>
      <c r="C5" s="3" t="s">
        <v>610</v>
      </c>
      <c r="F5" t="s">
        <v>19</v>
      </c>
      <c r="G5" s="6" t="s">
        <v>24</v>
      </c>
      <c r="H5" s="6"/>
      <c r="I5" s="6">
        <v>1</v>
      </c>
      <c r="J5" s="6">
        <v>1</v>
      </c>
      <c r="K5" s="6" t="s">
        <v>802</v>
      </c>
      <c r="L5" s="6" t="s">
        <v>850</v>
      </c>
      <c r="M5" s="6"/>
      <c r="N5" s="7"/>
      <c r="O5" s="6"/>
      <c r="P5" s="6">
        <v>6</v>
      </c>
      <c r="Q5" s="6">
        <v>2.9501425902251945</v>
      </c>
      <c r="R5" s="6"/>
      <c r="S5" s="6" t="s">
        <v>963</v>
      </c>
      <c r="T5" s="6" t="s">
        <v>963</v>
      </c>
      <c r="U5" s="6"/>
      <c r="V5" s="6"/>
      <c r="W5" s="6"/>
      <c r="X5" s="6"/>
      <c r="Y5" s="6"/>
      <c r="Z5" s="6"/>
      <c r="AA5" s="6"/>
      <c r="AB5" s="6"/>
      <c r="AC5" s="6"/>
      <c r="AD5" s="6"/>
      <c r="AE5" t="s">
        <v>20</v>
      </c>
      <c r="AF5" t="s">
        <v>20</v>
      </c>
      <c r="AH5">
        <v>0</v>
      </c>
    </row>
    <row r="6" spans="1:34" ht="130.5">
      <c r="A6" t="s">
        <v>214</v>
      </c>
      <c r="B6" s="3" t="s">
        <v>902</v>
      </c>
      <c r="C6" s="3" t="s">
        <v>904</v>
      </c>
      <c r="G6" s="6" t="s">
        <v>25</v>
      </c>
      <c r="H6" s="6"/>
      <c r="I6" s="6">
        <v>1</v>
      </c>
      <c r="J6" s="6">
        <v>5</v>
      </c>
      <c r="K6" s="6" t="s">
        <v>802</v>
      </c>
      <c r="L6" s="6" t="s">
        <v>809</v>
      </c>
      <c r="M6" s="6"/>
      <c r="N6" s="7"/>
      <c r="O6" s="6"/>
      <c r="P6" s="6">
        <v>266</v>
      </c>
      <c r="Q6" s="6">
        <v>130.78965483331694</v>
      </c>
      <c r="R6" s="6"/>
      <c r="S6" s="6" t="s">
        <v>963</v>
      </c>
      <c r="T6" s="6" t="s">
        <v>963</v>
      </c>
      <c r="U6" s="6"/>
      <c r="V6" s="6"/>
      <c r="W6" s="6"/>
      <c r="X6" s="6"/>
      <c r="Y6" s="6"/>
      <c r="Z6" s="6"/>
      <c r="AA6" s="6"/>
      <c r="AB6" s="6"/>
      <c r="AC6" s="6"/>
      <c r="AD6" s="6"/>
      <c r="AE6" t="s">
        <v>19</v>
      </c>
      <c r="AF6" t="s">
        <v>20</v>
      </c>
      <c r="AH6">
        <v>1</v>
      </c>
    </row>
    <row r="9" spans="1:34">
      <c r="D9" t="s">
        <v>960</v>
      </c>
      <c r="E9">
        <v>20338</v>
      </c>
    </row>
    <row r="10" spans="1:34">
      <c r="D10" t="s">
        <v>965</v>
      </c>
      <c r="E10">
        <f>MEDIAN(Q:Q)</f>
        <v>53.594257055757701</v>
      </c>
    </row>
    <row r="13" spans="1:34">
      <c r="D13" t="s">
        <v>966</v>
      </c>
      <c r="E13">
        <f>COUNTIFS(G:G, "Addition", Q:Q, "&gt;=" &amp; $E$10)</f>
        <v>0</v>
      </c>
    </row>
    <row r="14" spans="1:34">
      <c r="D14" t="s">
        <v>967</v>
      </c>
      <c r="E14">
        <f>COUNTIFS(G:G, "Omission", Q:Q, "&gt;=" &amp; $E$10)</f>
        <v>3</v>
      </c>
    </row>
    <row r="15" spans="1:34">
      <c r="D15" t="s">
        <v>968</v>
      </c>
      <c r="E15">
        <f>E13/(E13+E14)</f>
        <v>0</v>
      </c>
    </row>
    <row r="16" spans="1:34">
      <c r="D16" t="s">
        <v>969</v>
      </c>
      <c r="E16">
        <f>COUNTIFS(G:G, "Addition", Q:Q, "&lt;" &amp; $E$10)</f>
        <v>1</v>
      </c>
    </row>
    <row r="17" spans="4:5">
      <c r="D17" t="s">
        <v>970</v>
      </c>
      <c r="E17">
        <f>COUNTIFS(G:G, "Omission", Q:Q, "&lt;" &amp; $E$10)</f>
        <v>1</v>
      </c>
    </row>
    <row r="18" spans="4:5">
      <c r="D18" t="s">
        <v>971</v>
      </c>
      <c r="E18">
        <f>E16/(E16+E17)</f>
        <v>0.5</v>
      </c>
    </row>
    <row r="19" spans="4:5">
      <c r="D19" t="s">
        <v>985</v>
      </c>
      <c r="E19">
        <f>E15-E18</f>
        <v>-0.5</v>
      </c>
    </row>
  </sheetData>
  <conditionalFormatting sqref="G2:G6">
    <cfRule type="expression" dxfId="73" priority="4">
      <formula>$I2&lt;&gt;""</formula>
    </cfRule>
    <cfRule type="expression" dxfId="72" priority="5">
      <formula>$I2=""</formula>
    </cfRule>
  </conditionalFormatting>
  <conditionalFormatting sqref="H2:L6 O2:P6">
    <cfRule type="expression" dxfId="71" priority="16">
      <formula>AND(OR($I2="Addition",$I2="Omission"), H2="")</formula>
    </cfRule>
    <cfRule type="expression" dxfId="70" priority="17">
      <formula>AND($I2&lt;&gt;"Addition",$I2&lt;&gt;"Omission",$I2&lt;&gt;"Substitution - Word")</formula>
    </cfRule>
  </conditionalFormatting>
  <conditionalFormatting sqref="H2:P6">
    <cfRule type="expression" dxfId="69" priority="15">
      <formula>AND(OR($I2="Addition",$I2="Omission"), H2&lt;&gt;"")</formula>
    </cfRule>
  </conditionalFormatting>
  <conditionalFormatting sqref="K2:K6">
    <cfRule type="expression" dxfId="68" priority="13">
      <formula>AND($K2&lt;&gt;"",$K2&gt;1)</formula>
    </cfRule>
  </conditionalFormatting>
  <conditionalFormatting sqref="M2:N6">
    <cfRule type="expression" dxfId="67" priority="9">
      <formula>$N2="Absent"</formula>
    </cfRule>
    <cfRule type="expression" dxfId="66" priority="10">
      <formula>$N2="NA"</formula>
    </cfRule>
    <cfRule type="expression" dxfId="65" priority="11">
      <formula>AND(OR($I2="Addition",$I2="Omission"), M2="")</formula>
    </cfRule>
    <cfRule type="expression" dxfId="64" priority="12">
      <formula>AND($I2&lt;&gt;"Addition",$I2&lt;&gt;"Omission")</formula>
    </cfRule>
  </conditionalFormatting>
  <conditionalFormatting sqref="O2:O6">
    <cfRule type="expression" dxfId="63" priority="14">
      <formula>OR($I2="Addition",$I2="Omission",$I2 = "Substitution - Word")</formula>
    </cfRule>
  </conditionalFormatting>
  <conditionalFormatting sqref="Q2:Q6">
    <cfRule type="expression" dxfId="62" priority="1">
      <formula>AND(OR($I2="Addition",$I2="Omission"), Q2&lt;&gt;"")</formula>
    </cfRule>
    <cfRule type="expression" dxfId="61" priority="2">
      <formula>AND(OR($I2="Addition",$I2="Omission"), Q2="")</formula>
    </cfRule>
    <cfRule type="expression" dxfId="60" priority="3">
      <formula>AND($I2&lt;&gt;"Addition",$I2&lt;&gt;"Omission",$I2&lt;&gt;"Substitution - Word")</formula>
    </cfRule>
  </conditionalFormatting>
  <conditionalFormatting sqref="R2:T6">
    <cfRule type="expression" dxfId="59" priority="23">
      <formula>AND(AND(LEFT($I2,3)="Sub", RIGHT($I2,4)&lt;&gt;"Form"),$T2&lt;&gt;"")</formula>
    </cfRule>
    <cfRule type="expression" dxfId="58" priority="24">
      <formula>AND(AND(LEFT($I2,3)="Sub", RIGHT($I2,4)&lt;&gt;"Form"),$T2="")</formula>
    </cfRule>
    <cfRule type="expression" dxfId="57" priority="25">
      <formula>"&lt;&gt;AND(LEFT($J2,3)=""Sub"", RIGHT($J2,4)&lt;&gt;""Form"")"</formula>
    </cfRule>
  </conditionalFormatting>
  <conditionalFormatting sqref="U2:U6">
    <cfRule type="expression" dxfId="56" priority="7">
      <formula>AND($W2&lt;&gt;"",OR($AD2="Yes",$AE2&lt;&gt;""))</formula>
    </cfRule>
    <cfRule type="expression" dxfId="55" priority="8">
      <formula>OR($AD2="Yes",$AE2&lt;&gt;"")</formula>
    </cfRule>
    <cfRule type="expression" dxfId="54" priority="20">
      <formula>AND($AD2&lt;&gt;"Yes",$AE2="")</formula>
    </cfRule>
  </conditionalFormatting>
  <conditionalFormatting sqref="U2:AD6">
    <cfRule type="expression" dxfId="53" priority="18">
      <formula>AND($I2&lt;&gt;"",$I2&lt;&gt;"Unclear due to correction")</formula>
    </cfRule>
    <cfRule type="expression" dxfId="52" priority="19">
      <formula>OR($I2="",$I2="Unclear due to correction")</formula>
    </cfRule>
  </conditionalFormatting>
  <conditionalFormatting sqref="V2:V6">
    <cfRule type="expression" dxfId="51" priority="6">
      <formula>AND($I2&lt;&gt;"",$I2&lt;&gt;"Unclear due to correction",$X2="")</formula>
    </cfRule>
  </conditionalFormatting>
  <conditionalFormatting sqref="W2:W6">
    <cfRule type="expression" dxfId="50" priority="21">
      <formula>AND($X2="Yes",$Y2="")</formula>
    </cfRule>
    <cfRule type="expression" dxfId="49" priority="22">
      <formula>$X2=""</formula>
    </cfRule>
  </conditionalFormatting>
  <conditionalFormatting sqref="AB2:AB6">
    <cfRule type="expression" dxfId="48" priority="26">
      <formula>AND(OR($AB2&lt;&gt;"",$AC2&lt;&gt;""),$AD2="")</formula>
    </cfRule>
  </conditionalFormatting>
  <dataValidations count="1">
    <dataValidation allowBlank="1" showInputMessage="1" sqref="V2:V6" xr:uid="{3E48410A-DCC9-46D0-9173-CF5EB8F57493}"/>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D8C26AEA-F191-46AE-8074-9CF49ABE6B03}">
          <x14:formula1>
            <xm:f>'Data Regularization'!$Q$2:$Q$4</xm:f>
          </x14:formula1>
          <xm:sqref>AE2:AE6 AG2:AG6</xm:sqref>
        </x14:dataValidation>
        <x14:dataValidation type="list" allowBlank="1" showInputMessage="1" showErrorMessage="1" xr:uid="{50910D5C-B533-4682-9613-42B640D526AC}">
          <x14:formula1>
            <xm:f>'Data Regularization'!$D$2:$D$1048576</xm:f>
          </x14:formula1>
          <xm:sqref>G2:G6</xm:sqref>
        </x14:dataValidation>
        <x14:dataValidation type="list" allowBlank="1" showInputMessage="1" showErrorMessage="1" xr:uid="{7B853837-8A98-490F-B694-A138F64637AD}">
          <x14:formula1>
            <xm:f>'Data Regularization'!$E$2:$E$1048576</xm:f>
          </x14:formula1>
          <xm:sqref>K2:K6</xm:sqref>
        </x14:dataValidation>
        <x14:dataValidation type="list" allowBlank="1" showInputMessage="1" showErrorMessage="1" xr:uid="{414E12D6-D113-4736-9951-84DE24EFC868}">
          <x14:formula1>
            <xm:f>'Data Regularization'!$F$2:$F$1048576</xm:f>
          </x14:formula1>
          <xm:sqref>L2:L6</xm:sqref>
        </x14:dataValidation>
        <x14:dataValidation type="list" allowBlank="1" showInputMessage="1" showErrorMessage="1" xr:uid="{6CB89B7B-A831-4C8B-846D-F2C3D05C838C}">
          <x14:formula1>
            <xm:f>'Data Regularization'!$G$2:$G$1048576</xm:f>
          </x14:formula1>
          <xm:sqref>O2:O6</xm:sqref>
        </x14:dataValidation>
        <x14:dataValidation type="list" allowBlank="1" showInputMessage="1" showErrorMessage="1" xr:uid="{752351FD-1895-4783-B7B1-A1959C611F5C}">
          <x14:formula1>
            <xm:f>'Data Regularization'!$K$2:$K$1048576</xm:f>
          </x14:formula1>
          <xm:sqref>U2:U6 W2:W6</xm:sqref>
        </x14:dataValidation>
        <x14:dataValidation type="list" allowBlank="1" showInputMessage="1" showErrorMessage="1" xr:uid="{826CF919-1936-433F-9965-33415ACF8FE3}">
          <x14:formula1>
            <xm:f>'Data Regularization'!$L$2:$L$1048576</xm:f>
          </x14:formula1>
          <xm:sqref>X2:X6</xm:sqref>
        </x14:dataValidation>
        <x14:dataValidation type="list" allowBlank="1" showInputMessage="1" showErrorMessage="1" xr:uid="{47EF0FC4-2E20-478E-9677-A747C33AAF4B}">
          <x14:formula1>
            <xm:f>'Data Regularization'!$M$2:$M$1048576</xm:f>
          </x14:formula1>
          <xm:sqref>Y2:Y6</xm:sqref>
        </x14:dataValidation>
        <x14:dataValidation type="list" allowBlank="1" showInputMessage="1" showErrorMessage="1" xr:uid="{AC9B1BF8-E4D9-4D45-B2DB-FE1BB6A36AD8}">
          <x14:formula1>
            <xm:f>'Data Regularization'!$N$2:$N$1048576</xm:f>
          </x14:formula1>
          <xm:sqref>Z2:Z6</xm:sqref>
        </x14:dataValidation>
        <x14:dataValidation type="list" allowBlank="1" showInputMessage="1" showErrorMessage="1" xr:uid="{A2EE4A75-E156-416E-A8AA-AFD4709997DA}">
          <x14:formula1>
            <xm:f>'Data Regularization'!$O$2:$O$1048576</xm:f>
          </x14:formula1>
          <xm:sqref>AB2:AB6</xm:sqref>
        </x14:dataValidation>
        <x14:dataValidation type="list" allowBlank="1" showInputMessage="1" showErrorMessage="1" xr:uid="{C8EC9F6C-7F44-41D5-8D74-8C70244E5E56}">
          <x14:formula1>
            <xm:f>'Data Regularization'!$P$2:$P$1048576</xm:f>
          </x14:formula1>
          <xm:sqref>AC2:AC6</xm:sqref>
        </x14:dataValidation>
        <x14:dataValidation type="list" allowBlank="1" showInputMessage="1" showErrorMessage="1" xr:uid="{06AD0EFA-CF45-4722-B010-F86F14BD5FBA}">
          <x14:formula1>
            <xm:f>'Data Regularization'!$Q$2:$Q$1048576</xm:f>
          </x14:formula1>
          <xm:sqref>AD2:AD6</xm:sqref>
        </x14:dataValidation>
        <x14:dataValidation type="list" allowBlank="1" showInputMessage="1" showErrorMessage="1" xr:uid="{36E43EA4-9CE6-49DE-8786-2B629A6F75A0}">
          <x14:formula1>
            <xm:f>'Data Regularization'!$C$2:$C$29</xm:f>
          </x14:formula1>
          <xm:sqref>F2:F6</xm:sqref>
        </x14:dataValidation>
        <x14:dataValidation type="list" allowBlank="1" showInputMessage="1" showErrorMessage="1" xr:uid="{04B5D0BF-EB46-46D3-A220-DF3107F77BD2}">
          <x14:formula1>
            <xm:f>'Data Regularization'!$A$2:$A$1048576</xm:f>
          </x14:formula1>
          <xm:sqref>D2:D6</xm:sqref>
        </x14:dataValidation>
        <x14:dataValidation type="list" allowBlank="1" showInputMessage="1" showErrorMessage="1" xr:uid="{1786A68F-3033-4E21-900B-92B866AC9634}">
          <x14:formula1>
            <xm:f>'Data Regularization'!$B$2:$B$1048576</xm:f>
          </x14:formula1>
          <xm:sqref>E2:E6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F322-BC8F-4106-A8E5-8F9C907910AB}">
  <dimension ref="A1:AJ34"/>
  <sheetViews>
    <sheetView topLeftCell="A6" workbookViewId="0"/>
  </sheetViews>
  <sheetFormatPr defaultRowHeight="14.5"/>
  <sheetData>
    <row r="1" spans="1:36" s="1" customFormat="1" ht="29">
      <c r="A1" s="1" t="s">
        <v>0</v>
      </c>
      <c r="B1" s="1" t="s">
        <v>5</v>
      </c>
      <c r="C1" s="2" t="s">
        <v>6</v>
      </c>
      <c r="D1" s="1" t="s">
        <v>831</v>
      </c>
      <c r="E1" s="1" t="s">
        <v>832</v>
      </c>
      <c r="F1" s="1" t="s">
        <v>833</v>
      </c>
      <c r="G1" s="1" t="s">
        <v>3</v>
      </c>
      <c r="H1" s="1" t="s">
        <v>834</v>
      </c>
      <c r="I1" s="1" t="s">
        <v>835</v>
      </c>
      <c r="J1" s="1" t="s">
        <v>836</v>
      </c>
      <c r="K1" s="1" t="s">
        <v>837</v>
      </c>
      <c r="L1" s="1" t="s">
        <v>796</v>
      </c>
      <c r="M1" s="1" t="s">
        <v>838</v>
      </c>
      <c r="N1" s="5" t="s">
        <v>839</v>
      </c>
      <c r="O1" s="1" t="s">
        <v>797</v>
      </c>
      <c r="P1" s="1" t="s">
        <v>840</v>
      </c>
      <c r="Q1" s="1" t="s">
        <v>841</v>
      </c>
      <c r="R1" s="1" t="s">
        <v>961</v>
      </c>
      <c r="S1" s="1" t="s">
        <v>962</v>
      </c>
      <c r="T1" s="1" t="s">
        <v>975</v>
      </c>
      <c r="U1" s="1" t="s">
        <v>976</v>
      </c>
      <c r="V1" s="1" t="s">
        <v>977</v>
      </c>
      <c r="W1" s="1" t="s">
        <v>844</v>
      </c>
      <c r="X1" s="1" t="s">
        <v>845</v>
      </c>
      <c r="Y1" s="1" t="s">
        <v>846</v>
      </c>
      <c r="Z1" s="1" t="s">
        <v>798</v>
      </c>
      <c r="AA1" s="1" t="s">
        <v>799</v>
      </c>
      <c r="AB1" s="1" t="s">
        <v>800</v>
      </c>
      <c r="AC1" s="1" t="s">
        <v>842</v>
      </c>
      <c r="AD1" s="1" t="s">
        <v>847</v>
      </c>
      <c r="AE1" s="1" t="s">
        <v>801</v>
      </c>
      <c r="AF1" s="1" t="s">
        <v>843</v>
      </c>
      <c r="AG1" s="1" t="s">
        <v>859</v>
      </c>
      <c r="AH1" s="1" t="s">
        <v>857</v>
      </c>
      <c r="AI1" s="1" t="s">
        <v>858</v>
      </c>
    </row>
    <row r="2" spans="1:36">
      <c r="A2" t="s">
        <v>45</v>
      </c>
      <c r="B2" s="3" t="s">
        <v>46</v>
      </c>
      <c r="C2" s="3" t="s">
        <v>47</v>
      </c>
      <c r="F2" t="s">
        <v>19</v>
      </c>
      <c r="G2" s="6" t="s">
        <v>849</v>
      </c>
      <c r="H2" s="6"/>
      <c r="I2" s="6"/>
      <c r="J2" s="6"/>
      <c r="K2" s="6"/>
      <c r="L2" s="6"/>
      <c r="M2" s="6"/>
      <c r="N2" s="7"/>
      <c r="O2" s="6"/>
      <c r="P2" s="6"/>
      <c r="Q2" s="6">
        <v>-2</v>
      </c>
      <c r="R2" s="6">
        <v>2</v>
      </c>
      <c r="S2" s="6">
        <v>0</v>
      </c>
      <c r="T2" s="9">
        <v>0.98338086340839814</v>
      </c>
      <c r="U2" s="9">
        <v>0</v>
      </c>
      <c r="V2" s="9">
        <v>-0.98338086340839814</v>
      </c>
      <c r="W2" s="6"/>
      <c r="X2" s="6"/>
      <c r="Y2" s="6"/>
      <c r="Z2" s="6"/>
      <c r="AA2" s="6"/>
      <c r="AB2" s="6"/>
      <c r="AC2" s="6"/>
      <c r="AD2" s="6"/>
      <c r="AE2" s="6"/>
      <c r="AF2" s="6"/>
      <c r="AG2" t="s">
        <v>20</v>
      </c>
      <c r="AH2" t="s">
        <v>20</v>
      </c>
      <c r="AJ2">
        <v>0</v>
      </c>
    </row>
    <row r="3" spans="1:36" ht="29">
      <c r="A3" t="s">
        <v>61</v>
      </c>
      <c r="B3" s="3" t="s">
        <v>343</v>
      </c>
      <c r="C3" s="3" t="s">
        <v>342</v>
      </c>
      <c r="G3" s="6" t="s">
        <v>849</v>
      </c>
      <c r="H3" s="6"/>
      <c r="I3" s="6"/>
      <c r="J3" s="6"/>
      <c r="K3" s="6"/>
      <c r="L3" s="6"/>
      <c r="M3" s="6"/>
      <c r="N3" s="7"/>
      <c r="O3" s="6"/>
      <c r="P3" s="6"/>
      <c r="Q3" s="6">
        <v>121</v>
      </c>
      <c r="R3" s="6">
        <v>8</v>
      </c>
      <c r="S3" s="6">
        <v>129</v>
      </c>
      <c r="T3" s="9">
        <v>3.9335234536335926</v>
      </c>
      <c r="U3" s="9">
        <v>63.428065689841674</v>
      </c>
      <c r="V3" s="9">
        <v>59.494542236208083</v>
      </c>
      <c r="W3" s="6"/>
      <c r="X3" s="6"/>
      <c r="Y3" s="6"/>
      <c r="Z3" s="6"/>
      <c r="AA3" s="6"/>
      <c r="AB3" s="6"/>
      <c r="AC3" s="6"/>
      <c r="AD3" s="6"/>
      <c r="AE3" s="6"/>
      <c r="AF3" s="6"/>
      <c r="AG3" t="s">
        <v>19</v>
      </c>
      <c r="AH3" t="s">
        <v>20</v>
      </c>
      <c r="AJ3">
        <v>1</v>
      </c>
    </row>
    <row r="4" spans="1:36" ht="58">
      <c r="A4" t="s">
        <v>62</v>
      </c>
      <c r="B4" s="3" t="s">
        <v>344</v>
      </c>
      <c r="C4" s="3" t="s">
        <v>345</v>
      </c>
      <c r="F4" t="s">
        <v>22</v>
      </c>
      <c r="G4" s="6" t="s">
        <v>849</v>
      </c>
      <c r="H4" s="6"/>
      <c r="I4" s="6"/>
      <c r="J4" s="6"/>
      <c r="K4" s="6"/>
      <c r="L4" s="6"/>
      <c r="M4" s="6"/>
      <c r="N4" s="7"/>
      <c r="O4" s="6"/>
      <c r="P4" s="6"/>
      <c r="Q4" s="6">
        <v>680</v>
      </c>
      <c r="R4" s="6">
        <v>150</v>
      </c>
      <c r="S4" s="6">
        <v>830</v>
      </c>
      <c r="T4" s="9">
        <v>73.753564755629853</v>
      </c>
      <c r="U4" s="9">
        <v>408.10305831448517</v>
      </c>
      <c r="V4" s="9">
        <v>334.34949355885533</v>
      </c>
      <c r="W4" s="6"/>
      <c r="X4" s="6"/>
      <c r="Y4" s="6"/>
      <c r="Z4" s="6"/>
      <c r="AA4" s="6"/>
      <c r="AB4" s="6"/>
      <c r="AC4" s="6"/>
      <c r="AD4" s="6"/>
      <c r="AE4" s="6"/>
      <c r="AF4" s="6"/>
      <c r="AG4" t="s">
        <v>19</v>
      </c>
      <c r="AH4" t="s">
        <v>20</v>
      </c>
      <c r="AJ4">
        <v>1</v>
      </c>
    </row>
    <row r="5" spans="1:36" ht="29">
      <c r="A5" t="s">
        <v>89</v>
      </c>
      <c r="B5" s="3" t="s">
        <v>313</v>
      </c>
      <c r="C5" s="3" t="s">
        <v>91</v>
      </c>
      <c r="F5" t="s">
        <v>19</v>
      </c>
      <c r="G5" s="6" t="s">
        <v>849</v>
      </c>
      <c r="H5" s="6"/>
      <c r="I5" s="6"/>
      <c r="J5" s="6"/>
      <c r="K5" s="6"/>
      <c r="L5" s="6"/>
      <c r="M5" s="6"/>
      <c r="N5" s="7"/>
      <c r="O5" s="6"/>
      <c r="P5" s="6"/>
      <c r="Q5" s="6">
        <v>-1</v>
      </c>
      <c r="R5" s="6">
        <v>1</v>
      </c>
      <c r="S5" s="6">
        <v>0</v>
      </c>
      <c r="T5" s="9">
        <v>0.49169043170419907</v>
      </c>
      <c r="U5" s="9">
        <v>0</v>
      </c>
      <c r="V5" s="9">
        <v>-0.49169043170419907</v>
      </c>
      <c r="W5" s="6"/>
      <c r="X5" s="6"/>
      <c r="Y5" s="6"/>
      <c r="Z5" s="6"/>
      <c r="AA5" s="6"/>
      <c r="AB5" s="6"/>
      <c r="AC5" s="6"/>
      <c r="AD5" s="6"/>
      <c r="AE5" s="6"/>
      <c r="AF5" s="6"/>
      <c r="AG5" t="s">
        <v>20</v>
      </c>
      <c r="AH5" t="s">
        <v>20</v>
      </c>
      <c r="AJ5">
        <v>0</v>
      </c>
    </row>
    <row r="6" spans="1:36" ht="43.5">
      <c r="A6" t="s">
        <v>131</v>
      </c>
      <c r="B6" s="3" t="s">
        <v>478</v>
      </c>
      <c r="C6" s="3" t="s">
        <v>479</v>
      </c>
      <c r="F6" t="s">
        <v>19</v>
      </c>
      <c r="G6" s="6" t="s">
        <v>849</v>
      </c>
      <c r="H6" s="6"/>
      <c r="I6" s="6"/>
      <c r="J6" s="6"/>
      <c r="K6" s="6"/>
      <c r="L6" s="6"/>
      <c r="M6" s="6"/>
      <c r="N6" s="7"/>
      <c r="O6" s="6"/>
      <c r="P6" s="6"/>
      <c r="Q6" s="6">
        <v>7</v>
      </c>
      <c r="R6" s="6">
        <v>1</v>
      </c>
      <c r="S6" s="6">
        <v>8</v>
      </c>
      <c r="T6" s="9">
        <v>0.49169043170419907</v>
      </c>
      <c r="U6" s="9">
        <v>3.9335234536335926</v>
      </c>
      <c r="V6" s="9">
        <v>3.4418330219293933</v>
      </c>
      <c r="W6" s="6"/>
      <c r="X6" s="6"/>
      <c r="Y6" s="6"/>
      <c r="Z6" s="6"/>
      <c r="AA6" s="6"/>
      <c r="AB6" s="6"/>
      <c r="AC6" s="6"/>
      <c r="AD6" s="6"/>
      <c r="AE6" s="6"/>
      <c r="AF6" s="6"/>
      <c r="AG6" t="s">
        <v>20</v>
      </c>
      <c r="AH6" t="s">
        <v>20</v>
      </c>
      <c r="AJ6">
        <v>0</v>
      </c>
    </row>
    <row r="7" spans="1:36" ht="29">
      <c r="A7" t="s">
        <v>155</v>
      </c>
      <c r="B7" s="3" t="s">
        <v>156</v>
      </c>
      <c r="C7" s="3" t="s">
        <v>157</v>
      </c>
      <c r="F7" t="s">
        <v>19</v>
      </c>
      <c r="G7" s="6" t="s">
        <v>849</v>
      </c>
      <c r="H7" s="6"/>
      <c r="I7" s="6"/>
      <c r="J7" s="6"/>
      <c r="K7" s="6"/>
      <c r="L7" s="6"/>
      <c r="M7" s="6"/>
      <c r="N7" s="7"/>
      <c r="O7" s="6"/>
      <c r="P7" s="6"/>
      <c r="Q7" s="6">
        <v>1</v>
      </c>
      <c r="R7" s="6">
        <v>1</v>
      </c>
      <c r="S7" s="6">
        <v>2</v>
      </c>
      <c r="T7" s="9">
        <v>0.49169043170419907</v>
      </c>
      <c r="U7" s="9">
        <v>0.98338086340839814</v>
      </c>
      <c r="V7" s="9">
        <v>0.49169043170419907</v>
      </c>
      <c r="W7" s="6"/>
      <c r="X7" s="6"/>
      <c r="Y7" s="6"/>
      <c r="Z7" s="6"/>
      <c r="AA7" s="6"/>
      <c r="AB7" s="6"/>
      <c r="AC7" s="6"/>
      <c r="AD7" s="6"/>
      <c r="AE7" s="6"/>
      <c r="AF7" s="6"/>
      <c r="AG7" t="s">
        <v>19</v>
      </c>
      <c r="AH7" t="s">
        <v>20</v>
      </c>
      <c r="AJ7">
        <v>1</v>
      </c>
    </row>
    <row r="8" spans="1:36" ht="29">
      <c r="A8" t="s">
        <v>171</v>
      </c>
      <c r="B8" s="3" t="s">
        <v>543</v>
      </c>
      <c r="C8" s="3" t="s">
        <v>544</v>
      </c>
      <c r="F8" t="s">
        <v>19</v>
      </c>
      <c r="G8" s="6" t="s">
        <v>849</v>
      </c>
      <c r="H8" s="6"/>
      <c r="I8" s="6"/>
      <c r="J8" s="6"/>
      <c r="K8" s="6"/>
      <c r="L8" s="6"/>
      <c r="M8" s="6"/>
      <c r="N8" s="7"/>
      <c r="O8" s="6"/>
      <c r="P8" s="6"/>
      <c r="Q8" s="6">
        <v>-1</v>
      </c>
      <c r="R8" s="6">
        <v>1</v>
      </c>
      <c r="S8" s="6">
        <v>0</v>
      </c>
      <c r="T8" s="9">
        <v>0.49169043170419907</v>
      </c>
      <c r="U8" s="9">
        <v>0</v>
      </c>
      <c r="V8" s="9">
        <v>-0.49169043170419907</v>
      </c>
      <c r="W8" s="6"/>
      <c r="X8" s="6"/>
      <c r="Y8" s="6"/>
      <c r="Z8" s="6"/>
      <c r="AA8" s="6"/>
      <c r="AB8" s="6"/>
      <c r="AC8" s="6"/>
      <c r="AD8" s="6"/>
      <c r="AE8" s="6"/>
      <c r="AF8" s="6"/>
      <c r="AG8" t="s">
        <v>20</v>
      </c>
      <c r="AH8" t="s">
        <v>20</v>
      </c>
      <c r="AJ8">
        <v>0</v>
      </c>
    </row>
    <row r="9" spans="1:36" ht="29">
      <c r="A9" t="s">
        <v>247</v>
      </c>
      <c r="B9" s="3" t="s">
        <v>701</v>
      </c>
      <c r="C9" s="3" t="s">
        <v>700</v>
      </c>
      <c r="G9" s="6" t="s">
        <v>849</v>
      </c>
      <c r="H9" s="6"/>
      <c r="I9" s="6"/>
      <c r="J9" s="6"/>
      <c r="K9" s="6"/>
      <c r="L9" s="6"/>
      <c r="M9" s="6"/>
      <c r="N9" s="7"/>
      <c r="O9" s="6"/>
      <c r="P9" s="6"/>
      <c r="Q9" s="6">
        <v>28</v>
      </c>
      <c r="R9" s="6">
        <v>1</v>
      </c>
      <c r="S9" s="6">
        <v>29</v>
      </c>
      <c r="T9" s="9">
        <v>0.49169043170419907</v>
      </c>
      <c r="U9" s="9">
        <v>14.259022519421771</v>
      </c>
      <c r="V9" s="9">
        <v>13.767332087717572</v>
      </c>
      <c r="W9" s="6"/>
      <c r="X9" s="6"/>
      <c r="Y9" s="6"/>
      <c r="Z9" s="6"/>
      <c r="AA9" s="6"/>
      <c r="AB9" s="6"/>
      <c r="AC9" s="6"/>
      <c r="AD9" s="6"/>
      <c r="AE9" s="6"/>
      <c r="AF9" s="6"/>
      <c r="AG9" t="s">
        <v>19</v>
      </c>
      <c r="AH9" t="s">
        <v>20</v>
      </c>
      <c r="AJ9">
        <v>1</v>
      </c>
    </row>
    <row r="10" spans="1:36" ht="58">
      <c r="A10" t="s">
        <v>252</v>
      </c>
      <c r="B10" s="3" t="s">
        <v>715</v>
      </c>
      <c r="C10" s="3" t="s">
        <v>716</v>
      </c>
      <c r="G10" s="6" t="s">
        <v>849</v>
      </c>
      <c r="H10" s="6"/>
      <c r="I10" s="6"/>
      <c r="J10" s="6"/>
      <c r="K10" s="6"/>
      <c r="L10" s="6"/>
      <c r="M10" s="6"/>
      <c r="N10" s="7"/>
      <c r="O10" s="6"/>
      <c r="P10" s="6"/>
      <c r="Q10" s="6">
        <v>51</v>
      </c>
      <c r="R10" s="6">
        <v>48</v>
      </c>
      <c r="S10" s="6">
        <v>99</v>
      </c>
      <c r="T10" s="9">
        <v>23.601140721801556</v>
      </c>
      <c r="U10" s="9">
        <v>48.677352738715705</v>
      </c>
      <c r="V10" s="9">
        <v>25.076212016914148</v>
      </c>
      <c r="W10" s="6"/>
      <c r="X10" s="6"/>
      <c r="Y10" s="6"/>
      <c r="Z10" s="6"/>
      <c r="AA10" s="6"/>
      <c r="AB10" s="6"/>
      <c r="AC10" s="6"/>
      <c r="AD10" s="6"/>
      <c r="AE10" s="6"/>
      <c r="AF10" s="6"/>
      <c r="AG10" t="s">
        <v>19</v>
      </c>
      <c r="AH10" t="s">
        <v>20</v>
      </c>
      <c r="AJ10">
        <v>1</v>
      </c>
    </row>
    <row r="11" spans="1:36" ht="43.5">
      <c r="A11" t="s">
        <v>258</v>
      </c>
      <c r="B11" s="3" t="s">
        <v>722</v>
      </c>
      <c r="C11" s="3" t="s">
        <v>721</v>
      </c>
      <c r="G11" s="6" t="s">
        <v>849</v>
      </c>
      <c r="H11" s="6"/>
      <c r="I11" s="6"/>
      <c r="J11" s="6"/>
      <c r="K11" s="6"/>
      <c r="L11" s="6"/>
      <c r="M11" s="6"/>
      <c r="N11" s="7"/>
      <c r="O11" s="6"/>
      <c r="P11" s="6"/>
      <c r="Q11" s="6">
        <v>-80</v>
      </c>
      <c r="R11" s="6">
        <v>105</v>
      </c>
      <c r="S11" s="6">
        <v>25</v>
      </c>
      <c r="T11" s="9">
        <v>51.627495328940903</v>
      </c>
      <c r="U11" s="9">
        <v>12.292260792604976</v>
      </c>
      <c r="V11" s="9">
        <v>-39.335234536335925</v>
      </c>
      <c r="W11" s="6"/>
      <c r="X11" s="6"/>
      <c r="Y11" s="6"/>
      <c r="Z11" s="6"/>
      <c r="AA11" s="6"/>
      <c r="AB11" s="6"/>
      <c r="AC11" s="6"/>
      <c r="AD11" s="6"/>
      <c r="AE11" s="6"/>
      <c r="AF11" s="6"/>
      <c r="AG11" t="s">
        <v>19</v>
      </c>
      <c r="AH11" t="s">
        <v>20</v>
      </c>
      <c r="AJ11">
        <v>1</v>
      </c>
    </row>
    <row r="12" spans="1:36" ht="72.5">
      <c r="A12" t="s">
        <v>274</v>
      </c>
      <c r="B12" s="3" t="s">
        <v>746</v>
      </c>
      <c r="C12" s="3" t="s">
        <v>745</v>
      </c>
      <c r="G12" s="6" t="s">
        <v>849</v>
      </c>
      <c r="H12" s="6"/>
      <c r="I12" s="6"/>
      <c r="J12" s="6"/>
      <c r="K12" s="6"/>
      <c r="L12" s="6"/>
      <c r="M12" s="6"/>
      <c r="N12" s="7"/>
      <c r="O12" s="6"/>
      <c r="P12" s="6"/>
      <c r="Q12" s="6">
        <v>-4</v>
      </c>
      <c r="R12" s="6">
        <v>8</v>
      </c>
      <c r="S12" s="6">
        <v>4</v>
      </c>
      <c r="T12" s="9">
        <v>3.9335234536335926</v>
      </c>
      <c r="U12" s="9">
        <v>1.9667617268167963</v>
      </c>
      <c r="V12" s="9">
        <v>-1.9667617268167963</v>
      </c>
      <c r="W12" s="6"/>
      <c r="X12" s="6"/>
      <c r="Y12" s="6"/>
      <c r="Z12" s="6"/>
      <c r="AA12" s="6"/>
      <c r="AB12" s="6"/>
      <c r="AC12" s="6"/>
      <c r="AD12" s="6"/>
      <c r="AE12" s="6"/>
      <c r="AF12" s="6"/>
      <c r="AG12" t="s">
        <v>19</v>
      </c>
      <c r="AH12" t="s">
        <v>20</v>
      </c>
      <c r="AJ12">
        <v>1</v>
      </c>
    </row>
    <row r="13" spans="1:36" ht="43.5">
      <c r="A13" t="s">
        <v>280</v>
      </c>
      <c r="B13" s="3" t="s">
        <v>754</v>
      </c>
      <c r="C13" s="3" t="s">
        <v>755</v>
      </c>
      <c r="G13" s="6" t="s">
        <v>849</v>
      </c>
      <c r="H13" s="6"/>
      <c r="I13" s="6"/>
      <c r="J13" s="6"/>
      <c r="K13" s="6"/>
      <c r="L13" s="6"/>
      <c r="M13" s="6"/>
      <c r="N13" s="7"/>
      <c r="O13" s="6"/>
      <c r="P13" s="6"/>
      <c r="Q13" s="6">
        <v>2450</v>
      </c>
      <c r="R13" s="6">
        <v>25</v>
      </c>
      <c r="S13" s="6">
        <v>2475</v>
      </c>
      <c r="T13" s="9">
        <v>12.292260792604976</v>
      </c>
      <c r="U13" s="9">
        <v>1216.9338184678927</v>
      </c>
      <c r="V13" s="9">
        <v>1204.6415576752877</v>
      </c>
      <c r="W13" s="6"/>
      <c r="X13" s="6"/>
      <c r="Y13" s="6"/>
      <c r="Z13" s="6"/>
      <c r="AA13" s="6"/>
      <c r="AB13" s="6"/>
      <c r="AC13" s="6"/>
      <c r="AD13" s="6"/>
      <c r="AE13" s="6"/>
      <c r="AF13" s="6"/>
      <c r="AG13" t="s">
        <v>19</v>
      </c>
      <c r="AH13" t="s">
        <v>20</v>
      </c>
      <c r="AJ13">
        <v>1</v>
      </c>
    </row>
    <row r="14" spans="1:36" ht="58">
      <c r="A14" t="s">
        <v>291</v>
      </c>
      <c r="B14" s="3" t="s">
        <v>772</v>
      </c>
      <c r="C14" s="3" t="s">
        <v>773</v>
      </c>
      <c r="D14" t="s">
        <v>28</v>
      </c>
      <c r="F14" t="s">
        <v>19</v>
      </c>
      <c r="G14" s="6" t="s">
        <v>849</v>
      </c>
      <c r="H14" s="6"/>
      <c r="I14" s="6"/>
      <c r="J14" s="6"/>
      <c r="K14" s="6"/>
      <c r="L14" s="6"/>
      <c r="M14" s="6"/>
      <c r="N14" s="7"/>
      <c r="O14" s="6"/>
      <c r="P14" s="6"/>
      <c r="Q14" s="6">
        <v>1645</v>
      </c>
      <c r="R14" s="6">
        <v>830</v>
      </c>
      <c r="S14" s="6">
        <v>2475</v>
      </c>
      <c r="T14" s="9">
        <v>408.10305831448517</v>
      </c>
      <c r="U14" s="9">
        <v>1216.9338184678927</v>
      </c>
      <c r="V14" s="9">
        <v>808.83076015340748</v>
      </c>
      <c r="W14" s="6"/>
      <c r="X14" s="6"/>
      <c r="Y14" s="6"/>
      <c r="Z14" s="6"/>
      <c r="AA14" s="6"/>
      <c r="AB14" s="6"/>
      <c r="AC14" s="6"/>
      <c r="AD14" s="6"/>
      <c r="AE14" s="6"/>
      <c r="AF14" s="6"/>
      <c r="AG14" t="s">
        <v>20</v>
      </c>
      <c r="AH14" t="s">
        <v>20</v>
      </c>
      <c r="AJ14">
        <v>0</v>
      </c>
    </row>
    <row r="15" spans="1:36" ht="29">
      <c r="A15" t="s">
        <v>304</v>
      </c>
      <c r="B15" s="3" t="s">
        <v>784</v>
      </c>
      <c r="C15" s="3" t="s">
        <v>785</v>
      </c>
      <c r="G15" s="6" t="s">
        <v>849</v>
      </c>
      <c r="H15" s="6"/>
      <c r="I15" s="6"/>
      <c r="J15" s="6"/>
      <c r="K15" s="6"/>
      <c r="L15" s="6"/>
      <c r="M15" s="6"/>
      <c r="N15" s="7"/>
      <c r="O15" s="6"/>
      <c r="P15" s="6"/>
      <c r="Q15" s="6">
        <v>-2400</v>
      </c>
      <c r="R15" s="6">
        <v>2475</v>
      </c>
      <c r="S15" s="6">
        <v>75</v>
      </c>
      <c r="T15" s="9">
        <v>1216.9338184678927</v>
      </c>
      <c r="U15" s="9">
        <v>36.876782377814926</v>
      </c>
      <c r="V15" s="9">
        <v>-1180.0570360900779</v>
      </c>
      <c r="W15" s="6"/>
      <c r="X15" s="6"/>
      <c r="Y15" s="6"/>
      <c r="Z15" s="6"/>
      <c r="AA15" s="6"/>
      <c r="AB15" s="6"/>
      <c r="AC15" s="6"/>
      <c r="AD15" s="6"/>
      <c r="AE15" s="6"/>
      <c r="AF15" s="6"/>
      <c r="AG15" t="s">
        <v>19</v>
      </c>
      <c r="AH15" t="s">
        <v>20</v>
      </c>
      <c r="AJ15">
        <v>1</v>
      </c>
    </row>
    <row r="18" spans="4:5">
      <c r="D18" t="s">
        <v>960</v>
      </c>
      <c r="E18">
        <v>20338</v>
      </c>
    </row>
    <row r="21" spans="4:5">
      <c r="D21" t="s">
        <v>978</v>
      </c>
      <c r="E21">
        <f>COUNTIF(Q:Q, "&gt;0")</f>
        <v>8</v>
      </c>
    </row>
    <row r="22" spans="4:5">
      <c r="D22" t="s">
        <v>979</v>
      </c>
      <c r="E22">
        <f>COUNTIF(Q:Q, "&lt;0")</f>
        <v>6</v>
      </c>
    </row>
    <row r="23" spans="4:5">
      <c r="D23" t="s">
        <v>980</v>
      </c>
      <c r="E23">
        <f>_xlfn.BINOM.DIST(MIN(E21,E22),(E21+E22),0.5,TRUE)*2</f>
        <v>0.79052734375</v>
      </c>
    </row>
    <row r="25" spans="4:5">
      <c r="D25" t="s">
        <v>981</v>
      </c>
      <c r="E25">
        <f>AVERAGE(Q:Q)</f>
        <v>178.21428571428572</v>
      </c>
    </row>
    <row r="26" spans="4:5">
      <c r="D26" t="s">
        <v>982</v>
      </c>
      <c r="E26">
        <f>_xlfn.STDEV.S(Q:Q)</f>
        <v>1056.5101607557874</v>
      </c>
    </row>
    <row r="29" spans="4:5">
      <c r="D29" t="s">
        <v>983</v>
      </c>
      <c r="E29">
        <f>AVERAGE(V:V)</f>
        <v>87.626259078712636</v>
      </c>
    </row>
    <row r="30" spans="4:5">
      <c r="D30" t="s">
        <v>984</v>
      </c>
      <c r="E30">
        <f>_xlfn.STDEV.S(V:V)</f>
        <v>519.47593704188591</v>
      </c>
    </row>
    <row r="33" spans="4:5">
      <c r="D33" t="s">
        <v>986</v>
      </c>
      <c r="E33">
        <f>COUNT(V:V)</f>
        <v>14</v>
      </c>
    </row>
    <row r="34" spans="4:5">
      <c r="D34" t="s">
        <v>987</v>
      </c>
      <c r="E34">
        <f>_xlfn.STDEV.P(V:V)</f>
        <v>500.57953836043811</v>
      </c>
    </row>
  </sheetData>
  <conditionalFormatting sqref="G2:G15">
    <cfRule type="expression" dxfId="47" priority="7">
      <formula>$I2&lt;&gt;""</formula>
    </cfRule>
    <cfRule type="expression" dxfId="46" priority="8">
      <formula>$I2=""</formula>
    </cfRule>
  </conditionalFormatting>
  <conditionalFormatting sqref="H2:L15 O2:P15">
    <cfRule type="expression" dxfId="45" priority="19">
      <formula>AND(OR($I2="Addition",$I2="Omission"), H2="")</formula>
    </cfRule>
    <cfRule type="expression" dxfId="44" priority="20">
      <formula>AND($I2&lt;&gt;"Addition",$I2&lt;&gt;"Omission",$I2&lt;&gt;"Substitution - Word")</formula>
    </cfRule>
  </conditionalFormatting>
  <conditionalFormatting sqref="H2:P15">
    <cfRule type="expression" dxfId="43" priority="18">
      <formula>AND(OR($I2="Addition",$I2="Omission"), H2&lt;&gt;"")</formula>
    </cfRule>
  </conditionalFormatting>
  <conditionalFormatting sqref="K2:K15">
    <cfRule type="expression" dxfId="42" priority="16">
      <formula>AND($K2&lt;&gt;"",$K2&gt;1)</formula>
    </cfRule>
  </conditionalFormatting>
  <conditionalFormatting sqref="M2:N15">
    <cfRule type="expression" dxfId="41" priority="12">
      <formula>$N2="Absent"</formula>
    </cfRule>
    <cfRule type="expression" dxfId="40" priority="13">
      <formula>$N2="NA"</formula>
    </cfRule>
    <cfRule type="expression" dxfId="39" priority="14">
      <formula>AND(OR($I2="Addition",$I2="Omission"), M2="")</formula>
    </cfRule>
    <cfRule type="expression" dxfId="38" priority="15">
      <formula>AND($I2&lt;&gt;"Addition",$I2&lt;&gt;"Omission")</formula>
    </cfRule>
  </conditionalFormatting>
  <conditionalFormatting sqref="O2:O15">
    <cfRule type="expression" dxfId="37" priority="17">
      <formula>OR($I2="Addition",$I2="Omission",$I2 = "Substitution - Word")</formula>
    </cfRule>
  </conditionalFormatting>
  <conditionalFormatting sqref="Q2:V15">
    <cfRule type="expression" dxfId="36" priority="1">
      <formula>AND(AND(LEFT($I2,3)="Sub", RIGHT($I2,4)&lt;&gt;"Form"),$S2&lt;&gt;"")</formula>
    </cfRule>
    <cfRule type="expression" dxfId="35" priority="2">
      <formula>AND(AND(LEFT($I2,3)="Sub", RIGHT($I2,4)&lt;&gt;"Form"),$S2="")</formula>
    </cfRule>
    <cfRule type="expression" dxfId="34" priority="3">
      <formula>"&lt;&gt;AND(LEFT($J2,3)=""Sub"", RIGHT($J2,4)&lt;&gt;""Form"")"</formula>
    </cfRule>
  </conditionalFormatting>
  <conditionalFormatting sqref="W2:W15">
    <cfRule type="expression" dxfId="33" priority="10">
      <formula>AND($Y2&lt;&gt;"",OR($AF2="Yes",$AG2&lt;&gt;""))</formula>
    </cfRule>
    <cfRule type="expression" dxfId="32" priority="11">
      <formula>OR($AF2="Yes",$AG2&lt;&gt;"")</formula>
    </cfRule>
    <cfRule type="expression" dxfId="31" priority="23">
      <formula>AND($AF2&lt;&gt;"Yes",$AG2="")</formula>
    </cfRule>
  </conditionalFormatting>
  <conditionalFormatting sqref="W2:AF15">
    <cfRule type="expression" dxfId="30" priority="21">
      <formula>AND($I2&lt;&gt;"",$I2&lt;&gt;"Unclear due to correction")</formula>
    </cfRule>
    <cfRule type="expression" dxfId="29" priority="22">
      <formula>OR($I2="",$I2="Unclear due to correction")</formula>
    </cfRule>
  </conditionalFormatting>
  <conditionalFormatting sqref="X2:X15">
    <cfRule type="expression" dxfId="28" priority="9">
      <formula>AND($I2&lt;&gt;"",$I2&lt;&gt;"Unclear due to correction",$Z2="")</formula>
    </cfRule>
  </conditionalFormatting>
  <conditionalFormatting sqref="Y2:Y15">
    <cfRule type="expression" dxfId="27" priority="24">
      <formula>AND($Z2="Yes",$AA2="")</formula>
    </cfRule>
    <cfRule type="expression" dxfId="26" priority="25">
      <formula>$Z2=""</formula>
    </cfRule>
  </conditionalFormatting>
  <conditionalFormatting sqref="AD2:AD15">
    <cfRule type="expression" dxfId="25" priority="29">
      <formula>AND(OR($AD2&lt;&gt;"",$AE2&lt;&gt;""),$AF2="")</formula>
    </cfRule>
  </conditionalFormatting>
  <dataValidations count="1">
    <dataValidation allowBlank="1" showInputMessage="1" sqref="X2:X15" xr:uid="{2C6A4694-04AF-4C3A-98F4-31BE8B4A8B98}"/>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AA590905-FDE1-4450-A089-92A9D2524A6F}">
          <x14:formula1>
            <xm:f>'Data Regularization'!$Q$2:$Q$4</xm:f>
          </x14:formula1>
          <xm:sqref>AG2:AG15 AI2:AI15</xm:sqref>
        </x14:dataValidation>
        <x14:dataValidation type="list" allowBlank="1" showInputMessage="1" showErrorMessage="1" xr:uid="{31E17AF6-EB48-4689-8546-AF6517BFE443}">
          <x14:formula1>
            <xm:f>'Data Regularization'!$D$2:$D$1048576</xm:f>
          </x14:formula1>
          <xm:sqref>G2:G15</xm:sqref>
        </x14:dataValidation>
        <x14:dataValidation type="list" allowBlank="1" showInputMessage="1" showErrorMessage="1" xr:uid="{50B4AC52-AD4D-44C7-B482-B512AE4E021D}">
          <x14:formula1>
            <xm:f>'Data Regularization'!$E$2:$E$1048576</xm:f>
          </x14:formula1>
          <xm:sqref>K2:K15</xm:sqref>
        </x14:dataValidation>
        <x14:dataValidation type="list" allowBlank="1" showInputMessage="1" showErrorMessage="1" xr:uid="{E6A914E1-46E1-43A0-B336-F18991A464DB}">
          <x14:formula1>
            <xm:f>'Data Regularization'!$F$2:$F$1048576</xm:f>
          </x14:formula1>
          <xm:sqref>L2:L15</xm:sqref>
        </x14:dataValidation>
        <x14:dataValidation type="list" allowBlank="1" showInputMessage="1" showErrorMessage="1" xr:uid="{9AB835DE-76DF-4CD3-9D32-4E5A3268130A}">
          <x14:formula1>
            <xm:f>'Data Regularization'!$G$2:$G$1048576</xm:f>
          </x14:formula1>
          <xm:sqref>O2:O15</xm:sqref>
        </x14:dataValidation>
        <x14:dataValidation type="list" allowBlank="1" showInputMessage="1" showErrorMessage="1" xr:uid="{34403FD1-04CF-4933-B9C7-1AA40D37F6EE}">
          <x14:formula1>
            <xm:f>'Data Regularization'!$K$2:$K$1048576</xm:f>
          </x14:formula1>
          <xm:sqref>W2:W15 Y2:Y15</xm:sqref>
        </x14:dataValidation>
        <x14:dataValidation type="list" allowBlank="1" showInputMessage="1" showErrorMessage="1" xr:uid="{71F1EF36-3D8B-4B81-9AEF-B5D55B06D149}">
          <x14:formula1>
            <xm:f>'Data Regularization'!$L$2:$L$1048576</xm:f>
          </x14:formula1>
          <xm:sqref>Z2:Z15</xm:sqref>
        </x14:dataValidation>
        <x14:dataValidation type="list" allowBlank="1" showInputMessage="1" showErrorMessage="1" xr:uid="{0BA6923C-3B86-4454-B0AC-8C036305B2B6}">
          <x14:formula1>
            <xm:f>'Data Regularization'!$M$2:$M$1048576</xm:f>
          </x14:formula1>
          <xm:sqref>AA2:AA15</xm:sqref>
        </x14:dataValidation>
        <x14:dataValidation type="list" allowBlank="1" showInputMessage="1" showErrorMessage="1" xr:uid="{B59BC217-5E8E-43F6-9042-25FCB134B6B4}">
          <x14:formula1>
            <xm:f>'Data Regularization'!$N$2:$N$1048576</xm:f>
          </x14:formula1>
          <xm:sqref>AB2:AB15</xm:sqref>
        </x14:dataValidation>
        <x14:dataValidation type="list" allowBlank="1" showInputMessage="1" showErrorMessage="1" xr:uid="{BE7DBDA6-64A0-4295-ADD3-5DFA21B9B1F4}">
          <x14:formula1>
            <xm:f>'Data Regularization'!$O$2:$O$1048576</xm:f>
          </x14:formula1>
          <xm:sqref>AD2:AD15</xm:sqref>
        </x14:dataValidation>
        <x14:dataValidation type="list" allowBlank="1" showInputMessage="1" showErrorMessage="1" xr:uid="{5B76D426-AB73-42EC-BDC2-7BC198C0387A}">
          <x14:formula1>
            <xm:f>'Data Regularization'!$P$2:$P$1048576</xm:f>
          </x14:formula1>
          <xm:sqref>AE2:AE15</xm:sqref>
        </x14:dataValidation>
        <x14:dataValidation type="list" allowBlank="1" showInputMessage="1" showErrorMessage="1" xr:uid="{5775D39B-DA2B-4C69-B8F7-FB04F098B788}">
          <x14:formula1>
            <xm:f>'Data Regularization'!$Q$2:$Q$1048576</xm:f>
          </x14:formula1>
          <xm:sqref>AF2:AF15</xm:sqref>
        </x14:dataValidation>
        <x14:dataValidation type="list" allowBlank="1" showInputMessage="1" showErrorMessage="1" xr:uid="{03CD1BF9-9207-4D2D-89BB-DE6E469011A8}">
          <x14:formula1>
            <xm:f>'Data Regularization'!$C$2:$C$29</xm:f>
          </x14:formula1>
          <xm:sqref>F2:F15</xm:sqref>
        </x14:dataValidation>
        <x14:dataValidation type="list" allowBlank="1" showInputMessage="1" showErrorMessage="1" xr:uid="{1439D461-D872-4084-ACB0-EFA9C47E5142}">
          <x14:formula1>
            <xm:f>'Data Regularization'!$A$2:$A$1048576</xm:f>
          </x14:formula1>
          <xm:sqref>D2:D15</xm:sqref>
        </x14:dataValidation>
        <x14:dataValidation type="list" allowBlank="1" showInputMessage="1" showErrorMessage="1" xr:uid="{6FDFEDA9-AD66-4640-9B1E-B08C0C32570A}">
          <x14:formula1>
            <xm:f>'Data Regularization'!$B$2:$B$1048576</xm:f>
          </x14:formula1>
          <xm:sqref>E2:E15</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5B24D-CB19-49AA-A07C-474CFD7787AD}">
  <dimension ref="A1:AI14"/>
  <sheetViews>
    <sheetView workbookViewId="0">
      <selection activeCell="E12" sqref="E12:J13"/>
    </sheetView>
  </sheetViews>
  <sheetFormatPr defaultRowHeight="14.5"/>
  <sheetData>
    <row r="1" spans="1:35" s="1" customFormat="1" ht="29">
      <c r="A1" s="1" t="s">
        <v>0</v>
      </c>
      <c r="B1" s="1" t="s">
        <v>5</v>
      </c>
      <c r="C1" s="2" t="s">
        <v>6</v>
      </c>
      <c r="D1" s="1" t="s">
        <v>831</v>
      </c>
      <c r="E1" s="1" t="s">
        <v>832</v>
      </c>
      <c r="F1" s="1" t="s">
        <v>833</v>
      </c>
      <c r="G1" s="1" t="s">
        <v>7</v>
      </c>
      <c r="H1" s="1" t="s">
        <v>3</v>
      </c>
      <c r="I1" s="1" t="s">
        <v>834</v>
      </c>
      <c r="J1" s="1" t="s">
        <v>835</v>
      </c>
      <c r="K1" s="1" t="s">
        <v>836</v>
      </c>
      <c r="L1" s="1" t="s">
        <v>837</v>
      </c>
      <c r="M1" s="1" t="s">
        <v>796</v>
      </c>
      <c r="N1" s="1" t="s">
        <v>838</v>
      </c>
      <c r="O1" s="5" t="s">
        <v>839</v>
      </c>
      <c r="P1" s="1" t="s">
        <v>797</v>
      </c>
      <c r="Q1" s="1" t="s">
        <v>840</v>
      </c>
      <c r="R1" s="1" t="s">
        <v>841</v>
      </c>
      <c r="S1" s="1" t="s">
        <v>961</v>
      </c>
      <c r="T1" s="1" t="s">
        <v>962</v>
      </c>
      <c r="U1" s="1" t="s">
        <v>844</v>
      </c>
      <c r="V1" s="1" t="s">
        <v>1014</v>
      </c>
      <c r="W1" s="1" t="s">
        <v>845</v>
      </c>
      <c r="X1" s="1" t="s">
        <v>846</v>
      </c>
      <c r="Y1" s="1" t="s">
        <v>798</v>
      </c>
      <c r="Z1" s="1" t="s">
        <v>799</v>
      </c>
      <c r="AA1" s="1" t="s">
        <v>800</v>
      </c>
      <c r="AB1" s="1" t="s">
        <v>842</v>
      </c>
      <c r="AC1" s="1" t="s">
        <v>847</v>
      </c>
      <c r="AD1" s="1" t="s">
        <v>801</v>
      </c>
      <c r="AE1" s="1" t="s">
        <v>843</v>
      </c>
      <c r="AF1" s="1" t="s">
        <v>859</v>
      </c>
      <c r="AG1" s="1" t="s">
        <v>857</v>
      </c>
      <c r="AH1" s="1" t="s">
        <v>858</v>
      </c>
    </row>
    <row r="2" spans="1:35" ht="29">
      <c r="A2" t="s">
        <v>63</v>
      </c>
      <c r="B2" s="3" t="s">
        <v>349</v>
      </c>
      <c r="C2" s="3" t="s">
        <v>350</v>
      </c>
      <c r="G2" t="s">
        <v>881</v>
      </c>
      <c r="H2" s="6" t="s">
        <v>25</v>
      </c>
      <c r="I2" s="6"/>
      <c r="J2" s="6">
        <v>1</v>
      </c>
      <c r="K2" s="6">
        <v>3</v>
      </c>
      <c r="L2" s="6" t="s">
        <v>825</v>
      </c>
      <c r="M2" s="6" t="s">
        <v>809</v>
      </c>
      <c r="N2" s="6"/>
      <c r="O2" s="7"/>
      <c r="P2" s="6"/>
      <c r="Q2" s="6">
        <v>2475</v>
      </c>
      <c r="R2" s="6"/>
      <c r="S2" s="6" t="s">
        <v>963</v>
      </c>
      <c r="T2" s="6" t="s">
        <v>963</v>
      </c>
      <c r="U2" s="6" t="s">
        <v>848</v>
      </c>
      <c r="V2" s="6" t="s">
        <v>1015</v>
      </c>
      <c r="W2" s="6"/>
      <c r="X2" s="6"/>
      <c r="Y2" s="6"/>
      <c r="Z2" s="6"/>
      <c r="AA2" s="6"/>
      <c r="AB2" s="6"/>
      <c r="AC2" s="6"/>
      <c r="AD2" s="6"/>
      <c r="AE2" s="6"/>
      <c r="AF2" t="s">
        <v>19</v>
      </c>
      <c r="AG2" t="s">
        <v>20</v>
      </c>
      <c r="AI2">
        <v>1</v>
      </c>
    </row>
    <row r="5" spans="1:35">
      <c r="D5" t="s">
        <v>988</v>
      </c>
      <c r="E5">
        <f>COUNTIF(U:U, "Harmonizing")</f>
        <v>0</v>
      </c>
    </row>
    <row r="6" spans="1:35">
      <c r="D6" t="s">
        <v>989</v>
      </c>
      <c r="E6">
        <f>COUNTIF(U:U, "Disharmonizing")</f>
        <v>1</v>
      </c>
    </row>
    <row r="7" spans="1:35">
      <c r="D7" t="s">
        <v>990</v>
      </c>
      <c r="E7">
        <f>E5/(E5+E6)</f>
        <v>0</v>
      </c>
    </row>
    <row r="10" spans="1:35">
      <c r="E10" s="10" t="s">
        <v>1018</v>
      </c>
      <c r="F10" s="10"/>
      <c r="G10" s="10"/>
      <c r="H10" s="10"/>
      <c r="I10" s="10"/>
      <c r="J10" s="10"/>
    </row>
    <row r="11" spans="1:35">
      <c r="E11" t="s">
        <v>1020</v>
      </c>
      <c r="F11" t="s">
        <v>1021</v>
      </c>
      <c r="G11" t="s">
        <v>1022</v>
      </c>
      <c r="H11" t="s">
        <v>1023</v>
      </c>
      <c r="I11" t="s">
        <v>1017</v>
      </c>
      <c r="J11" t="s">
        <v>950</v>
      </c>
    </row>
    <row r="12" spans="1:35">
      <c r="D12" t="s">
        <v>988</v>
      </c>
      <c r="E12">
        <f>COUNTIFS($U$2:$U$2,"Harmonizing",$V$2:$V$2,"forward")</f>
        <v>0</v>
      </c>
      <c r="F12">
        <f>COUNTIFS($U$2:$U$2,"Harmonizing",$V$2:$V$2,"forward") + COUNTIFS($U$2:$U$2,"Harmonizing",$V$2:$V$2,"both")</f>
        <v>0</v>
      </c>
      <c r="G12">
        <f>COUNTIFS($U$2:$U$2,"Harmonizing",$V$2:$V$2,"backward")</f>
        <v>0</v>
      </c>
      <c r="H12">
        <f>COUNTIFS($U$2:$U$2,"Harmonizing",$V$2:$V$2,"backward") + COUNTIFS($U$2:$U$2,"Harmonizing",$V$2:$V$2,"both")</f>
        <v>0</v>
      </c>
      <c r="I12">
        <f>COUNTIFS($U$2:$U$2,"Harmonizing",$V$2:$V$2,"both")</f>
        <v>0</v>
      </c>
      <c r="J12">
        <f>COUNTIFS($U$2:$U$2,"Harmonizing",$V$2:$V$2,"both") + COUNTIFS($U$2:$U$2,"Harmonizing",$V$2:$V$2,"forward") + COUNTIFS($U$2:$U$2,"Harmonizing",$V$2:$V$2,"backward")</f>
        <v>0</v>
      </c>
    </row>
    <row r="13" spans="1:35">
      <c r="D13" t="s">
        <v>989</v>
      </c>
      <c r="E13">
        <f>COUNTIFS($U$2:$U$2,"Disharmonizing",$V$2:$V$2,"forward")</f>
        <v>1</v>
      </c>
      <c r="F13">
        <f>COUNTIFS($U$2:$U$2,"Disharmonizing",$V$2:$V$2,"forward") + COUNTIFS($U$2:$U$2,"Disharmonizing",$V$2:$V$2,"both")</f>
        <v>1</v>
      </c>
      <c r="G13">
        <f>COUNTIFS($U$2:$U$2,"Disharmonizing",$V$2:$V$2,"backward")</f>
        <v>0</v>
      </c>
      <c r="H13">
        <f>COUNTIFS($U$2:$U$2,"Disharmonizing",$V$2:$V$2,"backward") + COUNTIFS($U$2:$U$2,"Disharmonizing",$V$2:$V$2,"both")</f>
        <v>0</v>
      </c>
      <c r="I13">
        <f>COUNTIFS($U$2:$U$2,"Disharmonizing",$V$2:$V$2,"both")</f>
        <v>0</v>
      </c>
      <c r="J13">
        <f>COUNTIFS($U$2:$U$2,"Disharmonizing",$V$2:$V$2,"both") + COUNTIFS($U$2:$U$2,"Disharmonizing",$V$2:$V$2,"forward") + COUNTIFS($U$2:$U$2,"Disharmonizing",$V$2:$V$2,"backward")</f>
        <v>1</v>
      </c>
    </row>
    <row r="14" spans="1:35">
      <c r="D14" t="s">
        <v>990</v>
      </c>
      <c r="E14">
        <f t="shared" ref="E14:J14" si="0">E12/(E12+E13)</f>
        <v>0</v>
      </c>
      <c r="F14">
        <f t="shared" si="0"/>
        <v>0</v>
      </c>
      <c r="G14" t="e">
        <f t="shared" si="0"/>
        <v>#DIV/0!</v>
      </c>
      <c r="H14" t="e">
        <f t="shared" si="0"/>
        <v>#DIV/0!</v>
      </c>
      <c r="I14" t="e">
        <f t="shared" si="0"/>
        <v>#DIV/0!</v>
      </c>
      <c r="J14">
        <f t="shared" si="0"/>
        <v>0</v>
      </c>
    </row>
  </sheetData>
  <mergeCells count="1">
    <mergeCell ref="E10:J10"/>
  </mergeCells>
  <conditionalFormatting sqref="H2">
    <cfRule type="expression" dxfId="24" priority="6">
      <formula>$J2&lt;&gt;""</formula>
    </cfRule>
    <cfRule type="expression" dxfId="23" priority="7">
      <formula>$J2=""</formula>
    </cfRule>
  </conditionalFormatting>
  <conditionalFormatting sqref="I2:M2 P2:Q2">
    <cfRule type="expression" dxfId="22" priority="18">
      <formula>AND(OR($J2="Addition",$J2="Omission"), I2="")</formula>
    </cfRule>
    <cfRule type="expression" dxfId="21" priority="19">
      <formula>AND($J2&lt;&gt;"Addition",$J2&lt;&gt;"Omission",$J2&lt;&gt;"Substitution - Word")</formula>
    </cfRule>
  </conditionalFormatting>
  <conditionalFormatting sqref="I2:Q2">
    <cfRule type="expression" dxfId="20" priority="17">
      <formula>AND(OR($J2="Addition",$J2="Omission"), I2&lt;&gt;"")</formula>
    </cfRule>
  </conditionalFormatting>
  <conditionalFormatting sqref="L2">
    <cfRule type="expression" dxfId="19" priority="15">
      <formula>AND($L2&lt;&gt;"",$L2&gt;1)</formula>
    </cfRule>
  </conditionalFormatting>
  <conditionalFormatting sqref="N2:O2">
    <cfRule type="expression" dxfId="18" priority="11">
      <formula>$O2="Absent"</formula>
    </cfRule>
    <cfRule type="expression" dxfId="17" priority="12">
      <formula>$O2="NA"</formula>
    </cfRule>
    <cfRule type="expression" dxfId="16" priority="13">
      <formula>AND(OR($J2="Addition",$J2="Omission"), N2="")</formula>
    </cfRule>
    <cfRule type="expression" dxfId="15" priority="14">
      <formula>AND($J2&lt;&gt;"Addition",$J2&lt;&gt;"Omission")</formula>
    </cfRule>
  </conditionalFormatting>
  <conditionalFormatting sqref="P2">
    <cfRule type="expression" dxfId="14" priority="16">
      <formula>OR($J2="Addition",$J2="Omission",$J2 = "Substitution - Word")</formula>
    </cfRule>
  </conditionalFormatting>
  <conditionalFormatting sqref="R2:T2">
    <cfRule type="expression" dxfId="13" priority="25">
      <formula>AND(AND(LEFT($J2,3)="Sub", RIGHT($J2,4)&lt;&gt;"Form"),$T2&lt;&gt;"")</formula>
    </cfRule>
    <cfRule type="expression" dxfId="12" priority="26">
      <formula>AND(AND(LEFT($J2,3)="Sub", RIGHT($J2,4)&lt;&gt;"Form"),$T2="")</formula>
    </cfRule>
    <cfRule type="expression" dxfId="11" priority="27">
      <formula>"&lt;&gt;AND(LEFT($J2,3)=""Sub"", RIGHT($J2,4)&lt;&gt;""Form"")"</formula>
    </cfRule>
  </conditionalFormatting>
  <conditionalFormatting sqref="U2:V2">
    <cfRule type="expression" dxfId="10" priority="1">
      <formula>AND($X2&lt;&gt;"",OR($AE2="Yes",$AF2&lt;&gt;""))</formula>
    </cfRule>
    <cfRule type="expression" dxfId="9" priority="2">
      <formula>OR($AE2="Yes",$AF2&lt;&gt;"")</formula>
    </cfRule>
    <cfRule type="expression" dxfId="8" priority="3">
      <formula>AND($J2&lt;&gt;"",$J2&lt;&gt;"Unclear due to correction")</formula>
    </cfRule>
    <cfRule type="expression" dxfId="7" priority="4">
      <formula>OR($J2="",$J2="Unclear due to correction")</formula>
    </cfRule>
    <cfRule type="expression" dxfId="6" priority="5">
      <formula>AND($AE2&lt;&gt;"Yes",$AF2="")</formula>
    </cfRule>
  </conditionalFormatting>
  <conditionalFormatting sqref="W2">
    <cfRule type="expression" dxfId="5" priority="8">
      <formula>AND($J2&lt;&gt;"",$J2&lt;&gt;"Unclear due to correction",$Y2="")</formula>
    </cfRule>
  </conditionalFormatting>
  <conditionalFormatting sqref="W2:AE2">
    <cfRule type="expression" dxfId="4" priority="20">
      <formula>AND($J2&lt;&gt;"",$J2&lt;&gt;"Unclear due to correction")</formula>
    </cfRule>
    <cfRule type="expression" dxfId="3" priority="21">
      <formula>OR($J2="",$J2="Unclear due to correction")</formula>
    </cfRule>
  </conditionalFormatting>
  <conditionalFormatting sqref="X2">
    <cfRule type="expression" dxfId="2" priority="23">
      <formula>AND($Y2="Yes",$Z2="")</formula>
    </cfRule>
    <cfRule type="expression" dxfId="1" priority="24">
      <formula>$Y2=""</formula>
    </cfRule>
  </conditionalFormatting>
  <conditionalFormatting sqref="AC2">
    <cfRule type="expression" dxfId="0" priority="28">
      <formula>AND(OR($AC2&lt;&gt;"",$AD2&lt;&gt;""),$AE2="")</formula>
    </cfRule>
  </conditionalFormatting>
  <dataValidations count="1">
    <dataValidation allowBlank="1" showInputMessage="1" sqref="W2" xr:uid="{5F9AC60B-DA11-44AA-9E2A-692593AFB50E}"/>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6">
        <x14:dataValidation type="list" allowBlank="1" showInputMessage="1" showErrorMessage="1" xr:uid="{21626211-8266-4477-AD8F-4F979D168D70}">
          <x14:formula1>
            <xm:f>'Data Regularization'!$Q$2:$Q$4</xm:f>
          </x14:formula1>
          <xm:sqref>AF2 AH2</xm:sqref>
        </x14:dataValidation>
        <x14:dataValidation type="list" allowBlank="1" showInputMessage="1" showErrorMessage="1" xr:uid="{40F3BBFB-03E8-45A3-BDE6-B61C5D123C45}">
          <x14:formula1>
            <xm:f>'Data Regularization'!$D$2:$D$1048576</xm:f>
          </x14:formula1>
          <xm:sqref>H2</xm:sqref>
        </x14:dataValidation>
        <x14:dataValidation type="list" allowBlank="1" showInputMessage="1" showErrorMessage="1" xr:uid="{D13C5AD8-A4A2-4770-9D8A-19AF8CCE181F}">
          <x14:formula1>
            <xm:f>'Data Regularization'!$E$2:$E$1048576</xm:f>
          </x14:formula1>
          <xm:sqref>L2</xm:sqref>
        </x14:dataValidation>
        <x14:dataValidation type="list" allowBlank="1" showInputMessage="1" showErrorMessage="1" xr:uid="{62E068BA-54B3-4CD7-8206-1F85D6E37B08}">
          <x14:formula1>
            <xm:f>'Data Regularization'!$F$2:$F$1048576</xm:f>
          </x14:formula1>
          <xm:sqref>M2</xm:sqref>
        </x14:dataValidation>
        <x14:dataValidation type="list" allowBlank="1" showInputMessage="1" showErrorMessage="1" xr:uid="{2193BA0C-835C-4132-9008-CE025FA41298}">
          <x14:formula1>
            <xm:f>'Data Regularization'!$G$2:$G$1048576</xm:f>
          </x14:formula1>
          <xm:sqref>P2</xm:sqref>
        </x14:dataValidation>
        <x14:dataValidation type="list" allowBlank="1" showInputMessage="1" showErrorMessage="1" xr:uid="{3089510E-19B6-4631-964C-29F04F380827}">
          <x14:formula1>
            <xm:f>'Data Regularization'!$K$2:$K$1048576</xm:f>
          </x14:formula1>
          <xm:sqref>X2 U2</xm:sqref>
        </x14:dataValidation>
        <x14:dataValidation type="list" allowBlank="1" showInputMessage="1" showErrorMessage="1" xr:uid="{995673FC-A2CF-4CA8-B6A8-5BEA8C697233}">
          <x14:formula1>
            <xm:f>'Data Regularization'!$L$2:$L$1048576</xm:f>
          </x14:formula1>
          <xm:sqref>Y2</xm:sqref>
        </x14:dataValidation>
        <x14:dataValidation type="list" allowBlank="1" showInputMessage="1" showErrorMessage="1" xr:uid="{28F92B4A-3F60-4269-9E01-A15E1E9783C7}">
          <x14:formula1>
            <xm:f>'Data Regularization'!$M$2:$M$1048576</xm:f>
          </x14:formula1>
          <xm:sqref>Z2</xm:sqref>
        </x14:dataValidation>
        <x14:dataValidation type="list" allowBlank="1" showInputMessage="1" showErrorMessage="1" xr:uid="{D58DB80D-49B6-4DF2-A6E9-BACE00B756C0}">
          <x14:formula1>
            <xm:f>'Data Regularization'!$N$2:$N$1048576</xm:f>
          </x14:formula1>
          <xm:sqref>AA2</xm:sqref>
        </x14:dataValidation>
        <x14:dataValidation type="list" allowBlank="1" showInputMessage="1" showErrorMessage="1" xr:uid="{BA63554D-4E40-443A-A83F-58CB905E83C7}">
          <x14:formula1>
            <xm:f>'Data Regularization'!$O$2:$O$1048576</xm:f>
          </x14:formula1>
          <xm:sqref>AC2</xm:sqref>
        </x14:dataValidation>
        <x14:dataValidation type="list" allowBlank="1" showInputMessage="1" showErrorMessage="1" xr:uid="{F162F2C0-3AA3-47DB-AF1F-E016B62E5059}">
          <x14:formula1>
            <xm:f>'Data Regularization'!$P$2:$P$1048576</xm:f>
          </x14:formula1>
          <xm:sqref>AD2</xm:sqref>
        </x14:dataValidation>
        <x14:dataValidation type="list" allowBlank="1" showInputMessage="1" showErrorMessage="1" xr:uid="{340B5832-232F-4E86-9CE4-913A16269C1F}">
          <x14:formula1>
            <xm:f>'Data Regularization'!$Q$2:$Q$1048576</xm:f>
          </x14:formula1>
          <xm:sqref>AE2</xm:sqref>
        </x14:dataValidation>
        <x14:dataValidation type="list" allowBlank="1" showInputMessage="1" showErrorMessage="1" xr:uid="{CE7B6173-CDAF-450E-87C0-B9EBA7D053E0}">
          <x14:formula1>
            <xm:f>'Data Regularization'!$C$2:$C$29</xm:f>
          </x14:formula1>
          <xm:sqref>F2</xm:sqref>
        </x14:dataValidation>
        <x14:dataValidation type="list" allowBlank="1" showInputMessage="1" showErrorMessage="1" xr:uid="{660DEE0A-A3CF-4FD1-A181-01D2399C246F}">
          <x14:formula1>
            <xm:f>'Data Regularization'!$A$2:$A$1048576</xm:f>
          </x14:formula1>
          <xm:sqref>D2</xm:sqref>
        </x14:dataValidation>
        <x14:dataValidation type="list" allowBlank="1" showInputMessage="1" showErrorMessage="1" xr:uid="{56239D50-22E7-426C-96B8-BA9A88406362}">
          <x14:formula1>
            <xm:f>'Data Regularization'!$B$2:$B$1048576</xm:f>
          </x14:formula1>
          <xm:sqref>E2</xm:sqref>
        </x14:dataValidation>
        <x14:dataValidation type="list" allowBlank="1" showInputMessage="1" showErrorMessage="1" xr:uid="{FDB4D846-3231-4A63-8AD9-9C82005B48CD}">
          <x14:formula1>
            <xm:f>'Data Regularization'!$I$1:$I$5</xm:f>
          </x14:formula1>
          <xm:sqref>V2</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AC5A7-EB1F-4E31-A38F-FC18BB2FD5F1}">
  <dimension ref="A1:B6"/>
  <sheetViews>
    <sheetView workbookViewId="0"/>
  </sheetViews>
  <sheetFormatPr defaultRowHeight="14.5"/>
  <cols>
    <col min="1" max="1" width="24.54296875" bestFit="1" customWidth="1"/>
  </cols>
  <sheetData>
    <row r="1" spans="1:2">
      <c r="A1" t="s">
        <v>991</v>
      </c>
      <c r="B1">
        <v>4055</v>
      </c>
    </row>
    <row r="2" spans="1:2">
      <c r="A2" t="s">
        <v>992</v>
      </c>
      <c r="B2">
        <f>COUNTA('Unfiltered Data'!A:A) - 1</f>
        <v>320</v>
      </c>
    </row>
    <row r="3" spans="1:2">
      <c r="A3" t="s">
        <v>993</v>
      </c>
      <c r="B3">
        <f>COUNTA('Gen-filters'!A:A) - 1</f>
        <v>221</v>
      </c>
    </row>
    <row r="5" spans="1:2">
      <c r="A5" t="s">
        <v>994</v>
      </c>
      <c r="B5">
        <f>(B2/B1)*1000</f>
        <v>78.914919852034529</v>
      </c>
    </row>
    <row r="6" spans="1:2">
      <c r="A6" t="s">
        <v>995</v>
      </c>
      <c r="B6">
        <f>(B3/B1)*1000</f>
        <v>54.500616522811342</v>
      </c>
    </row>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50305-F692-4FAB-98AE-B3CEC4E99C52}">
  <dimension ref="A2:D12"/>
  <sheetViews>
    <sheetView workbookViewId="0"/>
  </sheetViews>
  <sheetFormatPr defaultRowHeight="14.5"/>
  <sheetData>
    <row r="2" spans="1:4">
      <c r="A2" t="s">
        <v>997</v>
      </c>
    </row>
    <row r="3" spans="1:4">
      <c r="A3" t="s">
        <v>19</v>
      </c>
      <c r="B3">
        <f>COUNTIF('Unfiltered Data'!G:G, "Yes")</f>
        <v>4</v>
      </c>
    </row>
    <row r="4" spans="1:4">
      <c r="A4" t="s">
        <v>20</v>
      </c>
      <c r="B4">
        <f>COUNTIF('Unfiltered Data'!G:G, "No")</f>
        <v>0</v>
      </c>
    </row>
    <row r="5" spans="1:4">
      <c r="A5" t="s">
        <v>998</v>
      </c>
      <c r="B5">
        <f>B3/SUM(B3:B4)</f>
        <v>1</v>
      </c>
    </row>
    <row r="8" spans="1:4">
      <c r="A8" t="s">
        <v>999</v>
      </c>
    </row>
    <row r="9" spans="1:4">
      <c r="B9" t="s">
        <v>1000</v>
      </c>
      <c r="C9" t="s">
        <v>1001</v>
      </c>
      <c r="D9" t="s">
        <v>1002</v>
      </c>
    </row>
    <row r="10" spans="1:4">
      <c r="A10" t="s">
        <v>19</v>
      </c>
      <c r="B10">
        <f>COUNTIF('Unfiltered Data'!H:H, "Yes")</f>
        <v>49</v>
      </c>
      <c r="C10">
        <f>B10/'Gen-Error-Rates'!$B$2</f>
        <v>0.15312500000000001</v>
      </c>
      <c r="D10">
        <f>B10/SUM($B$10:$B$12)</f>
        <v>0.94230769230769229</v>
      </c>
    </row>
    <row r="11" spans="1:4">
      <c r="A11" t="s">
        <v>1003</v>
      </c>
      <c r="B11">
        <f>COUNTIF('Unfiltered Data'!H:H, "Yes, partially")</f>
        <v>3</v>
      </c>
      <c r="C11">
        <f>B11/'Gen-Error-Rates'!$B$2</f>
        <v>9.3749999999999997E-3</v>
      </c>
      <c r="D11">
        <f t="shared" ref="D11:D12" si="0">B11/SUM($B$10:$B$12)</f>
        <v>5.7692307692307696E-2</v>
      </c>
    </row>
    <row r="12" spans="1:4">
      <c r="A12" t="s">
        <v>1004</v>
      </c>
      <c r="B12">
        <f>COUNTIF(H:H, "Yes, to another error")</f>
        <v>0</v>
      </c>
      <c r="C12">
        <f>B12/'Gen-Error-Rates'!$B$2</f>
        <v>0</v>
      </c>
      <c r="D12">
        <f t="shared" si="0"/>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56D7-421F-42E5-9F55-F22A94A76A4F}">
  <dimension ref="A1:Q21"/>
  <sheetViews>
    <sheetView workbookViewId="0">
      <pane ySplit="1" topLeftCell="A2" activePane="bottomLeft" state="frozen"/>
      <selection pane="bottomLeft" activeCell="I1" sqref="I1:I5"/>
    </sheetView>
  </sheetViews>
  <sheetFormatPr defaultRowHeight="14.5"/>
  <sheetData>
    <row r="1" spans="1:17">
      <c r="A1" s="1" t="s">
        <v>8</v>
      </c>
      <c r="B1" s="1" t="s">
        <v>9</v>
      </c>
      <c r="C1" s="1" t="s">
        <v>10</v>
      </c>
      <c r="D1" s="1" t="s">
        <v>3</v>
      </c>
      <c r="E1" s="1" t="s">
        <v>795</v>
      </c>
      <c r="F1" s="1" t="s">
        <v>796</v>
      </c>
      <c r="G1" s="1" t="s">
        <v>797</v>
      </c>
      <c r="H1" s="1" t="s">
        <v>844</v>
      </c>
      <c r="I1" s="1" t="s">
        <v>1014</v>
      </c>
      <c r="J1" s="1" t="s">
        <v>845</v>
      </c>
      <c r="K1" s="1" t="s">
        <v>846</v>
      </c>
      <c r="L1" s="1" t="s">
        <v>798</v>
      </c>
      <c r="M1" s="1" t="s">
        <v>799</v>
      </c>
      <c r="N1" s="1" t="s">
        <v>800</v>
      </c>
      <c r="O1" s="1" t="s">
        <v>847</v>
      </c>
      <c r="P1" s="1" t="s">
        <v>801</v>
      </c>
      <c r="Q1" s="1" t="s">
        <v>843</v>
      </c>
    </row>
    <row r="2" spans="1:17">
      <c r="A2" s="1"/>
    </row>
    <row r="3" spans="1:17">
      <c r="A3" t="s">
        <v>11</v>
      </c>
      <c r="B3" t="s">
        <v>19</v>
      </c>
      <c r="C3" t="s">
        <v>19</v>
      </c>
      <c r="D3" t="s">
        <v>24</v>
      </c>
      <c r="E3" t="s">
        <v>802</v>
      </c>
      <c r="F3" t="s">
        <v>803</v>
      </c>
      <c r="G3" t="s">
        <v>804</v>
      </c>
      <c r="H3" t="s">
        <v>4</v>
      </c>
      <c r="I3" t="s">
        <v>1015</v>
      </c>
      <c r="J3" t="s">
        <v>19</v>
      </c>
      <c r="K3" t="s">
        <v>4</v>
      </c>
      <c r="L3" t="s">
        <v>805</v>
      </c>
      <c r="M3" t="s">
        <v>19</v>
      </c>
      <c r="N3" t="s">
        <v>806</v>
      </c>
      <c r="O3" t="s">
        <v>19</v>
      </c>
      <c r="P3" t="s">
        <v>807</v>
      </c>
      <c r="Q3" t="s">
        <v>19</v>
      </c>
    </row>
    <row r="4" spans="1:17">
      <c r="A4" t="s">
        <v>12</v>
      </c>
      <c r="B4" t="s">
        <v>21</v>
      </c>
      <c r="C4" t="s">
        <v>22</v>
      </c>
      <c r="D4" t="s">
        <v>25</v>
      </c>
      <c r="E4" t="s">
        <v>808</v>
      </c>
      <c r="F4" t="s">
        <v>809</v>
      </c>
      <c r="G4" t="s">
        <v>810</v>
      </c>
      <c r="H4" t="s">
        <v>848</v>
      </c>
      <c r="I4" t="s">
        <v>1016</v>
      </c>
      <c r="J4" t="s">
        <v>20</v>
      </c>
      <c r="K4" t="s">
        <v>848</v>
      </c>
      <c r="L4" t="s">
        <v>996</v>
      </c>
      <c r="M4" t="s">
        <v>20</v>
      </c>
      <c r="N4" t="s">
        <v>812</v>
      </c>
      <c r="O4" t="s">
        <v>20</v>
      </c>
      <c r="P4" t="s">
        <v>813</v>
      </c>
      <c r="Q4" t="s">
        <v>20</v>
      </c>
    </row>
    <row r="5" spans="1:17">
      <c r="A5" t="s">
        <v>13</v>
      </c>
      <c r="B5" t="s">
        <v>20</v>
      </c>
      <c r="C5" t="s">
        <v>23</v>
      </c>
      <c r="D5" t="s">
        <v>849</v>
      </c>
      <c r="E5" t="s">
        <v>814</v>
      </c>
      <c r="F5" t="s">
        <v>850</v>
      </c>
      <c r="I5" t="s">
        <v>1017</v>
      </c>
      <c r="L5" t="s">
        <v>811</v>
      </c>
      <c r="N5" t="s">
        <v>816</v>
      </c>
      <c r="P5" t="s">
        <v>817</v>
      </c>
    </row>
    <row r="6" spans="1:17">
      <c r="A6" t="s">
        <v>17</v>
      </c>
      <c r="C6" t="s">
        <v>20</v>
      </c>
      <c r="D6" t="s">
        <v>851</v>
      </c>
      <c r="E6" t="s">
        <v>818</v>
      </c>
      <c r="N6" t="s">
        <v>819</v>
      </c>
      <c r="P6" t="s">
        <v>820</v>
      </c>
    </row>
    <row r="7" spans="1:17">
      <c r="A7" t="s">
        <v>28</v>
      </c>
      <c r="D7" t="s">
        <v>852</v>
      </c>
      <c r="E7" t="s">
        <v>821</v>
      </c>
      <c r="N7" t="s">
        <v>871</v>
      </c>
    </row>
    <row r="8" spans="1:17">
      <c r="A8" t="s">
        <v>29</v>
      </c>
      <c r="D8" t="s">
        <v>26</v>
      </c>
      <c r="E8" t="s">
        <v>823</v>
      </c>
      <c r="N8" t="s">
        <v>822</v>
      </c>
    </row>
    <row r="9" spans="1:17">
      <c r="A9" t="s">
        <v>10</v>
      </c>
      <c r="D9" t="s">
        <v>27</v>
      </c>
      <c r="E9" t="s">
        <v>825</v>
      </c>
      <c r="N9" t="s">
        <v>824</v>
      </c>
    </row>
    <row r="10" spans="1:17">
      <c r="A10" t="s">
        <v>14</v>
      </c>
      <c r="D10" t="s">
        <v>30</v>
      </c>
      <c r="E10" t="s">
        <v>827</v>
      </c>
      <c r="N10" t="s">
        <v>826</v>
      </c>
    </row>
    <row r="11" spans="1:17">
      <c r="A11" t="s">
        <v>18</v>
      </c>
      <c r="E11" t="s">
        <v>829</v>
      </c>
      <c r="N11" t="s">
        <v>828</v>
      </c>
    </row>
    <row r="12" spans="1:17">
      <c r="A12" t="s">
        <v>853</v>
      </c>
      <c r="E12" t="s">
        <v>854</v>
      </c>
      <c r="N12" t="s">
        <v>929</v>
      </c>
    </row>
    <row r="13" spans="1:17">
      <c r="A13" t="s">
        <v>31</v>
      </c>
      <c r="E13" t="s">
        <v>860</v>
      </c>
      <c r="N13" t="s">
        <v>928</v>
      </c>
    </row>
    <row r="14" spans="1:17">
      <c r="A14" t="s">
        <v>32</v>
      </c>
      <c r="E14" t="s">
        <v>830</v>
      </c>
    </row>
    <row r="15" spans="1:17">
      <c r="A15" t="s">
        <v>33</v>
      </c>
    </row>
    <row r="16" spans="1:17">
      <c r="A16" t="s">
        <v>15</v>
      </c>
    </row>
    <row r="17" spans="1:1">
      <c r="A17" t="s">
        <v>16</v>
      </c>
    </row>
    <row r="18" spans="1:1">
      <c r="A18" t="s">
        <v>34</v>
      </c>
    </row>
    <row r="19" spans="1:1">
      <c r="A19" t="s">
        <v>35</v>
      </c>
    </row>
    <row r="20" spans="1:1">
      <c r="A20" t="s">
        <v>931</v>
      </c>
    </row>
    <row r="21" spans="1:1">
      <c r="A21" t="s">
        <v>36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Unfiltered Data</vt:lpstr>
      <vt:lpstr>Gen-filters</vt:lpstr>
      <vt:lpstr>AddOmits</vt:lpstr>
      <vt:lpstr>WF_AO_LM</vt:lpstr>
      <vt:lpstr>WF_AO_HM</vt:lpstr>
      <vt:lpstr>WF_SUB</vt:lpstr>
      <vt:lpstr>Harmonization</vt:lpstr>
      <vt:lpstr>Gen-filters_2</vt:lpstr>
      <vt:lpstr>AddOmits_2</vt:lpstr>
      <vt:lpstr>WF_AO_LM_2</vt:lpstr>
      <vt:lpstr>WF_AO_HM_2</vt:lpstr>
      <vt:lpstr>WF_SUB_2</vt:lpstr>
      <vt:lpstr>Harmonization_2</vt:lpstr>
      <vt:lpstr>Gen-Error-Rates</vt:lpstr>
      <vt:lpstr>Corrections</vt:lpstr>
      <vt:lpstr>Data Regularization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Wilken</dc:creator>
  <cp:lastModifiedBy>Jonathan Wilken</cp:lastModifiedBy>
  <dcterms:created xsi:type="dcterms:W3CDTF">2022-11-18T18:06:54Z</dcterms:created>
  <dcterms:modified xsi:type="dcterms:W3CDTF">2026-05-01T22:27:57Z</dcterms:modified>
</cp:coreProperties>
</file>