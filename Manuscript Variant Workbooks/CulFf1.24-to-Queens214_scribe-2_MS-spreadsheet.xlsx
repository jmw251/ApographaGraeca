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519" documentId="8_{2A16B1EB-A06F-402C-AF69-EDB4188A444D}" xr6:coauthVersionLast="47" xr6:coauthVersionMax="47" xr10:uidLastSave="{316B22FC-82EA-494E-AF13-C504E1167A5C}"/>
  <bookViews>
    <workbookView xWindow="-110" yWindow="-110" windowWidth="25820" windowHeight="1550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filters_2" sheetId="21" r:id="rId8"/>
    <sheet name="AddOmits_2" sheetId="16" r:id="rId9"/>
    <sheet name="WF_AO_LM_2" sheetId="18" r:id="rId10"/>
    <sheet name="WF_AO_HM_2" sheetId="17" r:id="rId11"/>
    <sheet name="WF_SUB_2" sheetId="19" r:id="rId12"/>
    <sheet name="Harmonization_2" sheetId="20" r:id="rId13"/>
    <sheet name="Gen-Error-Rates" sheetId="14" r:id="rId14"/>
    <sheet name="Corrections" sheetId="22" r:id="rId15"/>
    <sheet name="Data Regularization" sheetId="2" r:id="rId16"/>
  </sheets>
  <definedNames>
    <definedName name="_xlnm._FilterDatabase" localSheetId="2" hidden="1">AddOmits!$A$1:$AH$43</definedName>
    <definedName name="_xlnm._FilterDatabase" localSheetId="1" hidden="1">'Gen-filters'!$A$1:$AG$1</definedName>
    <definedName name="_xlnm._FilterDatabase" localSheetId="0" hidden="1">'Unfiltered Data'!$A$1:$AL$114</definedName>
    <definedName name="_xlnm._FilterDatabase" localSheetId="4" hidden="1">WF_AO_HM!$A$1:$AH$5</definedName>
    <definedName name="_xlnm._FilterDatabase" localSheetId="3" hidden="1">WF_AO_LM!$A$1:$AH$35</definedName>
    <definedName name="_xlnm._FilterDatabase" localSheetId="5" hidden="1">WF_SUB!$A$1:$AJ$11</definedName>
    <definedName name="_xlchart.v1.0" hidden="1">AddOmits!$Q$1</definedName>
    <definedName name="_xlchart.v1.1" hidden="1">AddOmits!$Q$2:$Q$43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8" i="1" l="1"/>
  <c r="F73" i="7"/>
  <c r="H13" i="20"/>
  <c r="G13" i="20"/>
  <c r="F13" i="20"/>
  <c r="E13" i="20"/>
  <c r="H12" i="20"/>
  <c r="H14" i="20" s="1"/>
  <c r="G12" i="20"/>
  <c r="F12" i="20"/>
  <c r="E12" i="20"/>
  <c r="H13" i="13"/>
  <c r="G13" i="13"/>
  <c r="F13" i="13"/>
  <c r="E13" i="13"/>
  <c r="E14" i="13" s="1"/>
  <c r="H12" i="13"/>
  <c r="G12" i="13"/>
  <c r="F12" i="13"/>
  <c r="E12" i="13"/>
  <c r="B12" i="22"/>
  <c r="B11" i="22"/>
  <c r="B10" i="22"/>
  <c r="B4" i="22"/>
  <c r="B3" i="22"/>
  <c r="T3" i="12"/>
  <c r="U3" i="12"/>
  <c r="T4" i="12"/>
  <c r="U4" i="12"/>
  <c r="V4" i="12" s="1"/>
  <c r="T5" i="12"/>
  <c r="U5" i="12"/>
  <c r="V5" i="12" s="1"/>
  <c r="T6" i="12"/>
  <c r="U6" i="12"/>
  <c r="V6" i="12" s="1"/>
  <c r="T7" i="12"/>
  <c r="U7" i="12"/>
  <c r="V7" i="12" s="1"/>
  <c r="T8" i="12"/>
  <c r="U8" i="12"/>
  <c r="V8" i="12" s="1"/>
  <c r="T9" i="12"/>
  <c r="U9" i="12"/>
  <c r="T10" i="12"/>
  <c r="U10" i="12"/>
  <c r="V10" i="12"/>
  <c r="T11" i="12"/>
  <c r="U11" i="12"/>
  <c r="V11" i="12"/>
  <c r="U2" i="12"/>
  <c r="T2" i="12"/>
  <c r="V2" i="12" s="1"/>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G14" i="20" l="1"/>
  <c r="E14" i="20"/>
  <c r="F14" i="20"/>
  <c r="G14" i="13"/>
  <c r="F14" i="13"/>
  <c r="H14" i="13"/>
  <c r="D11" i="22"/>
  <c r="D12" i="22"/>
  <c r="B5" i="22"/>
  <c r="D10" i="22"/>
  <c r="V9" i="12"/>
  <c r="V3" i="12"/>
  <c r="E6" i="20" l="1"/>
  <c r="E5" i="20"/>
  <c r="E7" i="20" s="1"/>
  <c r="E15" i="19"/>
  <c r="E14" i="19"/>
  <c r="E11" i="19"/>
  <c r="E10" i="19"/>
  <c r="E12" i="19" s="1"/>
  <c r="E32" i="18"/>
  <c r="E31" i="18"/>
  <c r="E30" i="18"/>
  <c r="E7" i="17"/>
  <c r="E13" i="17" s="1"/>
  <c r="E70" i="16"/>
  <c r="D70" i="16"/>
  <c r="E69" i="16"/>
  <c r="D69" i="16"/>
  <c r="E68" i="16"/>
  <c r="D68" i="16"/>
  <c r="E67" i="16"/>
  <c r="D67" i="16"/>
  <c r="E66" i="16"/>
  <c r="D66" i="16"/>
  <c r="E62" i="16"/>
  <c r="D62" i="16"/>
  <c r="E61" i="16"/>
  <c r="D61" i="16"/>
  <c r="E60" i="16"/>
  <c r="D60" i="16"/>
  <c r="E55" i="16"/>
  <c r="D55" i="16"/>
  <c r="F55" i="16" s="1"/>
  <c r="E54" i="16"/>
  <c r="D54" i="16"/>
  <c r="E49" i="16"/>
  <c r="D49" i="16"/>
  <c r="E48" i="16"/>
  <c r="D48" i="16"/>
  <c r="E43" i="16"/>
  <c r="D43" i="16"/>
  <c r="E42" i="16"/>
  <c r="E44" i="16" s="1"/>
  <c r="D42" i="16"/>
  <c r="F35" i="16"/>
  <c r="F34" i="16"/>
  <c r="F30" i="16"/>
  <c r="F29" i="16"/>
  <c r="F25" i="16"/>
  <c r="F24" i="16"/>
  <c r="F26" i="16" s="1"/>
  <c r="F68" i="16" l="1"/>
  <c r="F70" i="16"/>
  <c r="E10" i="17"/>
  <c r="E11" i="17"/>
  <c r="E14" i="17"/>
  <c r="F31" i="16"/>
  <c r="F36" i="16"/>
  <c r="F49" i="16"/>
  <c r="F43" i="16"/>
  <c r="F42" i="16"/>
  <c r="F54" i="16"/>
  <c r="F62" i="16"/>
  <c r="F69" i="16"/>
  <c r="F56" i="16"/>
  <c r="F61" i="16"/>
  <c r="F66" i="16"/>
  <c r="F48" i="16"/>
  <c r="F50" i="16" s="1"/>
  <c r="F60" i="16"/>
  <c r="F67" i="16"/>
  <c r="E19" i="18"/>
  <c r="D44" i="16"/>
  <c r="F44" i="16" s="1"/>
  <c r="F37" i="16" l="1"/>
  <c r="E25" i="18"/>
  <c r="E22" i="18"/>
  <c r="E26" i="18"/>
  <c r="E23" i="18"/>
  <c r="E23" i="19"/>
  <c r="E22" i="19"/>
  <c r="E19" i="19"/>
  <c r="E18" i="19"/>
  <c r="B3" i="14"/>
  <c r="B6" i="14" s="1"/>
  <c r="B2" i="14"/>
  <c r="B5" i="14" l="1"/>
  <c r="C10" i="22"/>
  <c r="C12" i="22"/>
  <c r="C11" i="22"/>
  <c r="E27" i="18"/>
  <c r="E24" i="18"/>
  <c r="E6" i="13"/>
  <c r="E5" i="13"/>
  <c r="E7" i="13" s="1"/>
  <c r="E22" i="12" l="1"/>
  <c r="E21" i="12"/>
  <c r="E18" i="12"/>
  <c r="E17" i="12"/>
  <c r="E19" i="12" s="1"/>
  <c r="E54" i="11"/>
  <c r="E53" i="11"/>
  <c r="E52" i="11"/>
  <c r="E41" i="11"/>
  <c r="E48" i="11" s="1"/>
  <c r="E9" i="10"/>
  <c r="E15" i="10" s="1"/>
  <c r="E16" i="10" l="1"/>
  <c r="E17" i="10" s="1"/>
  <c r="E12" i="10"/>
  <c r="E13" i="10"/>
  <c r="E44" i="11"/>
  <c r="E45" i="11"/>
  <c r="E47" i="11"/>
  <c r="E49" i="11" s="1"/>
  <c r="E26" i="12"/>
  <c r="E25" i="12"/>
  <c r="E46" i="11" l="1"/>
  <c r="E14" i="10"/>
  <c r="E18" i="10" s="1"/>
  <c r="E29" i="12"/>
  <c r="E30" i="12"/>
  <c r="V112" i="1"/>
  <c r="U112" i="1"/>
  <c r="V111" i="1"/>
  <c r="U111" i="1"/>
  <c r="V110" i="1"/>
  <c r="U110" i="1"/>
  <c r="V109" i="1"/>
  <c r="U109" i="1"/>
  <c r="V108" i="1"/>
  <c r="U108" i="1"/>
  <c r="V107" i="1"/>
  <c r="U107" i="1"/>
  <c r="V106" i="1"/>
  <c r="U106" i="1"/>
  <c r="V105" i="1"/>
  <c r="U105" i="1"/>
  <c r="V104" i="1"/>
  <c r="U104" i="1"/>
  <c r="V103" i="1"/>
  <c r="U103" i="1"/>
  <c r="V102" i="1"/>
  <c r="U102" i="1"/>
  <c r="V101" i="1"/>
  <c r="U101" i="1"/>
  <c r="V100" i="1"/>
  <c r="U100" i="1"/>
  <c r="V99" i="1"/>
  <c r="U99" i="1"/>
  <c r="V98" i="1"/>
  <c r="U98" i="1"/>
  <c r="V96" i="1"/>
  <c r="U96" i="1"/>
  <c r="V95" i="1"/>
  <c r="U95" i="1"/>
  <c r="V93" i="1"/>
  <c r="U93" i="1"/>
  <c r="V92" i="1"/>
  <c r="U92" i="1"/>
  <c r="V91" i="1"/>
  <c r="U91" i="1"/>
  <c r="V90" i="1"/>
  <c r="U90" i="1"/>
  <c r="V89" i="1"/>
  <c r="U89" i="1"/>
  <c r="V88" i="1"/>
  <c r="U88" i="1"/>
  <c r="V87" i="1"/>
  <c r="U87" i="1"/>
  <c r="V86" i="1"/>
  <c r="U86" i="1"/>
  <c r="V85" i="1"/>
  <c r="U85" i="1"/>
  <c r="V84" i="1"/>
  <c r="U84" i="1"/>
  <c r="V83" i="1"/>
  <c r="U83" i="1"/>
  <c r="V82" i="1"/>
  <c r="U82" i="1"/>
  <c r="V81" i="1"/>
  <c r="U81" i="1"/>
  <c r="V79" i="1"/>
  <c r="U79" i="1"/>
  <c r="V78" i="1"/>
  <c r="U78" i="1"/>
  <c r="V77" i="1"/>
  <c r="U77" i="1"/>
  <c r="V76" i="1"/>
  <c r="U76" i="1"/>
  <c r="V75" i="1"/>
  <c r="U75" i="1"/>
  <c r="V74" i="1"/>
  <c r="U74" i="1"/>
  <c r="V73" i="1"/>
  <c r="U73" i="1"/>
  <c r="V72" i="1"/>
  <c r="U72" i="1"/>
  <c r="V71" i="1"/>
  <c r="U71" i="1"/>
  <c r="V70" i="1"/>
  <c r="U70" i="1"/>
  <c r="V69" i="1"/>
  <c r="U69" i="1"/>
  <c r="V67" i="1"/>
  <c r="U67" i="1"/>
  <c r="V66" i="1"/>
  <c r="U66" i="1"/>
  <c r="V65" i="1"/>
  <c r="U65" i="1"/>
  <c r="V64" i="1"/>
  <c r="U64" i="1"/>
  <c r="V63" i="1"/>
  <c r="U63" i="1"/>
  <c r="V62" i="1"/>
  <c r="U62" i="1"/>
  <c r="V61" i="1"/>
  <c r="U61" i="1"/>
  <c r="V60" i="1"/>
  <c r="U60" i="1"/>
  <c r="V59" i="1"/>
  <c r="U59" i="1"/>
  <c r="V58" i="1"/>
  <c r="U58" i="1"/>
  <c r="V56" i="1"/>
  <c r="U56" i="1"/>
  <c r="V55" i="1"/>
  <c r="U55" i="1"/>
  <c r="V53" i="1"/>
  <c r="U53" i="1"/>
  <c r="V52" i="1"/>
  <c r="U52" i="1"/>
  <c r="V51" i="1"/>
  <c r="U51" i="1"/>
  <c r="V50" i="1"/>
  <c r="U50" i="1"/>
  <c r="V49" i="1"/>
  <c r="U49" i="1"/>
  <c r="V48" i="1"/>
  <c r="U48" i="1"/>
  <c r="V47" i="1"/>
  <c r="U47" i="1"/>
  <c r="V46" i="1"/>
  <c r="U46" i="1"/>
  <c r="V45" i="1"/>
  <c r="U45" i="1"/>
  <c r="V44" i="1"/>
  <c r="U44" i="1"/>
  <c r="V42" i="1"/>
  <c r="U42" i="1"/>
  <c r="V41" i="1"/>
  <c r="U41" i="1"/>
  <c r="V40" i="1"/>
  <c r="U40" i="1"/>
  <c r="V39" i="1"/>
  <c r="U39" i="1"/>
  <c r="V37" i="1"/>
  <c r="U37" i="1"/>
  <c r="V36" i="1"/>
  <c r="U36" i="1"/>
  <c r="V35" i="1"/>
  <c r="U35" i="1"/>
  <c r="V34" i="1"/>
  <c r="U34" i="1"/>
  <c r="V33" i="1"/>
  <c r="U33" i="1"/>
  <c r="V32" i="1"/>
  <c r="U32" i="1"/>
  <c r="V31" i="1"/>
  <c r="U31" i="1"/>
  <c r="V30" i="1"/>
  <c r="U30" i="1"/>
  <c r="V29" i="1"/>
  <c r="U29" i="1"/>
  <c r="V28" i="1"/>
  <c r="U28" i="1"/>
  <c r="V27" i="1"/>
  <c r="U27" i="1"/>
  <c r="V26" i="1"/>
  <c r="U26" i="1"/>
  <c r="V25" i="1"/>
  <c r="U25" i="1"/>
  <c r="V24" i="1"/>
  <c r="U24" i="1"/>
  <c r="V23" i="1"/>
  <c r="U23" i="1"/>
  <c r="V22" i="1"/>
  <c r="U22" i="1"/>
  <c r="V21" i="1"/>
  <c r="U21" i="1"/>
  <c r="V20" i="1"/>
  <c r="U20" i="1"/>
  <c r="V19" i="1"/>
  <c r="U19" i="1"/>
  <c r="V18" i="1"/>
  <c r="U18" i="1"/>
  <c r="V16" i="1"/>
  <c r="U16" i="1"/>
  <c r="V15" i="1"/>
  <c r="U15" i="1"/>
  <c r="V14" i="1"/>
  <c r="U14" i="1"/>
  <c r="V13" i="1"/>
  <c r="U13" i="1"/>
  <c r="V12" i="1"/>
  <c r="U12" i="1"/>
  <c r="V10" i="1"/>
  <c r="U10" i="1"/>
  <c r="V9" i="1"/>
  <c r="U9" i="1"/>
  <c r="V8" i="1"/>
  <c r="U8" i="1"/>
  <c r="V7" i="1"/>
  <c r="U7" i="1"/>
  <c r="V5" i="1"/>
  <c r="U5" i="1"/>
  <c r="V4" i="1"/>
  <c r="U4" i="1"/>
  <c r="V3" i="1"/>
  <c r="U3" i="1"/>
  <c r="V2" i="1"/>
  <c r="U2" i="1"/>
  <c r="E92" i="8"/>
  <c r="D92" i="8"/>
  <c r="E91" i="8"/>
  <c r="D91" i="8"/>
  <c r="E90" i="8"/>
  <c r="D90" i="8"/>
  <c r="E89" i="8"/>
  <c r="D89" i="8"/>
  <c r="E88" i="8"/>
  <c r="D88" i="8"/>
  <c r="F89" i="8" l="1"/>
  <c r="F92" i="8"/>
  <c r="F90" i="8"/>
  <c r="F91" i="8"/>
  <c r="F88" i="8"/>
  <c r="E84" i="8"/>
  <c r="D84" i="8"/>
  <c r="E83" i="8"/>
  <c r="D83" i="8"/>
  <c r="E82" i="8"/>
  <c r="D82" i="8"/>
  <c r="F83" i="8" l="1"/>
  <c r="F84" i="8"/>
  <c r="F82" i="8"/>
  <c r="E77" i="8"/>
  <c r="D77" i="8"/>
  <c r="E76" i="8"/>
  <c r="D76" i="8"/>
  <c r="F76" i="8" l="1"/>
  <c r="F77" i="8"/>
  <c r="E71" i="8"/>
  <c r="D71" i="8"/>
  <c r="E70" i="8"/>
  <c r="D70" i="8"/>
  <c r="E64" i="8"/>
  <c r="E65" i="8"/>
  <c r="D65" i="8"/>
  <c r="D64" i="8"/>
  <c r="F78" i="8" l="1"/>
  <c r="F71" i="8"/>
  <c r="F70" i="8"/>
  <c r="F65" i="8"/>
  <c r="E66" i="8"/>
  <c r="F64" i="8"/>
  <c r="D66" i="8"/>
  <c r="F66" i="8" s="1"/>
  <c r="F72" i="8" l="1"/>
  <c r="F57" i="8"/>
  <c r="F56" i="8"/>
  <c r="F52" i="8"/>
  <c r="F51" i="8"/>
  <c r="F53" i="8" l="1"/>
  <c r="F58" i="8"/>
  <c r="F47" i="8"/>
  <c r="F46" i="8"/>
  <c r="F59" i="8" l="1"/>
  <c r="F48" i="8"/>
  <c r="AK119" i="1" l="1"/>
  <c r="AJ114" i="1" a="1"/>
  <c r="AJ114" i="1" s="1"/>
  <c r="AJ113" i="1" a="1"/>
  <c r="AJ113" i="1" s="1"/>
  <c r="AJ112" i="1" a="1"/>
  <c r="AJ112" i="1" s="1"/>
  <c r="AJ111" i="1" a="1"/>
  <c r="AJ111" i="1" s="1"/>
  <c r="AJ110" i="1" a="1"/>
  <c r="AJ110" i="1" s="1"/>
  <c r="AJ109" i="1" a="1"/>
  <c r="AJ109" i="1" s="1"/>
  <c r="AJ108" i="1" a="1"/>
  <c r="AJ108" i="1" s="1"/>
  <c r="AJ107" i="1" a="1"/>
  <c r="AJ107" i="1" s="1"/>
  <c r="AJ106" i="1" a="1"/>
  <c r="AJ106" i="1" s="1"/>
  <c r="AJ105" i="1" a="1"/>
  <c r="AJ105" i="1" s="1"/>
  <c r="AJ104" i="1" a="1"/>
  <c r="AJ104" i="1" s="1"/>
  <c r="AJ103" i="1" a="1"/>
  <c r="AJ103" i="1" s="1"/>
  <c r="AJ102" i="1" a="1"/>
  <c r="AJ102" i="1" s="1"/>
  <c r="AJ101" i="1" a="1"/>
  <c r="AJ101" i="1" s="1"/>
  <c r="AJ100" i="1" a="1"/>
  <c r="AJ100" i="1" s="1"/>
  <c r="AJ99" i="1" a="1"/>
  <c r="AJ99" i="1" s="1"/>
  <c r="AJ98" i="1" a="1"/>
  <c r="AJ98" i="1" s="1"/>
  <c r="AJ97" i="1" a="1"/>
  <c r="AJ97" i="1" s="1"/>
  <c r="AJ96" i="1" a="1"/>
  <c r="AJ96" i="1" s="1"/>
  <c r="AJ95" i="1" a="1"/>
  <c r="AJ95" i="1" s="1"/>
  <c r="AJ94" i="1" a="1"/>
  <c r="AJ94" i="1" s="1"/>
  <c r="AJ93" i="1" a="1"/>
  <c r="AJ93" i="1" s="1"/>
  <c r="AJ92" i="1" a="1"/>
  <c r="AJ92" i="1" s="1"/>
  <c r="AJ91" i="1" a="1"/>
  <c r="AJ91" i="1" s="1"/>
  <c r="AJ90" i="1" a="1"/>
  <c r="AJ90" i="1" s="1"/>
  <c r="AJ89" i="1" a="1"/>
  <c r="AJ89" i="1" s="1"/>
  <c r="AJ88" i="1" a="1"/>
  <c r="AJ88" i="1" s="1"/>
  <c r="AJ87" i="1" a="1"/>
  <c r="AJ87" i="1" s="1"/>
  <c r="AJ86" i="1" a="1"/>
  <c r="AJ86" i="1" s="1"/>
  <c r="AJ85" i="1" a="1"/>
  <c r="AJ85" i="1" s="1"/>
  <c r="AJ84" i="1" a="1"/>
  <c r="AJ84" i="1" s="1"/>
  <c r="AJ83" i="1" a="1"/>
  <c r="AJ83" i="1" s="1"/>
  <c r="AJ82" i="1" a="1"/>
  <c r="AJ82" i="1" s="1"/>
  <c r="AJ81" i="1" a="1"/>
  <c r="AJ81" i="1" s="1"/>
  <c r="AJ80" i="1" a="1"/>
  <c r="AJ80" i="1" s="1"/>
  <c r="AJ79" i="1" a="1"/>
  <c r="AJ79" i="1" s="1"/>
  <c r="AJ78" i="1" a="1"/>
  <c r="AJ78" i="1" s="1"/>
  <c r="AJ77" i="1" a="1"/>
  <c r="AJ77" i="1" s="1"/>
  <c r="AJ76" i="1" a="1"/>
  <c r="AJ76" i="1" s="1"/>
  <c r="AJ75" i="1" a="1"/>
  <c r="AJ75" i="1" s="1"/>
  <c r="AJ74" i="1" a="1"/>
  <c r="AJ74" i="1" s="1"/>
  <c r="AJ73" i="1" a="1"/>
  <c r="AJ73" i="1" s="1"/>
  <c r="AJ72" i="1" a="1"/>
  <c r="AJ72" i="1" s="1"/>
  <c r="AJ71" i="1" a="1"/>
  <c r="AJ71" i="1" s="1"/>
  <c r="AJ70" i="1" a="1"/>
  <c r="AJ70" i="1" s="1"/>
  <c r="AJ69" i="1" a="1"/>
  <c r="AJ69" i="1" s="1"/>
  <c r="AJ68" i="1" a="1"/>
  <c r="AJ68" i="1" s="1"/>
  <c r="AJ67" i="1" a="1"/>
  <c r="AJ67" i="1" s="1"/>
  <c r="AJ66" i="1" a="1"/>
  <c r="AJ66" i="1" s="1"/>
  <c r="AJ65" i="1" a="1"/>
  <c r="AJ65" i="1" s="1"/>
  <c r="AJ64" i="1" a="1"/>
  <c r="AJ64" i="1" s="1"/>
  <c r="AJ63" i="1" a="1"/>
  <c r="AJ63" i="1" s="1"/>
  <c r="AJ62" i="1" a="1"/>
  <c r="AJ62" i="1" s="1"/>
  <c r="AJ61" i="1" a="1"/>
  <c r="AJ61" i="1" s="1"/>
  <c r="AJ60" i="1" a="1"/>
  <c r="AJ60" i="1" s="1"/>
  <c r="AJ59" i="1" a="1"/>
  <c r="AJ59" i="1" s="1"/>
  <c r="AJ58" i="1" a="1"/>
  <c r="AJ58" i="1" s="1"/>
  <c r="AJ57" i="1" a="1"/>
  <c r="AJ57" i="1" s="1"/>
  <c r="AJ56" i="1" a="1"/>
  <c r="AJ56" i="1" s="1"/>
  <c r="AJ55" i="1" a="1"/>
  <c r="AJ55" i="1" s="1"/>
  <c r="AJ54" i="1" a="1"/>
  <c r="AJ54" i="1" s="1"/>
  <c r="AJ53" i="1" a="1"/>
  <c r="AJ53" i="1" s="1"/>
  <c r="AJ52" i="1" a="1"/>
  <c r="AJ52" i="1" s="1"/>
  <c r="AJ51" i="1" a="1"/>
  <c r="AJ51" i="1" s="1"/>
  <c r="AJ50" i="1" a="1"/>
  <c r="AJ50" i="1" s="1"/>
  <c r="AJ49" i="1" a="1"/>
  <c r="AJ49" i="1" s="1"/>
  <c r="AJ48" i="1" a="1"/>
  <c r="AJ48" i="1" s="1"/>
  <c r="AJ47" i="1" a="1"/>
  <c r="AJ47" i="1" s="1"/>
  <c r="AJ46" i="1" a="1"/>
  <c r="AJ46" i="1" s="1"/>
  <c r="AJ45" i="1" a="1"/>
  <c r="AJ45" i="1" s="1"/>
  <c r="AJ44" i="1" a="1"/>
  <c r="AJ44" i="1" s="1"/>
  <c r="AJ43" i="1" a="1"/>
  <c r="AJ43" i="1" s="1"/>
  <c r="AJ42" i="1" a="1"/>
  <c r="AJ42" i="1" s="1"/>
  <c r="AJ41" i="1" a="1"/>
  <c r="AJ41" i="1" s="1"/>
  <c r="AJ40" i="1" a="1"/>
  <c r="AJ40" i="1" s="1"/>
  <c r="AJ39" i="1" a="1"/>
  <c r="AJ39" i="1" s="1"/>
  <c r="AJ38" i="1" a="1"/>
  <c r="AJ38" i="1" s="1"/>
  <c r="AJ37" i="1" a="1"/>
  <c r="AJ37" i="1" s="1"/>
  <c r="AJ36" i="1" a="1"/>
  <c r="AJ36" i="1" s="1"/>
  <c r="AJ35" i="1" a="1"/>
  <c r="AJ35" i="1" s="1"/>
  <c r="AJ34" i="1" a="1"/>
  <c r="AJ34" i="1" s="1"/>
  <c r="AJ33" i="1" a="1"/>
  <c r="AJ33" i="1" s="1"/>
  <c r="AJ32" i="1" a="1"/>
  <c r="AJ32" i="1" s="1"/>
  <c r="AJ31" i="1" a="1"/>
  <c r="AJ31" i="1" s="1"/>
  <c r="AJ30" i="1" a="1"/>
  <c r="AJ30" i="1" s="1"/>
  <c r="AJ29" i="1" a="1"/>
  <c r="AJ29" i="1" s="1"/>
  <c r="AJ28" i="1" a="1"/>
  <c r="AJ28" i="1" s="1"/>
  <c r="AJ27" i="1" a="1"/>
  <c r="AJ27" i="1" s="1"/>
  <c r="AJ26" i="1" a="1"/>
  <c r="AJ26" i="1" s="1"/>
  <c r="AJ25" i="1" a="1"/>
  <c r="AJ25" i="1" s="1"/>
  <c r="AJ24" i="1" a="1"/>
  <c r="AJ24" i="1" s="1"/>
  <c r="AJ23" i="1" a="1"/>
  <c r="AJ23" i="1" s="1"/>
  <c r="AJ22" i="1" a="1"/>
  <c r="AJ22" i="1" s="1"/>
  <c r="AJ21" i="1" a="1"/>
  <c r="AJ21" i="1" s="1"/>
  <c r="AJ20" i="1" a="1"/>
  <c r="AJ20" i="1" s="1"/>
  <c r="AJ19" i="1" a="1"/>
  <c r="AJ19" i="1" s="1"/>
  <c r="AJ18" i="1" a="1"/>
  <c r="AJ18" i="1" s="1"/>
  <c r="AJ17" i="1" a="1"/>
  <c r="AJ17" i="1" s="1"/>
  <c r="AJ16" i="1" a="1"/>
  <c r="AJ16" i="1" s="1"/>
  <c r="AJ15" i="1" a="1"/>
  <c r="AJ15" i="1" s="1"/>
  <c r="AJ14" i="1" a="1"/>
  <c r="AJ14" i="1" s="1"/>
  <c r="AJ13" i="1" a="1"/>
  <c r="AJ13" i="1" s="1"/>
  <c r="AJ12" i="1" a="1"/>
  <c r="AJ12" i="1" s="1"/>
  <c r="AJ11" i="1" a="1"/>
  <c r="AJ11" i="1" s="1"/>
  <c r="AJ10" i="1" a="1"/>
  <c r="AJ10" i="1" s="1"/>
  <c r="AJ9" i="1" a="1"/>
  <c r="AJ9" i="1" s="1"/>
  <c r="AJ8" i="1" a="1"/>
  <c r="AJ8" i="1" s="1"/>
  <c r="AJ7" i="1" a="1"/>
  <c r="AJ7" i="1" s="1"/>
  <c r="AJ6" i="1" a="1"/>
  <c r="AJ6" i="1" s="1"/>
  <c r="AJ5" i="1" a="1"/>
  <c r="AJ5" i="1" s="1"/>
  <c r="AJ4" i="1" a="1"/>
  <c r="AJ4" i="1" s="1"/>
  <c r="AJ3" i="1" a="1"/>
  <c r="AJ3" i="1" s="1"/>
  <c r="AJ2" i="1" a="1"/>
  <c r="AJ2" i="1" s="1"/>
  <c r="AK120" i="1"/>
  <c r="T114" i="1"/>
  <c r="T113" i="1"/>
  <c r="T97" i="1"/>
  <c r="T94" i="1"/>
  <c r="T80" i="1"/>
  <c r="T68" i="1"/>
  <c r="T57" i="1"/>
  <c r="T54" i="1"/>
  <c r="T43" i="1"/>
  <c r="T38" i="1"/>
  <c r="T17" i="1"/>
  <c r="T11" i="1"/>
  <c r="T6" i="1"/>
  <c r="E117" i="1"/>
  <c r="E116" i="1"/>
  <c r="V57" i="1"/>
  <c r="U57" i="1"/>
  <c r="U80" i="1"/>
  <c r="U114" i="1"/>
  <c r="V17" i="1"/>
  <c r="V68" i="1"/>
  <c r="U17" i="1"/>
  <c r="U54" i="1"/>
  <c r="V6" i="1"/>
  <c r="V11" i="1"/>
  <c r="U97" i="1"/>
  <c r="U6" i="1"/>
  <c r="V114" i="1"/>
  <c r="U94" i="1"/>
  <c r="V80" i="1"/>
  <c r="U38" i="1"/>
  <c r="U113" i="1"/>
  <c r="V94" i="1"/>
  <c r="V38" i="1"/>
  <c r="V43" i="1"/>
  <c r="V54" i="1"/>
  <c r="V97" i="1"/>
  <c r="V113" i="1"/>
  <c r="U68" i="1"/>
  <c r="U43" i="1"/>
  <c r="U11" i="1"/>
  <c r="AL120" i="1" l="1"/>
  <c r="AK121" i="1"/>
  <c r="AL119" i="1" l="1"/>
  <c r="AL121" i="1" s="1"/>
  <c r="E15" i="17" l="1"/>
  <c r="E12" i="17"/>
  <c r="E16"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tc={1295550F-18B4-4208-B229-3CC307F81BF3}</author>
    <author>tc={906783B8-8FDC-4437-9899-4595B5C2F718}</author>
  </authors>
  <commentList>
    <comment ref="B1" authorId="0" shapeId="0" xr:uid="{6104EF6B-4AD2-4EFC-9D5F-F38E0DFD3FAE}">
      <text>
        <r>
          <rPr>
            <b/>
            <sz val="9"/>
            <color indexed="81"/>
            <rFont val="Tahoma"/>
            <family val="2"/>
          </rPr>
          <t>Jonathan Wilken:</t>
        </r>
        <r>
          <rPr>
            <sz val="9"/>
            <color indexed="81"/>
            <rFont val="Tahoma"/>
            <family val="2"/>
          </rPr>
          <t xml:space="preserve">
Page.Column.line range of autograph reading</t>
        </r>
      </text>
    </comment>
    <comment ref="C1" authorId="0" shapeId="0" xr:uid="{D83461E1-D0BC-4AE8-9AF1-D6EF69CBB4B7}">
      <text>
        <r>
          <rPr>
            <b/>
            <sz val="9"/>
            <color indexed="81"/>
            <rFont val="Tahoma"/>
            <family val="2"/>
          </rPr>
          <t>Jonathan Wilken:</t>
        </r>
        <r>
          <rPr>
            <sz val="9"/>
            <color indexed="81"/>
            <rFont val="Tahoma"/>
            <family val="2"/>
          </rPr>
          <t xml:space="preserve">
Page.Column.line range of apograph reading</t>
        </r>
      </text>
    </comment>
    <comment ref="D1" authorId="0" shapeId="0" xr:uid="{27AADEAB-46D2-4816-AF18-0C5D0FC5EAE7}">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474F1E89-E526-4C93-B50F-8EEB5BC34E91}">
      <text>
        <r>
          <rPr>
            <b/>
            <sz val="9"/>
            <color indexed="81"/>
            <rFont val="Tahoma"/>
            <family val="2"/>
          </rPr>
          <t>Jonathan Wilken:</t>
        </r>
        <r>
          <rPr>
            <sz val="9"/>
            <color indexed="81"/>
            <rFont val="Tahoma"/>
            <family val="2"/>
          </rPr>
          <t xml:space="preserve">
Reading from apograph (i.e., younger copy)</t>
        </r>
      </text>
    </comment>
    <comment ref="F1" authorId="0" shapeId="0" xr:uid="{ED2FCDE9-AC17-477A-BB5D-AAE9D19109FA}">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F1BE123A-DC51-4109-A4E6-38D076C626B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F60858E4-F428-41CC-B7F7-D25463D36FB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FBE01EF-24B6-4A66-9DF4-375FC8242380}">
      <text>
        <r>
          <rPr>
            <b/>
            <sz val="9"/>
            <color indexed="81"/>
            <rFont val="Tahoma"/>
            <family val="2"/>
          </rPr>
          <t>Jonathan Wilken:</t>
        </r>
        <r>
          <rPr>
            <sz val="9"/>
            <color indexed="81"/>
            <rFont val="Tahoma"/>
            <family val="2"/>
          </rPr>
          <t xml:space="preserve">
Add, omit, transposition, substitution, combo</t>
        </r>
      </text>
    </comment>
    <comment ref="K1" authorId="0" shapeId="0" xr:uid="{E24FD131-D76B-466A-8874-841941CADBEF}">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F2895D40-B2BE-452E-823E-503F9FF3A11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31893B3B-B352-492F-9209-78D2A2DAFF4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8589E8C3-E5EB-48DB-BFE6-BE3A6ECAB85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06F2B24F-F6F0-4FD8-9A43-53EDCBAC622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BB2C7F10-89A9-4A44-8CA6-A0E0AB0741D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B1BDE666-0C1F-4970-AD42-B5660CF3819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C6B7B373-E38E-41C8-AD9F-C8F5486B2A3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F4CBD1E7-A26B-48CD-9AFC-1B4481FC71B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0A50DBE9-DC9A-4281-8E70-BCC99C8C527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1295550F-18B4-4208-B229-3CC307F81BF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906783B8-8FDC-4437-9899-4595B5C2F71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00B91FB4-AA25-4FD0-8F8D-86ACBF251DD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A2C2050D-38D4-49C7-AAD9-98C4713F689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AFDE9939-D6FA-4FE3-A207-DCB1206BF99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4853ADC9-3B3C-47C5-9FEA-A61A30B4A8F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640CF7AA-79EE-4810-A7CE-1D891ABE3E1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FD0854F2-A059-4740-9F17-06B52568F32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A4A09671-B847-4389-9F90-F44D56FAD58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tc={8656DBC0-9333-474A-A01E-BE62FF5E8AC5}</author>
    <author>tc={D85CA71F-7EA9-4B52-A4FF-63E8FA32310B}</author>
  </authors>
  <commentList>
    <comment ref="B1" authorId="0" shapeId="0" xr:uid="{8771A12A-281E-4EF5-8BEC-FB66552E97A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5CE6F53-9504-4B77-91B4-4A9030B17FE1}">
      <text>
        <r>
          <rPr>
            <b/>
            <sz val="9"/>
            <color indexed="81"/>
            <rFont val="Tahoma"/>
            <family val="2"/>
          </rPr>
          <t>Jonathan Wilken:</t>
        </r>
        <r>
          <rPr>
            <sz val="9"/>
            <color indexed="81"/>
            <rFont val="Tahoma"/>
            <family val="2"/>
          </rPr>
          <t xml:space="preserve">
Reading from apograph (i.e., younger copy)</t>
        </r>
      </text>
    </comment>
    <comment ref="D1" authorId="0" shapeId="0" xr:uid="{630F1B42-3287-42D1-825C-5E604CF473B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A97A065F-691C-41C9-AE1B-C42B5D3AAAD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3947B09-39C8-4332-940A-B13658AB9C7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FDB9E557-21E3-40DD-BBCA-5EC98BA3497C}">
      <text>
        <r>
          <rPr>
            <b/>
            <sz val="9"/>
            <color indexed="81"/>
            <rFont val="Tahoma"/>
            <family val="2"/>
          </rPr>
          <t>Jonathan Wilken:</t>
        </r>
        <r>
          <rPr>
            <sz val="9"/>
            <color indexed="81"/>
            <rFont val="Tahoma"/>
            <family val="2"/>
          </rPr>
          <t xml:space="preserve">
Add, omit, transposition, substitution, combo</t>
        </r>
      </text>
    </comment>
    <comment ref="H1" authorId="0" shapeId="0" xr:uid="{91BC79E9-497C-4FA8-B777-171F65DD124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69CA03F0-9E83-4F45-AA64-E7E469F3903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DD865153-C323-414D-ACF6-00D1DE00508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98D974F0-E650-434B-AB8D-8C30E0DF789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27787EB-8E0E-4CD7-874B-AB3B3644EFD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330F6BE9-E2FC-4E1B-9846-B06B8C5D4C2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758FA13-9F22-4917-B0CE-84C48B10210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D568EEA-8585-44C7-9CAB-F609CFD26D5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7F915DB6-C53D-40B7-B8D3-68C8AB9574E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799E99FB-56E1-4A48-A801-294FBEFFFD07}">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8656DBC0-9333-474A-A01E-BE62FF5E8AC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D85CA71F-7EA9-4B52-A4FF-63E8FA32310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D48749F6-F3B7-4919-BD15-65CDF44DD99D}">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01A01E29-024B-4178-B08C-034BA0232F5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DE5C3DDB-30AF-4528-B1FB-F95E49F7C7A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B697F4CB-C0CD-4C4F-B003-9ABC714FAB2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A7BEF697-B348-437E-8044-D27AD487F1A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42FB8370-B101-4BC8-BC03-99AB3A54C50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8CA741A-47D7-44D4-AC99-2AE5AF53961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tc={C7A238F4-6555-42D5-A07D-9E5F5E236FFE}</author>
    <author>tc={C3DC2A29-D3E9-41C8-9BCE-4716589D38A4}</author>
    <author>tc={A0C5AEA4-E287-4121-90D6-E5CD5A94C523}</author>
    <author>tc={7DF388AD-7D6A-4FD0-B12A-86457E3A9AC7}</author>
    <author>tc={67763217-6F84-40A9-B4B6-7C5CDABD5081}</author>
    <author>tc={F2679EB7-5DEA-4116-B248-298274655C2A}</author>
    <author>tc={459CD7D7-6F54-4B4D-9BDA-CC398D131284}</author>
    <author>tc={52258C89-60E5-423C-9EBC-0DF834B2E467}</author>
    <author>tc={4A3E83C3-73C0-4475-A34E-3E28023A5C11}</author>
    <author>tc={1BAF8408-7936-4613-8B4D-F9C84F1A485B}</author>
    <author>tc={F7BD53D5-4C2E-4307-84C0-DB07D3873B64}</author>
    <author>tc={83C4D338-B58C-4A73-9843-756D972F2AB2}</author>
    <author>tc={F6F00964-D42A-45E2-9842-D62D1170DE9A}</author>
    <author>tc={8A11F87A-C45F-4741-86D6-850B50DCEE04}</author>
    <author>tc={50003FFC-79BA-4419-9309-B5A96CCA0EA0}</author>
    <author>tc={04C4F110-5A33-4220-8377-B02E934B35F4}</author>
    <author>tc={B76551D4-DB92-43F9-B2E2-B6A2EB9BDB23}</author>
    <author>tc={2D357EEB-E8F3-40AB-95F7-9D1305680014}</author>
    <author>tc={D3164E85-4A9A-47E0-95F6-CD8DCCEF75A5}</author>
    <author>tc={C69F0086-E698-4985-9E60-04C9A171BE7C}</author>
    <author>tc={9810D138-89B2-492C-AB39-1BAC8E7CD8C4}</author>
    <author>tc={9CE5A9E7-A10D-4A88-9C28-B6CE673BBF77}</author>
    <author>tc={432184A7-8B60-4F3A-9ECB-23975EAA332E}</author>
    <author>tc={7E2D32E7-5600-4996-873E-20CE5B66179E}</author>
    <author>tc={C1D27EA9-E44C-46FC-BBC7-52D7431F832E}</author>
    <author>tc={D24040B0-D3F3-4424-8114-00998F87170D}</author>
    <author>tc={8F21D48E-87F2-44DE-8646-9DB096C9C716}</author>
    <author>tc={B39FD29C-2572-42D3-9DF2-A1DB2AE3BB52}</author>
    <author>tc={A77A4C98-C2AB-4F51-B3C6-B0578D673CC5}</author>
    <author>tc={7F2DC0B2-AAD3-41DA-9BBF-5DA6BFE0BEDE}</author>
    <author>tc={6EA326B3-601C-4132-A7A6-29A1F37CF10D}</author>
    <author>tc={02E40950-F296-4218-9AF8-5BF663CCF730}</author>
    <author>tc={31927EA5-37C1-40DA-B305-987256B0B274}</author>
    <author>tc={8D69A18E-68C8-42C8-9CC5-A661BA28FD8F}</author>
    <author>tc={38A842C6-6AFF-457F-99A9-D56B6ED76F94}</author>
    <author>tc={DCA1E499-4113-47A6-B956-D8CFFEBF0E34}</author>
    <author>tc={1A7A13DC-55AE-4202-871B-391E047420C2}</author>
    <author>tc={3633FF61-3D8E-46E7-A580-E48BFC6C04A5}</author>
    <author>tc={B51A34A0-D662-4154-98C1-70F6E71A6838}</author>
    <author>tc={F7ED4AE3-EE2D-4322-A83C-8EC24B3CCD7E}</author>
    <author>tc={62F28502-C264-4DC8-803E-45DF73F281E6}</author>
    <author>tc={59716150-9AC7-494B-8D50-D99FA4CC6E59}</author>
    <author>tc={45FDF59E-822A-4375-9578-5F1987F77971}</author>
    <author>tc={128EE70A-36CF-417F-84C3-909AEA9BD8F1}</author>
    <author>tc={DC95024B-1A7B-433B-8C30-A285987B89DB}</author>
  </authors>
  <commentList>
    <comment ref="B1" authorId="0" shapeId="0" xr:uid="{3B09A157-46E0-475C-B95F-DE9B90D7B6AA}">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7171207-FB8C-4B7F-9239-17F72E623AF1}">
      <text>
        <r>
          <rPr>
            <b/>
            <sz val="9"/>
            <color indexed="81"/>
            <rFont val="Tahoma"/>
            <family val="2"/>
          </rPr>
          <t>Jonathan Wilken:</t>
        </r>
        <r>
          <rPr>
            <sz val="9"/>
            <color indexed="81"/>
            <rFont val="Tahoma"/>
            <family val="2"/>
          </rPr>
          <t xml:space="preserve">
Reading from apograph (i.e., younger copy)</t>
        </r>
      </text>
    </comment>
    <comment ref="D1" authorId="0" shapeId="0" xr:uid="{4B099111-A6BB-426E-B660-6473B0AA1B3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135663E-FBBA-4283-8D3C-6FBC2AF660D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56E7C8EC-40C6-4C43-8527-70638944432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8DAC237-F52F-42BB-9C6F-4D47E49A8A0D}">
      <text>
        <r>
          <rPr>
            <b/>
            <sz val="9"/>
            <color indexed="81"/>
            <rFont val="Tahoma"/>
            <family val="2"/>
          </rPr>
          <t>Jonathan Wilken:</t>
        </r>
        <r>
          <rPr>
            <sz val="9"/>
            <color indexed="81"/>
            <rFont val="Tahoma"/>
            <family val="2"/>
          </rPr>
          <t xml:space="preserve">
Add, omit, transposition, substitution, combo</t>
        </r>
      </text>
    </comment>
    <comment ref="H1" authorId="0" shapeId="0" xr:uid="{4851CD40-E44D-4C89-B9D0-275F3432D2E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508F1C26-E4E6-4F89-AC11-C4786CE5F80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7B0958C0-23ED-4B0F-AD37-DF7642EC8DB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6A17BDB-818C-4C4A-B992-B3A2DE99C2AE}">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81C1CA4-079E-441C-8505-9C7EC61E1F2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BD47E8F-044E-41EE-AA95-E979A16B361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3476B90-1F14-4994-8B55-399A63EFC64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97462A4-8BD6-4CED-BEED-C2B83C5A7CB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3299D1BF-82A2-438D-9614-D700ED8003D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C7A238F4-6555-42D5-A07D-9E5F5E236FF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7C72F0DF-00EA-4DF6-8C28-CB6ECD8AAC5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C3DC2A29-D3E9-41C8-9BCE-4716589D38A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A0C5AEA4-E287-4121-90D6-E5CD5A94C52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FE138FC8-4B2E-4951-B149-54BE29220F2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7364E8C0-121B-494E-8034-0360727F8A8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84539F04-5956-48AE-863B-76F600612D5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750156C7-0E56-4BE7-B49B-B2910D2434B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D433D01A-C4C3-4697-BAC4-0C5B3CA77F8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7BE18449-F29C-4FFD-BD1E-59220152952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70CDA58A-9C9F-4F06-9410-B26322B5ACF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46" authorId="4" shapeId="0" xr:uid="{7DF388AD-7D6A-4FD0-B12A-86457E3A9AC7}">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47" authorId="5" shapeId="0" xr:uid="{67763217-6F84-40A9-B4B6-7C5CDABD5081}">
      <text>
        <t>[Threaded comment]
Your version of Excel allows you to read this threaded comment; however, any edits to it will get removed if the file is opened in a newer version of Excel. Learn more: https://go.microsoft.com/fwlink/?linkid=870924
Comment:
    "Low Meaning" words</t>
      </text>
    </comment>
    <comment ref="C47" authorId="6" shapeId="0" xr:uid="{F2679EB7-5DEA-4116-B248-298274655C2A}">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47" authorId="7" shapeId="0" xr:uid="{459CD7D7-6F54-4B4D-9BDA-CC398D131284}">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48" authorId="8" shapeId="0" xr:uid="{52258C89-60E5-423C-9EBC-0DF834B2E467}">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51" authorId="9" shapeId="0" xr:uid="{4A3E83C3-73C0-4475-A34E-3E28023A5C11}">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52" authorId="10" shapeId="0" xr:uid="{1BAF8408-7936-4613-8B4D-F9C84F1A485B}">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53" authorId="11" shapeId="0" xr:uid="{F7BD53D5-4C2E-4307-84C0-DB07D3873B64}">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56" authorId="12" shapeId="0" xr:uid="{83C4D338-B58C-4A73-9843-756D972F2AB2}">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57" authorId="13" shapeId="0" xr:uid="{F6F00964-D42A-45E2-9842-D62D1170DE9A}">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58" authorId="14" shapeId="0" xr:uid="{8A11F87A-C45F-4741-86D6-850B50DCEE04}">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64" authorId="15" shapeId="0" xr:uid="{50003FFC-79BA-4419-9309-B5A96CCA0EA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64" authorId="16" shapeId="0" xr:uid="{04C4F110-5A33-4220-8377-B02E934B35F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64" authorId="17" shapeId="0" xr:uid="{B76551D4-DB92-43F9-B2E2-B6A2EB9BDB23}">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65" authorId="18" shapeId="0" xr:uid="{2D357EEB-E8F3-40AB-95F7-9D130568001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65" authorId="19" shapeId="0" xr:uid="{D3164E85-4A9A-47E0-95F6-CD8DCCEF75A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65" authorId="20" shapeId="0" xr:uid="{C69F0086-E698-4985-9E60-04C9A171BE7C}">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66" authorId="21" shapeId="0" xr:uid="{9810D138-89B2-492C-AB39-1BAC8E7CD8C4}">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66" authorId="22" shapeId="0" xr:uid="{9CE5A9E7-A10D-4A88-9C28-B6CE673BBF77}">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66" authorId="23" shapeId="0" xr:uid="{432184A7-8B60-4F3A-9ECB-23975EAA332E}">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70" authorId="24" shapeId="0" xr:uid="{7E2D32E7-5600-4996-873E-20CE5B66179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70" authorId="25" shapeId="0" xr:uid="{C1D27EA9-E44C-46FC-BBC7-52D7431F832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71" authorId="26" shapeId="0" xr:uid="{D24040B0-D3F3-4424-8114-00998F87170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71" authorId="27" shapeId="0" xr:uid="{8F21D48E-87F2-44DE-8646-9DB096C9C71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76" authorId="28" shapeId="0" xr:uid="{B39FD29C-2572-42D3-9DF2-A1DB2AE3BB52}">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76" authorId="29" shapeId="0" xr:uid="{A77A4C98-C2AB-4F51-B3C6-B0578D673CC5}">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77" authorId="30" shapeId="0" xr:uid="{7F2DC0B2-AAD3-41DA-9BBF-5DA6BFE0BEDE}">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77" authorId="31" shapeId="0" xr:uid="{6EA326B3-601C-4132-A7A6-29A1F37CF10D}">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82" authorId="32" shapeId="0" xr:uid="{02E40950-F296-4218-9AF8-5BF663CCF730}">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82" authorId="33" shapeId="0" xr:uid="{31927EA5-37C1-40DA-B305-987256B0B274}">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82" authorId="34" shapeId="0" xr:uid="{8D69A18E-68C8-42C8-9CC5-A661BA28FD8F}">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83" authorId="35" shapeId="0" xr:uid="{38A842C6-6AFF-457F-99A9-D56B6ED76F94}">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83" authorId="36" shapeId="0" xr:uid="{DCA1E499-4113-47A6-B956-D8CFFEBF0E34}">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83" authorId="37" shapeId="0" xr:uid="{1A7A13DC-55AE-4202-871B-391E047420C2}">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84" authorId="38" shapeId="0" xr:uid="{3633FF61-3D8E-46E7-A580-E48BFC6C04A5}">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84" authorId="39" shapeId="0" xr:uid="{B51A34A0-D662-4154-98C1-70F6E71A6838}">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84" authorId="40" shapeId="0" xr:uid="{F7ED4AE3-EE2D-4322-A83C-8EC24B3CCD7E}">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87" authorId="41" shapeId="0" xr:uid="{62F28502-C264-4DC8-803E-45DF73F281E6}">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87" authorId="42" shapeId="0" xr:uid="{59716150-9AC7-494B-8D50-D99FA4CC6E59}">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87" authorId="43" shapeId="0" xr:uid="{45FDF59E-822A-4375-9578-5F1987F77971}">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87" authorId="44" shapeId="0" xr:uid="{128EE70A-36CF-417F-84C3-909AEA9BD8F1}">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95" authorId="45" shapeId="0" xr:uid="{DC95024B-1A7B-433B-8C30-A285987B89D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tc={40985946-8AAA-44F1-B106-51F71C93B5C9}</author>
    <author>tc={0D90EDC3-36A5-4667-B0CC-EB38EAB7332D}</author>
    <author>tc={A94C5A18-B195-4F1B-90D4-C7CD18962E32}</author>
    <author>tc={41076321-9D03-4D10-9681-5146619F95B0}</author>
    <author>tc={C0906B58-2C42-436F-92C8-D387F3CC33D1}</author>
    <author>tc={31271ADB-AB77-4A15-8377-1610425DA144}</author>
    <author>tc={88C06FF4-45EA-47C3-B5E6-61679BD9CF68}</author>
    <author>tc={56988C74-498F-4D23-A95B-520D1176FC3B}</author>
    <author>tc={39374EE6-8853-40BD-A89D-AB6E4AB9A28D}</author>
    <author>tc={0C91193C-9282-4EBD-B73A-97349316B8F5}</author>
    <author>tc={CE82762C-1067-496C-8452-6F9B74BD5635}</author>
    <author>tc={2D35D08D-AF80-49C9-8529-1BF08AE176BB}</author>
    <author>tc={98D0053C-03FD-4511-B88B-3E5357642C60}</author>
    <author>tc={C90383C7-1E54-4B18-963C-F0CC13E360BF}</author>
  </authors>
  <commentList>
    <comment ref="B1" authorId="0" shapeId="0" xr:uid="{085021A4-0807-4CA2-A7F3-5F885B77915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2E16C5F-EE58-4ACD-93BE-BDBAA4EB6428}">
      <text>
        <r>
          <rPr>
            <b/>
            <sz val="9"/>
            <color indexed="81"/>
            <rFont val="Tahoma"/>
            <family val="2"/>
          </rPr>
          <t>Jonathan Wilken:</t>
        </r>
        <r>
          <rPr>
            <sz val="9"/>
            <color indexed="81"/>
            <rFont val="Tahoma"/>
            <family val="2"/>
          </rPr>
          <t xml:space="preserve">
Reading from apograph (i.e., younger copy)</t>
        </r>
      </text>
    </comment>
    <comment ref="D1" authorId="0" shapeId="0" xr:uid="{ED4F86A6-4244-4C6C-96EF-97638326E030}">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75647EF-43A6-46C3-82F6-D7ADE32FEFD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0E840CB-341C-4CC1-8172-4F88645E07F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7D59E7C7-0F9D-4CD2-B3A3-99C93E0EB818}">
      <text>
        <r>
          <rPr>
            <b/>
            <sz val="9"/>
            <color indexed="81"/>
            <rFont val="Tahoma"/>
            <family val="2"/>
          </rPr>
          <t>Jonathan Wilken:</t>
        </r>
        <r>
          <rPr>
            <sz val="9"/>
            <color indexed="81"/>
            <rFont val="Tahoma"/>
            <family val="2"/>
          </rPr>
          <t xml:space="preserve">
Add, omit, transposition, substitution, combo</t>
        </r>
      </text>
    </comment>
    <comment ref="H1" authorId="0" shapeId="0" xr:uid="{E3E14C5D-2069-463D-8F5C-12175625FC50}">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00CF355B-630A-4246-8D48-109323A92D1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2F56C67-7F45-47FD-AC3A-6EE39C6E14D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DEF6C45-FF6F-4DE2-AA9A-79ADFB47CF0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72A3C1A9-8514-4351-BF5E-ED7742EDEA6E}">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2270C5C-2F33-43E3-821B-58BAD8D739F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78A17AA-8A44-41FC-9DA1-C9D213F79022}">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3D9A4A9-2455-434E-9FBC-277031C32877}">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7E2AE520-939D-4AFB-BA0A-40F486C83B61}">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40985946-8AAA-44F1-B106-51F71C93B5C9}">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CC117A24-C587-446B-A036-5FC7858C8055}">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0D90EDC3-36A5-4667-B0CC-EB38EAB7332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A94C5A18-B195-4F1B-90D4-C7CD18962E3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E51A3BEF-50C0-4173-BF4F-DD523381B98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EF645316-72D4-4645-9915-36A66BAB3BA7}">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BF57ED78-A400-4EBD-8F70-B38F9E2471A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345E99CE-C145-4AE5-AE65-ECCE95EED22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AB8EDC7A-1310-488B-8EF2-8FB199D1F5F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C317307A-262E-4AF9-B607-962087A9E8B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EB8F372B-F0F6-465C-B1BC-9F3B6AD4984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40" authorId="4" shapeId="0" xr:uid="{41076321-9D03-4D10-9681-5146619F95B0}">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41" authorId="5" shapeId="0" xr:uid="{C0906B58-2C42-436F-92C8-D387F3CC33D1}">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44" authorId="6" shapeId="0" xr:uid="{31271ADB-AB77-4A15-8377-1610425DA144}">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45" authorId="7" shapeId="0" xr:uid="{88C06FF4-45EA-47C3-B5E6-61679BD9CF68}">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46" authorId="8" shapeId="0" xr:uid="{56988C74-498F-4D23-A95B-520D1176FC3B}">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47" authorId="9" shapeId="0" xr:uid="{39374EE6-8853-40BD-A89D-AB6E4AB9A28D}">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48" authorId="10" shapeId="0" xr:uid="{0C91193C-9282-4EBD-B73A-97349316B8F5}">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49" authorId="11" shapeId="0" xr:uid="{CE82762C-1067-496C-8452-6F9B74BD5635}">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52" authorId="12" shapeId="0" xr:uid="{2D35D08D-AF80-49C9-8529-1BF08AE176BB}">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53" authorId="13" shapeId="0" xr:uid="{98D0053C-03FD-4511-B88B-3E5357642C60}">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54" authorId="14" shapeId="0" xr:uid="{C90383C7-1E54-4B18-963C-F0CC13E360BF}">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tc={E6D50A38-542C-44BA-A219-0EF71D61EC55}</author>
    <author>tc={E0FB622C-68DA-412D-B5A9-B66346EBB9B5}</author>
    <author>tc={3A50490D-6FAA-4499-B122-046D61CD0A39}</author>
    <author>tc={845C4C18-E06C-4C9D-B19B-97D5F913C3A2}</author>
    <author>tc={9A1FABF7-C10C-4AB0-B46A-E7534CFC49D0}</author>
    <author>tc={73E51AB7-C409-44D7-94DC-668E90D103C2}</author>
    <author>tc={9BD4B099-63ED-4395-983C-DF1FA6127B65}</author>
    <author>tc={B0AEF4CA-81E3-4CC4-A10C-87E56A0A8583}</author>
    <author>tc={EAA39BE9-B8EF-42AB-9D1D-024416597F6B}</author>
    <author>tc={C92BC8E2-04F0-4B95-82A1-882BF359440F}</author>
    <author>tc={67F2CFBF-F53B-4A04-9415-D1F5B6BAB187}</author>
    <author>tc={C14B06A9-D1F6-4DD7-A504-94177752CBD7}</author>
  </authors>
  <commentList>
    <comment ref="B1" authorId="0" shapeId="0" xr:uid="{B946580F-4C92-43C9-9089-1BF61CC5D9B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B8307B6-9D2E-40DC-BAFB-921991378424}">
      <text>
        <r>
          <rPr>
            <b/>
            <sz val="9"/>
            <color indexed="81"/>
            <rFont val="Tahoma"/>
            <family val="2"/>
          </rPr>
          <t>Jonathan Wilken:</t>
        </r>
        <r>
          <rPr>
            <sz val="9"/>
            <color indexed="81"/>
            <rFont val="Tahoma"/>
            <family val="2"/>
          </rPr>
          <t xml:space="preserve">
Reading from apograph (i.e., younger copy)</t>
        </r>
      </text>
    </comment>
    <comment ref="D1" authorId="0" shapeId="0" xr:uid="{AA27062F-8E4E-4515-97C5-C3F5D39A9FC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147CE89C-C405-4011-B6A3-87B59C440EB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730EE75-DBF8-49C2-87EA-AF7356969F7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024BC26-B0EE-45AD-801A-4367444C6579}">
      <text>
        <r>
          <rPr>
            <b/>
            <sz val="9"/>
            <color indexed="81"/>
            <rFont val="Tahoma"/>
            <family val="2"/>
          </rPr>
          <t>Jonathan Wilken:</t>
        </r>
        <r>
          <rPr>
            <sz val="9"/>
            <color indexed="81"/>
            <rFont val="Tahoma"/>
            <family val="2"/>
          </rPr>
          <t xml:space="preserve">
Add, omit, transposition, substitution, combo</t>
        </r>
      </text>
    </comment>
    <comment ref="H1" authorId="0" shapeId="0" xr:uid="{D97ABA93-B44B-44DD-A657-B9409E4E8C3D}">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882075A-0E6E-4BCA-8A28-B815CE662D4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88E70F8-C218-40BE-8109-9EB3B5E8506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AFECBDEC-E925-481B-B08F-12D0CD8AB7D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95817107-9D98-419D-A9FC-87A55057EDCA}">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126A82A-DA11-47AC-BFD9-50AAF0A7E6F4}">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98A26CB-461A-4B07-BE11-DC9C26B09E88}">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13051BB-2202-4CFA-A42B-FA2220E9F54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FCE2C666-D8D6-4AF7-87F4-E46E53D0FCD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E6D50A38-542C-44BA-A219-0EF71D61EC55}">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022D363-50C8-4B58-852B-AEC8CFFDEEA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E0FB622C-68DA-412D-B5A9-B66346EBB9B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3A50490D-6FAA-4499-B122-046D61CD0A3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733739EB-EF56-4C20-86E9-B9AC2D63701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758AE580-0DDB-4738-B902-4E95521E7B8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B49D1AC2-D2B9-4B58-AFF2-245C3CC2E29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BB794092-F1B3-408C-ACF5-0EAB8677A7C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85DDABA5-1896-46D0-B24A-65F5FA9D947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300AEC32-1875-4650-B27F-4E6488A40AA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3D51161F-246B-4C2D-B11D-160F01DEBCB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8" authorId="4" shapeId="0" xr:uid="{845C4C18-E06C-4C9D-B19B-97D5F913C3A2}">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9" authorId="5" shapeId="0" xr:uid="{9A1FABF7-C10C-4AB0-B46A-E7534CFC49D0}">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2" authorId="6" shapeId="0" xr:uid="{73E51AB7-C409-44D7-94DC-668E90D103C2}">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3" authorId="7" shapeId="0" xr:uid="{9BD4B099-63ED-4395-983C-DF1FA6127B65}">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4" authorId="8" shapeId="0" xr:uid="{B0AEF4CA-81E3-4CC4-A10C-87E56A0A8583}">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5" authorId="9" shapeId="0" xr:uid="{EAA39BE9-B8EF-42AB-9D1D-024416597F6B}">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6" authorId="10" shapeId="0" xr:uid="{C92BC8E2-04F0-4B95-82A1-882BF359440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7" authorId="11" shapeId="0" xr:uid="{67F2CFBF-F53B-4A04-9415-D1F5B6BAB187}">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8" authorId="12" shapeId="0" xr:uid="{C14B06A9-D1F6-4DD7-A504-94177752CBD7}">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tc={5DEEB9F5-2367-4DFD-B6E2-DA0E02D66663}</author>
    <author>tc={23D568AF-4C88-4C47-9258-97710A5F5B2A}</author>
    <author>tc={9BB9E5C8-B75E-4052-AD5B-E1AD17B5C881}</author>
    <author>tc={B4DE25A9-0AFB-4D20-864E-65AEB1600F70}</author>
    <author>tc={B9436083-1C6D-455F-A7C5-7A374E8927C1}</author>
    <author>tc={DA5FD98A-29BA-4713-9484-36C7ED7F1294}</author>
    <author>tc={A17B52C0-BC2C-4C41-B690-1441E1DC23E2}</author>
    <author>tc={425FDAD5-7727-4F12-AE64-387F1EB11E43}</author>
    <author>tc={08F41B84-B474-4203-8F54-D41745875986}</author>
    <author>tc={90EFFFD6-735C-48E5-B2C6-3EC10C13CF7D}</author>
    <author>tc={96277455-95C8-4A6B-9C92-77518836092F}</author>
    <author>tc={1119B9CA-6727-4D82-967A-F0A3CA5AE3E2}</author>
    <author>tc={915388AA-0541-47E7-B9A7-EE023F17F7CF}</author>
    <author>tc={12782F10-AACC-4D39-830D-97753BB4816A}</author>
    <author>tc={4FEAA160-9845-4D51-AAD2-A6034B9E4BBD}</author>
  </authors>
  <commentList>
    <comment ref="B1" authorId="0" shapeId="0" xr:uid="{508EE0E7-84CE-412B-9069-4AC40778699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356BC4F0-E849-4451-AEED-EECD2730A043}">
      <text>
        <r>
          <rPr>
            <b/>
            <sz val="9"/>
            <color indexed="81"/>
            <rFont val="Tahoma"/>
            <family val="2"/>
          </rPr>
          <t>Jonathan Wilken:</t>
        </r>
        <r>
          <rPr>
            <sz val="9"/>
            <color indexed="81"/>
            <rFont val="Tahoma"/>
            <family val="2"/>
          </rPr>
          <t xml:space="preserve">
Reading from apograph (i.e., younger copy)</t>
        </r>
      </text>
    </comment>
    <comment ref="D1" authorId="0" shapeId="0" xr:uid="{D55EAE7D-B52B-473B-9EEE-5AF04BB46A2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A6120E4-2E04-4135-A386-621C728E835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EAC06BF-EF44-4B96-941E-A28A094D30B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F55D5FC-C3DA-474B-9837-25B67F9A7653}">
      <text>
        <r>
          <rPr>
            <b/>
            <sz val="9"/>
            <color indexed="81"/>
            <rFont val="Tahoma"/>
            <family val="2"/>
          </rPr>
          <t>Jonathan Wilken:</t>
        </r>
        <r>
          <rPr>
            <sz val="9"/>
            <color indexed="81"/>
            <rFont val="Tahoma"/>
            <family val="2"/>
          </rPr>
          <t xml:space="preserve">
Add, omit, transposition, substitution, combo</t>
        </r>
      </text>
    </comment>
    <comment ref="H1" authorId="0" shapeId="0" xr:uid="{77596759-E50F-4AF1-A847-51F6541F8493}">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47B18EA-CB4C-4CFB-BE9D-36D54E460FF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89EE425F-E2D3-4CD1-BA80-9C2C77FFE73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BA3CC93-C39F-4843-B2AB-B1B5E4A9E5C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96962839-A2B7-460A-827F-316A732F9F9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B241D758-422C-4D4C-BDAF-4A2F1213D6F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3659B58-25D8-4C7E-9AD7-F4348B19013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6208BE4-7D2D-42C0-8172-813498AA5FBB}">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02BD807-FF9A-40BB-962E-EE1C72C10512}">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EFF73677-32E7-4A77-9AEA-1E1A83F6F78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DEEB9F5-2367-4DFD-B6E2-DA0E02D6666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23D568AF-4C88-4C47-9258-97710A5F5B2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9BB9E5C8-B75E-4052-AD5B-E1AD17B5C881}">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B4DE25A9-0AFB-4D20-864E-65AEB1600F70}">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B9436083-1C6D-455F-A7C5-7A374E8927C1}">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6A66281A-7785-47E6-8E51-9DA2C9F9568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BF6CD8BD-C3D2-44D4-B35F-769F19BACCA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16BA038F-5910-4524-9CAF-A28F78F5209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2DB25C11-63B1-43F7-8CEC-3AADB165F175}">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5940FF68-A064-4306-91A5-968939A3CAA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3F76C19C-FC15-4444-99B0-A2549068C3B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B68B8110-FCA4-4B50-A569-03601CE437F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4" authorId="6" shapeId="0" xr:uid="{DA5FD98A-29BA-4713-9484-36C7ED7F129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7" authorId="7" shapeId="0" xr:uid="{A17B52C0-BC2C-4C41-B690-1441E1DC23E2}">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8" authorId="8" shapeId="0" xr:uid="{425FDAD5-7727-4F12-AE64-387F1EB11E43}">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9" authorId="9" shapeId="0" xr:uid="{08F41B84-B474-4203-8F54-D41745875986}">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1" authorId="10" shapeId="0" xr:uid="{90EFFFD6-735C-48E5-B2C6-3EC10C13CF7D}">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2" authorId="11" shapeId="0" xr:uid="{96277455-95C8-4A6B-9C92-77518836092F}">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5" authorId="12" shapeId="0" xr:uid="{1119B9CA-6727-4D82-967A-F0A3CA5AE3E2}">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26" authorId="13" shapeId="0" xr:uid="{915388AA-0541-47E7-B9A7-EE023F17F7CF}">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29" authorId="14" shapeId="0" xr:uid="{12782F10-AACC-4D39-830D-97753BB4816A}">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0" authorId="15" shapeId="0" xr:uid="{4FEAA160-9845-4D51-AAD2-A6034B9E4BBD}">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tc={85AA4C45-32AC-4A1C-B038-4EB0B4C98768}</author>
    <author>tc={62770A04-36ED-4C62-A783-083CF8F464A3}</author>
    <author>tc={40BA1C46-D4FA-48E4-AC15-E2EEAF6EB295}</author>
    <author>tc={23BFB271-F88E-4353-BA05-D7370260B9D2}</author>
    <author>tc={0AD6D9F9-2F1D-44BE-A953-FBE9B8E07C12}</author>
    <author>tc={ED08F7F9-1454-4A27-8E33-0D39A1CDAA02}</author>
    <author>tc={0AF28895-093D-4DC8-A63F-A8A5D20CF2B3}</author>
    <author>tc={3974ECD3-1AA7-4B3E-80B0-1A60B8E1FB87}</author>
    <author>tc={AD3C4D56-9A0A-4345-8005-6EA35E72C7A6}</author>
    <author>tc={97DB7EF9-2486-4788-9B63-6F2F6CB3C1B9}</author>
    <author>tc={AC9053CF-3511-46F8-956C-335082D56E88}</author>
    <author>tc={68D9F6CF-BCFD-4577-9BE7-71C6F178CB12}</author>
  </authors>
  <commentList>
    <comment ref="B1" authorId="0" shapeId="0" xr:uid="{9B5C5FCE-24E5-4C07-87B2-DF43D673457F}">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09445C2-52B2-4E55-B676-806FE435CDDF}">
      <text>
        <r>
          <rPr>
            <b/>
            <sz val="9"/>
            <color indexed="81"/>
            <rFont val="Tahoma"/>
            <family val="2"/>
          </rPr>
          <t>Jonathan Wilken:</t>
        </r>
        <r>
          <rPr>
            <sz val="9"/>
            <color indexed="81"/>
            <rFont val="Tahoma"/>
            <family val="2"/>
          </rPr>
          <t xml:space="preserve">
Reading from apograph (i.e., younger copy)</t>
        </r>
      </text>
    </comment>
    <comment ref="D1" authorId="0" shapeId="0" xr:uid="{EAEE2891-3E38-48DD-86C1-6C700560D36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A370FBFF-8F0A-41DF-86CB-0D518FD68B17}">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CF5181B-D36C-4E69-BD79-1B5E23D1D54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82EC710E-8E37-4CE1-A2D2-AAD627651F85}">
      <text>
        <r>
          <rPr>
            <b/>
            <sz val="9"/>
            <color indexed="81"/>
            <rFont val="Tahoma"/>
            <family val="2"/>
          </rPr>
          <t>Jonathan Wilken:</t>
        </r>
        <r>
          <rPr>
            <sz val="9"/>
            <color indexed="81"/>
            <rFont val="Tahoma"/>
            <family val="2"/>
          </rPr>
          <t xml:space="preserve">
Add, omit, transposition, substitution, combo</t>
        </r>
      </text>
    </comment>
    <comment ref="I1" authorId="0" shapeId="0" xr:uid="{5D8D224F-35F5-43E1-B501-AD3A2F10A95F}">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FB722A27-5FA3-4956-9D11-D01A193646E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3AF15E60-2BF5-4D0F-9383-E5647211CC7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FAF12C82-619C-4EBC-80C4-30D87E0A7AD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061B9E25-760D-46C3-BC7F-21BAB60EE2E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1A9BEAD9-8F37-4955-A7F3-B14421D4B3D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DF73768A-72A1-430C-9175-DECD53E26CD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45996016-3003-4EFC-A263-8CE7482EBB4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5B02C82C-CE2F-4A64-B59E-B86206A534C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5BA7CBB9-0405-4D71-BDE8-B5DDDB14A28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85AA4C45-32AC-4A1C-B038-4EB0B4C9876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62770A04-36ED-4C62-A783-083CF8F464A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A2550B7D-ADA8-43ED-A3E5-60D829F249D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6ADCD08D-845B-47F3-B298-29BEB8B2D3F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4B655A68-77C2-4560-9EAF-47782555D6D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769FF9A5-4288-469C-A839-434E67C8824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7EA34E82-A41B-4B07-8303-E1DE378F26D3}">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EDBE7777-3BA0-4C5B-BC77-4438DCFA980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07BD5970-A660-4292-AB06-66E2FA46AF26}">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3" shapeId="0" xr:uid="{40BA1C46-D4FA-48E4-AC15-E2EEAF6EB295}">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6" authorId="4" shapeId="0" xr:uid="{23BFB271-F88E-4353-BA05-D7370260B9D2}">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 authorId="5" shapeId="0" xr:uid="{0AD6D9F9-2F1D-44BE-A953-FBE9B8E07C12}">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1" authorId="6" shapeId="0" xr:uid="{ED08F7F9-1454-4A27-8E33-0D39A1CDAA02}">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F11" authorId="7" shapeId="0" xr:uid="{0AF28895-093D-4DC8-A63F-A8A5D20CF2B3}">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G11" authorId="8" shapeId="0" xr:uid="{3974ECD3-1AA7-4B3E-80B0-1A60B8E1FB87}">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H11" authorId="9" shapeId="0" xr:uid="{AD3C4D56-9A0A-4345-8005-6EA35E72C7A6}">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2" authorId="10" shapeId="0" xr:uid="{97DB7EF9-2486-4788-9B63-6F2F6CB3C1B9}">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3" authorId="11" shapeId="0" xr:uid="{AC9053CF-3511-46F8-956C-335082D56E88}">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4" authorId="12" shapeId="0" xr:uid="{68D9F6CF-BCFD-4577-9BE7-71C6F178CB12}">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tc={9C3AC299-3484-4B71-BB78-75E4FEF34C58}</author>
    <author>tc={561B561B-6F62-4297-BCEF-CBABAB40B73C}</author>
  </authors>
  <commentList>
    <comment ref="B1" authorId="0" shapeId="0" xr:uid="{0234568D-3552-4975-8B4E-3031219DF5B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379EF54-A34D-43BF-8D40-6DB64ABA245B}">
      <text>
        <r>
          <rPr>
            <b/>
            <sz val="9"/>
            <color indexed="81"/>
            <rFont val="Tahoma"/>
            <family val="2"/>
          </rPr>
          <t>Jonathan Wilken:</t>
        </r>
        <r>
          <rPr>
            <sz val="9"/>
            <color indexed="81"/>
            <rFont val="Tahoma"/>
            <family val="2"/>
          </rPr>
          <t xml:space="preserve">
Reading from apograph (i.e., younger copy)</t>
        </r>
      </text>
    </comment>
    <comment ref="D1" authorId="0" shapeId="0" xr:uid="{13AEC809-1851-43F1-9787-6AD13C7F372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0B26064-ADA8-4A32-B000-C5F0C833637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5D9364E-EB64-4EF5-8A7E-3D7D840B95C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0AFF299C-1887-4A9A-9C62-B640CA06D561}">
      <text>
        <r>
          <rPr>
            <b/>
            <sz val="9"/>
            <color indexed="81"/>
            <rFont val="Tahoma"/>
            <family val="2"/>
          </rPr>
          <t>Jonathan Wilken:</t>
        </r>
        <r>
          <rPr>
            <sz val="9"/>
            <color indexed="81"/>
            <rFont val="Tahoma"/>
            <family val="2"/>
          </rPr>
          <t xml:space="preserve">
Add, omit, transposition, substitution, combo</t>
        </r>
      </text>
    </comment>
    <comment ref="H1" authorId="0" shapeId="0" xr:uid="{AE91B08F-9610-4DDE-983B-B95541CA1AA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C81B872-333C-4BF5-9146-7F6F5635E71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3C5636C9-B3F3-409D-BF05-7A118741E83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AE2AB2B7-DFCA-4053-A66F-8A9AD6D8727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D35E472-DECD-4E59-9A2F-442FFBE8654F}">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4A1BD7B6-8372-433E-ABB3-1A3916D1EC5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BEC65C36-FB0E-4E9C-BC81-6965CEE01821}">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3C3A805-2737-4F38-84ED-CD96CAE62E9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FE28558A-7225-42E7-A19A-447213C481E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296CA7E-7D5B-4449-9DF7-1069175B6C3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9C3AC299-3484-4B71-BB78-75E4FEF34C5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561B561B-6F62-4297-BCEF-CBABAB40B73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6A94949D-7F19-49C9-B6C7-EEB172C615CD}">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8D8AF07A-4FB7-4969-92EE-89700276DD2D}">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0600AEA9-32FD-4F93-A13F-E0AD29CB8FE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6D551B01-E461-4B48-AB15-181A1FF343B0}">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22274F46-D60A-43C5-A3BF-BFEAF8C90B73}">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53A44BCD-3D9C-4593-86CF-939AEF6958A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9E8B7260-5099-4C7F-A1F8-ED939D21522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tc={B2A29070-278A-4D3F-8F5A-00B938027A95}</author>
    <author>tc={B0648072-91E8-4FE4-A89E-68720C38AA2E}</author>
    <author>tc={7F773ACE-231F-4BC4-8B24-0312CE6A9363}</author>
    <author>tc={23BBE514-BB88-4D01-9D78-2765C81E441E}</author>
    <author>tc={3C1966DF-3BA0-466E-A0CB-BD1D245BF9BD}</author>
    <author>tc={E31EC728-5B9C-4F5C-846D-E68114CFE8B8}</author>
    <author>tc={1C0DE799-BCD9-4F5D-9790-F546F5952941}</author>
    <author>tc={0184449C-E3B0-48DA-BE6D-CB0C0F758DEE}</author>
    <author>tc={6777854F-30AA-4D22-94DC-37C1811F5D67}</author>
    <author>tc={AA3B34B0-E0E3-4FDE-BF1D-16512B5F7355}</author>
    <author>tc={AFB598AE-C6C7-4055-A0EB-A208D52F29EA}</author>
    <author>tc={831439A3-7714-43F3-B241-2F4820892EF1}</author>
    <author>tc={091A1B2A-3D35-482A-815D-CBACFDD96BF3}</author>
    <author>tc={CCE3DA2D-0193-441A-8D6D-B080E9003015}</author>
    <author>tc={3DAED7DE-1AC7-48AF-9214-B42E71B3E5EE}</author>
    <author>tc={83598833-AB13-40F7-A381-A9AE69F866D0}</author>
    <author>tc={E9A58B1E-08A0-40E5-B9BD-219ED90502AA}</author>
    <author>tc={AC43DFAB-B73A-42C2-B4B4-614AE8C0A33D}</author>
    <author>tc={A3413DF0-96E7-4E95-A22F-7B7BC8E50633}</author>
    <author>tc={53D45101-ED6A-4333-905A-7698BC7F3C7A}</author>
    <author>tc={CDEFF3B4-1EBA-4736-B698-9E0EF674B7B9}</author>
    <author>tc={595AFD6B-67CF-451C-B8AD-BCF08F07A72E}</author>
    <author>tc={24DE2804-2679-408C-915C-10DEFA4CC191}</author>
    <author>tc={DC2AFEB1-8B6F-47E7-9821-6E8D87B11A4B}</author>
    <author>tc={2C484BA6-1AFB-43A6-AF52-A6C57883282D}</author>
    <author>tc={6F1471E9-8466-463B-AE41-523A8F3E95D9}</author>
    <author>tc={9A8E3A60-66DC-45C7-89FB-416C7CD8F8A7}</author>
    <author>tc={0D11DF7E-36B9-4C4B-B158-CEFECFEA0EB7}</author>
    <author>tc={4BA0A7B4-B994-4139-BEDF-B6FD21FFF529}</author>
    <author>tc={F4A6BBCC-CF63-45F7-B88D-D4E08EC9B9C6}</author>
    <author>tc={B478EF87-643D-4150-8A9F-3423590A24CD}</author>
    <author>tc={5B320420-1584-4E0A-8A77-A90635757443}</author>
    <author>tc={8D0B90E2-25D6-4B5F-8EA0-3267C54BC049}</author>
    <author>tc={FBB4BA68-BC1D-41CC-90F1-ACD432577D86}</author>
    <author>tc={ADBC29EF-E532-4AAE-96A7-3AEDD14A44DA}</author>
    <author>tc={B22C5A75-E0CB-4EFF-B9B9-020DD1580140}</author>
    <author>tc={62AE258C-0F58-4954-9235-3ED1B25F3A06}</author>
    <author>tc={4C2CFD85-C74A-4400-80BE-24E50429D914}</author>
    <author>tc={BAC68385-2161-40EE-928D-456373584B96}</author>
    <author>tc={0BB06ACB-8194-4AC9-9E1A-1CFD8C0729AA}</author>
    <author>tc={700EE5E9-AEB9-42C3-AA94-07D02F59FB0B}</author>
    <author>tc={D8746F60-4A10-4EA3-887D-B9F047BC433E}</author>
    <author>tc={AD1354D4-D169-42AC-89C2-D882C3AFD6DA}</author>
    <author>tc={935DA078-07EE-4F64-929E-143AEB3AE4BC}</author>
    <author>tc={FB1B08E2-7BD8-4CC9-A06A-6EA233DEDFA7}</author>
  </authors>
  <commentList>
    <comment ref="B1" authorId="0" shapeId="0" xr:uid="{85ADC5B9-1709-49EC-BBE0-D746C1F316D8}">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128C8AA-42C4-491A-B404-3AEA9636C57D}">
      <text>
        <r>
          <rPr>
            <b/>
            <sz val="9"/>
            <color indexed="81"/>
            <rFont val="Tahoma"/>
            <family val="2"/>
          </rPr>
          <t>Jonathan Wilken:</t>
        </r>
        <r>
          <rPr>
            <sz val="9"/>
            <color indexed="81"/>
            <rFont val="Tahoma"/>
            <family val="2"/>
          </rPr>
          <t xml:space="preserve">
Reading from apograph (i.e., younger copy)</t>
        </r>
      </text>
    </comment>
    <comment ref="D1" authorId="0" shapeId="0" xr:uid="{C525007D-568A-4770-8670-18CA40575E8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80EFB96-3305-4C92-825C-33A38CED806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E7F33A1-938B-4856-938E-13F4AE6D2B3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E13E7A3-CCA6-473D-A0F8-EAE5EB63D5EB}">
      <text>
        <r>
          <rPr>
            <b/>
            <sz val="9"/>
            <color indexed="81"/>
            <rFont val="Tahoma"/>
            <family val="2"/>
          </rPr>
          <t>Jonathan Wilken:</t>
        </r>
        <r>
          <rPr>
            <sz val="9"/>
            <color indexed="81"/>
            <rFont val="Tahoma"/>
            <family val="2"/>
          </rPr>
          <t xml:space="preserve">
Add, omit, transposition, substitution, combo</t>
        </r>
      </text>
    </comment>
    <comment ref="H1" authorId="0" shapeId="0" xr:uid="{23712459-C030-4F53-9331-26A489C2100A}">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5441569-E2BD-403E-A040-C9B9941514D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0BBF00C8-3C3F-4A9A-B935-F23B50FE749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C069308-B438-4254-AA7F-EE49703D7DC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6FFA628B-0B69-49AC-AABB-58781199A4B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22D4CF05-2D19-4846-B4B9-1E56EAE3376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6E04144-BDE3-4037-9412-8E391381C7E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2114292-D1BB-4CCD-8554-4229360372A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6BC04EB-671D-443E-B875-A37CC7AA78A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B2A29070-278A-4D3F-8F5A-00B938027A95}">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EAF6948B-C2F6-48F8-8255-505DB353A89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B0648072-91E8-4FE4-A89E-68720C38AA2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7F773ACE-231F-4BC4-8B24-0312CE6A936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95CCF68-C69F-4E65-9C17-504BF617AAC8}">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8DD45C7B-3E3F-49A5-BE73-AF2470EC08A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9F5A8603-A77E-453D-BE5C-39493D84B00E}">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DF13B2E6-6ED4-420F-97A3-A047D9F4C29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CC145117-4AB9-4114-8E66-F0BED42EEA7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583ED01D-F4F2-4A49-9A92-1F36C776C9A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42E44958-9689-44D0-95B1-CBD91D8E906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24" authorId="4" shapeId="0" xr:uid="{23BBE514-BB88-4D01-9D78-2765C81E441E}">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25" authorId="5" shapeId="0" xr:uid="{3C1966DF-3BA0-466E-A0CB-BD1D245BF9BD}">
      <text>
        <t>[Threaded comment]
Your version of Excel allows you to read this threaded comment; however, any edits to it will get removed if the file is opened in a newer version of Excel. Learn more: https://go.microsoft.com/fwlink/?linkid=870924
Comment:
    "Low Meaning" words</t>
      </text>
    </comment>
    <comment ref="C25" authorId="6" shapeId="0" xr:uid="{E31EC728-5B9C-4F5C-846D-E68114CFE8B8}">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25" authorId="7" shapeId="0" xr:uid="{1C0DE799-BCD9-4F5D-9790-F546F5952941}">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26" authorId="8" shapeId="0" xr:uid="{0184449C-E3B0-48DA-BE6D-CB0C0F758DEE}">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29" authorId="9" shapeId="0" xr:uid="{6777854F-30AA-4D22-94DC-37C1811F5D67}">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30" authorId="10" shapeId="0" xr:uid="{AA3B34B0-E0E3-4FDE-BF1D-16512B5F7355}">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31" authorId="11" shapeId="0" xr:uid="{AFB598AE-C6C7-4055-A0EB-A208D52F29EA}">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34" authorId="12" shapeId="0" xr:uid="{831439A3-7714-43F3-B241-2F4820892EF1}">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35" authorId="13" shapeId="0" xr:uid="{091A1B2A-3D35-482A-815D-CBACFDD96BF3}">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36" authorId="14" shapeId="0" xr:uid="{CCE3DA2D-0193-441A-8D6D-B080E9003015}">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42" authorId="15" shapeId="0" xr:uid="{3DAED7DE-1AC7-48AF-9214-B42E71B3E5E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2" authorId="16" shapeId="0" xr:uid="{83598833-AB13-40F7-A381-A9AE69F866D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42" authorId="17" shapeId="0" xr:uid="{E9A58B1E-08A0-40E5-B9BD-219ED90502A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43" authorId="18" shapeId="0" xr:uid="{AC43DFAB-B73A-42C2-B4B4-614AE8C0A33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43" authorId="19" shapeId="0" xr:uid="{A3413DF0-96E7-4E95-A22F-7B7BC8E5063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43" authorId="20" shapeId="0" xr:uid="{53D45101-ED6A-4333-905A-7698BC7F3C7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44" authorId="21" shapeId="0" xr:uid="{CDEFF3B4-1EBA-4736-B698-9E0EF674B7B9}">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44" authorId="22" shapeId="0" xr:uid="{595AFD6B-67CF-451C-B8AD-BCF08F07A72E}">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44" authorId="23" shapeId="0" xr:uid="{24DE2804-2679-408C-915C-10DEFA4CC191}">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48" authorId="24" shapeId="0" xr:uid="{DC2AFEB1-8B6F-47E7-9821-6E8D87B11A4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48" authorId="25" shapeId="0" xr:uid="{2C484BA6-1AFB-43A6-AF52-A6C57883282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49" authorId="26" shapeId="0" xr:uid="{6F1471E9-8466-463B-AE41-523A8F3E95D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9" authorId="27" shapeId="0" xr:uid="{9A8E3A60-66DC-45C7-89FB-416C7CD8F8A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54" authorId="28" shapeId="0" xr:uid="{0D11DF7E-36B9-4C4B-B158-CEFECFEA0EB7}">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54" authorId="29" shapeId="0" xr:uid="{4BA0A7B4-B994-4139-BEDF-B6FD21FFF529}">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55" authorId="30" shapeId="0" xr:uid="{F4A6BBCC-CF63-45F7-B88D-D4E08EC9B9C6}">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55" authorId="31" shapeId="0" xr:uid="{B478EF87-643D-4150-8A9F-3423590A24CD}">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60" authorId="32" shapeId="0" xr:uid="{5B320420-1584-4E0A-8A77-A90635757443}">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60" authorId="33" shapeId="0" xr:uid="{8D0B90E2-25D6-4B5F-8EA0-3267C54BC049}">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60" authorId="34" shapeId="0" xr:uid="{FBB4BA68-BC1D-41CC-90F1-ACD432577D86}">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61" authorId="35" shapeId="0" xr:uid="{ADBC29EF-E532-4AAE-96A7-3AEDD14A44DA}">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61" authorId="36" shapeId="0" xr:uid="{B22C5A75-E0CB-4EFF-B9B9-020DD1580140}">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61" authorId="37" shapeId="0" xr:uid="{62AE258C-0F58-4954-9235-3ED1B25F3A06}">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62" authorId="38" shapeId="0" xr:uid="{4C2CFD85-C74A-4400-80BE-24E50429D914}">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62" authorId="39" shapeId="0" xr:uid="{BAC68385-2161-40EE-928D-456373584B96}">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62" authorId="40" shapeId="0" xr:uid="{0BB06ACB-8194-4AC9-9E1A-1CFD8C0729AA}">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65" authorId="41" shapeId="0" xr:uid="{700EE5E9-AEB9-42C3-AA94-07D02F59FB0B}">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65" authorId="42" shapeId="0" xr:uid="{D8746F60-4A10-4EA3-887D-B9F047BC433E}">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65" authorId="43" shapeId="0" xr:uid="{AD1354D4-D169-42AC-89C2-D882C3AFD6DA}">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65" authorId="44" shapeId="0" xr:uid="{935DA078-07EE-4F64-929E-143AEB3AE4BC}">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73" authorId="45" shapeId="0" xr:uid="{FB1B08E2-7BD8-4CC9-A06A-6EA233DEDFA7}">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tc={AC6FD6B5-E239-4635-B79B-3D3CA04DDCB3}</author>
    <author>tc={CB3DACF4-01D2-4609-AF31-7CA2C436F5EB}</author>
    <author>tc={251D3B6A-D75A-45E9-A077-96B473AE4E85}</author>
    <author>tc={C4AECCD7-6322-4F99-8FE9-CE98B9018960}</author>
    <author>tc={0A71431A-F58F-4910-A121-0B231FD5B844}</author>
    <author>tc={01CF5DD2-C98C-4C79-B2E7-1FE10DBA5E35}</author>
    <author>tc={D267BA2B-0B68-4FBC-91C7-E6033577A715}</author>
    <author>tc={D1D544B8-E5FB-46E9-9F44-5BC7086CE04E}</author>
    <author>tc={EBC0144B-2C5E-4069-A5C9-413D83114725}</author>
    <author>tc={00DDA8FE-578C-4635-A7DF-A7EE1B60E413}</author>
    <author>tc={221E682E-17E6-4ECD-9481-E247834CD275}</author>
    <author>tc={395FD905-61D1-4E38-826B-F4A992BEBD15}</author>
    <author>tc={1964B74A-3E1C-4F4F-999D-A695FEC40C49}</author>
    <author>tc={818329BE-8575-4CD5-8B28-C2599A9F1394}</author>
  </authors>
  <commentList>
    <comment ref="B1" authorId="0" shapeId="0" xr:uid="{1F61F6CE-2796-4A9D-8FC4-1BB561467E3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A1B5CF2-C384-4B6C-BEC4-BE4C90B1AA5F}">
      <text>
        <r>
          <rPr>
            <b/>
            <sz val="9"/>
            <color indexed="81"/>
            <rFont val="Tahoma"/>
            <family val="2"/>
          </rPr>
          <t>Jonathan Wilken:</t>
        </r>
        <r>
          <rPr>
            <sz val="9"/>
            <color indexed="81"/>
            <rFont val="Tahoma"/>
            <family val="2"/>
          </rPr>
          <t xml:space="preserve">
Reading from apograph (i.e., younger copy)</t>
        </r>
      </text>
    </comment>
    <comment ref="D1" authorId="0" shapeId="0" xr:uid="{CC88FAAA-04E2-4313-93D4-800DD292174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AC198F8-09C9-4ED8-887C-35C74184ED9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1B25726-5CC1-4474-B1A8-486C4644E84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8435A2CC-375D-42A3-B20E-96B5256D6942}">
      <text>
        <r>
          <rPr>
            <b/>
            <sz val="9"/>
            <color indexed="81"/>
            <rFont val="Tahoma"/>
            <family val="2"/>
          </rPr>
          <t>Jonathan Wilken:</t>
        </r>
        <r>
          <rPr>
            <sz val="9"/>
            <color indexed="81"/>
            <rFont val="Tahoma"/>
            <family val="2"/>
          </rPr>
          <t xml:space="preserve">
Add, omit, transposition, substitution, combo</t>
        </r>
      </text>
    </comment>
    <comment ref="H1" authorId="0" shapeId="0" xr:uid="{AE5452B1-E5FA-42B5-8FC4-A5865D3855C5}">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AF24220F-2F72-4289-9451-1932EFB6436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B8EF891B-CC9C-44A1-AA17-7921635556F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97D74D8-3D9A-49AC-9A51-5E1DE321D80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A74CC90-051A-40B4-8CBA-4F27C0DF7B3F}">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AFAE0EB-8F65-4295-84EF-68454A2A5D8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9499643-C47B-496E-9EF6-7CEE0D244DC8}">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FD88DE6-2950-4088-B595-85481C7A088A}">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CB31C30-1F00-44DD-8D94-8B277877DE7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AC6FD6B5-E239-4635-B79B-3D3CA04DDCB3}">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0CD47686-F2D1-4E37-AA50-587BE2F3656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CB3DACF4-01D2-4609-AF31-7CA2C436F5E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251D3B6A-D75A-45E9-A077-96B473AE4E8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CC33DCAA-260B-4DFD-BAA3-4D45FD87E069}">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9E9A6754-61F8-4916-9D16-66185175C4E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5380479C-9A02-4787-A70E-DC517BD0183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41456F8C-1230-4233-B852-6A6FD160787E}">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48C87E31-6C8A-4BCF-B7AC-5B86FF8A487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3FEC9305-070E-4B8E-A611-656074FDD33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D7EC49A8-92B1-4850-A6D7-6F4E6E4AAE0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8" authorId="4" shapeId="0" xr:uid="{C4AECCD7-6322-4F99-8FE9-CE98B9018960}">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9" authorId="5" shapeId="0" xr:uid="{0A71431A-F58F-4910-A121-0B231FD5B844}">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2" authorId="6" shapeId="0" xr:uid="{01CF5DD2-C98C-4C79-B2E7-1FE10DBA5E35}">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3" authorId="7" shapeId="0" xr:uid="{D267BA2B-0B68-4FBC-91C7-E6033577A715}">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4" authorId="8" shapeId="0" xr:uid="{D1D544B8-E5FB-46E9-9F44-5BC7086CE04E}">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5" authorId="9" shapeId="0" xr:uid="{EBC0144B-2C5E-4069-A5C9-413D83114725}">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6" authorId="10" shapeId="0" xr:uid="{00DDA8FE-578C-4635-A7DF-A7EE1B60E413}">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7" authorId="11" shapeId="0" xr:uid="{221E682E-17E6-4ECD-9481-E247834CD275}">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30" authorId="12" shapeId="0" xr:uid="{395FD905-61D1-4E38-826B-F4A992BEBD15}">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31" authorId="13" shapeId="0" xr:uid="{1964B74A-3E1C-4F4F-999D-A695FEC40C49}">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2" authorId="14" shapeId="0" xr:uid="{818329BE-8575-4CD5-8B28-C2599A9F1394}">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tc={F77C7AD7-2A05-45F6-971E-8A4008E59446}</author>
    <author>tc={D25BC73A-EB71-4409-A578-B2CBF80AF351}</author>
    <author>tc={5406D1FD-4255-4FBB-9FA6-D1C67FB1307B}</author>
    <author>tc={1A1DD2C3-B8BA-4820-ADD6-D1670FF1F7CC}</author>
    <author>tc={9DB09A4B-3283-4302-BE73-DA922BFE6076}</author>
    <author>tc={AAB3AD72-D989-4B7D-A110-81FCEAA235A5}</author>
    <author>tc={9A0EF367-49C7-4ED3-81A8-45AF46A1E1B4}</author>
    <author>tc={C073905E-C8AC-47E7-83FC-3FB36DC40507}</author>
    <author>tc={4833F7B2-A43F-400F-9FA6-CBE59999EA04}</author>
    <author>tc={BAB4F6D8-18AA-4F5F-8B93-8DA422070717}</author>
    <author>tc={935A54EB-FD0D-4581-8330-90B45F29BDE1}</author>
    <author>tc={D00651B5-74E0-4E91-B3D1-8466FE116AC3}</author>
  </authors>
  <commentList>
    <comment ref="B1" authorId="0" shapeId="0" xr:uid="{ED08CFF4-B7D6-4402-A6DB-5112CC1CB32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15EE276-E166-4A08-9B84-C151AB8D5A9D}">
      <text>
        <r>
          <rPr>
            <b/>
            <sz val="9"/>
            <color indexed="81"/>
            <rFont val="Tahoma"/>
            <family val="2"/>
          </rPr>
          <t>Jonathan Wilken:</t>
        </r>
        <r>
          <rPr>
            <sz val="9"/>
            <color indexed="81"/>
            <rFont val="Tahoma"/>
            <family val="2"/>
          </rPr>
          <t xml:space="preserve">
Reading from apograph (i.e., younger copy)</t>
        </r>
      </text>
    </comment>
    <comment ref="D1" authorId="0" shapeId="0" xr:uid="{3761AACB-3E17-4991-B730-06F389440DE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6B2F060-1E61-4E4D-ACAE-589164D139F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49B7512-5D9F-4F03-BD35-76A8244A7E5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C4C1242-97D0-41EC-9740-7693496E69F7}">
      <text>
        <r>
          <rPr>
            <b/>
            <sz val="9"/>
            <color indexed="81"/>
            <rFont val="Tahoma"/>
            <family val="2"/>
          </rPr>
          <t>Jonathan Wilken:</t>
        </r>
        <r>
          <rPr>
            <sz val="9"/>
            <color indexed="81"/>
            <rFont val="Tahoma"/>
            <family val="2"/>
          </rPr>
          <t xml:space="preserve">
Add, omit, transposition, substitution, combo</t>
        </r>
      </text>
    </comment>
    <comment ref="H1" authorId="0" shapeId="0" xr:uid="{F3B1A571-7DCF-4DF4-93F8-EE1489ADF4B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A5BBCA61-3B4A-4623-9641-A787C787E4F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E9F30F63-313C-41AC-9EAF-C4C1ABC953D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9C9479AC-6E4B-481A-B2FB-BA4E23395139}">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1450A85-B40A-4F28-8B5E-C1EE28BEF9A0}">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DE4526D-BFCD-40A3-B44D-A517FE43ED1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860CECF4-5632-4A12-B500-20FD66AB5B8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A5EC482-52AA-4F16-A019-22C13533634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E20218D-22E0-4A94-B616-4AF59E73AB1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F77C7AD7-2A05-45F6-971E-8A4008E59446}">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91F19EF-A5FC-4B2F-BF5C-5FE79823035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D25BC73A-EB71-4409-A578-B2CBF80AF35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5406D1FD-4255-4FBB-9FA6-D1C67FB1307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8B8382B8-8A05-42C2-9B2C-2B26879647D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CE1384F2-00DA-426F-8F82-D609625810E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1EDE8805-3F7F-491A-B03C-1E141B68C23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29563BD0-391B-4744-BB38-7A412363B00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729AEC11-51A5-4719-B1C3-B8AF6FAFDA2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3EDA701-1E8F-4940-8501-0137A3821BF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C5793E29-512D-4DF8-BE8E-F951F3186D3D}">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6" authorId="4" shapeId="0" xr:uid="{1A1DD2C3-B8BA-4820-ADD6-D1670FF1F7CC}">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7" authorId="5" shapeId="0" xr:uid="{9DB09A4B-3283-4302-BE73-DA922BFE6076}">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0" authorId="6" shapeId="0" xr:uid="{AAB3AD72-D989-4B7D-A110-81FCEAA235A5}">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1" authorId="7" shapeId="0" xr:uid="{9A0EF367-49C7-4ED3-81A8-45AF46A1E1B4}">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2" authorId="8" shapeId="0" xr:uid="{C073905E-C8AC-47E7-83FC-3FB36DC40507}">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3" authorId="9" shapeId="0" xr:uid="{4833F7B2-A43F-400F-9FA6-CBE59999EA04}">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4" authorId="10" shapeId="0" xr:uid="{BAB4F6D8-18AA-4F5F-8B93-8DA422070717}">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5" authorId="11" shapeId="0" xr:uid="{935A54EB-FD0D-4581-8330-90B45F29BDE1}">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6" authorId="12" shapeId="0" xr:uid="{D00651B5-74E0-4E91-B3D1-8466FE116AC3}">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Jonathan Wilken</author>
    <author>tc={11CD2C00-7014-49EC-8814-5DCA29ED8C3E}</author>
    <author>tc={EBD2854F-7194-4E5E-90E3-3BD18D9EB6B8}</author>
    <author>tc={A35E4112-CA8A-4F67-8D85-2BEEC92FC36C}</author>
    <author>tc={CF15F1B8-D2F5-4088-A0D9-83FB8A7B86DA}</author>
    <author>tc={F3C012E5-868C-49D4-B004-C19A71439051}</author>
    <author>tc={E860FD89-7EE1-459A-A620-F1C52B799C3A}</author>
    <author>tc={016EF4D3-E5BA-4125-821C-C0C247BC4155}</author>
    <author>tc={85A48D2D-D3E6-47E8-898C-2B94B06613DA}</author>
    <author>tc={C97CEB8F-FDBF-45B3-8C1C-02BC5304200D}</author>
    <author>tc={A67B4541-2E9D-4FD0-8AAD-1AF0E9CA122E}</author>
    <author>tc={A8087E6B-C29B-4171-9AB2-3F5EA997F93E}</author>
    <author>tc={B2FBC8FF-176E-444E-8D77-76E656A6F4C3}</author>
    <author>tc={E470BE5E-0B59-4772-8B4B-9D5B68EE55FE}</author>
    <author>tc={8E67801C-EE43-4281-A6D8-71927B5984E6}</author>
    <author>tc={0357AACB-D9A9-4FD1-A176-53B42D596CF7}</author>
  </authors>
  <commentList>
    <comment ref="B1" authorId="0" shapeId="0" xr:uid="{4D354238-A724-46B9-95C7-E2675DA4A3D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2033733-D50C-45A4-8C0B-686C9AA56039}">
      <text>
        <r>
          <rPr>
            <b/>
            <sz val="9"/>
            <color indexed="81"/>
            <rFont val="Tahoma"/>
            <family val="2"/>
          </rPr>
          <t>Jonathan Wilken:</t>
        </r>
        <r>
          <rPr>
            <sz val="9"/>
            <color indexed="81"/>
            <rFont val="Tahoma"/>
            <family val="2"/>
          </rPr>
          <t xml:space="preserve">
Reading from apograph (i.e., younger copy)</t>
        </r>
      </text>
    </comment>
    <comment ref="D1" authorId="0" shapeId="0" xr:uid="{E3A0226D-8659-45F7-A9C0-D5D16FB8691F}">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D2507163-5BEA-4CCE-A1FC-F1FC59B2304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D625317-E59F-4287-85F0-FAA118F30087}">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AC44DAE-32B9-4418-9163-F686A4603FB5}">
      <text>
        <r>
          <rPr>
            <b/>
            <sz val="9"/>
            <color indexed="81"/>
            <rFont val="Tahoma"/>
            <family val="2"/>
          </rPr>
          <t>Jonathan Wilken:</t>
        </r>
        <r>
          <rPr>
            <sz val="9"/>
            <color indexed="81"/>
            <rFont val="Tahoma"/>
            <family val="2"/>
          </rPr>
          <t xml:space="preserve">
Add, omit, transposition, substitution, combo</t>
        </r>
      </text>
    </comment>
    <comment ref="H1" authorId="0" shapeId="0" xr:uid="{D7E118B7-0008-46C2-95ED-CDBD1E802195}">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3769757-D473-439F-98E7-D547CC2F671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DDBA043-532A-4229-9A98-D0E8848DFFD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7024645-7637-4666-989B-57A2885A01C9}">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7F8BE353-53DE-4CF4-B3C9-A1480CF0F6E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FA56BF8-22C1-4067-B817-07A0468F8804}">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71F4234-AE0F-4580-829A-A50A0084DE7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0CA0522-6D35-4A74-9FF7-8F947A2E5E0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CB4CF406-28CB-4C88-8587-6208F524665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CFE7CBCE-D89C-41AA-8253-039764A125C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11CD2C00-7014-49EC-8814-5DCA29ED8C3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EBD2854F-7194-4E5E-90E3-3BD18D9EB6B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A35E4112-CA8A-4F67-8D85-2BEEC92FC36C}">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CF15F1B8-D2F5-4088-A0D9-83FB8A7B86DA}">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F3C012E5-868C-49D4-B004-C19A71439051}">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2BD5F572-E266-4FA3-A321-07B8FF8224E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5BB7E186-9AA6-40C2-B6D0-841C96943AF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C89A9B11-DE08-47A1-8FB9-3D9D90A0E96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232DF56D-A4F0-45E5-858C-0148B87B676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AA86EAFF-53E3-49C1-848C-2E90661FEA3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2F156ACC-6C7A-4F7E-BA97-A56C412498B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C7A220F6-F0D9-4764-907C-F211B00C9B9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7" authorId="6" shapeId="0" xr:uid="{E860FD89-7EE1-459A-A620-F1C52B799C3A}">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0" authorId="7" shapeId="0" xr:uid="{016EF4D3-E5BA-4125-821C-C0C247BC4155}">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1" authorId="8" shapeId="0" xr:uid="{85A48D2D-D3E6-47E8-898C-2B94B06613DA}">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2" authorId="9" shapeId="0" xr:uid="{C97CEB8F-FDBF-45B3-8C1C-02BC5304200D}">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14" authorId="10" shapeId="0" xr:uid="{A67B4541-2E9D-4FD0-8AAD-1AF0E9CA122E}">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15" authorId="11" shapeId="0" xr:uid="{A8087E6B-C29B-4171-9AB2-3F5EA997F93E}">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18" authorId="12" shapeId="0" xr:uid="{B2FBC8FF-176E-444E-8D77-76E656A6F4C3}">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19" authorId="13" shapeId="0" xr:uid="{E470BE5E-0B59-4772-8B4B-9D5B68EE55FE}">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22" authorId="14" shapeId="0" xr:uid="{8E67801C-EE43-4281-A6D8-71927B5984E6}">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23" authorId="15" shapeId="0" xr:uid="{0357AACB-D9A9-4FD1-A176-53B42D596CF7}">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Jonathan Wilken</author>
    <author>tc={675121B4-51C6-45BE-AB26-BB8EEA508806}</author>
    <author>tc={0C7E5137-DD83-4DAC-8474-7EE5F5882023}</author>
    <author>tc={76FAFAD1-6EC0-4A30-9ACB-812427CB477E}</author>
    <author>tc={3F3DE51F-E097-4542-8820-9D77317020A4}</author>
    <author>tc={FEF04B0C-A8B3-467D-A075-DE68F3219A8F}</author>
    <author>tc={2CF52AFD-CF13-43C6-AE65-1932FB2EB6D6}</author>
    <author>tc={21F00353-2015-4D13-8645-46E303C433F1}</author>
    <author>tc={D0F8D6BD-068D-4303-9C66-A12845C898DE}</author>
    <author>tc={91566328-4150-49AD-9102-B38078C2A212}</author>
    <author>tc={C119846B-5B2A-4856-9CFB-216AD7D71EBB}</author>
    <author>tc={48C6D0FD-C6F8-45F8-B647-860ADD900CBF}</author>
    <author>tc={0D18526A-8833-4BFE-A5AB-CA0051C886F9}</author>
  </authors>
  <commentList>
    <comment ref="B1" authorId="0" shapeId="0" xr:uid="{2E29B512-4B73-4E22-ABD5-7D99061F14F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46903E9F-1F0F-4AD5-AC2F-C3D29A73EAA5}">
      <text>
        <r>
          <rPr>
            <b/>
            <sz val="9"/>
            <color indexed="81"/>
            <rFont val="Tahoma"/>
            <family val="2"/>
          </rPr>
          <t>Jonathan Wilken:</t>
        </r>
        <r>
          <rPr>
            <sz val="9"/>
            <color indexed="81"/>
            <rFont val="Tahoma"/>
            <family val="2"/>
          </rPr>
          <t xml:space="preserve">
Reading from apograph (i.e., younger copy)</t>
        </r>
      </text>
    </comment>
    <comment ref="D1" authorId="0" shapeId="0" xr:uid="{23A700A7-24AB-4DBC-816A-0A1F62BB141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1CDEB70-0DB4-408F-BB56-757771EB766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BFDAF03-6392-4DF1-B31C-44464DB2078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E13CD721-EB30-45D3-8649-A34C811F0481}">
      <text>
        <r>
          <rPr>
            <b/>
            <sz val="9"/>
            <color indexed="81"/>
            <rFont val="Tahoma"/>
            <family val="2"/>
          </rPr>
          <t>Jonathan Wilken:</t>
        </r>
        <r>
          <rPr>
            <sz val="9"/>
            <color indexed="81"/>
            <rFont val="Tahoma"/>
            <family val="2"/>
          </rPr>
          <t xml:space="preserve">
Add, omit, transposition, substitution, combo</t>
        </r>
      </text>
    </comment>
    <comment ref="I1" authorId="0" shapeId="0" xr:uid="{8B17C4AB-8722-48FD-AA49-57F25E43BEF3}">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6B0388BD-E16A-4CF4-8D25-F10E958A3AD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516A1605-CD59-4D4F-BBBD-BD701C2B35FC}">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816FB445-E500-4D0A-8FB4-64CAE6500AF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D8A6B54F-1A31-4AB8-8554-3EF6EB79D70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BF9F5267-3D24-461E-9D60-E332F693160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D718E906-FAD0-4131-A210-15D061CDC5C3}">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168ABA69-304F-4A6C-B42D-DF1A7A39DA8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6E1BCD70-1207-451E-9FE6-DB197DEA2EE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1E483350-6F74-444F-ADA2-92BD3DF942C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675121B4-51C6-45BE-AB26-BB8EEA50880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0C7E5137-DD83-4DAC-8474-7EE5F588202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19E6B7B9-A2A5-41A0-9A6D-365238A748E8}">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951832B1-FCD9-4F1A-96AC-367D4C48761E}">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B867E4BC-6ACE-4DB8-A204-C88C0640764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592A2388-B21E-4881-83E9-894E7CF4141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F3D13D34-3C4D-4B9F-9B5B-8F7004EAFE33}">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39705D0E-6B11-4254-88BE-95CF831F2AF9}">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2509ECB3-C9BD-4043-8B0C-C97DDCC4BE0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3" shapeId="0" xr:uid="{76FAFAD1-6EC0-4A30-9ACB-812427CB477E}">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6" authorId="4" shapeId="0" xr:uid="{3F3DE51F-E097-4542-8820-9D77317020A4}">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 authorId="5" shapeId="0" xr:uid="{FEF04B0C-A8B3-467D-A075-DE68F3219A8F}">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1" authorId="6" shapeId="0" xr:uid="{2CF52AFD-CF13-43C6-AE65-1932FB2EB6D6}">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F11" authorId="7" shapeId="0" xr:uid="{21F00353-2015-4D13-8645-46E303C433F1}">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G11" authorId="8" shapeId="0" xr:uid="{D0F8D6BD-068D-4303-9C66-A12845C898DE}">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H11" authorId="9" shapeId="0" xr:uid="{91566328-4150-49AD-9102-B38078C2A212}">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2" authorId="10" shapeId="0" xr:uid="{C119846B-5B2A-4856-9CFB-216AD7D71EBB}">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3" authorId="11" shapeId="0" xr:uid="{48C6D0FD-C6F8-45F8-B647-860ADD900CBF}">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4" authorId="12" shapeId="0" xr:uid="{0D18526A-8833-4BFE-A5AB-CA0051C886F9}">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tc={C44DD313-CC94-40BC-A23D-700E156B3A9B}</author>
    <author>tc={094DAE69-FFE1-4DC9-81F6-155544412A61}</author>
    <author>tc={3CA1F7DB-17BF-4A1B-881B-90EDD3017997}</author>
    <author>tc={01BFE859-9B1E-457B-8C3D-310EF295D228}</author>
    <author>tc={1F839008-12E3-457B-86AC-E5911618A40C}</author>
  </authors>
  <commentList>
    <comment ref="A1" authorId="0" shapeId="0" xr:uid="{C44DD313-CC94-40BC-A23D-700E156B3A9B}">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094DAE69-FFE1-4DC9-81F6-155544412A61}">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3CA1F7DB-17BF-4A1B-881B-90EDD3017997}">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01BFE859-9B1E-457B-8C3D-310EF295D228}">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1F839008-12E3-457B-86AC-E5911618A40C}">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Jonathan Wilken</author>
    <author>tc={3B3C42D7-D23A-4A13-961D-A51B33C4F812}</author>
    <author>tc={33503B61-D396-4CB6-B78C-738CF807F495}</author>
    <author>tc={578F9A70-DB86-4124-99A3-FB5E8B3F24F9}</author>
    <author>tc={CA332D3B-255C-4BFE-A327-192CC1243DCB}</author>
  </authors>
  <commentList>
    <comment ref="A1" authorId="0" shapeId="0" xr:uid="{05E51D34-2F76-4EA3-9756-10DC5A681CE6}">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C05D5664-63DA-4F1D-B1CC-B5C61DE8C6C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89632D27-797E-46CA-AAEB-D1B14C9982F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BB5CBAAC-C8B1-4656-96BC-D620C95C2E16}">
      <text>
        <r>
          <rPr>
            <b/>
            <sz val="9"/>
            <color indexed="81"/>
            <rFont val="Tahoma"/>
            <family val="2"/>
          </rPr>
          <t>Jonathan Wilken:</t>
        </r>
        <r>
          <rPr>
            <sz val="9"/>
            <color indexed="81"/>
            <rFont val="Tahoma"/>
            <family val="2"/>
          </rPr>
          <t xml:space="preserve">
Add, omit, transposition, substitution, combo</t>
        </r>
      </text>
    </comment>
    <comment ref="L3" authorId="1" shapeId="0" xr:uid="{3B3C42D7-D23A-4A13-961D-A51B33C4F812}">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33503B61-D396-4CB6-B78C-738CF807F495}">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578F9A70-DB86-4124-99A3-FB5E8B3F24F9}">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CA332D3B-255C-4BFE-A327-192CC1243DCB}">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<sst xmlns="http://schemas.openxmlformats.org/spreadsheetml/2006/main" count="3779" uniqueCount="505">
  <si>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</si>
  <si>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</si>
  <si>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</si>
  <si>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</si>
  <si>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</si>
  <si>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</si>
  <si>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</si>
  <si>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</si>
  <si>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</si>
  <si>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</si>
  <si>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</si>
  <si>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</si>
  <si>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</si>
  <si>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</si>
  <si>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</si>
  <si>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</si>
  <si>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</si>
  <si>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</si>
  <si>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</si>
  <si>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</si>
  <si>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</si>
  <si>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</si>
  <si>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</si>
  <si>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</si>
  <si>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</si>
  <si>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</si>
  <si>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</si>
  <si>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</si>
  <si>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</si>
  <si>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</si>
  <si>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</si>
  <si>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</si>
  <si>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</si>
  <si>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</si>
  <si>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</si>
  <si>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</si>
  <si>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</si>
  <si>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εγγρηγορες</t>
  </si>
  <si>
    <t>TLev.3.3</t>
  </si>
  <si>
    <t>TLev.3.4</t>
  </si>
  <si>
    <t>TLev.3.6</t>
  </si>
  <si>
    <t>ευωδιας</t>
  </si>
  <si>
    <t>ευοδιας</t>
  </si>
  <si>
    <t>TLev.3.8</t>
  </si>
  <si>
    <t>TLev.3.9</t>
  </si>
  <si>
    <t>TLev.3.10</t>
  </si>
  <si>
    <t>αναισθητουντες</t>
  </si>
  <si>
    <t>αναισθετουντες</t>
  </si>
  <si>
    <t>TLev.4.1</t>
  </si>
  <si>
    <t>TLev.18.11</t>
  </si>
  <si>
    <t>αγιωσυνης</t>
  </si>
  <si>
    <t>αγιoσυνης</t>
  </si>
  <si>
    <t>TLev.18.12</t>
  </si>
  <si>
    <t>δεθησεται</t>
  </si>
  <si>
    <t>δεθεσεται</t>
  </si>
  <si>
    <t>TLev.18.13</t>
  </si>
  <si>
    <t>TLev.18.14</t>
  </si>
  <si>
    <t>αγαλλιασεται</t>
  </si>
  <si>
    <t>αγαλλιαζεται</t>
  </si>
  <si>
    <t>χαρισομαι</t>
  </si>
  <si>
    <t>χαρησομαι</t>
  </si>
  <si>
    <t>TLev.19.1</t>
  </si>
  <si>
    <t>ηκουσατε</t>
  </si>
  <si>
    <t>ησουσατε</t>
  </si>
  <si>
    <t>TLev.19.2</t>
  </si>
  <si>
    <t>απεκριθημεν</t>
  </si>
  <si>
    <t>απεκριθομεν</t>
  </si>
  <si>
    <t>πορευσωμεθα</t>
  </si>
  <si>
    <t>πορευσομεθα</t>
  </si>
  <si>
    <t>TLev.19.3</t>
  </si>
  <si>
    <t>ειπωμεν</t>
  </si>
  <si>
    <t>ειπαμεν</t>
  </si>
  <si>
    <t>TJud.21.5</t>
  </si>
  <si>
    <t>TJud.21.6</t>
  </si>
  <si>
    <t>κινδυνευουσιν</t>
  </si>
  <si>
    <t>κινδυνευσουσιν</t>
  </si>
  <si>
    <t>πλουτισουσιν</t>
  </si>
  <si>
    <t>πλουτουσιν</t>
  </si>
  <si>
    <t>TJud.21.7</t>
  </si>
  <si>
    <t>καταδουλουσιν</t>
  </si>
  <si>
    <t>καταδουλωσσιν</t>
  </si>
  <si>
    <t>TJud.21.8</t>
  </si>
  <si>
    <t>TJud.22.2</t>
  </si>
  <si>
    <t>TJud.22.3</t>
  </si>
  <si>
    <t>τεσσαρακοστω</t>
  </si>
  <si>
    <t>TDan.6.7</t>
  </si>
  <si>
    <t>TDan.6.8</t>
  </si>
  <si>
    <t>διατηρησατε</t>
  </si>
  <si>
    <t>διατηρησαντε</t>
  </si>
  <si>
    <t>TDan.6.10</t>
  </si>
  <si>
    <t>TDan.7.2</t>
  </si>
  <si>
    <t>ανηνεγκαν</t>
  </si>
  <si>
    <t>ανενεγκαν</t>
  </si>
  <si>
    <t>TDan.7.3</t>
  </si>
  <si>
    <t>επιλαθωνται</t>
  </si>
  <si>
    <t>επιλαθονται</t>
  </si>
  <si>
    <t>TNaph.1.1</t>
  </si>
  <si>
    <t>TNaph.1.2</t>
  </si>
  <si>
    <t>TNaph.1.3</t>
  </si>
  <si>
    <t>TNaph.1.6</t>
  </si>
  <si>
    <t>TNaph.1.7</t>
  </si>
  <si>
    <t>κατεφιλει</t>
  </si>
  <si>
    <t>TNaph.1.8</t>
  </si>
  <si>
    <t>TNaph.1.9</t>
  </si>
  <si>
    <t>ρωθεου</t>
  </si>
  <si>
    <t>ρουθεου</t>
  </si>
  <si>
    <t>TNaph.1.10</t>
  </si>
  <si>
    <t>ροθεος</t>
  </si>
  <si>
    <t>ρουθεος</t>
  </si>
  <si>
    <t>TNaph.1.11</t>
  </si>
  <si>
    <t>αιναν</t>
  </si>
  <si>
    <t>ανναν</t>
  </si>
  <si>
    <t>TNaph.1.12</t>
  </si>
  <si>
    <t>καινοσπουδος</t>
  </si>
  <si>
    <t>καινοπουδος</t>
  </si>
  <si>
    <t>TNaph.2.1</t>
  </si>
  <si>
    <t>TNaph.2.2</t>
  </si>
  <si>
    <t>TNaph.2.3</t>
  </si>
  <si>
    <t>τριχος</t>
  </si>
  <si>
    <t>τρικος</t>
  </si>
  <si>
    <t>TNaph.2.4</t>
  </si>
  <si>
    <t>αρχεται</t>
  </si>
  <si>
    <t>αρχηται</t>
  </si>
  <si>
    <t>TNaph.2.6</t>
  </si>
  <si>
    <t>TNaph.2.7</t>
  </si>
  <si>
    <t>TNaph.2.8</t>
  </si>
  <si>
    <t>καλαμος</t>
  </si>
  <si>
    <t>νεφρους</t>
  </si>
  <si>
    <t>νεφους</t>
  </si>
  <si>
    <t>TNaph.2.10</t>
  </si>
  <si>
    <t>TNaph.3.1</t>
  </si>
  <si>
    <t>δυνησεται</t>
  </si>
  <si>
    <t>TNaph.3.2</t>
  </si>
  <si>
    <t>αλλοιωσετε</t>
  </si>
  <si>
    <t>αλλοιωσητε</t>
  </si>
  <si>
    <t>TNaph.3.3</t>
  </si>
  <si>
    <t>επηκολουθησαν</t>
  </si>
  <si>
    <t>επεικολουθησαν</t>
  </si>
  <si>
    <t>TNaph.3.4</t>
  </si>
  <si>
    <t>TNaph.3.5</t>
  </si>
  <si>
    <t>ερρηγορες</t>
  </si>
  <si>
    <t>TNaph.4.1</t>
  </si>
  <si>
    <t>TNaph.4.2</t>
  </si>
  <si>
    <t>TNaph.4.4</t>
  </si>
  <si>
    <t>TNaph.5.1</t>
  </si>
  <si>
    <t>τεσσακοστω</t>
  </si>
  <si>
    <t>TNaph.5.2</t>
  </si>
  <si>
    <t>TNaph.5.3</t>
  </si>
  <si>
    <t>επεδραμομεν</t>
  </si>
  <si>
    <t>επεδαμομεν</t>
  </si>
  <si>
    <t>υψωθησαν</t>
  </si>
  <si>
    <t>υπωθησαν</t>
  </si>
  <si>
    <t>TNaph.5.4</t>
  </si>
  <si>
    <t>TNaph.5.5</t>
  </si>
  <si>
    <t>TNaph.5.6</t>
  </si>
  <si>
    <t>πτερυγες</t>
  </si>
  <si>
    <t>πτερυγας</t>
  </si>
  <si>
    <t>TNaph.5.7</t>
  </si>
  <si>
    <t>εκδικησιν τοις πνευμασι</t>
  </si>
  <si>
    <t>οι δε εις τεταρτον</t>
  </si>
  <si>
    <t>οι δε εις τον τεταρτον</t>
  </si>
  <si>
    <t>εν ανωτερω</t>
  </si>
  <si>
    <t>εν τω ανωτερω</t>
  </si>
  <si>
    <t>η μεγαλη</t>
  </si>
  <si>
    <t>η μηγαλη</t>
  </si>
  <si>
    <t>εν ω αει υμνοι τω θεω</t>
  </si>
  <si>
    <t>εν ω υμνοι αει τω θεω</t>
  </si>
  <si>
    <t>επιβλεψη ο κυριος</t>
  </si>
  <si>
    <t>επιβλεψη κς</t>
  </si>
  <si>
    <t>και αι αβυσσοι</t>
  </si>
  <si>
    <t>και οι αβυσσοι</t>
  </si>
  <si>
    <t>οτε των πετρων</t>
  </si>
  <si>
    <t>οτι των πετρων</t>
  </si>
  <si>
    <t>εως αιωνος</t>
  </si>
  <si>
    <t>εως του αιωνος</t>
  </si>
  <si>
    <t>τεκνοις αυτου πατειν</t>
  </si>
  <si>
    <t>τεκνοις αυτου του πατειν</t>
  </si>
  <si>
    <t>τοις τεκνοις</t>
  </si>
  <si>
    <t>τοις αγαπητοις τεκνοις</t>
  </si>
  <si>
    <t>η νομον κυ</t>
  </si>
  <si>
    <r>
      <t xml:space="preserve">η </t>
    </r>
    <r>
      <rPr>
        <b/>
        <sz val="11"/>
        <color theme="1"/>
        <rFont val="Calibri"/>
        <family val="2"/>
        <scheme val="minor"/>
      </rPr>
      <t>τον</t>
    </r>
    <r>
      <rPr>
        <sz val="11"/>
        <color theme="1"/>
        <rFont val="Calibri"/>
        <family val="2"/>
        <scheme val="minor"/>
      </rPr>
      <t xml:space="preserve"> νομον του κυριου</t>
    </r>
  </si>
  <si>
    <r>
      <t xml:space="preserve">η τον νομον </t>
    </r>
    <r>
      <rPr>
        <b/>
        <sz val="11"/>
        <color theme="1"/>
        <rFont val="Calibri"/>
        <family val="2"/>
        <scheme val="minor"/>
      </rPr>
      <t>του</t>
    </r>
    <r>
      <rPr>
        <sz val="11"/>
        <color theme="1"/>
        <rFont val="Calibri"/>
        <family val="2"/>
        <scheme val="minor"/>
      </rPr>
      <t xml:space="preserve"> κυριου</t>
    </r>
  </si>
  <si>
    <t>εργα του βελιαρ</t>
  </si>
  <si>
    <t>εργα βελιαρ</t>
  </si>
  <si>
    <t>εντρυφηματα υιων</t>
  </si>
  <si>
    <t>εντρυφηματων υιων</t>
  </si>
  <si>
    <t>Queens firsthand = εντρυφηματα υιων, then corrects εντρυφηματα -&gt; εντρυφηματων</t>
  </si>
  <si>
    <t>ως θαλασσα</t>
  </si>
  <si>
    <t>ως η θαλασσα</t>
  </si>
  <si>
    <t>ουτως και</t>
  </si>
  <si>
    <t>ουτω και</t>
  </si>
  <si>
    <t>οτι οι βασιλευοντες</t>
  </si>
  <si>
    <t>οτι βασιλευοντες</t>
  </si>
  <si>
    <t>Queens firsthand = καταδουλουσιν, then corrects καταδουλουσιν -&gt; καταδουλωσσιν</t>
  </si>
  <si>
    <t>αγρους και ποιμνια</t>
  </si>
  <si>
    <t>αγρους ποιμνια</t>
  </si>
  <si>
    <t xml:space="preserve">(7) αρπαζουσι (8) και προκοψουσιν </t>
  </si>
  <si>
    <r>
      <t xml:space="preserve">(7) </t>
    </r>
    <r>
      <rPr>
        <b/>
        <sz val="11"/>
        <color theme="1"/>
        <rFont val="Calibri"/>
        <family val="2"/>
        <scheme val="minor"/>
      </rPr>
      <t>αρπασουσι</t>
    </r>
    <r>
      <rPr>
        <sz val="11"/>
        <color theme="1"/>
        <rFont val="Calibri"/>
        <family val="2"/>
        <scheme val="minor"/>
      </rPr>
      <t xml:space="preserve"> (8) και πολλων σαρκας αδικως κορακας και ιβεις χορτασουσι και προκοψουσιν</t>
    </r>
  </si>
  <si>
    <r>
      <t xml:space="preserve">(7) </t>
    </r>
    <r>
      <rPr>
        <b/>
        <sz val="11"/>
        <color theme="1"/>
        <rFont val="Calibri"/>
        <family val="2"/>
        <scheme val="minor"/>
      </rPr>
      <t>αρπαζουσι</t>
    </r>
    <r>
      <rPr>
        <sz val="11"/>
        <color theme="1"/>
        <rFont val="Calibri"/>
        <family val="2"/>
        <scheme val="minor"/>
      </rPr>
      <t xml:space="preserve"> (8) και προκοψουσιν </t>
    </r>
  </si>
  <si>
    <t>σωτηριον τω ισραηλ</t>
  </si>
  <si>
    <t>σριον ιηλ</t>
  </si>
  <si>
    <t>παντα τα εθνη</t>
  </si>
  <si>
    <t>παντα εθνη</t>
  </si>
  <si>
    <t>βασιλειον μου εκ του σπερματος</t>
  </si>
  <si>
    <t>βασιλειον μου και του σπερματος</t>
  </si>
  <si>
    <t>το ονομα</t>
  </si>
  <si>
    <t>το δε ονομα</t>
  </si>
  <si>
    <t>νομου κυ (11) και θαψατε</t>
  </si>
  <si>
    <r>
      <t xml:space="preserve">νομου </t>
    </r>
    <r>
      <rPr>
        <b/>
        <sz val="11"/>
        <color theme="1"/>
        <rFont val="Calibri"/>
        <family val="2"/>
        <scheme val="minor"/>
      </rPr>
      <t>του</t>
    </r>
    <r>
      <rPr>
        <sz val="11"/>
        <color theme="1"/>
        <rFont val="Calibri"/>
        <family val="2"/>
        <scheme val="minor"/>
      </rPr>
      <t xml:space="preserve"> θεου (11) και θαψατε</t>
    </r>
  </si>
  <si>
    <r>
      <t xml:space="preserve">νομου του </t>
    </r>
    <r>
      <rPr>
        <b/>
        <sz val="11"/>
        <color theme="1"/>
        <rFont val="Calibri"/>
        <family val="2"/>
        <scheme val="minor"/>
      </rPr>
      <t>θεου</t>
    </r>
    <r>
      <rPr>
        <sz val="11"/>
        <color theme="1"/>
        <rFont val="Calibri"/>
        <family val="2"/>
        <scheme val="minor"/>
      </rPr>
      <t xml:space="preserve"> (11) και θαψατε</t>
    </r>
  </si>
  <si>
    <r>
      <t xml:space="preserve">νομου </t>
    </r>
    <r>
      <rPr>
        <b/>
        <sz val="11"/>
        <color theme="1"/>
        <rFont val="Calibri"/>
        <family val="2"/>
        <scheme val="minor"/>
      </rPr>
      <t>κυ</t>
    </r>
    <r>
      <rPr>
        <sz val="11"/>
        <color theme="1"/>
        <rFont val="Calibri"/>
        <family val="2"/>
        <scheme val="minor"/>
      </rPr>
      <t xml:space="preserve"> (11) και θαψατε</t>
    </r>
  </si>
  <si>
    <t>νεφθαλειμ ης διεθετο</t>
  </si>
  <si>
    <t>νεφθαλειμ ων διεθετο</t>
  </si>
  <si>
    <t>εν ετει ρλ ζωης αυτου</t>
  </si>
  <si>
    <r>
      <t xml:space="preserve">εν ετει εκατοστω τριακοστω </t>
    </r>
    <r>
      <rPr>
        <b/>
        <sz val="11"/>
        <color theme="1"/>
        <rFont val="Calibri"/>
        <family val="2"/>
        <scheme val="minor"/>
      </rPr>
      <t>δευτερω</t>
    </r>
    <r>
      <rPr>
        <sz val="11"/>
        <color theme="1"/>
        <rFont val="Calibri"/>
        <family val="2"/>
        <scheme val="minor"/>
      </rPr>
      <t xml:space="preserve"> της ζωης αυτου</t>
    </r>
  </si>
  <si>
    <r>
      <t xml:space="preserve">εν ετει εκατοστω τριακοστω δευτερω </t>
    </r>
    <r>
      <rPr>
        <b/>
        <sz val="11"/>
        <color theme="1"/>
        <rFont val="Calibri"/>
        <family val="2"/>
        <scheme val="minor"/>
      </rPr>
      <t>της</t>
    </r>
    <r>
      <rPr>
        <sz val="11"/>
        <color theme="1"/>
        <rFont val="Calibri"/>
        <family val="2"/>
        <scheme val="minor"/>
      </rPr>
      <t xml:space="preserve"> ζωης αυτου</t>
    </r>
  </si>
  <si>
    <t>δειπνον αυτος</t>
  </si>
  <si>
    <t>δειπνον αυτοις</t>
  </si>
  <si>
    <t>μετα του εξυπνισθηναι</t>
  </si>
  <si>
    <t>μετα το εξυπνισθηναι</t>
  </si>
  <si>
    <t>εποιησε ραχηλ</t>
  </si>
  <si>
    <r>
      <rPr>
        <b/>
        <sz val="11"/>
        <color theme="1"/>
        <rFont val="Calibri"/>
        <family val="2"/>
        <scheme val="minor"/>
      </rPr>
      <t>εποιησε</t>
    </r>
    <r>
      <rPr>
        <sz val="11"/>
        <color theme="1"/>
        <rFont val="Calibri"/>
        <family val="2"/>
        <scheme val="minor"/>
      </rPr>
      <t xml:space="preserve"> ραχηλ</t>
    </r>
  </si>
  <si>
    <r>
      <rPr>
        <b/>
        <sz val="11"/>
        <color theme="1"/>
        <rFont val="Calibri"/>
        <family val="2"/>
        <scheme val="minor"/>
      </rPr>
      <t>εποιησεν</t>
    </r>
    <r>
      <rPr>
        <sz val="11"/>
        <color theme="1"/>
        <rFont val="Calibri"/>
        <family val="2"/>
        <scheme val="minor"/>
      </rPr>
      <t xml:space="preserve"> η ραχηλ</t>
    </r>
  </si>
  <si>
    <r>
      <t xml:space="preserve">εποιησεν </t>
    </r>
    <r>
      <rPr>
        <b/>
        <sz val="11"/>
        <color theme="1"/>
        <rFont val="Calibri"/>
        <family val="2"/>
        <scheme val="minor"/>
      </rPr>
      <t>η</t>
    </r>
    <r>
      <rPr>
        <sz val="11"/>
        <color theme="1"/>
        <rFont val="Calibri"/>
        <family val="2"/>
        <scheme val="minor"/>
      </rPr>
      <t xml:space="preserve"> ραχηλ</t>
    </r>
  </si>
  <si>
    <r>
      <rPr>
        <b/>
        <sz val="11"/>
        <color theme="1"/>
        <rFont val="Calibri"/>
        <family val="2"/>
        <scheme val="minor"/>
      </rPr>
      <t>ανθ</t>
    </r>
    <r>
      <rPr>
        <sz val="11"/>
        <color theme="1"/>
        <rFont val="Calibri"/>
        <family val="2"/>
        <scheme val="minor"/>
      </rPr>
      <t xml:space="preserve"> εαυτης</t>
    </r>
  </si>
  <si>
    <r>
      <rPr>
        <b/>
        <sz val="11"/>
        <color theme="1"/>
        <rFont val="Calibri"/>
        <family val="2"/>
        <scheme val="minor"/>
      </rPr>
      <t>αντ</t>
    </r>
    <r>
      <rPr>
        <sz val="11"/>
        <color theme="1"/>
        <rFont val="Calibri"/>
        <family val="2"/>
        <scheme val="minor"/>
      </rPr>
      <t xml:space="preserve"> αυτης</t>
    </r>
  </si>
  <si>
    <r>
      <t xml:space="preserve">αντ </t>
    </r>
    <r>
      <rPr>
        <b/>
        <sz val="11"/>
        <color theme="1"/>
        <rFont val="Calibri"/>
        <family val="2"/>
        <scheme val="minor"/>
      </rPr>
      <t>αυτης</t>
    </r>
  </si>
  <si>
    <r>
      <t xml:space="preserve">ανθ </t>
    </r>
    <r>
      <rPr>
        <b/>
        <sz val="11"/>
        <color theme="1"/>
        <rFont val="Calibri"/>
        <family val="2"/>
        <scheme val="minor"/>
      </rPr>
      <t>εαυτης</t>
    </r>
  </si>
  <si>
    <t>βαλλαν τω ιακωβ</t>
  </si>
  <si>
    <t>βαλλαν των ιακωβ</t>
  </si>
  <si>
    <r>
      <t xml:space="preserve">ιακωβ και επι των μηρων </t>
    </r>
    <r>
      <rPr>
        <b/>
        <sz val="11"/>
        <color theme="1"/>
        <rFont val="Calibri"/>
        <family val="2"/>
        <scheme val="minor"/>
      </rPr>
      <t>ραχηλ ετεκε με δια τουτο εκληθην νεφθαλειμ</t>
    </r>
    <r>
      <rPr>
        <sz val="11"/>
        <color theme="1"/>
        <rFont val="Calibri"/>
        <family val="2"/>
        <scheme val="minor"/>
      </rPr>
      <t xml:space="preserve"> (7) </t>
    </r>
    <r>
      <rPr>
        <b/>
        <sz val="11"/>
        <color theme="1"/>
        <rFont val="Calibri"/>
        <family val="2"/>
        <scheme val="minor"/>
      </rPr>
      <t>και ηγαπησε με ραχηλ οτι επι των μηρων</t>
    </r>
    <r>
      <rPr>
        <sz val="11"/>
        <color theme="1"/>
        <rFont val="Calibri"/>
        <family val="2"/>
        <scheme val="minor"/>
      </rPr>
      <t xml:space="preserve"> αυτης εγεννηθην</t>
    </r>
  </si>
  <si>
    <t>ιακωβ και επι των μηρων (7) αυτης εγενηθην</t>
  </si>
  <si>
    <r>
      <t xml:space="preserve">ιακωβ και επι των μηρων ραχηλ ετεκε με δια τουτο εκληθην νεφθαλειμ (7) και ηγαπησε με ραχηλ οτι επι των μηρων αυτης </t>
    </r>
    <r>
      <rPr>
        <b/>
        <sz val="11"/>
        <color theme="1"/>
        <rFont val="Calibri"/>
        <family val="2"/>
        <scheme val="minor"/>
      </rPr>
      <t>εγεννηθην</t>
    </r>
  </si>
  <si>
    <r>
      <t xml:space="preserve">ιακωβ και επι των μηρων (7) αυτης </t>
    </r>
    <r>
      <rPr>
        <b/>
        <sz val="11"/>
        <color theme="1"/>
        <rFont val="Calibri"/>
        <family val="2"/>
        <scheme val="minor"/>
      </rPr>
      <t>εγενηθην</t>
    </r>
  </si>
  <si>
    <t>καταφιλει</t>
  </si>
  <si>
    <t>πασιν ο ιωσηφ</t>
  </si>
  <si>
    <t>πασιν ιωσηφ</t>
  </si>
  <si>
    <t>και η ραχηλ</t>
  </si>
  <si>
    <t>και ραχηλ</t>
  </si>
  <si>
    <t>γενους ην αβρααμ</t>
  </si>
  <si>
    <t>γενους αβρααμ</t>
  </si>
  <si>
    <t>παιδισκην αυτου γυναικα</t>
  </si>
  <si>
    <t>παιδισκην αυτου εις γυναικα</t>
  </si>
  <si>
    <t>(11) ηχμαλωτευθη (12) και εξης ετεκε</t>
  </si>
  <si>
    <t>(11) ηχμαλωτευθη (12) εξ ης ετεκε</t>
  </si>
  <si>
    <t>επειδη κουφος</t>
  </si>
  <si>
    <t>επει δε κουφος</t>
  </si>
  <si>
    <t>τοις ποσιν ως ελαφος</t>
  </si>
  <si>
    <r>
      <t xml:space="preserve">τοις </t>
    </r>
    <r>
      <rPr>
        <b/>
        <sz val="11"/>
        <color theme="1"/>
        <rFont val="Calibri"/>
        <family val="2"/>
        <scheme val="minor"/>
      </rPr>
      <t>ποσι</t>
    </r>
    <r>
      <rPr>
        <sz val="11"/>
        <color theme="1"/>
        <rFont val="Calibri"/>
        <family val="2"/>
        <scheme val="minor"/>
      </rPr>
      <t xml:space="preserve"> μου ως ελαφος</t>
    </r>
  </si>
  <si>
    <r>
      <t xml:space="preserve">τοις </t>
    </r>
    <r>
      <rPr>
        <b/>
        <sz val="11"/>
        <color theme="1"/>
        <rFont val="Calibri"/>
        <family val="2"/>
        <scheme val="minor"/>
      </rPr>
      <t>ποσιν</t>
    </r>
    <r>
      <rPr>
        <sz val="11"/>
        <color theme="1"/>
        <rFont val="Calibri"/>
        <family val="2"/>
        <scheme val="minor"/>
      </rPr>
      <t xml:space="preserve"> ως ελαφος</t>
    </r>
  </si>
  <si>
    <r>
      <t xml:space="preserve">τοις ποσι </t>
    </r>
    <r>
      <rPr>
        <b/>
        <sz val="11"/>
        <color theme="1"/>
        <rFont val="Calibri"/>
        <family val="2"/>
        <scheme val="minor"/>
      </rPr>
      <t>μου</t>
    </r>
    <r>
      <rPr>
        <sz val="11"/>
        <color theme="1"/>
        <rFont val="Calibri"/>
        <family val="2"/>
        <scheme val="minor"/>
      </rPr>
      <t xml:space="preserve"> ως ελαφος</t>
    </r>
  </si>
  <si>
    <t>φερει πηλον</t>
  </si>
  <si>
    <t>Queens adds τον between these words</t>
  </si>
  <si>
    <t>διαρκεσει εν αγαθω</t>
  </si>
  <si>
    <t>διακρεσεν εν αγαθω</t>
  </si>
  <si>
    <t>Queens corrects διακρεσεν -&gt; διαρκεσεν</t>
  </si>
  <si>
    <t>εργον αυτου και</t>
  </si>
  <si>
    <t>εργον αυτους και</t>
  </si>
  <si>
    <t>ως κεχωρισται</t>
  </si>
  <si>
    <t>ως χκεχωρισται</t>
  </si>
  <si>
    <t>αισθησεις τη κεφαλη και τριχας</t>
  </si>
  <si>
    <t>αισθησεις εν τη κεφαλη και τον τραχηλον συναπτει τη κεφαλη και τριχας</t>
  </si>
  <si>
    <t>skips 1.5 lines (240v.1.16-18; visual cues present)</t>
  </si>
  <si>
    <t>Queens corrects to καλαμον</t>
  </si>
  <si>
    <t>(9) καιρου αυτου (10) οτι εαν ειπης τω οφθαλμω ακουσαι ου δυναται ουτως</t>
  </si>
  <si>
    <r>
      <t xml:space="preserve">(9) καιρου αυτου (10) </t>
    </r>
    <r>
      <rPr>
        <b/>
        <sz val="11"/>
        <color theme="1"/>
        <rFont val="Calibri"/>
        <family val="2"/>
        <scheme val="minor"/>
      </rPr>
      <t>οτι εαν ειπης τω οφθαλμω ακουσαι ου δυναται</t>
    </r>
    <r>
      <rPr>
        <sz val="11"/>
        <color theme="1"/>
        <rFont val="Calibri"/>
        <family val="2"/>
        <scheme val="minor"/>
      </rPr>
      <t xml:space="preserve"> ουτως</t>
    </r>
  </si>
  <si>
    <r>
      <t xml:space="preserve">(9) καιρου αυτου (10) </t>
    </r>
    <r>
      <rPr>
        <b/>
        <sz val="11"/>
        <color theme="1"/>
        <rFont val="Calibri"/>
        <family val="2"/>
        <scheme val="minor"/>
      </rPr>
      <t>ου δυναται ουν οτι εαν ειπης τω οφθαλμω ακουσασαι</t>
    </r>
    <r>
      <rPr>
        <sz val="11"/>
        <color theme="1"/>
        <rFont val="Calibri"/>
        <family val="2"/>
        <scheme val="minor"/>
      </rPr>
      <t xml:space="preserve"> ουτως</t>
    </r>
  </si>
  <si>
    <r>
      <t xml:space="preserve">(9) καιρου αυτου (10) ου δυναται </t>
    </r>
    <r>
      <rPr>
        <b/>
        <sz val="11"/>
        <color theme="1"/>
        <rFont val="Calibri"/>
        <family val="2"/>
        <scheme val="minor"/>
      </rPr>
      <t>ουν</t>
    </r>
    <r>
      <rPr>
        <sz val="11"/>
        <color theme="1"/>
        <rFont val="Calibri"/>
        <family val="2"/>
        <scheme val="minor"/>
      </rPr>
      <t xml:space="preserve"> οτι εαν ειπης τω οφθαλμω ακουσασαι ουτως</t>
    </r>
  </si>
  <si>
    <r>
      <t xml:space="preserve">(9) καιρου αυτου (10) ου δυναται ουν οτι εαν ειπης τω οφθαλμω </t>
    </r>
    <r>
      <rPr>
        <b/>
        <sz val="11"/>
        <color theme="1"/>
        <rFont val="Calibri"/>
        <family val="2"/>
        <scheme val="minor"/>
      </rPr>
      <t>ακουσασαι</t>
    </r>
    <r>
      <rPr>
        <sz val="11"/>
        <color theme="1"/>
        <rFont val="Calibri"/>
        <family val="2"/>
        <scheme val="minor"/>
      </rPr>
      <t xml:space="preserve"> ουτως</t>
    </r>
  </si>
  <si>
    <r>
      <t xml:space="preserve">(9) καιρου αυτου (10) οτι εαν ειπης τω οφθαλμω </t>
    </r>
    <r>
      <rPr>
        <b/>
        <sz val="11"/>
        <color theme="1"/>
        <rFont val="Calibri"/>
        <family val="2"/>
        <scheme val="minor"/>
      </rPr>
      <t>ακουσαι</t>
    </r>
    <r>
      <rPr>
        <sz val="11"/>
        <color theme="1"/>
        <rFont val="Calibri"/>
        <family val="2"/>
        <scheme val="minor"/>
      </rPr>
      <t xml:space="preserve"> ου δυναται ουτως</t>
    </r>
  </si>
  <si>
    <t>ουδε εν σκοτεις ποιειν εργα φωτος</t>
  </si>
  <si>
    <r>
      <t xml:space="preserve">ουδε εν </t>
    </r>
    <r>
      <rPr>
        <b/>
        <sz val="11"/>
        <color theme="1"/>
        <rFont val="Calibri"/>
        <family val="2"/>
        <scheme val="minor"/>
      </rPr>
      <t>σκοτει</t>
    </r>
    <r>
      <rPr>
        <sz val="11"/>
        <color theme="1"/>
        <rFont val="Calibri"/>
        <family val="2"/>
        <scheme val="minor"/>
      </rPr>
      <t xml:space="preserve"> δυνησεσθε ποιησαι εργα φωτος</t>
    </r>
  </si>
  <si>
    <r>
      <t xml:space="preserve">ουδε εν </t>
    </r>
    <r>
      <rPr>
        <b/>
        <sz val="11"/>
        <color theme="1"/>
        <rFont val="Calibri"/>
        <family val="2"/>
        <scheme val="minor"/>
      </rPr>
      <t>σκοτεις</t>
    </r>
    <r>
      <rPr>
        <sz val="11"/>
        <color theme="1"/>
        <rFont val="Calibri"/>
        <family val="2"/>
        <scheme val="minor"/>
      </rPr>
      <t xml:space="preserve"> ποιειν εργα φωτος</t>
    </r>
  </si>
  <si>
    <r>
      <t xml:space="preserve">ουδε εν σκοτει </t>
    </r>
    <r>
      <rPr>
        <b/>
        <sz val="11"/>
        <color theme="1"/>
        <rFont val="Calibri"/>
        <family val="2"/>
        <scheme val="minor"/>
      </rPr>
      <t>δυνησεσθε</t>
    </r>
    <r>
      <rPr>
        <sz val="11"/>
        <color theme="1"/>
        <rFont val="Calibri"/>
        <family val="2"/>
        <scheme val="minor"/>
      </rPr>
      <t xml:space="preserve"> ποιησαι εργα φωτος</t>
    </r>
  </si>
  <si>
    <r>
      <t xml:space="preserve">ουδε εν σκοτει δυνησεσθε </t>
    </r>
    <r>
      <rPr>
        <b/>
        <sz val="11"/>
        <color theme="1"/>
        <rFont val="Calibri"/>
        <family val="2"/>
        <scheme val="minor"/>
      </rPr>
      <t>ποιησαι</t>
    </r>
    <r>
      <rPr>
        <sz val="11"/>
        <color theme="1"/>
        <rFont val="Calibri"/>
        <family val="2"/>
        <scheme val="minor"/>
      </rPr>
      <t xml:space="preserve"> εργα φωτος</t>
    </r>
  </si>
  <si>
    <r>
      <t xml:space="preserve">ουδε εν σκοτεις </t>
    </r>
    <r>
      <rPr>
        <b/>
        <sz val="11"/>
        <color theme="1"/>
        <rFont val="Calibri"/>
        <family val="2"/>
        <scheme val="minor"/>
      </rPr>
      <t>ποιειν</t>
    </r>
    <r>
      <rPr>
        <sz val="11"/>
        <color theme="1"/>
        <rFont val="Calibri"/>
        <family val="2"/>
        <scheme val="minor"/>
      </rPr>
      <t xml:space="preserve"> εργα φωτος</t>
    </r>
  </si>
  <si>
    <t>δυνησετε</t>
  </si>
  <si>
    <t>αφεντα κυριον κλλοιωσαν</t>
  </si>
  <si>
    <r>
      <t xml:space="preserve">αφεντα </t>
    </r>
    <r>
      <rPr>
        <b/>
        <sz val="11"/>
        <color theme="1"/>
        <rFont val="Calibri"/>
        <family val="2"/>
        <scheme val="minor"/>
      </rPr>
      <t>τον</t>
    </r>
    <r>
      <rPr>
        <sz val="11"/>
        <color theme="1"/>
        <rFont val="Calibri"/>
        <family val="2"/>
        <scheme val="minor"/>
      </rPr>
      <t xml:space="preserve"> κν ηλλοιωσαν</t>
    </r>
  </si>
  <si>
    <r>
      <t xml:space="preserve">αφεντα τον κν </t>
    </r>
    <r>
      <rPr>
        <b/>
        <sz val="11"/>
        <color theme="1"/>
        <rFont val="Calibri"/>
        <family val="2"/>
        <scheme val="minor"/>
      </rPr>
      <t>ηλλοιωσαν</t>
    </r>
  </si>
  <si>
    <r>
      <t xml:space="preserve">αφεντα κυριον </t>
    </r>
    <r>
      <rPr>
        <b/>
        <sz val="11"/>
        <color theme="1"/>
        <rFont val="Calibri"/>
        <family val="2"/>
        <scheme val="minor"/>
      </rPr>
      <t>κλλοιωσαν</t>
    </r>
  </si>
  <si>
    <t>υμεις μη ουτως</t>
  </si>
  <si>
    <t>υμεις δε μη ουτως</t>
  </si>
  <si>
    <t>και θαλασση</t>
  </si>
  <si>
    <t>και εν θαλασση</t>
  </si>
  <si>
    <t>ποιησαντα τα παντα</t>
  </si>
  <si>
    <t>ποιησαντα ταυτα παντα</t>
  </si>
  <si>
    <t>Queens corrects to εγρηγορες</t>
  </si>
  <si>
    <t>ους κατηρασατο</t>
  </si>
  <si>
    <t>ους και κατηρασατο</t>
  </si>
  <si>
    <t>οτι ανεγνων</t>
  </si>
  <si>
    <t>οτι εγνων</t>
  </si>
  <si>
    <t>καιγε υμεις</t>
  </si>
  <si>
    <t>καιγε και υμεις</t>
  </si>
  <si>
    <t>εως αν αναλωση</t>
  </si>
  <si>
    <t>εως αναλωση</t>
  </si>
  <si>
    <t>εν γη πρων αυτων</t>
  </si>
  <si>
    <t>εν γη πατρωση αυτων</t>
  </si>
  <si>
    <t>Queens corrects πατρωση -&gt; πατρωη; this error looks familiar, was it made in other copies?</t>
  </si>
  <si>
    <t>επιλαθωνται κυριον και</t>
  </si>
  <si>
    <t>επιλαθωνται κυ και</t>
  </si>
  <si>
    <t>I feel like this correcting-error also occurred in other copies</t>
  </si>
  <si>
    <t>ημιν προσδραμοντες</t>
  </si>
  <si>
    <t>ημινν προσδραμοντες</t>
  </si>
  <si>
    <t>και λευι</t>
  </si>
  <si>
    <t>και ο λευι</t>
  </si>
  <si>
    <t>και ο ιουδας</t>
  </si>
  <si>
    <t>και ιουδας</t>
  </si>
  <si>
    <t>του λευι ως ηλιου</t>
  </si>
  <si>
    <t>του λευι εκρατησε τον ηλιον ως ηλιου</t>
  </si>
  <si>
    <t>ποδας αυτου ησαν</t>
  </si>
  <si>
    <t>ποδας αυτων ησαν</t>
  </si>
  <si>
    <t>θελοντες αυτον πιασαι ουκ ηδυνηθημεν</t>
  </si>
  <si>
    <t>θελοντες πιασαι αυτον ουκ ηδυνηθημεν</t>
  </si>
  <si>
    <t>φθασας δε ιωσηφ</t>
  </si>
  <si>
    <t>φθασας γαρ ιωσηφ</t>
  </si>
  <si>
    <r>
      <rPr>
        <b/>
        <sz val="11"/>
        <color theme="1"/>
        <rFont val="Calibri"/>
        <family val="2"/>
        <scheme val="minor"/>
      </rPr>
      <t>συνανηλθεν</t>
    </r>
    <r>
      <rPr>
        <sz val="11"/>
        <color theme="1"/>
        <rFont val="Calibri"/>
        <family val="2"/>
        <scheme val="minor"/>
      </rPr>
      <t xml:space="preserve"> αυτω εις υψος (8) και ειδον </t>
    </r>
  </si>
  <si>
    <r>
      <rPr>
        <b/>
        <sz val="11"/>
        <color theme="1"/>
        <rFont val="Calibri"/>
        <family val="2"/>
        <scheme val="minor"/>
      </rPr>
      <t>συνηλθεν</t>
    </r>
    <r>
      <rPr>
        <sz val="11"/>
        <color theme="1"/>
        <rFont val="Calibri"/>
        <family val="2"/>
        <scheme val="minor"/>
      </rPr>
      <t xml:space="preserve"> αυτω εις υψος εις υψος (8) και ειδον </t>
    </r>
  </si>
  <si>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</si>
  <si>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</si>
  <si>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</si>
  <si>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</si>
  <si>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</si>
  <si>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</si>
  <si>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</si>
  <si>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</si>
  <si>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</si>
  <si>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</si>
  <si>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</si>
  <si>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</si>
  <si>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</si>
  <si>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</si>
  <si>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</si>
  <si>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</si>
  <si>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</si>
  <si>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</si>
  <si>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</si>
  <si>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</si>
  <si>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Dual</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</si>
  <si>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</si>
  <si>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</si>
  <si>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</si>
  <si>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</si>
  <si>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</si>
  <si>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</si>
  <si>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</si>
  <si>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</si>
  <si>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</si>
  <si>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</si>
  <si>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</si>
  <si>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</si>
  <si>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</si>
  <si>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</si>
  <si>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</si>
  <si>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</si>
  <si>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</si>
  <si>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</si>
  <si>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</si>
  <si>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</si>
  <si>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</si>
  <si>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</si>
  <si>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</si>
  <si>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</si>
  <si>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</si>
  <si>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</si>
  <si>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</si>
  <si>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Review</t>
  </si>
  <si>
    <t>Harmonization - Context</t>
  </si>
  <si>
    <t>Parallel Present</t>
  </si>
  <si>
    <t>Harmonization - Parallel</t>
  </si>
  <si>
    <t>Mere Minutiae</t>
  </si>
  <si>
    <t>Disharmonizing</t>
  </si>
  <si>
    <t>Substitution - Word</t>
  </si>
  <si>
    <t>NA</t>
  </si>
  <si>
    <t>Substitution - Form</t>
  </si>
  <si>
    <t>Substitution - Both</t>
  </si>
  <si>
    <t>Below word level</t>
  </si>
  <si>
    <t>Particle</t>
  </si>
  <si>
    <t>Unfiltered variants:</t>
  </si>
  <si>
    <t>Total variants:</t>
  </si>
  <si>
    <t>Barocci</t>
  </si>
  <si>
    <t>Smith</t>
  </si>
  <si>
    <t>Oo.VI.9.8</t>
  </si>
  <si>
    <t>Verb</t>
  </si>
  <si>
    <t>ΝΑ</t>
  </si>
  <si>
    <t>ω-ο</t>
  </si>
  <si>
    <t>η-ε</t>
  </si>
  <si>
    <t>AB:AC</t>
  </si>
  <si>
    <t>3:3</t>
  </si>
  <si>
    <t>BD:CD</t>
  </si>
  <si>
    <t>Name Spelling</t>
  </si>
  <si>
    <t>AC</t>
  </si>
  <si>
    <t>1.0.1 transposition</t>
  </si>
  <si>
    <t>ε-η</t>
  </si>
  <si>
    <t>12</t>
  </si>
  <si>
    <t>AC:BD</t>
  </si>
  <si>
    <r>
      <t>(7) αρπασουσι (8) και</t>
    </r>
    <r>
      <rPr>
        <b/>
        <sz val="11"/>
        <color theme="1"/>
        <rFont val="Calibri"/>
        <family val="2"/>
        <scheme val="minor"/>
      </rPr>
      <t xml:space="preserve"> πολλων σαρκας αδικως κορακας και ιβεις χορτασουσι</t>
    </r>
    <r>
      <rPr>
        <sz val="11"/>
        <color theme="1"/>
        <rFont val="Calibri"/>
        <family val="2"/>
        <scheme val="minor"/>
      </rPr>
      <t xml:space="preserve"> </t>
    </r>
    <r>
      <rPr>
        <b/>
        <sz val="11"/>
        <color theme="1"/>
        <rFont val="Calibri"/>
        <family val="2"/>
        <scheme val="minor"/>
      </rPr>
      <t>και</t>
    </r>
    <r>
      <rPr>
        <sz val="11"/>
        <color theme="1"/>
        <rFont val="Calibri"/>
        <family val="2"/>
        <scheme val="minor"/>
      </rPr>
      <t xml:space="preserve"> προκοψουσιν</t>
    </r>
  </si>
  <si>
    <t>10:3</t>
  </si>
  <si>
    <t>freq = κοραξ</t>
  </si>
  <si>
    <t>phrase εως του αιωνος occurs twice in this verse, apograph omits του both times, therefore not counting as disharmonizing</t>
  </si>
  <si>
    <t>skips 3 lines (239v.2.3-5; visual cues present); freq = μηρος</t>
  </si>
  <si>
    <t>the phrase ουτω και occurs 6x more in the near context (cf. v. 6), always without the sigma; apograph disharmonizes</t>
  </si>
  <si>
    <t>3:12</t>
  </si>
  <si>
    <t>6.0.2 transposition</t>
  </si>
  <si>
    <t>Var Type</t>
  </si>
  <si>
    <t>Indpendent</t>
  </si>
  <si>
    <t>% Dual:</t>
  </si>
  <si>
    <t>W/ Nons</t>
  </si>
  <si>
    <t>W/o Nons</t>
  </si>
  <si>
    <t>Adds:</t>
  </si>
  <si>
    <t>Omits:</t>
  </si>
  <si>
    <t>W/ ditt.</t>
  </si>
  <si>
    <t>W/o ditt.</t>
  </si>
  <si>
    <t>Non-Duals</t>
  </si>
  <si>
    <t>SimGem</t>
  </si>
  <si>
    <t>AspChan</t>
  </si>
  <si>
    <t>AB:AC:BD:CD</t>
  </si>
  <si>
    <t>4:4:4:4</t>
  </si>
  <si>
    <t>AltForm</t>
  </si>
  <si>
    <t>Contraction</t>
  </si>
  <si>
    <t>Dependent variant</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</si>
  <si>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</si>
  <si>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</si>
  <si>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</si>
  <si>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</si>
  <si>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</si>
  <si>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</si>
  <si>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</si>
  <si>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</si>
  <si>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</si>
  <si>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</si>
  <si>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</si>
  <si>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</si>
  <si>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</si>
  <si>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</si>
  <si>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</si>
  <si>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</si>
  <si>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</si>
  <si>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</si>
  <si>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</si>
  <si>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</si>
  <si>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Cues Pres.</t>
  </si>
  <si>
    <t>Cues Abs.</t>
  </si>
  <si>
    <t>Add Ratio</t>
  </si>
  <si>
    <t>Non-ditt.</t>
  </si>
  <si>
    <t>Ditt.</t>
  </si>
  <si>
    <t>2-3</t>
  </si>
  <si>
    <t>4+</t>
  </si>
  <si>
    <t>&gt;=5</t>
  </si>
  <si>
    <t>Words in corpus (Genesis - Deuteronomy)</t>
  </si>
  <si>
    <t>SUB_Aut_Freq</t>
  </si>
  <si>
    <t>SUB_Apog_Freq</t>
  </si>
  <si>
    <t/>
  </si>
  <si>
    <t>Freq-per-10000</t>
  </si>
  <si>
    <t>Med-word-freq</t>
  </si>
  <si>
    <t>HF-adds</t>
  </si>
  <si>
    <t>HF-omits</t>
  </si>
  <si>
    <t>HF-add-ratio</t>
  </si>
  <si>
    <t>LF-adds</t>
  </si>
  <si>
    <t>LF-omits</t>
  </si>
  <si>
    <t>LF-add-ratio</t>
  </si>
  <si>
    <t>not enough data</t>
  </si>
  <si>
    <t>art-adds</t>
  </si>
  <si>
    <t>art-omits</t>
  </si>
  <si>
    <t>art-add-rate</t>
  </si>
  <si>
    <t>just articles</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</si>
  <si>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</si>
  <si>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</si>
  <si>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</si>
  <si>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</si>
  <si>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</si>
  <si>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</si>
  <si>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</si>
  <si>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</si>
  <si>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</si>
  <si>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</si>
  <si>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</si>
  <si>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</si>
  <si>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</si>
  <si>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</si>
  <si>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</si>
  <si>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</si>
  <si>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</si>
  <si>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</si>
  <si>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</si>
  <si>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</si>
  <si>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</si>
  <si>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</si>
  <si>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</si>
  <si>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</si>
  <si>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</si>
  <si>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</si>
  <si>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Proportion of "Corrections"</t>
  </si>
  <si>
    <t>Partially</t>
  </si>
  <si>
    <t>To Other Variant</t>
  </si>
  <si>
    <t>% of Variants</t>
  </si>
  <si>
    <t>Diff.:</t>
  </si>
  <si>
    <t>εκδικησιν εν τοις πνασι</t>
  </si>
  <si>
    <t>freq = κρατεω</t>
  </si>
  <si>
    <t>Harmonization_Direction</t>
  </si>
  <si>
    <t>Forward</t>
  </si>
  <si>
    <t>Backward</t>
  </si>
  <si>
    <t>Both</t>
  </si>
  <si>
    <t>the phrase ουτω και occurs 6x more in the near context (cf. v. 2), always without the sigma; apograph disharmonizes</t>
  </si>
  <si>
    <t>Directionality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</si>
</sst>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3" borderId="0" xfId="0" applyFill="1"/>
    <xf numFmtId="0" fontId="0" fillId="2" borderId="0" xfId="0" applyFill="1" applyAlignment="1">
      <alignment wrapText="1"/>
    </xf>
    <xf numFmtId="49" fontId="1" fillId="0" borderId="0" xfId="0" applyNumberFormat="1" applyFont="1"/>
    <xf numFmtId="0" fontId="0" fillId="4" borderId="1" xfId="0" applyFill="1" applyBorder="1"/>
    <xf numFmtId="49" fontId="0" fillId="4" borderId="1" xfId="0" applyNumberFormat="1" applyFill="1" applyBorder="1"/>
    <xf numFmtId="49" fontId="0" fillId="0" borderId="0" xfId="0" applyNumberFormat="1"/>
    <xf numFmtId="0" fontId="4" fillId="0" borderId="0" xfId="0" applyFont="1" applyAlignment="1">
      <alignment vertical="center"/>
    </xf>
    <xf numFmtId="0" fontId="0" fillId="0" borderId="0" xfId="0" applyAlignment="1">
      <alignment horizontal="center"/>
    </xf>
  </cellXfs>
  <cellStyles count="1">
    <cellStyle name="Normal" xfId="0" builtinId="0"/>
  </cellStyles>
  <dxfs count="326">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Histogram: Word Frequencies of Added &amp; Omitted Words</a:t>
            </a:r>
            <a:endParaRPr lang="en-US" sz="1400">
              <a:effectLst/>
            </a:endParaRPr>
          </a:p>
        </cx:rich>
      </cx:tx>
    </cx:title>
    <cx:plotArea>
      <cx:plotAreaRegion>
        <cx:series layoutId="clusteredColumn" uniqueId="{0D1B6058-E436-406C-BCAF-620D717DA562}">
          <cx:tx>
            <cx:txData>
              <cx:f>_xlchart.v1.0</cx:f>
              <cx:v>Freq-per-10000</cx:v>
            </cx:txData>
          </cx:tx>
          <cx:dataId val="0"/>
          <cx:layoutPr>
            <cx:binning intervalClosed="r">
              <cx:binCount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0</xdr:colOff>
      <xdr:row>96</xdr:row>
      <xdr:rowOff>0</xdr:rowOff>
    </xdr:from>
    <xdr:to>
      <xdr:col>9</xdr:col>
      <xdr:colOff>304800</xdr:colOff>
      <xdr:row>111</xdr:row>
      <xdr:rowOff>30480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15A7988-D9D7-433A-A3FD-8C43665D8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8800" y="43091100"/>
              <a:ext cx="3962400" cy="27927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Jonathan Wilken" id="{5D048A0C-9405-47F1-A020-6E53793B23CD}"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5D048A0C-9405-47F1-A020-6E53793B23CD}" id="{1295550F-18B4-4208-B229-3CC307F81BF3}">
    <text>For substitutions, the word frequency of the apograph reading</text>
  </threadedComment>
  <threadedComment ref="V1" dT="2024-01-16T09:59:48.08" personId="{5D048A0C-9405-47F1-A020-6E53793B23CD}" id="{906783B8-8FDC-4437-9899-4595B5C2F718}">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5D048A0C-9405-47F1-A020-6E53793B23CD}" id="{8656DBC0-9333-474A-A01E-BE62FF5E8AC5}">
    <text>For substitutions, the word frequency of the apograph reading</text>
  </threadedComment>
  <threadedComment ref="S1" dT="2024-01-16T09:59:48.08" personId="{5D048A0C-9405-47F1-A020-6E53793B23CD}" id="{D85CA71F-7EA9-4B52-A4FF-63E8FA32310B}">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5D048A0C-9405-47F1-A020-6E53793B23CD}" id="{C7A238F4-6555-42D5-A07D-9E5F5E236FFE}">
    <text>Derived variable indicating the number of times per 1000 words the added or omitted word occurs. Thus, Freq-per-10,000 = (AO Word Frequency / Words in Corpus) * 10,000</text>
  </threadedComment>
  <threadedComment ref="S1" dT="2024-01-16T10:00:06.98" personId="{5D048A0C-9405-47F1-A020-6E53793B23CD}" id="{C3DC2A29-D3E9-41C8-9BCE-4716589D38A4}">
    <text>For substitutions, the word frequency of the apograph reading</text>
  </threadedComment>
  <threadedComment ref="T1" dT="2024-01-16T09:59:48.08" personId="{5D048A0C-9405-47F1-A020-6E53793B23CD}" id="{A0C5AEA4-E287-4121-90D6-E5CD5A94C523}">
    <text>For substitutions, the word frequency of the autograph reading</text>
  </threadedComment>
  <threadedComment ref="F46" dT="2023-09-09T16:20:24.92" personId="{5D048A0C-9405-47F1-A020-6E53793B23CD}" id="{7DF388AD-7D6A-4FD0-B12A-86457E3A9AC7}">
    <text>Raw number of additions</text>
  </threadedComment>
  <threadedComment ref="B47" dT="2023-09-09T13:15:24.43" personId="{5D048A0C-9405-47F1-A020-6E53793B23CD}" id="{67763217-6F84-40A9-B4B6-7C5CDABD5081}">
    <text>"Low Meaning" words</text>
  </threadedComment>
  <threadedComment ref="C47" dT="2023-09-09T13:15:40.92" personId="{5D048A0C-9405-47F1-A020-6E53793B23CD}" id="{F2679EB7-5DEA-4116-B248-298274655C2A}">
    <text>"High Meaning" words</text>
  </threadedComment>
  <threadedComment ref="F47" dT="2023-09-09T16:20:41.93" personId="{5D048A0C-9405-47F1-A020-6E53793B23CD}" id="{459CD7D7-6F54-4B4D-9BDA-CC398D131284}">
    <text>Raw number of omissions</text>
  </threadedComment>
  <threadedComment ref="F48" dT="2023-09-09T16:21:30.82" personId="{5D048A0C-9405-47F1-A020-6E53793B23CD}" id="{52258C89-60E5-423C-9EBC-0DF834B2E467}">
    <text>% of add-omits that are additions</text>
  </threadedComment>
  <threadedComment ref="F51" dT="2023-09-09T16:22:43.13" personId="{5D048A0C-9405-47F1-A020-6E53793B23CD}" id="{4A3E83C3-73C0-4475-A34E-3E28023A5C11}">
    <text>Raw number of additions of "low meaning" words. See LM column for included word types (and adjust equation as necessary)</text>
  </threadedComment>
  <threadedComment ref="F52" dT="2023-09-09T16:23:00.73" personId="{5D048A0C-9405-47F1-A020-6E53793B23CD}" id="{1BAF8408-7936-4613-8B4D-F9C84F1A485B}">
    <text>Raw number of omissions of "low meaning" words. See LM column for included word types (and adjust equation as necessary)</text>
  </threadedComment>
  <threadedComment ref="F53" dT="2023-09-09T16:23:25.50" personId="{5D048A0C-9405-47F1-A020-6E53793B23CD}" id="{F7BD53D5-4C2E-4307-84C0-DB07D3873B64}">
    <text>Addition rate for "low meaning" words. See LM column for included word types (and adjust equation as necessary)</text>
  </threadedComment>
  <threadedComment ref="F56" dT="2023-09-09T16:26:23.57" personId="{5D048A0C-9405-47F1-A020-6E53793B23CD}" id="{83C4D338-B58C-4A73-9843-756D972F2AB2}">
    <text>Raw number of additions of "high meaning" words. See HM column for included word types (and adjust equation as necessary)</text>
  </threadedComment>
  <threadedComment ref="F57" dT="2023-09-09T16:26:53.68" personId="{5D048A0C-9405-47F1-A020-6E53793B23CD}" id="{F6F00964-D42A-45E2-9842-D62D1170DE9A}">
    <text>Raw number of omissions of "high meaning" words. See HM column for included word types (and adjust equation as necessary)</text>
  </threadedComment>
  <threadedComment ref="F58" dT="2023-09-09T16:27:24.75" personId="{5D048A0C-9405-47F1-A020-6E53793B23CD}" id="{8A11F87A-C45F-4741-86D6-850B50DCEE04}">
    <text>Addition rate for "high meaning" words. See HM column for included word types (and adjust equation as necessary)</text>
  </threadedComment>
  <threadedComment ref="D64" dT="2023-09-09T16:31:02.72" personId="{5D048A0C-9405-47F1-A020-6E53793B23CD}" id="{50003FFC-79BA-4419-9309-B5A96CCA0EA0}">
    <text>The number of add-omits where visual cues are present that are, in fact, additions. I.e., the number of additions that result in the presence of visual cues</text>
  </threadedComment>
  <threadedComment ref="E64" dT="2023-09-09T16:31:50.60" personId="{5D048A0C-9405-47F1-A020-6E53793B23CD}" id="{04C4F110-5A33-4220-8377-B02E934B35F4}">
    <text>The number of add-omits where visual cues are NOT present that are, in fact, additions. I.e., the number of additions that generate no visual cues</text>
  </threadedComment>
  <threadedComment ref="F64" dT="2023-09-09T16:33:25.83" personId="{5D048A0C-9405-47F1-A020-6E53793B23CD}" id="{B76551D4-DB92-43F9-B2E2-B6A2EB9BDB23}">
    <text>The percentage of add-omits where visual cues are present that are, in fact, additions. I.e., a percent frequency indicating how often an addition generates visual cues</text>
  </threadedComment>
  <threadedComment ref="D65" dT="2023-09-09T16:34:19.48" personId="{5D048A0C-9405-47F1-A020-6E53793B23CD}" id="{2D357EEB-E8F3-40AB-95F7-9D1305680014}">
    <text>The number of add-omits where visual cues are present that are, in fact, omissions. I.e., the number of times that omissions occurred in the presence of visual cues</text>
  </threadedComment>
  <threadedComment ref="E65" dT="2023-09-09T16:34:51.06" personId="{5D048A0C-9405-47F1-A020-6E53793B23CD}" id="{D3164E85-4A9A-47E0-95F6-CD8DCCEF75A5}">
    <text>The number of add-omits where visual cues are NOT present that are, in fact, omissions. I.e., the number of times that omissions occurred in the absence of visual cues</text>
  </threadedComment>
  <threadedComment ref="F65" dT="2023-09-09T16:35:41.16" personId="{5D048A0C-9405-47F1-A020-6E53793B23CD}" id="{C69F0086-E698-4985-9E60-04C9A171BE7C}">
    <text>The percentage of add-omits where visual cues are present that are, in fact, omissions. I.e., the percentage of omissions that could plausibly be due to visual cues</text>
  </threadedComment>
  <threadedComment ref="D66" dT="2023-09-09T16:36:05.81" personId="{5D048A0C-9405-47F1-A020-6E53793B23CD}" id="{9810D138-89B2-492C-AB39-1BAC8E7CD8C4}">
    <text>The total number of add-omits that involve visual cues</text>
  </threadedComment>
  <threadedComment ref="E66" dT="2023-09-09T16:38:54.43" personId="{5D048A0C-9405-47F1-A020-6E53793B23CD}" id="{9CE5A9E7-A10D-4A88-9C28-B6CE673BBF77}">
    <text>The total number of add-omits that involve NO visual cues (given the definition of this project, i.e., 3-character minimum similarity in critical regions)</text>
  </threadedComment>
  <threadedComment ref="F66" dT="2023-09-09T16:39:12.76" personId="{5D048A0C-9405-47F1-A020-6E53793B23CD}" id="{432184A7-8B60-4F3A-9ECB-23975EAA332E}">
    <text>The percentage of all add-omits that involve visual cues</text>
  </threadedComment>
  <threadedComment ref="D70" dT="2023-09-09T16:31:50.60" personId="{5D048A0C-9405-47F1-A020-6E53793B23CD}" id="{7E2D32E7-5600-4996-873E-20CE5B66179E}">
    <text>The number of add-omits where visual cues are NOT present that are, in fact, additions. I.e., the number of additions that generate no visual cues</text>
  </threadedComment>
  <threadedComment ref="E70" dT="2023-09-09T16:34:51.06" personId="{5D048A0C-9405-47F1-A020-6E53793B23CD}" id="{C1D27EA9-E44C-46FC-BBC7-52D7431F832E}">
    <text>The number of add-omits where visual cues are NOT present that are, in fact, omissions. I.e., the number of times that omissions occurred in the absence of visual cues</text>
  </threadedComment>
  <threadedComment ref="D71" dT="2023-09-09T16:31:02.72" personId="{5D048A0C-9405-47F1-A020-6E53793B23CD}" id="{D24040B0-D3F3-4424-8114-00998F87170D}">
    <text>The number of add-omits where visual cues are present that are, in fact, additions. I.e., the number of additions that result in the presence of visual cues</text>
  </threadedComment>
  <threadedComment ref="E71" dT="2023-09-09T16:34:19.48" personId="{5D048A0C-9405-47F1-A020-6E53793B23CD}" id="{8F21D48E-87F2-44DE-8646-9DB096C9C716}">
    <text>The number of add-omits where visual cues are present that are, in fact, omissions. I.e., the number of times that omissions occurred in the presence of visual cues</text>
  </threadedComment>
  <threadedComment ref="D76" dT="2023-09-09T16:31:50.60" personId="{5D048A0C-9405-47F1-A020-6E53793B23CD}" id="{B39FD29C-2572-42D3-9DF2-A1DB2AE3BB52}">
    <text>The number of non-dittographic add-omits that are, in fact, additions. I.e., the number of additions that do not result in dittography</text>
  </threadedComment>
  <threadedComment ref="E76" dT="2023-09-09T16:34:51.06" personId="{5D048A0C-9405-47F1-A020-6E53793B23CD}" id="{A77A4C98-C2AB-4F51-B3C6-B0578D673CC5}">
    <text>The number of non-dittographic add-omits that are, in fact, omissions. I.e., the number of omissions that did not undo a dittographic reading</text>
  </threadedComment>
  <threadedComment ref="D77" dT="2023-09-09T16:31:02.72" personId="{5D048A0C-9405-47F1-A020-6E53793B23CD}" id="{7F2DC0B2-AAD3-41DA-9BBF-5DA6BFE0BEDE}">
    <text>The number of dittographic add-omits that are, in fact, additions. I.e., the number of additions that result in dittography</text>
  </threadedComment>
  <threadedComment ref="E77" dT="2023-09-09T16:34:19.48" personId="{5D048A0C-9405-47F1-A020-6E53793B23CD}" id="{6EA326B3-601C-4132-A7A6-29A1F37CF10D}">
    <text>The number of dittographic add-omits that are, in fact, omissions. I.e., the number omissions where the omitted word(s) is/are dittographies</text>
  </threadedComment>
  <threadedComment ref="D82" dT="2024-01-06T19:48:13.17" personId="{5D048A0C-9405-47F1-A020-6E53793B23CD}" id="{02E40950-F296-4218-9AF8-5BF663CCF730}">
    <text>Additions of one word</text>
  </threadedComment>
  <threadedComment ref="E82" dT="2024-01-06T19:48:24.08" personId="{5D048A0C-9405-47F1-A020-6E53793B23CD}" id="{31927EA5-37C1-40DA-B305-987256B0B274}">
    <text>Omissions of one word</text>
  </threadedComment>
  <threadedComment ref="F82" dT="2024-01-06T19:49:49.67" personId="{5D048A0C-9405-47F1-A020-6E53793B23CD}" id="{8D69A18E-68C8-42C8-9CC5-A661BA28FD8F}">
    <text>Add ratio for single-word variants</text>
  </threadedComment>
  <threadedComment ref="D83" dT="2024-01-06T19:48:46.30" personId="{5D048A0C-9405-47F1-A020-6E53793B23CD}" id="{38A842C6-6AFF-457F-99A9-D56B6ED76F94}">
    <text>Additions of 2-3 words</text>
  </threadedComment>
  <threadedComment ref="E83" dT="2024-01-06T19:49:11.26" personId="{5D048A0C-9405-47F1-A020-6E53793B23CD}" id="{DCA1E499-4113-47A6-B956-D8CFFEBF0E34}">
    <text>Omissions of 2-3 words</text>
  </threadedComment>
  <threadedComment ref="F83" dT="2024-01-06T19:50:08.15" personId="{5D048A0C-9405-47F1-A020-6E53793B23CD}" id="{1A7A13DC-55AE-4202-871B-391E047420C2}">
    <text>Add ratio for variants of 2-3 words</text>
  </threadedComment>
  <threadedComment ref="D84" dT="2024-01-06T19:48:58.81" personId="{5D048A0C-9405-47F1-A020-6E53793B23CD}" id="{3633FF61-3D8E-46E7-A580-E48BFC6C04A5}">
    <text>Additions of 4 or more words</text>
  </threadedComment>
  <threadedComment ref="E84" dT="2024-01-06T19:49:22.83" personId="{5D048A0C-9405-47F1-A020-6E53793B23CD}" id="{B51A34A0-D662-4154-98C1-70F6E71A6838}">
    <text>Omissions of 4 or more words</text>
  </threadedComment>
  <threadedComment ref="F84" dT="2024-01-06T19:50:20.70" personId="{5D048A0C-9405-47F1-A020-6E53793B23CD}" id="{F7ED4AE3-EE2D-4322-A83C-8EC24B3CCD7E}">
    <text>Add ratio for variants of 4 or more words</text>
  </threadedComment>
  <threadedComment ref="C87" dT="2023-09-09T16:27:49.68" personId="{5D048A0C-9405-47F1-A020-6E53793B23CD}" id="{62F28502-C264-4DC8-803E-45DF73F281E6}">
    <text>Number of words added or omitted</text>
  </threadedComment>
  <threadedComment ref="D87" dT="2023-09-09T16:28:21.63" personId="{5D048A0C-9405-47F1-A020-6E53793B23CD}" id="{59716150-9AC7-494B-8D50-D99FA4CC6E59}">
    <text>Number of additions involving the number of words specified in the "Length" column</text>
  </threadedComment>
  <threadedComment ref="E87" dT="2023-09-09T16:28:41.21" personId="{5D048A0C-9405-47F1-A020-6E53793B23CD}" id="{45FDF59E-822A-4375-9578-5F1987F77971}">
    <text>Number of omissions involving the number of words specified in the "Length" column</text>
  </threadedComment>
  <threadedComment ref="F87" dT="2023-09-09T16:29:25.88" personId="{5D048A0C-9405-47F1-A020-6E53793B23CD}" id="{128EE70A-36CF-417F-84C3-909AEA9BD8F1}">
    <text>The addition rate for add-omits involving the number of words indicated in the "Length" column</text>
  </threadedComment>
  <threadedComment ref="E95" dT="2024-01-15T11:53:38.99" personId="{5D048A0C-9405-47F1-A020-6E53793B23CD}" id="{DC95024B-1A7B-433B-8C30-A285987B89DB}">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5D048A0C-9405-47F1-A020-6E53793B23CD}" id="{40985946-8AAA-44F1-B106-51F71C93B5C9}">
    <text>Derived variable indicating the number of times per 1000 words the added or omitted word occurs. Thus, Freq-per-10,000 = (AO Word Frequency / Words in Corpus) * 10,000</text>
  </threadedComment>
  <threadedComment ref="S1" dT="2024-01-16T10:00:06.98" personId="{5D048A0C-9405-47F1-A020-6E53793B23CD}" id="{0D90EDC3-36A5-4667-B0CC-EB38EAB7332D}">
    <text>For substitutions, the word frequency of the apograph reading</text>
  </threadedComment>
  <threadedComment ref="T1" dT="2024-01-16T09:59:48.08" personId="{5D048A0C-9405-47F1-A020-6E53793B23CD}" id="{A94C5A18-B195-4F1B-90D4-C7CD18962E32}">
    <text>For substitutions, the word frequency of the autograph reading</text>
  </threadedComment>
  <threadedComment ref="D40" dT="2024-01-15T11:53:38.99" personId="{5D048A0C-9405-47F1-A020-6E53793B23CD}" id="{41076321-9D03-4D10-9681-5146619F95B0}">
    <text>Total word count for corpus. Figure taken from Accordance "Word Count Totals" analysis. Search for word "*" specifying [RANGE &lt;CONTENT&gt;]. E.g., for 1 Samuel - 2 Kings in Alexandrinus, search for "* [RANGE 1 Sam - 2 Kings]" in LXX Rahlfs.</text>
  </threadedComment>
  <threadedComment ref="D41" dT="2024-01-15T16:09:47.97" personId="{5D048A0C-9405-47F1-A020-6E53793B23CD}" id="{C0906B58-2C42-436F-92C8-D387F3CC33D1}">
    <text>Median word frequency</text>
  </threadedComment>
  <threadedComment ref="D44" dT="2024-01-16T15:49:15.06" personId="{5D048A0C-9405-47F1-A020-6E53793B23CD}" id="{31271ADB-AB77-4A15-8377-1610425DA144}">
    <text>Higher-frequency additions: the number of additions among variants whose word frequency was equal to or above the median</text>
  </threadedComment>
  <threadedComment ref="D45" dT="2024-01-16T15:49:42.55" personId="{5D048A0C-9405-47F1-A020-6E53793B23CD}" id="{88C06FF4-45EA-47C3-B5E6-61679BD9CF68}">
    <text xml:space="preserve">Higher-frequency omissions: the number of omissions among variants whose word frequency was equal to or above the median
</text>
  </threadedComment>
  <threadedComment ref="D46" dT="2024-01-16T15:50:17.80" personId="{5D048A0C-9405-47F1-A020-6E53793B23CD}" id="{56988C74-498F-4D23-A95B-520D1176FC3B}">
    <text>Higher-frequency add ratio: the add ratio among variants whose word frequency was equal to or above the median</text>
  </threadedComment>
  <threadedComment ref="D47" dT="2024-01-16T15:50:43.11" personId="{5D048A0C-9405-47F1-A020-6E53793B23CD}" id="{39374EE6-8853-40BD-A89D-AB6E4AB9A28D}">
    <text xml:space="preserve">Lower-frequency additions: the number of additions among variants whose word frequency was below the median
</text>
  </threadedComment>
  <threadedComment ref="D48" dT="2024-01-16T15:52:18.36" personId="{5D048A0C-9405-47F1-A020-6E53793B23CD}" id="{0C91193C-9282-4EBD-B73A-97349316B8F5}">
    <text>Higher-frequency omissions: the number of omissions among variants whose word frequency was below  the median</text>
  </threadedComment>
  <threadedComment ref="D49" dT="2024-01-16T15:51:50.24" personId="{5D048A0C-9405-47F1-A020-6E53793B23CD}" id="{CE82762C-1067-496C-8452-6F9B74BD5635}">
    <text xml:space="preserve">Lower-frequency add ratio: the add ratio among variants whose word frequency was below the median
</text>
  </threadedComment>
  <threadedComment ref="D52" dT="2024-01-16T15:56:55.41" personId="{5D048A0C-9405-47F1-A020-6E53793B23CD}" id="{2D35D08D-AF80-49C9-8529-1BF08AE176BB}">
    <text>Articular additions: the number of additions of an article</text>
  </threadedComment>
  <threadedComment ref="D53" dT="2024-01-16T16:01:25.48" personId="{5D048A0C-9405-47F1-A020-6E53793B23CD}" id="{98D0053C-03FD-4511-B88B-3E5357642C60}">
    <text>Articular omissions: the number of omissions of an article</text>
  </threadedComment>
  <threadedComment ref="D54" dT="2024-01-16T16:01:49.04" personId="{5D048A0C-9405-47F1-A020-6E53793B23CD}" id="{C90383C7-1E54-4B18-963C-F0CC13E360BF}">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5D048A0C-9405-47F1-A020-6E53793B23CD}" id="{E6D50A38-542C-44BA-A219-0EF71D61EC55}">
    <text>Derived variable indicating the number of times per 1000 words the added or omitted word occurs. Thus, Freq-per-10,000 = (AO Word Frequency / Words in Corpus) * 10,000</text>
  </threadedComment>
  <threadedComment ref="S1" dT="2024-01-16T10:00:06.98" personId="{5D048A0C-9405-47F1-A020-6E53793B23CD}" id="{E0FB622C-68DA-412D-B5A9-B66346EBB9B5}">
    <text>For substitutions, the word frequency of the apograph reading</text>
  </threadedComment>
  <threadedComment ref="T1" dT="2024-01-16T09:59:48.08" personId="{5D048A0C-9405-47F1-A020-6E53793B23CD}" id="{3A50490D-6FAA-4499-B122-046D61CD0A39}">
    <text>For substitutions, the word frequency of the autograph reading</text>
  </threadedComment>
  <threadedComment ref="D8" dT="2024-01-15T11:53:38.99" personId="{5D048A0C-9405-47F1-A020-6E53793B23CD}" id="{845C4C18-E06C-4C9D-B19B-97D5F913C3A2}">
    <text>Total word count for corpus. Figure taken from Accordance "Word Count Totals" analysis. Search for word "*" specifying [RANGE &lt;CONTENT&gt;]. E.g., for 1 Samuel - 2 Kings in Alexandrinus, search for "* [RANGE 1 Sam - 2 Kings]" in LXX Rahlfs.</text>
  </threadedComment>
  <threadedComment ref="D9" dT="2024-01-15T16:09:47.97" personId="{5D048A0C-9405-47F1-A020-6E53793B23CD}" id="{9A1FABF7-C10C-4AB0-B46A-E7534CFC49D0}">
    <text>Median word frequency</text>
  </threadedComment>
  <threadedComment ref="D12" dT="2024-01-16T15:49:15.06" personId="{5D048A0C-9405-47F1-A020-6E53793B23CD}" id="{73E51AB7-C409-44D7-94DC-668E90D103C2}">
    <text>Higher-frequency additions: the number of additions among variants whose word frequency was equal to or above the median</text>
  </threadedComment>
  <threadedComment ref="D13" dT="2024-01-16T15:49:42.55" personId="{5D048A0C-9405-47F1-A020-6E53793B23CD}" id="{9BD4B099-63ED-4395-983C-DF1FA6127B65}">
    <text xml:space="preserve">Higher-frequency omissions: the number of omissions among variants whose word frequency was equal to or above the median
</text>
  </threadedComment>
  <threadedComment ref="D14" dT="2024-01-16T15:50:17.80" personId="{5D048A0C-9405-47F1-A020-6E53793B23CD}" id="{B0AEF4CA-81E3-4CC4-A10C-87E56A0A8583}">
    <text>Higher-frequency add ratio: the add ratio among variants whose word frequency was equal to or above the median</text>
  </threadedComment>
  <threadedComment ref="D15" dT="2024-01-16T15:50:43.11" personId="{5D048A0C-9405-47F1-A020-6E53793B23CD}" id="{EAA39BE9-B8EF-42AB-9D1D-024416597F6B}">
    <text xml:space="preserve">Lower-frequency additions: the number of additions among variants whose word frequency was below the median
</text>
  </threadedComment>
  <threadedComment ref="D16" dT="2024-01-16T15:52:18.36" personId="{5D048A0C-9405-47F1-A020-6E53793B23CD}" id="{C92BC8E2-04F0-4B95-82A1-882BF359440F}">
    <text>Higher-frequency omissions: the number of omissions among variants whose word frequency was below  the median</text>
  </threadedComment>
  <threadedComment ref="D17" dT="2024-01-16T15:51:50.24" personId="{5D048A0C-9405-47F1-A020-6E53793B23CD}" id="{67F2CFBF-F53B-4A04-9415-D1F5B6BAB187}">
    <text xml:space="preserve">Lower-frequency add ratio: the add ratio among variants whose word frequency was below the median
</text>
  </threadedComment>
  <threadedComment ref="D18" dT="2024-01-22T14:15:25.14" personId="{5D048A0C-9405-47F1-A020-6E53793B23CD}" id="{C14B06A9-D1F6-4DD7-A504-94177752CBD7}">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5D048A0C-9405-47F1-A020-6E53793B23CD}" id="{5DEEB9F5-2367-4DFD-B6E2-DA0E02D66663}">
    <text>For substitutions, the word frequency of the apograph reading</text>
  </threadedComment>
  <threadedComment ref="S1" dT="2024-01-16T09:59:48.08" personId="{5D048A0C-9405-47F1-A020-6E53793B23CD}" id="{23D568AF-4C88-4C47-9258-97710A5F5B2A}">
    <text>For substitutions, the word frequency of the autograph reading</text>
  </threadedComment>
  <threadedComment ref="T1" dT="2024-01-16T12:04:07.25" personId="{5D048A0C-9405-47F1-A020-6E53793B23CD}" id="{9BB9E5C8-B75E-4052-AD5B-E1AD17B5C881}">
    <text>Frequency occurrence of autograph reading per 10,000 words of text</text>
  </threadedComment>
  <threadedComment ref="U1" dT="2024-01-16T12:04:21.22" personId="{5D048A0C-9405-47F1-A020-6E53793B23CD}" id="{B4DE25A9-0AFB-4D20-864E-65AEB1600F70}">
    <text>Frequency occurrence of apograph reading per 10,000 words of text</text>
  </threadedComment>
  <threadedComment ref="V1" dT="2024-01-16T12:05:32.46" personId="{5D048A0C-9405-47F1-A020-6E53793B23CD}" id="{B9436083-1C6D-455F-A7C5-7A374E8927C1}">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4" dT="2024-01-15T11:53:38.99" personId="{5D048A0C-9405-47F1-A020-6E53793B23CD}" id="{DA5FD98A-29BA-4713-9484-36C7ED7F1294}">
    <text>Total word count for corpus. Figure taken from Accordance "Word Count Totals" analysis. Search for word "*" specifying [RANGE &lt;CONTENT&gt;]. E.g., for 1 Samuel - 2 Kings in Alexandrinus, search for "* [RANGE 1 Sam - 2 Kings]" in LXX Rahlfs.</text>
  </threadedComment>
  <threadedComment ref="D17" dT="2024-01-16T16:24:54.84" personId="{5D048A0C-9405-47F1-A020-6E53793B23CD}" id="{A17B52C0-BC2C-4C41-B690-1441E1DC23E2}">
    <text>Number of variants where the scribe used a more common/frequent word in place of a less common/frequent word</text>
  </threadedComment>
  <threadedComment ref="D18" dT="2024-01-16T16:25:18.29" personId="{5D048A0C-9405-47F1-A020-6E53793B23CD}" id="{425FDAD5-7727-4F12-AE64-387F1EB11E43}">
    <text>Number of variants where the scribe used a less common/frequent word in place of a more  common/frequent word</text>
  </threadedComment>
  <threadedComment ref="D19" dT="2024-01-16T16:26:16.57" personId="{5D048A0C-9405-47F1-A020-6E53793B23CD}" id="{08F41B84-B474-4203-8F54-D41745875986}">
    <text>Probability based on 2-tailed sign test: probability of obtaining a result as extreme as or more extreme than that shown above</text>
  </threadedComment>
  <threadedComment ref="D21" dT="2024-01-16T16:28:22.68" personId="{5D048A0C-9405-47F1-A020-6E53793B23CD}" id="{90EFFFD6-735C-48E5-B2C6-3EC10C13CF7D}">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2" dT="2024-01-16T16:28:51.78" personId="{5D048A0C-9405-47F1-A020-6E53793B23CD}" id="{96277455-95C8-4A6B-9C92-77518836092F}">
    <text>Standard deviation of the word frequency difference for substitutions</text>
  </threadedComment>
  <threadedComment ref="D25" dT="2024-01-16T16:30:57.18" personId="{5D048A0C-9405-47F1-A020-6E53793B23CD}" id="{1119B9CA-6727-4D82-967A-F0A3CA5AE3E2}">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26" dT="2024-01-16T16:31:30.62" personId="{5D048A0C-9405-47F1-A020-6E53793B23CD}" id="{915388AA-0541-47E7-B9A7-EE023F17F7CF}">
    <text>Standard deviation of the change in word frequency, using the frequency measure of "occurrences per 10,000 words"</text>
  </threadedComment>
  <threadedComment ref="D29" dT="2024-01-22T16:14:41.99" personId="{5D048A0C-9405-47F1-A020-6E53793B23CD}" id="{12782F10-AACC-4D39-830D-97753BB4816A}">
    <text>Total number of substitutions for which a word frequency difference could be calculated</text>
  </threadedComment>
  <threadedComment ref="D30" dT="2024-01-22T17:13:39.02" personId="{5D048A0C-9405-47F1-A020-6E53793B23CD}" id="{4FEAA160-9845-4D51-AAD2-A6034B9E4BBD}">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5D048A0C-9405-47F1-A020-6E53793B23CD}" id="{85AA4C45-32AC-4A1C-B038-4EB0B4C98768}">
    <text>For substitutions, the word frequency of the apograph reading</text>
  </threadedComment>
  <threadedComment ref="T1" dT="2024-01-16T09:59:48.08" personId="{5D048A0C-9405-47F1-A020-6E53793B23CD}" id="{62770A04-36ED-4C62-A783-083CF8F464A3}">
    <text>For substitutions, the word frequency of the autograph reading</text>
  </threadedComment>
  <threadedComment ref="D5" dT="2024-01-24T17:15:11.25" personId="{5D048A0C-9405-47F1-A020-6E53793B23CD}" id="{40BA1C46-D4FA-48E4-AC15-E2EEAF6EB295}">
    <text>The number of variants that harmonized to parallel phrases in the near context</text>
  </threadedComment>
  <threadedComment ref="D6" dT="2024-01-24T17:15:35.01" personId="{5D048A0C-9405-47F1-A020-6E53793B23CD}" id="{23BFB271-F88E-4353-BA05-D7370260B9D2}">
    <text>The number of variants that disharmonized from  parallel phrases in the near context</text>
  </threadedComment>
  <threadedComment ref="D7" dT="2024-01-24T17:16:15.06" personId="{5D048A0C-9405-47F1-A020-6E53793B23CD}" id="{0AD6D9F9-2F1D-44BE-A953-FBE9B8E07C12}">
    <text>The ratio of harmonizations to disharmonizations; = harmonizations / (harmonizations + disharmonizations)</text>
  </threadedComment>
  <threadedComment ref="E11" dT="2026-03-26T18:54:36.97" personId="{5D048A0C-9405-47F1-A020-6E53793B23CD}" id="{ED08F7F9-1454-4A27-8E33-0D39A1CDAA02}">
    <text>All cases where influence from preceding material was possible.</text>
  </threadedComment>
  <threadedComment ref="F11" dT="2026-03-26T18:55:05.59" personId="{5D048A0C-9405-47F1-A020-6E53793B23CD}" id="{0AF28895-093D-4DC8-A63F-A8A5D20CF2B3}">
    <text>All cases where influence from following material was possible.</text>
  </threadedComment>
  <threadedComment ref="G11" dT="2026-03-26T18:56:11.72" personId="{5D048A0C-9405-47F1-A020-6E53793B23CD}" id="{3974ECD3-1AA7-4B3E-80B0-1A60B8E1FB87}">
    <text>Only cases where verbal parallels existed both behind and after the variant in question and the direction of change in verbal similarity was the same.</text>
  </threadedComment>
  <threadedComment ref="H11" dT="2026-03-26T18:56:36.44" personId="{5D048A0C-9405-47F1-A020-6E53793B23CD}" id="{AD3C4D56-9A0A-4345-8005-6EA35E72C7A6}">
    <text>All potential cases of verbal harmonization/disharmonization, forward and backward.</text>
  </threadedComment>
  <threadedComment ref="D12" dT="2024-01-24T17:15:11.25" personId="{5D048A0C-9405-47F1-A020-6E53793B23CD}" id="{97DB7EF9-2486-4788-9B63-6F2F6CB3C1B9}">
    <text>The number of variants that harmonized to parallel phrases in the near context</text>
  </threadedComment>
  <threadedComment ref="D13" dT="2024-01-24T17:15:35.01" personId="{5D048A0C-9405-47F1-A020-6E53793B23CD}" id="{AC9053CF-3511-46F8-956C-335082D56E88}">
    <text>The number of variants that disharmonized from  parallel phrases in the near context</text>
  </threadedComment>
  <threadedComment ref="D14" dT="2024-01-24T17:16:15.06" personId="{5D048A0C-9405-47F1-A020-6E53793B23CD}" id="{68D9F6CF-BCFD-4577-9BE7-71C6F178CB12}">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4-01-16T10:00:06.98" personId="{5D048A0C-9405-47F1-A020-6E53793B23CD}" id="{9C3AC299-3484-4B71-BB78-75E4FEF34C58}">
    <text>For substitutions, the word frequency of the apograph reading</text>
  </threadedComment>
  <threadedComment ref="S1" dT="2024-01-16T09:59:48.08" personId="{5D048A0C-9405-47F1-A020-6E53793B23CD}" id="{561B561B-6F62-4297-BCEF-CBABAB40B73C}">
    <text>For substitutions, the word frequency of the autograph reading</text>
  </threadedComment>
</ThreadedComments>
</file>

<file path=xl/threadedComments/threadedComment9.xml><?xml version="1.0" encoding="utf-8"?>
<ThreadedComments xmlns="http://schemas.microsoft.com/office/spreadsheetml/2018/threadedcomments" xmlns:x="http://schemas.openxmlformats.org/spreadsheetml/2006/main">
  <threadedComment ref="Q1" dT="2024-01-15T15:51:08.85" personId="{5D048A0C-9405-47F1-A020-6E53793B23CD}" id="{B2A29070-278A-4D3F-8F5A-00B938027A95}">
    <text>Derived variable indicating the number of times per 1000 words the added or omitted word occurs. Thus, Freq-per-10,000 = (AO Word Frequency / Words in Corpus) * 10,000</text>
  </threadedComment>
  <threadedComment ref="S1" dT="2024-01-16T10:00:06.98" personId="{5D048A0C-9405-47F1-A020-6E53793B23CD}" id="{B0648072-91E8-4FE4-A89E-68720C38AA2E}">
    <text>For substitutions, the word frequency of the apograph reading</text>
  </threadedComment>
  <threadedComment ref="T1" dT="2024-01-16T09:59:48.08" personId="{5D048A0C-9405-47F1-A020-6E53793B23CD}" id="{7F773ACE-231F-4BC4-8B24-0312CE6A9363}">
    <text>For substitutions, the word frequency of the autograph reading</text>
  </threadedComment>
  <threadedComment ref="F24" dT="2023-09-09T16:20:24.92" personId="{5D048A0C-9405-47F1-A020-6E53793B23CD}" id="{23BBE514-BB88-4D01-9D78-2765C81E441E}">
    <text>Raw number of additions</text>
  </threadedComment>
  <threadedComment ref="B25" dT="2023-09-09T13:15:24.43" personId="{5D048A0C-9405-47F1-A020-6E53793B23CD}" id="{3C1966DF-3BA0-466E-A0CB-BD1D245BF9BD}">
    <text>"Low Meaning" words</text>
  </threadedComment>
  <threadedComment ref="C25" dT="2023-09-09T13:15:40.92" personId="{5D048A0C-9405-47F1-A020-6E53793B23CD}" id="{E31EC728-5B9C-4F5C-846D-E68114CFE8B8}">
    <text>"High Meaning" words</text>
  </threadedComment>
  <threadedComment ref="F25" dT="2023-09-09T16:20:41.93" personId="{5D048A0C-9405-47F1-A020-6E53793B23CD}" id="{1C0DE799-BCD9-4F5D-9790-F546F5952941}">
    <text>Raw number of omissions</text>
  </threadedComment>
  <threadedComment ref="F26" dT="2023-09-09T16:21:30.82" personId="{5D048A0C-9405-47F1-A020-6E53793B23CD}" id="{0184449C-E3B0-48DA-BE6D-CB0C0F758DEE}">
    <text>% of add-omits that are additions</text>
  </threadedComment>
  <threadedComment ref="F29" dT="2023-09-09T16:22:43.13" personId="{5D048A0C-9405-47F1-A020-6E53793B23CD}" id="{6777854F-30AA-4D22-94DC-37C1811F5D67}">
    <text>Raw number of additions of "low meaning" words. See LM column for included word types (and adjust equation as necessary)</text>
  </threadedComment>
  <threadedComment ref="F30" dT="2023-09-09T16:23:00.73" personId="{5D048A0C-9405-47F1-A020-6E53793B23CD}" id="{AA3B34B0-E0E3-4FDE-BF1D-16512B5F7355}">
    <text>Raw number of omissions of "low meaning" words. See LM column for included word types (and adjust equation as necessary)</text>
  </threadedComment>
  <threadedComment ref="F31" dT="2023-09-09T16:23:25.50" personId="{5D048A0C-9405-47F1-A020-6E53793B23CD}" id="{AFB598AE-C6C7-4055-A0EB-A208D52F29EA}">
    <text>Addition rate for "low meaning" words. See LM column for included word types (and adjust equation as necessary)</text>
  </threadedComment>
  <threadedComment ref="F34" dT="2023-09-09T16:26:23.57" personId="{5D048A0C-9405-47F1-A020-6E53793B23CD}" id="{831439A3-7714-43F3-B241-2F4820892EF1}">
    <text>Raw number of additions of "high meaning" words. See HM column for included word types (and adjust equation as necessary)</text>
  </threadedComment>
  <threadedComment ref="F35" dT="2023-09-09T16:26:53.68" personId="{5D048A0C-9405-47F1-A020-6E53793B23CD}" id="{091A1B2A-3D35-482A-815D-CBACFDD96BF3}">
    <text>Raw number of omissions of "high meaning" words. See HM column for included word types (and adjust equation as necessary)</text>
  </threadedComment>
  <threadedComment ref="F36" dT="2023-09-09T16:27:24.75" personId="{5D048A0C-9405-47F1-A020-6E53793B23CD}" id="{CCE3DA2D-0193-441A-8D6D-B080E9003015}">
    <text>Addition rate for "high meaning" words. See HM column for included word types (and adjust equation as necessary)</text>
  </threadedComment>
  <threadedComment ref="D42" dT="2023-09-09T16:31:02.72" personId="{5D048A0C-9405-47F1-A020-6E53793B23CD}" id="{3DAED7DE-1AC7-48AF-9214-B42E71B3E5EE}">
    <text>The number of add-omits where visual cues are present that are, in fact, additions. I.e., the number of additions that result in the presence of visual cues</text>
  </threadedComment>
  <threadedComment ref="E42" dT="2023-09-09T16:31:50.60" personId="{5D048A0C-9405-47F1-A020-6E53793B23CD}" id="{83598833-AB13-40F7-A381-A9AE69F866D0}">
    <text>The number of add-omits where visual cues are NOT present that are, in fact, additions. I.e., the number of additions that generate no visual cues</text>
  </threadedComment>
  <threadedComment ref="F42" dT="2023-09-09T16:33:25.83" personId="{5D048A0C-9405-47F1-A020-6E53793B23CD}" id="{E9A58B1E-08A0-40E5-B9BD-219ED90502AA}">
    <text>The percentage of add-omits where visual cues are present that are, in fact, additions. I.e., a percent frequency indicating how often an addition generates visual cues</text>
  </threadedComment>
  <threadedComment ref="D43" dT="2023-09-09T16:34:19.48" personId="{5D048A0C-9405-47F1-A020-6E53793B23CD}" id="{AC43DFAB-B73A-42C2-B4B4-614AE8C0A33D}">
    <text>The number of add-omits where visual cues are present that are, in fact, omissions. I.e., the number of times that omissions occurred in the presence of visual cues</text>
  </threadedComment>
  <threadedComment ref="E43" dT="2023-09-09T16:34:51.06" personId="{5D048A0C-9405-47F1-A020-6E53793B23CD}" id="{A3413DF0-96E7-4E95-A22F-7B7BC8E50633}">
    <text>The number of add-omits where visual cues are NOT present that are, in fact, omissions. I.e., the number of times that omissions occurred in the absence of visual cues</text>
  </threadedComment>
  <threadedComment ref="F43" dT="2023-09-09T16:35:41.16" personId="{5D048A0C-9405-47F1-A020-6E53793B23CD}" id="{53D45101-ED6A-4333-905A-7698BC7F3C7A}">
    <text>The percentage of add-omits where visual cues are present that are, in fact, omissions. I.e., the percentage of omissions that could plausibly be due to visual cues</text>
  </threadedComment>
  <threadedComment ref="D44" dT="2023-09-09T16:36:05.81" personId="{5D048A0C-9405-47F1-A020-6E53793B23CD}" id="{CDEFF3B4-1EBA-4736-B698-9E0EF674B7B9}">
    <text>The total number of add-omits that involve visual cues</text>
  </threadedComment>
  <threadedComment ref="E44" dT="2023-09-09T16:38:54.43" personId="{5D048A0C-9405-47F1-A020-6E53793B23CD}" id="{595AFD6B-67CF-451C-B8AD-BCF08F07A72E}">
    <text>The total number of add-omits that involve NO visual cues (given the definition of this project, i.e., 3-character minimum similarity in critical regions)</text>
  </threadedComment>
  <threadedComment ref="F44" dT="2023-09-09T16:39:12.76" personId="{5D048A0C-9405-47F1-A020-6E53793B23CD}" id="{24DE2804-2679-408C-915C-10DEFA4CC191}">
    <text>The percentage of all add-omits that involve visual cues</text>
  </threadedComment>
  <threadedComment ref="D48" dT="2023-09-09T16:31:50.60" personId="{5D048A0C-9405-47F1-A020-6E53793B23CD}" id="{DC2AFEB1-8B6F-47E7-9821-6E8D87B11A4B}">
    <text>The number of add-omits where visual cues are NOT present that are, in fact, additions. I.e., the number of additions that generate no visual cues</text>
  </threadedComment>
  <threadedComment ref="E48" dT="2023-09-09T16:34:51.06" personId="{5D048A0C-9405-47F1-A020-6E53793B23CD}" id="{2C484BA6-1AFB-43A6-AF52-A6C57883282D}">
    <text>The number of add-omits where visual cues are NOT present that are, in fact, omissions. I.e., the number of times that omissions occurred in the absence of visual cues</text>
  </threadedComment>
  <threadedComment ref="D49" dT="2023-09-09T16:31:02.72" personId="{5D048A0C-9405-47F1-A020-6E53793B23CD}" id="{6F1471E9-8466-463B-AE41-523A8F3E95D9}">
    <text>The number of add-omits where visual cues are present that are, in fact, additions. I.e., the number of additions that result in the presence of visual cues</text>
  </threadedComment>
  <threadedComment ref="E49" dT="2023-09-09T16:34:19.48" personId="{5D048A0C-9405-47F1-A020-6E53793B23CD}" id="{9A8E3A60-66DC-45C7-89FB-416C7CD8F8A7}">
    <text>The number of add-omits where visual cues are present that are, in fact, omissions. I.e., the number of times that omissions occurred in the presence of visual cues</text>
  </threadedComment>
  <threadedComment ref="D54" dT="2023-09-09T16:31:50.60" personId="{5D048A0C-9405-47F1-A020-6E53793B23CD}" id="{0D11DF7E-36B9-4C4B-B158-CEFECFEA0EB7}">
    <text>The number of non-dittographic add-omits that are, in fact, additions. I.e., the number of additions that do not result in dittography</text>
  </threadedComment>
  <threadedComment ref="E54" dT="2023-09-09T16:34:51.06" personId="{5D048A0C-9405-47F1-A020-6E53793B23CD}" id="{4BA0A7B4-B994-4139-BEDF-B6FD21FFF529}">
    <text>The number of non-dittographic add-omits that are, in fact, omissions. I.e., the number of omissions that did not undo a dittographic reading</text>
  </threadedComment>
  <threadedComment ref="D55" dT="2023-09-09T16:31:02.72" personId="{5D048A0C-9405-47F1-A020-6E53793B23CD}" id="{F4A6BBCC-CF63-45F7-B88D-D4E08EC9B9C6}">
    <text>The number of dittographic add-omits that are, in fact, additions. I.e., the number of additions that result in dittography</text>
  </threadedComment>
  <threadedComment ref="E55" dT="2023-09-09T16:34:19.48" personId="{5D048A0C-9405-47F1-A020-6E53793B23CD}" id="{B478EF87-643D-4150-8A9F-3423590A24CD}">
    <text>The number of dittographic add-omits that are, in fact, omissions. I.e., the number omissions where the omitted word(s) is/are dittographies</text>
  </threadedComment>
  <threadedComment ref="D60" dT="2024-01-06T19:48:13.17" personId="{5D048A0C-9405-47F1-A020-6E53793B23CD}" id="{5B320420-1584-4E0A-8A77-A90635757443}">
    <text>Additions of one word</text>
  </threadedComment>
  <threadedComment ref="E60" dT="2024-01-06T19:48:24.08" personId="{5D048A0C-9405-47F1-A020-6E53793B23CD}" id="{8D0B90E2-25D6-4B5F-8EA0-3267C54BC049}">
    <text>Omissions of one word</text>
  </threadedComment>
  <threadedComment ref="F60" dT="2024-01-06T19:49:49.67" personId="{5D048A0C-9405-47F1-A020-6E53793B23CD}" id="{FBB4BA68-BC1D-41CC-90F1-ACD432577D86}">
    <text>Add ratio for single-word variants</text>
  </threadedComment>
  <threadedComment ref="D61" dT="2024-01-06T19:48:46.30" personId="{5D048A0C-9405-47F1-A020-6E53793B23CD}" id="{ADBC29EF-E532-4AAE-96A7-3AEDD14A44DA}">
    <text>Additions of 2-3 words</text>
  </threadedComment>
  <threadedComment ref="E61" dT="2024-01-06T19:49:11.26" personId="{5D048A0C-9405-47F1-A020-6E53793B23CD}" id="{B22C5A75-E0CB-4EFF-B9B9-020DD1580140}">
    <text>Omissions of 2-3 words</text>
  </threadedComment>
  <threadedComment ref="F61" dT="2024-01-06T19:50:08.15" personId="{5D048A0C-9405-47F1-A020-6E53793B23CD}" id="{62AE258C-0F58-4954-9235-3ED1B25F3A06}">
    <text>Add ratio for variants of 2-3 words</text>
  </threadedComment>
  <threadedComment ref="D62" dT="2024-01-06T19:48:58.81" personId="{5D048A0C-9405-47F1-A020-6E53793B23CD}" id="{4C2CFD85-C74A-4400-80BE-24E50429D914}">
    <text>Additions of 4 or more words</text>
  </threadedComment>
  <threadedComment ref="E62" dT="2024-01-06T19:49:22.83" personId="{5D048A0C-9405-47F1-A020-6E53793B23CD}" id="{BAC68385-2161-40EE-928D-456373584B96}">
    <text>Omissions of 4 or more words</text>
  </threadedComment>
  <threadedComment ref="F62" dT="2024-01-06T19:50:20.70" personId="{5D048A0C-9405-47F1-A020-6E53793B23CD}" id="{0BB06ACB-8194-4AC9-9E1A-1CFD8C0729AA}">
    <text>Add ratio for variants of 4 or more words</text>
  </threadedComment>
  <threadedComment ref="C65" dT="2023-09-09T16:27:49.68" personId="{5D048A0C-9405-47F1-A020-6E53793B23CD}" id="{700EE5E9-AEB9-42C3-AA94-07D02F59FB0B}">
    <text>Number of words added or omitted</text>
  </threadedComment>
  <threadedComment ref="D65" dT="2023-09-09T16:28:21.63" personId="{5D048A0C-9405-47F1-A020-6E53793B23CD}" id="{D8746F60-4A10-4EA3-887D-B9F047BC433E}">
    <text>Number of additions involving the number of words specified in the "Length" column</text>
  </threadedComment>
  <threadedComment ref="E65" dT="2023-09-09T16:28:41.21" personId="{5D048A0C-9405-47F1-A020-6E53793B23CD}" id="{AD1354D4-D169-42AC-89C2-D882C3AFD6DA}">
    <text>Number of omissions involving the number of words specified in the "Length" column</text>
  </threadedComment>
  <threadedComment ref="F65" dT="2023-09-09T16:29:25.88" personId="{5D048A0C-9405-47F1-A020-6E53793B23CD}" id="{935DA078-07EE-4F64-929E-143AEB3AE4BC}">
    <text>The addition rate for add-omits involving the number of words indicated in the "Length" column</text>
  </threadedComment>
  <threadedComment ref="E73" dT="2024-01-15T11:53:38.99" personId="{5D048A0C-9405-47F1-A020-6E53793B23CD}" id="{FB1B08E2-7BD8-4CC9-A06A-6EA233DEDFA7}">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10.xml><?xml version="1.0" encoding="utf-8"?>
<ThreadedComments xmlns="http://schemas.microsoft.com/office/spreadsheetml/2018/threadedcomments" xmlns:x="http://schemas.openxmlformats.org/spreadsheetml/2006/main">
  <threadedComment ref="Q1" dT="2024-01-15T15:51:08.85" personId="{5D048A0C-9405-47F1-A020-6E53793B23CD}" id="{AC6FD6B5-E239-4635-B79B-3D3CA04DDCB3}">
    <text>Derived variable indicating the number of times per 1000 words the added or omitted word occurs. Thus, Freq-per-10,000 = (AO Word Frequency / Words in Corpus) * 10,000</text>
  </threadedComment>
  <threadedComment ref="S1" dT="2024-01-16T10:00:06.98" personId="{5D048A0C-9405-47F1-A020-6E53793B23CD}" id="{CB3DACF4-01D2-4609-AF31-7CA2C436F5EB}">
    <text>For substitutions, the word frequency of the apograph reading</text>
  </threadedComment>
  <threadedComment ref="T1" dT="2024-01-16T09:59:48.08" personId="{5D048A0C-9405-47F1-A020-6E53793B23CD}" id="{251D3B6A-D75A-45E9-A077-96B473AE4E85}">
    <text>For substitutions, the word frequency of the autograph reading</text>
  </threadedComment>
  <threadedComment ref="D18" dT="2024-01-15T11:53:38.99" personId="{5D048A0C-9405-47F1-A020-6E53793B23CD}" id="{C4AECCD7-6322-4F99-8FE9-CE98B9018960}">
    <text>Total word count for corpus. Figure taken from Accordance "Word Count Totals" analysis. Search for word "*" specifying [RANGE &lt;CONTENT&gt;]. E.g., for 1 Samuel - 2 Kings in Alexandrinus, search for "* [RANGE 1 Sam - 2 Kings]" in LXX Rahlfs.</text>
  </threadedComment>
  <threadedComment ref="D19" dT="2024-01-15T16:09:47.97" personId="{5D048A0C-9405-47F1-A020-6E53793B23CD}" id="{0A71431A-F58F-4910-A121-0B231FD5B844}">
    <text>Median word frequency</text>
  </threadedComment>
  <threadedComment ref="D22" dT="2024-01-16T15:49:15.06" personId="{5D048A0C-9405-47F1-A020-6E53793B23CD}" id="{01CF5DD2-C98C-4C79-B2E7-1FE10DBA5E35}">
    <text>Higher-frequency additions: the number of additions among variants whose word frequency was equal to or above the median</text>
  </threadedComment>
  <threadedComment ref="D23" dT="2024-01-16T15:49:42.55" personId="{5D048A0C-9405-47F1-A020-6E53793B23CD}" id="{D267BA2B-0B68-4FBC-91C7-E6033577A715}">
    <text xml:space="preserve">Higher-frequency omissions: the number of omissions among variants whose word frequency was equal to or above the median
</text>
  </threadedComment>
  <threadedComment ref="D24" dT="2024-01-16T15:50:17.80" personId="{5D048A0C-9405-47F1-A020-6E53793B23CD}" id="{D1D544B8-E5FB-46E9-9F44-5BC7086CE04E}">
    <text>Higher-frequency add ratio: the add ratio among variants whose word frequency was equal to or above the median</text>
  </threadedComment>
  <threadedComment ref="D25" dT="2024-01-16T15:50:43.11" personId="{5D048A0C-9405-47F1-A020-6E53793B23CD}" id="{EBC0144B-2C5E-4069-A5C9-413D83114725}">
    <text xml:space="preserve">Lower-frequency additions: the number of additions among variants whose word frequency was below the median
</text>
  </threadedComment>
  <threadedComment ref="D26" dT="2024-01-16T15:52:18.36" personId="{5D048A0C-9405-47F1-A020-6E53793B23CD}" id="{00DDA8FE-578C-4635-A7DF-A7EE1B60E413}">
    <text>Higher-frequency omissions: the number of omissions among variants whose word frequency was below  the median</text>
  </threadedComment>
  <threadedComment ref="D27" dT="2024-01-16T15:51:50.24" personId="{5D048A0C-9405-47F1-A020-6E53793B23CD}" id="{221E682E-17E6-4ECD-9481-E247834CD275}">
    <text xml:space="preserve">Lower-frequency add ratio: the add ratio among variants whose word frequency was below the median
</text>
  </threadedComment>
  <threadedComment ref="D30" dT="2024-01-16T15:56:55.41" personId="{5D048A0C-9405-47F1-A020-6E53793B23CD}" id="{395FD905-61D1-4E38-826B-F4A992BEBD15}">
    <text>Articular additions: the number of additions of an article</text>
  </threadedComment>
  <threadedComment ref="D31" dT="2024-01-16T16:01:25.48" personId="{5D048A0C-9405-47F1-A020-6E53793B23CD}" id="{1964B74A-3E1C-4F4F-999D-A695FEC40C49}">
    <text>Articular omissions: the number of omissions of an article</text>
  </threadedComment>
  <threadedComment ref="D32" dT="2024-01-16T16:01:49.04" personId="{5D048A0C-9405-47F1-A020-6E53793B23CD}" id="{818329BE-8575-4CD5-8B28-C2599A9F1394}">
    <text>Articular add ratio: the add ratio for the definite article</text>
  </threadedComment>
</ThreadedComments>
</file>

<file path=xl/threadedComments/threadedComment11.xml><?xml version="1.0" encoding="utf-8"?>
<ThreadedComments xmlns="http://schemas.microsoft.com/office/spreadsheetml/2018/threadedcomments" xmlns:x="http://schemas.openxmlformats.org/spreadsheetml/2006/main">
  <threadedComment ref="Q1" dT="2024-01-15T15:51:08.85" personId="{5D048A0C-9405-47F1-A020-6E53793B23CD}" id="{F77C7AD7-2A05-45F6-971E-8A4008E59446}">
    <text>Derived variable indicating the number of times per 1000 words the added or omitted word occurs. Thus, Freq-per-10,000 = (AO Word Frequency / Words in Corpus) * 10,000</text>
  </threadedComment>
  <threadedComment ref="S1" dT="2024-01-16T10:00:06.98" personId="{5D048A0C-9405-47F1-A020-6E53793B23CD}" id="{D25BC73A-EB71-4409-A578-B2CBF80AF351}">
    <text>For substitutions, the word frequency of the apograph reading</text>
  </threadedComment>
  <threadedComment ref="T1" dT="2024-01-16T09:59:48.08" personId="{5D048A0C-9405-47F1-A020-6E53793B23CD}" id="{5406D1FD-4255-4FBB-9FA6-D1C67FB1307B}">
    <text>For substitutions, the word frequency of the autograph reading</text>
  </threadedComment>
  <threadedComment ref="D6" dT="2024-01-15T11:53:38.99" personId="{5D048A0C-9405-47F1-A020-6E53793B23CD}" id="{1A1DD2C3-B8BA-4820-ADD6-D1670FF1F7CC}">
    <text>Total word count for corpus. Figure taken from Accordance "Word Count Totals" analysis. Search for word "*" specifying [RANGE &lt;CONTENT&gt;]. E.g., for 1 Samuel - 2 Kings in Alexandrinus, search for "* [RANGE 1 Sam - 2 Kings]" in LXX Rahlfs.</text>
  </threadedComment>
  <threadedComment ref="D7" dT="2024-01-15T16:09:47.97" personId="{5D048A0C-9405-47F1-A020-6E53793B23CD}" id="{9DB09A4B-3283-4302-BE73-DA922BFE6076}">
    <text>Median word frequency</text>
  </threadedComment>
  <threadedComment ref="D10" dT="2024-01-16T15:49:15.06" personId="{5D048A0C-9405-47F1-A020-6E53793B23CD}" id="{AAB3AD72-D989-4B7D-A110-81FCEAA235A5}">
    <text>Higher-frequency additions: the number of additions among variants whose word frequency was equal to or above the median</text>
  </threadedComment>
  <threadedComment ref="D11" dT="2024-01-16T15:49:42.55" personId="{5D048A0C-9405-47F1-A020-6E53793B23CD}" id="{9A0EF367-49C7-4ED3-81A8-45AF46A1E1B4}">
    <text xml:space="preserve">Higher-frequency omissions: the number of omissions among variants whose word frequency was equal to or above the median
</text>
  </threadedComment>
  <threadedComment ref="D12" dT="2024-01-16T15:50:17.80" personId="{5D048A0C-9405-47F1-A020-6E53793B23CD}" id="{C073905E-C8AC-47E7-83FC-3FB36DC40507}">
    <text>Higher-frequency add ratio: the add ratio among variants whose word frequency was equal to or above the median</text>
  </threadedComment>
  <threadedComment ref="D13" dT="2024-01-16T15:50:43.11" personId="{5D048A0C-9405-47F1-A020-6E53793B23CD}" id="{4833F7B2-A43F-400F-9FA6-CBE59999EA04}">
    <text xml:space="preserve">Lower-frequency additions: the number of additions among variants whose word frequency was below the median
</text>
  </threadedComment>
  <threadedComment ref="D14" dT="2024-01-16T15:52:18.36" personId="{5D048A0C-9405-47F1-A020-6E53793B23CD}" id="{BAB4F6D8-18AA-4F5F-8B93-8DA422070717}">
    <text>Higher-frequency omissions: the number of omissions among variants whose word frequency was below  the median</text>
  </threadedComment>
  <threadedComment ref="D15" dT="2024-01-16T15:51:50.24" personId="{5D048A0C-9405-47F1-A020-6E53793B23CD}" id="{935A54EB-FD0D-4581-8330-90B45F29BDE1}">
    <text xml:space="preserve">Lower-frequency add ratio: the add ratio among variants whose word frequency was below the median
</text>
  </threadedComment>
  <threadedComment ref="D16" dT="2024-01-22T14:15:25.14" personId="{5D048A0C-9405-47F1-A020-6E53793B23CD}" id="{D00651B5-74E0-4E91-B3D1-8466FE116AC3}">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12.xml><?xml version="1.0" encoding="utf-8"?>
<ThreadedComments xmlns="http://schemas.microsoft.com/office/spreadsheetml/2018/threadedcomments" xmlns:x="http://schemas.openxmlformats.org/spreadsheetml/2006/main">
  <threadedComment ref="R1" dT="2024-01-16T10:00:06.98" personId="{5D048A0C-9405-47F1-A020-6E53793B23CD}" id="{11CD2C00-7014-49EC-8814-5DCA29ED8C3E}">
    <text>For substitutions, the word frequency of the apograph reading</text>
  </threadedComment>
  <threadedComment ref="S1" dT="2024-01-16T09:59:48.08" personId="{5D048A0C-9405-47F1-A020-6E53793B23CD}" id="{EBD2854F-7194-4E5E-90E3-3BD18D9EB6B8}">
    <text>For substitutions, the word frequency of the autograph reading</text>
  </threadedComment>
  <threadedComment ref="T1" dT="2024-01-16T12:04:07.25" personId="{5D048A0C-9405-47F1-A020-6E53793B23CD}" id="{A35E4112-CA8A-4F67-8D85-2BEEC92FC36C}">
    <text>Frequency occurrence of autograph reading per 10,000 words of text</text>
  </threadedComment>
  <threadedComment ref="U1" dT="2024-01-16T12:04:21.22" personId="{5D048A0C-9405-47F1-A020-6E53793B23CD}" id="{CF15F1B8-D2F5-4088-A0D9-83FB8A7B86DA}">
    <text>Frequency occurrence of apograph reading per 10,000 words of text</text>
  </threadedComment>
  <threadedComment ref="V1" dT="2024-01-16T12:05:32.46" personId="{5D048A0C-9405-47F1-A020-6E53793B23CD}" id="{F3C012E5-868C-49D4-B004-C19A71439051}">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7" dT="2024-01-15T11:53:38.99" personId="{5D048A0C-9405-47F1-A020-6E53793B23CD}" id="{E860FD89-7EE1-459A-A620-F1C52B799C3A}">
    <text>Total word count for corpus. Figure taken from Accordance "Word Count Totals" analysis. Search for word "*" specifying [RANGE &lt;CONTENT&gt;]. E.g., for 1 Samuel - 2 Kings in Alexandrinus, search for "* [RANGE 1 Sam - 2 Kings]" in LXX Rahlfs.</text>
  </threadedComment>
  <threadedComment ref="D10" dT="2024-01-16T16:24:54.84" personId="{5D048A0C-9405-47F1-A020-6E53793B23CD}" id="{016EF4D3-E5BA-4125-821C-C0C247BC4155}">
    <text>Number of variants where the scribe used a more common/frequent word in place of a less common/frequent word</text>
  </threadedComment>
  <threadedComment ref="D11" dT="2024-01-16T16:25:18.29" personId="{5D048A0C-9405-47F1-A020-6E53793B23CD}" id="{85A48D2D-D3E6-47E8-898C-2B94B06613DA}">
    <text>Number of variants where the scribe used a less common/frequent word in place of a more  common/frequent word</text>
  </threadedComment>
  <threadedComment ref="D12" dT="2024-01-16T16:26:16.57" personId="{5D048A0C-9405-47F1-A020-6E53793B23CD}" id="{C97CEB8F-FDBF-45B3-8C1C-02BC5304200D}">
    <text>Probability based on 2-tailed sign test: probability of obtaining a result as extreme as or more extreme than that shown above</text>
  </threadedComment>
  <threadedComment ref="D14" dT="2024-01-16T16:28:22.68" personId="{5D048A0C-9405-47F1-A020-6E53793B23CD}" id="{A67B4541-2E9D-4FD0-8AAD-1AF0E9CA122E}">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15" dT="2024-01-16T16:28:51.78" personId="{5D048A0C-9405-47F1-A020-6E53793B23CD}" id="{A8087E6B-C29B-4171-9AB2-3F5EA997F93E}">
    <text>Standard deviation of the word frequency difference for substitutions</text>
  </threadedComment>
  <threadedComment ref="D18" dT="2024-01-16T16:30:57.18" personId="{5D048A0C-9405-47F1-A020-6E53793B23CD}" id="{B2FBC8FF-176E-444E-8D77-76E656A6F4C3}">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19" dT="2024-01-16T16:31:30.62" personId="{5D048A0C-9405-47F1-A020-6E53793B23CD}" id="{E470BE5E-0B59-4772-8B4B-9D5B68EE55FE}">
    <text>Standard deviation of the change in word frequency, using the frequency measure of "occurrences per 10,000 words"</text>
  </threadedComment>
  <threadedComment ref="D22" dT="2024-01-22T16:14:41.99" personId="{5D048A0C-9405-47F1-A020-6E53793B23CD}" id="{8E67801C-EE43-4281-A6D8-71927B5984E6}">
    <text>Total number of substitutions for which a word frequency difference could be calculated</text>
  </threadedComment>
  <threadedComment ref="D23" dT="2024-01-22T17:13:39.02" personId="{5D048A0C-9405-47F1-A020-6E53793B23CD}" id="{0357AACB-D9A9-4FD1-A176-53B42D596CF7}">
    <text>The standard deviation of word frequency difference scores</text>
  </threadedComment>
</ThreadedComments>
</file>

<file path=xl/threadedComments/threadedComment13.xml><?xml version="1.0" encoding="utf-8"?>
<ThreadedComments xmlns="http://schemas.microsoft.com/office/spreadsheetml/2018/threadedcomments" xmlns:x="http://schemas.openxmlformats.org/spreadsheetml/2006/main">
  <threadedComment ref="S1" dT="2024-01-16T10:00:06.98" personId="{5D048A0C-9405-47F1-A020-6E53793B23CD}" id="{675121B4-51C6-45BE-AB26-BB8EEA508806}">
    <text>For substitutions, the word frequency of the apograph reading</text>
  </threadedComment>
  <threadedComment ref="T1" dT="2024-01-16T09:59:48.08" personId="{5D048A0C-9405-47F1-A020-6E53793B23CD}" id="{0C7E5137-DD83-4DAC-8474-7EE5F5882023}">
    <text>For substitutions, the word frequency of the autograph reading</text>
  </threadedComment>
  <threadedComment ref="D5" dT="2024-01-24T17:15:11.25" personId="{5D048A0C-9405-47F1-A020-6E53793B23CD}" id="{76FAFAD1-6EC0-4A30-9ACB-812427CB477E}">
    <text>The number of variants that harmonized to parallel phrases in the near context</text>
  </threadedComment>
  <threadedComment ref="D6" dT="2024-01-24T17:15:35.01" personId="{5D048A0C-9405-47F1-A020-6E53793B23CD}" id="{3F3DE51F-E097-4542-8820-9D77317020A4}">
    <text>The number of variants that disharmonized from  parallel phrases in the near context</text>
  </threadedComment>
  <threadedComment ref="D7" dT="2024-01-24T17:16:15.06" personId="{5D048A0C-9405-47F1-A020-6E53793B23CD}" id="{FEF04B0C-A8B3-467D-A075-DE68F3219A8F}">
    <text>The ratio of harmonizations to disharmonizations; = harmonizations / (harmonizations + disharmonizations)</text>
  </threadedComment>
  <threadedComment ref="E11" dT="2026-03-26T18:54:36.97" personId="{5D048A0C-9405-47F1-A020-6E53793B23CD}" id="{2CF52AFD-CF13-43C6-AE65-1932FB2EB6D6}">
    <text>All cases where influence from preceding material was possible.</text>
  </threadedComment>
  <threadedComment ref="F11" dT="2026-03-26T18:55:05.59" personId="{5D048A0C-9405-47F1-A020-6E53793B23CD}" id="{21F00353-2015-4D13-8645-46E303C433F1}">
    <text>All cases where influence from following material was possible.</text>
  </threadedComment>
  <threadedComment ref="G11" dT="2026-03-26T18:56:11.72" personId="{5D048A0C-9405-47F1-A020-6E53793B23CD}" id="{D0F8D6BD-068D-4303-9C66-A12845C898DE}">
    <text>Only cases where verbal parallels existed both behind and after the variant in question and the direction of change in verbal similarity was the same.</text>
  </threadedComment>
  <threadedComment ref="H11" dT="2026-03-26T18:56:36.44" personId="{5D048A0C-9405-47F1-A020-6E53793B23CD}" id="{91566328-4150-49AD-9102-B38078C2A212}">
    <text>All potential cases of verbal harmonization/disharmonization, forward and backward.</text>
  </threadedComment>
  <threadedComment ref="D12" dT="2024-01-24T17:15:11.25" personId="{5D048A0C-9405-47F1-A020-6E53793B23CD}" id="{C119846B-5B2A-4856-9CFB-216AD7D71EBB}">
    <text>The number of variants that harmonized to parallel phrases in the near context</text>
  </threadedComment>
  <threadedComment ref="D13" dT="2024-01-24T17:15:35.01" personId="{5D048A0C-9405-47F1-A020-6E53793B23CD}" id="{48C6D0FD-C6F8-45F8-B647-860ADD900CBF}">
    <text>The number of variants that disharmonized from  parallel phrases in the near context</text>
  </threadedComment>
  <threadedComment ref="D14" dT="2024-01-24T17:16:15.06" personId="{5D048A0C-9405-47F1-A020-6E53793B23CD}" id="{0D18526A-8833-4BFE-A5AB-CA0051C886F9}">
    <text>The ratio of harmonizations to disharmonizations; = harmonizations / (harmonizations + disharmonizations)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4-01-30T16:42:58.97" personId="{5D048A0C-9405-47F1-A020-6E53793B23CD}" id="{C44DD313-CC94-40BC-A23D-700E156B3A9B}">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5D048A0C-9405-47F1-A020-6E53793B23CD}" id="{094DAE69-FFE1-4DC9-81F6-155544412A61}">
    <text>The number of total deviations from the exemplar. Includes itacisms, orthographic changes, nonsense readings etc.</text>
  </threadedComment>
  <threadedComment ref="A3" dT="2024-01-30T16:44:34.54" personId="{5D048A0C-9405-47F1-A020-6E53793B23CD}" id="{3CA1F7DB-17BF-4A1B-881B-90EDD3017997}">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5D048A0C-9405-47F1-A020-6E53793B23CD}" id="{01BFE859-9B1E-457B-8C3D-310EF295D228}">
    <text>The rate of error generation per 1000 words in the apograph. Figure includes itacisms, orthographic changes, nonsense readings etc.</text>
  </threadedComment>
  <threadedComment ref="A6" dT="2024-01-31T15:18:45.83" personId="{5D048A0C-9405-47F1-A020-6E53793B23CD}" id="{1F839008-12E3-457B-86AC-E5911618A40C}">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5.xml><?xml version="1.0" encoding="utf-8"?>
<ThreadedComments xmlns="http://schemas.microsoft.com/office/spreadsheetml/2018/threadedcomments" xmlns:x="http://schemas.openxmlformats.org/spreadsheetml/2006/main">
  <threadedComment ref="L3" dT="2023-08-03T13:34:30.53" personId="{5D048A0C-9405-47F1-A020-6E53793B23CD}" id="{3B3C42D7-D23A-4A13-961D-A51B33C4F812}">
    <text>The apograph reading is singular and the autograph reading is not. The singular readings method would detect this variant</text>
  </threadedComment>
  <threadedComment ref="L4" dT="2023-08-03T13:33:28.57" personId="{5D048A0C-9405-47F1-A020-6E53793B23CD}" id="{33503B61-D396-4CB6-B78C-738CF807F495}">
    <text>That is, the autograph contains a singular reading and the apograph followed it</text>
  </threadedComment>
  <threadedComment ref="L5" dT="2023-08-03T13:35:10.13" personId="{5D048A0C-9405-47F1-A020-6E53793B23CD}" id="{578F9A70-DB86-4124-99A3-FB5E8B3F24F9}">
    <text>The apograph reading is not singular: other witnesses contain the same reading. These are real variants produced by the apograph scribe, but the singular readings method would not detect them</text>
  </threadedComment>
  <threadedComment ref="N13" dT="2023-08-14T14:21:11.11" personId="{5D048A0C-9405-47F1-A020-6E53793B23CD}" id="{CA332D3B-255C-4BFE-A327-192CC1243DCB}">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8.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9.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L128"/>
  <sheetViews>
    <sheetView tabSelected="1" workbookViewId="0">
      <pane xSplit="5" ySplit="1" topLeftCell="F105" activePane="bottomRight" state="frozen"/>
      <selection pane="topRight" activeCell="F1" sqref="F1"/>
      <selection pane="bottomLeft" activeCell="A2" sqref="A2"/>
      <selection pane="bottomRight" activeCell="E128" sqref="E128"/>
    </sheetView>
  </sheetViews>
  <sheetFormatPr defaultRowHeight="14.5"/>
  <cols>
    <col min="1" max="1" width="10.81640625" customWidth="1"/>
    <col min="2" max="3" width="8.90625" hidden="1" customWidth="1"/>
    <col min="4" max="4" width="20.81640625" customWidth="1"/>
    <col min="5" max="5" width="16.36328125" style="3" customWidth="1"/>
    <col min="6" max="6" width="10.81640625" customWidth="1"/>
    <col min="7" max="8" width="16.36328125" customWidth="1"/>
    <col min="9" max="9" width="10.81640625" customWidth="1"/>
    <col min="10" max="10" width="16.90625" style="7" bestFit="1" customWidth="1"/>
    <col min="11" max="16" width="8.90625" style="7"/>
    <col min="17" max="17" width="8.90625" style="8"/>
    <col min="18" max="18" width="8.90625" style="7"/>
    <col min="19" max="19" width="8.81640625" style="7" customWidth="1"/>
    <col min="20" max="22" width="8.90625" style="7"/>
    <col min="23" max="27" width="5.81640625" style="7" customWidth="1"/>
    <col min="28" max="32" width="8.90625" style="7"/>
    <col min="36" max="36" width="11.08984375" bestFit="1" customWidth="1"/>
  </cols>
  <sheetData>
    <row r="1" spans="1:36" s="1" customFormat="1">
      <c r="A1" s="1" t="s">
        <v>0</v>
      </c>
      <c r="B1" s="1" t="s">
        <v>1</v>
      </c>
      <c r="C1" s="1" t="s">
        <v>2</v>
      </c>
      <c r="D1" s="1" t="s">
        <v>5</v>
      </c>
      <c r="E1" s="2" t="s">
        <v>6</v>
      </c>
      <c r="F1" s="1" t="s">
        <v>354</v>
      </c>
      <c r="G1" s="1" t="s">
        <v>355</v>
      </c>
      <c r="H1" s="1" t="s">
        <v>356</v>
      </c>
      <c r="I1" s="1" t="s">
        <v>7</v>
      </c>
      <c r="J1" s="1" t="s">
        <v>3</v>
      </c>
      <c r="K1" s="1" t="s">
        <v>357</v>
      </c>
      <c r="L1" s="1" t="s">
        <v>358</v>
      </c>
      <c r="M1" s="1" t="s">
        <v>359</v>
      </c>
      <c r="N1" s="1" t="s">
        <v>360</v>
      </c>
      <c r="O1" s="1" t="s">
        <v>319</v>
      </c>
      <c r="P1" s="1" t="s">
        <v>361</v>
      </c>
      <c r="Q1" s="6" t="s">
        <v>362</v>
      </c>
      <c r="R1" s="1" t="s">
        <v>320</v>
      </c>
      <c r="S1" s="1" t="s">
        <v>363</v>
      </c>
      <c r="T1" s="1" t="s">
        <v>364</v>
      </c>
      <c r="U1" s="1" t="s">
        <v>450</v>
      </c>
      <c r="V1" s="1" t="s">
        <v>451</v>
      </c>
      <c r="W1" s="1" t="s">
        <v>367</v>
      </c>
      <c r="X1" s="1" t="s">
        <v>368</v>
      </c>
      <c r="Y1" s="1" t="s">
        <v>369</v>
      </c>
      <c r="Z1" s="1" t="s">
        <v>321</v>
      </c>
      <c r="AA1" s="1" t="s">
        <v>322</v>
      </c>
      <c r="AB1" s="1" t="s">
        <v>323</v>
      </c>
      <c r="AC1" s="1" t="s">
        <v>365</v>
      </c>
      <c r="AD1" s="1" t="s">
        <v>370</v>
      </c>
      <c r="AE1" s="1" t="s">
        <v>324</v>
      </c>
      <c r="AF1" s="1" t="s">
        <v>366</v>
      </c>
      <c r="AG1" s="1" t="s">
        <v>382</v>
      </c>
      <c r="AH1" s="1" t="s">
        <v>380</v>
      </c>
      <c r="AI1" s="1" t="s">
        <v>381</v>
      </c>
    </row>
    <row r="2" spans="1:36" ht="29">
      <c r="A2" t="s">
        <v>38</v>
      </c>
      <c r="D2" s="3" t="s">
        <v>497</v>
      </c>
      <c r="E2" s="3" t="s">
        <v>158</v>
      </c>
      <c r="J2" s="7" t="s">
        <v>25</v>
      </c>
      <c r="L2" s="7">
        <v>1</v>
      </c>
      <c r="M2" s="7">
        <v>2</v>
      </c>
      <c r="N2" s="7" t="s">
        <v>350</v>
      </c>
      <c r="O2" s="7" t="s">
        <v>373</v>
      </c>
      <c r="S2" s="7">
        <v>613</v>
      </c>
      <c r="U2" s="7" t="str">
        <f t="shared" ref="U2" ca="1" si="0">IF(ISNUMBER(T2),VALUE(MID(_xlfn.FORMULATEXT(T2),SEARCH("-",_xlfn.FORMULATEXT(T2))+1,LEN(_xlfn.FORMULATEXT(T2))-SEARCH("-",_xlfn.FORMULATEXT(T2)))), "")</f>
        <v/>
      </c>
      <c r="V2" s="7" t="str">
        <f t="shared" ref="V2" ca="1" si="1">IF(ISNUMBER(T2), VALUE(MID(_xlfn.FORMULATEXT(T2), 2, SEARCH("-", _xlfn.FORMULATEXT(T2)) - 2)), "")</f>
        <v/>
      </c>
      <c r="AG2" t="s">
        <v>19</v>
      </c>
      <c r="AJ2" cm="1">
        <f t="array" ref="AJ2">_xlfn.IFS(AG2="Yes",1,AG2="No",0,AG2="","")</f>
        <v>1</v>
      </c>
    </row>
    <row r="3" spans="1:36">
      <c r="A3" t="s">
        <v>38</v>
      </c>
      <c r="D3" s="3" t="s">
        <v>160</v>
      </c>
      <c r="E3" s="3" t="s">
        <v>159</v>
      </c>
      <c r="J3" s="7" t="s">
        <v>25</v>
      </c>
      <c r="L3" s="7">
        <v>1</v>
      </c>
      <c r="M3" s="7">
        <v>3</v>
      </c>
      <c r="N3" s="7" t="s">
        <v>331</v>
      </c>
      <c r="O3" s="7" t="s">
        <v>326</v>
      </c>
      <c r="P3" s="7" t="s">
        <v>389</v>
      </c>
      <c r="Q3" s="8" t="s">
        <v>388</v>
      </c>
      <c r="S3" s="7">
        <v>2475</v>
      </c>
      <c r="U3" s="7" t="str">
        <f t="shared" ref="U3:U58" ca="1" si="2">IF(ISNUMBER(T3),VALUE(MID(_xlfn.FORMULATEXT(T3),SEARCH("-",_xlfn.FORMULATEXT(T3))+1,LEN(_xlfn.FORMULATEXT(T3))-SEARCH("-",_xlfn.FORMULATEXT(T3)))), "")</f>
        <v/>
      </c>
      <c r="V3" s="7" t="str">
        <f t="shared" ref="V3:V58" ca="1" si="3">IF(ISNUMBER(T3), VALUE(MID(_xlfn.FORMULATEXT(T3), 2, SEARCH("-", _xlfn.FORMULATEXT(T3)) - 2)), "")</f>
        <v/>
      </c>
      <c r="AG3" t="s">
        <v>19</v>
      </c>
      <c r="AJ3" cm="1">
        <f t="array" ref="AJ3">_xlfn.IFS(AG3="Yes",1,AG3="No",0,AG3="","")</f>
        <v>1</v>
      </c>
    </row>
    <row r="4" spans="1:36">
      <c r="A4" t="s">
        <v>39</v>
      </c>
      <c r="D4" s="3" t="s">
        <v>162</v>
      </c>
      <c r="E4" s="3" t="s">
        <v>161</v>
      </c>
      <c r="J4" s="7" t="s">
        <v>25</v>
      </c>
      <c r="L4" s="7">
        <v>1</v>
      </c>
      <c r="M4" s="7">
        <v>2</v>
      </c>
      <c r="N4" s="7" t="s">
        <v>331</v>
      </c>
      <c r="O4" s="7" t="s">
        <v>373</v>
      </c>
      <c r="S4" s="7">
        <v>2475</v>
      </c>
      <c r="U4" s="7" t="str">
        <f t="shared" ca="1" si="2"/>
        <v/>
      </c>
      <c r="V4" s="7" t="str">
        <f t="shared" ca="1" si="3"/>
        <v/>
      </c>
      <c r="AG4" t="s">
        <v>19</v>
      </c>
      <c r="AJ4" cm="1">
        <f t="array" ref="AJ4">_xlfn.IFS(AG4="Yes",1,AG4="No",0,AG4="","")</f>
        <v>1</v>
      </c>
    </row>
    <row r="5" spans="1:36">
      <c r="A5" t="s">
        <v>39</v>
      </c>
      <c r="D5" s="3" t="s">
        <v>163</v>
      </c>
      <c r="E5" s="3" t="s">
        <v>164</v>
      </c>
      <c r="H5" t="s">
        <v>19</v>
      </c>
      <c r="J5" s="7" t="s">
        <v>372</v>
      </c>
      <c r="T5" s="7" t="s">
        <v>373</v>
      </c>
      <c r="U5" s="7" t="str">
        <f t="shared" ca="1" si="2"/>
        <v/>
      </c>
      <c r="V5" s="7" t="str">
        <f t="shared" ca="1" si="3"/>
        <v/>
      </c>
      <c r="AC5" s="7" t="s">
        <v>393</v>
      </c>
      <c r="AD5" s="7" t="s">
        <v>19</v>
      </c>
      <c r="AE5" s="7" t="s">
        <v>330</v>
      </c>
      <c r="AG5" t="s">
        <v>20</v>
      </c>
      <c r="AJ5" cm="1">
        <f t="array" ref="AJ5">_xlfn.IFS(AG5="Yes",1,AG5="No",0,AG5="","")</f>
        <v>0</v>
      </c>
    </row>
    <row r="6" spans="1:36">
      <c r="A6" t="s">
        <v>40</v>
      </c>
      <c r="D6" s="3" t="s">
        <v>41</v>
      </c>
      <c r="E6" s="3" t="s">
        <v>42</v>
      </c>
      <c r="F6" t="s">
        <v>17</v>
      </c>
      <c r="H6" t="s">
        <v>19</v>
      </c>
      <c r="J6" s="7" t="s">
        <v>372</v>
      </c>
      <c r="T6" s="7">
        <f>0-1</f>
        <v>-1</v>
      </c>
      <c r="U6" s="7">
        <f t="shared" ca="1" si="2"/>
        <v>1</v>
      </c>
      <c r="V6" s="7">
        <f t="shared" ca="1" si="3"/>
        <v>0</v>
      </c>
      <c r="AC6" s="7" t="s">
        <v>385</v>
      </c>
      <c r="AD6" s="7" t="s">
        <v>19</v>
      </c>
      <c r="AG6" t="s">
        <v>19</v>
      </c>
      <c r="AJ6" cm="1">
        <f t="array" ref="AJ6">_xlfn.IFS(AG6="Yes",1,AG6="No",0,AG6="","")</f>
        <v>1</v>
      </c>
    </row>
    <row r="7" spans="1:36" ht="29">
      <c r="A7" t="s">
        <v>43</v>
      </c>
      <c r="D7" s="3" t="s">
        <v>166</v>
      </c>
      <c r="E7" s="3" t="s">
        <v>165</v>
      </c>
      <c r="I7" t="s">
        <v>392</v>
      </c>
      <c r="J7" s="7" t="s">
        <v>26</v>
      </c>
      <c r="U7" s="7" t="str">
        <f t="shared" ca="1" si="2"/>
        <v/>
      </c>
      <c r="V7" s="7" t="str">
        <f t="shared" ca="1" si="3"/>
        <v/>
      </c>
      <c r="AG7" t="s">
        <v>19</v>
      </c>
      <c r="AJ7" cm="1">
        <f t="array" ref="AJ7">_xlfn.IFS(AG7="Yes",1,AG7="No",0,AG7="","")</f>
        <v>1</v>
      </c>
    </row>
    <row r="8" spans="1:36">
      <c r="A8" t="s">
        <v>44</v>
      </c>
      <c r="D8" s="3" t="s">
        <v>168</v>
      </c>
      <c r="E8" s="3" t="s">
        <v>167</v>
      </c>
      <c r="J8" s="7" t="s">
        <v>24</v>
      </c>
      <c r="L8" s="7">
        <v>1</v>
      </c>
      <c r="M8" s="7">
        <v>1</v>
      </c>
      <c r="N8" s="7" t="s">
        <v>331</v>
      </c>
      <c r="O8" s="7" t="s">
        <v>373</v>
      </c>
      <c r="S8" s="7">
        <v>2475</v>
      </c>
      <c r="U8" s="7" t="str">
        <f t="shared" ca="1" si="2"/>
        <v/>
      </c>
      <c r="V8" s="7" t="str">
        <f t="shared" ca="1" si="3"/>
        <v/>
      </c>
      <c r="AG8" t="s">
        <v>19</v>
      </c>
      <c r="AJ8" cm="1">
        <f t="array" ref="AJ8">_xlfn.IFS(AG8="Yes",1,AG8="No",0,AG8="","")</f>
        <v>1</v>
      </c>
    </row>
    <row r="9" spans="1:36">
      <c r="A9" t="s">
        <v>44</v>
      </c>
      <c r="D9" s="3" t="s">
        <v>170</v>
      </c>
      <c r="E9" s="3" t="s">
        <v>169</v>
      </c>
      <c r="I9" s="4"/>
      <c r="J9" s="7" t="s">
        <v>374</v>
      </c>
      <c r="U9" s="7" t="str">
        <f t="shared" ca="1" si="2"/>
        <v/>
      </c>
      <c r="V9" s="7" t="str">
        <f t="shared" ca="1" si="3"/>
        <v/>
      </c>
      <c r="AE9" s="7" t="s">
        <v>343</v>
      </c>
      <c r="AG9" t="s">
        <v>19</v>
      </c>
      <c r="AJ9" cm="1">
        <f t="array" ref="AJ9">_xlfn.IFS(AG9="Yes",1,AG9="No",0,AG9="","")</f>
        <v>1</v>
      </c>
    </row>
    <row r="10" spans="1:36">
      <c r="A10" t="s">
        <v>45</v>
      </c>
      <c r="D10" s="3" t="s">
        <v>46</v>
      </c>
      <c r="E10" s="3" t="s">
        <v>47</v>
      </c>
      <c r="H10" t="s">
        <v>19</v>
      </c>
      <c r="J10" s="7" t="s">
        <v>372</v>
      </c>
      <c r="T10" s="7" t="s">
        <v>373</v>
      </c>
      <c r="U10" s="7" t="str">
        <f t="shared" ca="1" si="2"/>
        <v/>
      </c>
      <c r="V10" s="7" t="str">
        <f t="shared" ca="1" si="3"/>
        <v/>
      </c>
      <c r="AC10" s="7" t="s">
        <v>386</v>
      </c>
      <c r="AD10" s="7" t="s">
        <v>19</v>
      </c>
      <c r="AE10" s="7" t="s">
        <v>330</v>
      </c>
      <c r="AG10" t="s">
        <v>20</v>
      </c>
      <c r="AJ10" cm="1">
        <f t="array" ref="AJ10">_xlfn.IFS(AG10="Yes",1,AG10="No",0,AG10="","")</f>
        <v>0</v>
      </c>
    </row>
    <row r="11" spans="1:36">
      <c r="A11" t="s">
        <v>48</v>
      </c>
      <c r="D11" s="3" t="s">
        <v>172</v>
      </c>
      <c r="E11" s="3" t="s">
        <v>171</v>
      </c>
      <c r="J11" s="7" t="s">
        <v>372</v>
      </c>
      <c r="T11" s="7">
        <f>31-280</f>
        <v>-249</v>
      </c>
      <c r="U11" s="7">
        <f t="shared" ca="1" si="2"/>
        <v>280</v>
      </c>
      <c r="V11" s="7">
        <f t="shared" ca="1" si="3"/>
        <v>31</v>
      </c>
      <c r="AG11" t="s">
        <v>19</v>
      </c>
      <c r="AJ11" cm="1">
        <f t="array" ref="AJ11">_xlfn.IFS(AG11="Yes",1,AG11="No",0,AG11="","")</f>
        <v>1</v>
      </c>
    </row>
    <row r="12" spans="1:36">
      <c r="A12" t="s">
        <v>49</v>
      </c>
      <c r="D12" s="3" t="s">
        <v>50</v>
      </c>
      <c r="E12" s="3" t="s">
        <v>51</v>
      </c>
      <c r="H12" t="s">
        <v>19</v>
      </c>
      <c r="J12" s="7" t="s">
        <v>372</v>
      </c>
      <c r="T12" s="7" t="s">
        <v>384</v>
      </c>
      <c r="U12" s="7" t="str">
        <f t="shared" ca="1" si="2"/>
        <v/>
      </c>
      <c r="V12" s="7" t="str">
        <f t="shared" ca="1" si="3"/>
        <v/>
      </c>
      <c r="AC12" s="7" t="s">
        <v>385</v>
      </c>
      <c r="AD12" s="7" t="s">
        <v>19</v>
      </c>
      <c r="AE12" s="7" t="s">
        <v>330</v>
      </c>
      <c r="AG12" t="s">
        <v>20</v>
      </c>
      <c r="AJ12" cm="1">
        <f t="array" ref="AJ12">_xlfn.IFS(AG12="Yes",1,AG12="No",0,AG12="","")</f>
        <v>0</v>
      </c>
    </row>
    <row r="13" spans="1:36">
      <c r="A13" t="s">
        <v>52</v>
      </c>
      <c r="D13" s="3" t="s">
        <v>53</v>
      </c>
      <c r="E13" s="3" t="s">
        <v>54</v>
      </c>
      <c r="H13" t="s">
        <v>19</v>
      </c>
      <c r="J13" s="7" t="s">
        <v>372</v>
      </c>
      <c r="T13" s="7" t="s">
        <v>384</v>
      </c>
      <c r="U13" s="7" t="str">
        <f t="shared" ca="1" si="2"/>
        <v/>
      </c>
      <c r="V13" s="7" t="str">
        <f t="shared" ca="1" si="3"/>
        <v/>
      </c>
      <c r="AC13" s="7" t="s">
        <v>386</v>
      </c>
      <c r="AD13" s="7" t="s">
        <v>19</v>
      </c>
      <c r="AE13" s="7" t="s">
        <v>330</v>
      </c>
      <c r="AG13" t="s">
        <v>20</v>
      </c>
      <c r="AJ13" cm="1">
        <f t="array" ref="AJ13">_xlfn.IFS(AG13="Yes",1,AG13="No",0,AG13="","")</f>
        <v>0</v>
      </c>
    </row>
    <row r="14" spans="1:36" ht="29">
      <c r="A14" t="s">
        <v>52</v>
      </c>
      <c r="D14" s="3" t="s">
        <v>176</v>
      </c>
      <c r="E14" s="3" t="s">
        <v>175</v>
      </c>
      <c r="J14" s="7" t="s">
        <v>25</v>
      </c>
      <c r="L14" s="7">
        <v>1</v>
      </c>
      <c r="M14" s="7">
        <v>3</v>
      </c>
      <c r="N14" s="7" t="s">
        <v>331</v>
      </c>
      <c r="O14" s="7" t="s">
        <v>326</v>
      </c>
      <c r="P14" s="7" t="s">
        <v>387</v>
      </c>
      <c r="Q14" s="8" t="s">
        <v>388</v>
      </c>
      <c r="S14" s="7">
        <v>2475</v>
      </c>
      <c r="U14" s="7" t="str">
        <f t="shared" ca="1" si="2"/>
        <v/>
      </c>
      <c r="V14" s="7" t="str">
        <f t="shared" ca="1" si="3"/>
        <v/>
      </c>
      <c r="AG14" t="s">
        <v>19</v>
      </c>
      <c r="AJ14" cm="1">
        <f t="array" ref="AJ14">_xlfn.IFS(AG14="Yes",1,AG14="No",0,AG14="","")</f>
        <v>1</v>
      </c>
    </row>
    <row r="15" spans="1:36" ht="29">
      <c r="A15" t="s">
        <v>55</v>
      </c>
      <c r="D15" s="3" t="s">
        <v>177</v>
      </c>
      <c r="E15" s="3" t="s">
        <v>178</v>
      </c>
      <c r="H15" t="s">
        <v>19</v>
      </c>
      <c r="J15" s="7" t="s">
        <v>24</v>
      </c>
      <c r="L15" s="7">
        <v>1</v>
      </c>
      <c r="M15" s="7">
        <v>9</v>
      </c>
      <c r="N15" s="7" t="s">
        <v>325</v>
      </c>
      <c r="O15" s="7" t="s">
        <v>326</v>
      </c>
      <c r="P15" s="7" t="s">
        <v>416</v>
      </c>
      <c r="Q15" s="8" t="s">
        <v>417</v>
      </c>
      <c r="S15" s="7">
        <v>4</v>
      </c>
      <c r="U15" s="7" t="str">
        <f t="shared" ca="1" si="2"/>
        <v/>
      </c>
      <c r="V15" s="7" t="str">
        <f t="shared" ca="1" si="3"/>
        <v/>
      </c>
      <c r="AG15" t="s">
        <v>20</v>
      </c>
      <c r="AJ15" cm="1">
        <f t="array" ref="AJ15">_xlfn.IFS(AG15="Yes",1,AG15="No",0,AG15="","")</f>
        <v>0</v>
      </c>
    </row>
    <row r="16" spans="1:36">
      <c r="A16" t="s">
        <v>56</v>
      </c>
      <c r="D16" s="3" t="s">
        <v>57</v>
      </c>
      <c r="E16" s="3" t="s">
        <v>58</v>
      </c>
      <c r="H16" t="s">
        <v>19</v>
      </c>
      <c r="J16" s="7" t="s">
        <v>372</v>
      </c>
      <c r="T16" s="7" t="s">
        <v>384</v>
      </c>
      <c r="U16" s="7" t="str">
        <f t="shared" ca="1" si="2"/>
        <v/>
      </c>
      <c r="V16" s="7" t="str">
        <f t="shared" ca="1" si="3"/>
        <v/>
      </c>
      <c r="AE16" s="7" t="s">
        <v>330</v>
      </c>
      <c r="AG16" t="s">
        <v>20</v>
      </c>
      <c r="AJ16" cm="1">
        <f t="array" ref="AJ16">_xlfn.IFS(AG16="Yes",1,AG16="No",0,AG16="","")</f>
        <v>0</v>
      </c>
    </row>
    <row r="17" spans="1:36">
      <c r="A17" t="s">
        <v>56</v>
      </c>
      <c r="D17" s="3" t="s">
        <v>59</v>
      </c>
      <c r="E17" s="3" t="s">
        <v>60</v>
      </c>
      <c r="J17" s="7" t="s">
        <v>372</v>
      </c>
      <c r="T17" s="7">
        <f>8-1</f>
        <v>7</v>
      </c>
      <c r="U17" s="7">
        <f t="shared" ca="1" si="2"/>
        <v>1</v>
      </c>
      <c r="V17" s="7">
        <f t="shared" ca="1" si="3"/>
        <v>8</v>
      </c>
      <c r="AG17" t="s">
        <v>20</v>
      </c>
      <c r="AJ17" cm="1">
        <f t="array" ref="AJ17">_xlfn.IFS(AG17="Yes",1,AG17="No",0,AG17="","")</f>
        <v>0</v>
      </c>
    </row>
    <row r="18" spans="1:36">
      <c r="A18" t="s">
        <v>61</v>
      </c>
      <c r="D18" s="3" t="s">
        <v>62</v>
      </c>
      <c r="E18" s="3" t="s">
        <v>63</v>
      </c>
      <c r="J18" s="7" t="s">
        <v>372</v>
      </c>
      <c r="T18" s="7" t="s">
        <v>384</v>
      </c>
      <c r="U18" s="7" t="str">
        <f t="shared" ca="1" si="2"/>
        <v/>
      </c>
      <c r="V18" s="7" t="str">
        <f t="shared" ca="1" si="3"/>
        <v/>
      </c>
      <c r="AE18" s="7" t="s">
        <v>330</v>
      </c>
      <c r="AG18" t="s">
        <v>20</v>
      </c>
      <c r="AJ18" cm="1">
        <f t="array" ref="AJ18">_xlfn.IFS(AG18="Yes",1,AG18="No",0,AG18="","")</f>
        <v>0</v>
      </c>
    </row>
    <row r="19" spans="1:36" ht="29">
      <c r="A19" t="s">
        <v>61</v>
      </c>
      <c r="D19" s="3" t="s">
        <v>179</v>
      </c>
      <c r="E19" s="3" t="s">
        <v>180</v>
      </c>
      <c r="J19" s="7" t="s">
        <v>24</v>
      </c>
      <c r="L19" s="7">
        <v>1</v>
      </c>
      <c r="M19" s="7">
        <v>3</v>
      </c>
      <c r="N19" s="7" t="s">
        <v>331</v>
      </c>
      <c r="O19" s="7" t="s">
        <v>332</v>
      </c>
      <c r="S19" s="7">
        <v>2475</v>
      </c>
      <c r="U19" s="7" t="str">
        <f t="shared" ca="1" si="2"/>
        <v/>
      </c>
      <c r="V19" s="7" t="str">
        <f t="shared" ca="1" si="3"/>
        <v/>
      </c>
      <c r="AG19" t="s">
        <v>19</v>
      </c>
      <c r="AJ19" cm="1">
        <f t="array" ref="AJ19">_xlfn.IFS(AG19="Yes",1,AG19="No",0,AG19="","")</f>
        <v>1</v>
      </c>
    </row>
    <row r="20" spans="1:36" ht="29">
      <c r="A20" t="s">
        <v>61</v>
      </c>
      <c r="D20" s="3" t="s">
        <v>179</v>
      </c>
      <c r="E20" s="3" t="s">
        <v>181</v>
      </c>
      <c r="J20" s="7" t="s">
        <v>24</v>
      </c>
      <c r="L20" s="7">
        <v>1</v>
      </c>
      <c r="M20" s="7">
        <v>3</v>
      </c>
      <c r="N20" s="7" t="s">
        <v>331</v>
      </c>
      <c r="O20" s="7" t="s">
        <v>332</v>
      </c>
      <c r="S20" s="7">
        <v>2475</v>
      </c>
      <c r="U20" s="7" t="str">
        <f t="shared" ca="1" si="2"/>
        <v/>
      </c>
      <c r="V20" s="7" t="str">
        <f t="shared" ca="1" si="3"/>
        <v/>
      </c>
      <c r="AG20" t="s">
        <v>19</v>
      </c>
      <c r="AJ20" cm="1">
        <f t="array" ref="AJ20">_xlfn.IFS(AG20="Yes",1,AG20="No",0,AG20="","")</f>
        <v>1</v>
      </c>
    </row>
    <row r="21" spans="1:36">
      <c r="A21" t="s">
        <v>61</v>
      </c>
      <c r="D21" s="3" t="s">
        <v>183</v>
      </c>
      <c r="E21" s="3" t="s">
        <v>182</v>
      </c>
      <c r="J21" s="7" t="s">
        <v>24</v>
      </c>
      <c r="L21" s="7">
        <v>1</v>
      </c>
      <c r="M21" s="7">
        <v>3</v>
      </c>
      <c r="N21" s="7" t="s">
        <v>331</v>
      </c>
      <c r="O21" s="7" t="s">
        <v>332</v>
      </c>
      <c r="S21" s="7">
        <v>2475</v>
      </c>
      <c r="U21" s="7" t="str">
        <f t="shared" ca="1" si="2"/>
        <v/>
      </c>
      <c r="V21" s="7" t="str">
        <f t="shared" ca="1" si="3"/>
        <v/>
      </c>
      <c r="AG21" t="s">
        <v>19</v>
      </c>
      <c r="AJ21" cm="1">
        <f t="array" ref="AJ21">_xlfn.IFS(AG21="Yes",1,AG21="No",0,AG21="","")</f>
        <v>1</v>
      </c>
    </row>
    <row r="22" spans="1:36">
      <c r="A22" t="s">
        <v>64</v>
      </c>
      <c r="D22" s="3" t="s">
        <v>65</v>
      </c>
      <c r="E22" s="3" t="s">
        <v>66</v>
      </c>
      <c r="J22" s="7" t="s">
        <v>374</v>
      </c>
      <c r="U22" s="7" t="str">
        <f t="shared" ca="1" si="2"/>
        <v/>
      </c>
      <c r="V22" s="7" t="str">
        <f t="shared" ca="1" si="3"/>
        <v/>
      </c>
      <c r="AE22" s="7" t="s">
        <v>330</v>
      </c>
      <c r="AG22" t="s">
        <v>19</v>
      </c>
      <c r="AJ22" cm="1">
        <f t="array" ref="AJ22">_xlfn.IFS(AG22="Yes",1,AG22="No",0,AG22="","")</f>
        <v>1</v>
      </c>
    </row>
    <row r="23" spans="1:36">
      <c r="A23" t="s">
        <v>64</v>
      </c>
      <c r="D23" s="3" t="s">
        <v>67</v>
      </c>
      <c r="E23" s="3" t="s">
        <v>68</v>
      </c>
      <c r="J23" s="7" t="s">
        <v>374</v>
      </c>
      <c r="U23" s="7" t="str">
        <f t="shared" ca="1" si="2"/>
        <v/>
      </c>
      <c r="V23" s="7" t="str">
        <f t="shared" ca="1" si="3"/>
        <v/>
      </c>
      <c r="AC23" s="7" t="s">
        <v>385</v>
      </c>
      <c r="AD23" s="7" t="s">
        <v>19</v>
      </c>
      <c r="AG23" t="s">
        <v>19</v>
      </c>
      <c r="AJ23" cm="1">
        <f t="array" ref="AJ23">_xlfn.IFS(AG23="Yes",1,AG23="No",0,AG23="","")</f>
        <v>1</v>
      </c>
    </row>
    <row r="24" spans="1:36">
      <c r="A24" t="s">
        <v>69</v>
      </c>
      <c r="D24" s="3" t="s">
        <v>70</v>
      </c>
      <c r="E24" s="3" t="s">
        <v>71</v>
      </c>
      <c r="J24" s="7" t="s">
        <v>374</v>
      </c>
      <c r="U24" s="7" t="str">
        <f t="shared" ca="1" si="2"/>
        <v/>
      </c>
      <c r="V24" s="7" t="str">
        <f t="shared" ca="1" si="3"/>
        <v/>
      </c>
      <c r="AG24" t="s">
        <v>19</v>
      </c>
      <c r="AJ24" cm="1">
        <f t="array" ref="AJ24">_xlfn.IFS(AG24="Yes",1,AG24="No",0,AG24="","")</f>
        <v>1</v>
      </c>
    </row>
    <row r="25" spans="1:36" ht="29">
      <c r="A25" t="s">
        <v>72</v>
      </c>
      <c r="D25" s="3" t="s">
        <v>184</v>
      </c>
      <c r="E25" s="5" t="s">
        <v>185</v>
      </c>
      <c r="F25" t="s">
        <v>16</v>
      </c>
      <c r="I25" t="s">
        <v>186</v>
      </c>
      <c r="U25" s="7" t="str">
        <f t="shared" ca="1" si="2"/>
        <v/>
      </c>
      <c r="V25" s="7" t="str">
        <f t="shared" ca="1" si="3"/>
        <v/>
      </c>
      <c r="AJ25" t="str" cm="1">
        <f t="array" ref="AJ25">_xlfn.IFS(AG25="Yes",1,AG25="No",0,AG25="","")</f>
        <v/>
      </c>
    </row>
    <row r="26" spans="1:36">
      <c r="A26" t="s">
        <v>73</v>
      </c>
      <c r="D26" s="3" t="s">
        <v>187</v>
      </c>
      <c r="E26" s="3" t="s">
        <v>188</v>
      </c>
      <c r="J26" s="7" t="s">
        <v>24</v>
      </c>
      <c r="L26" s="7">
        <v>1</v>
      </c>
      <c r="M26" s="7">
        <v>1</v>
      </c>
      <c r="N26" s="7" t="s">
        <v>331</v>
      </c>
      <c r="O26" s="7" t="s">
        <v>373</v>
      </c>
      <c r="S26" s="7">
        <v>2475</v>
      </c>
      <c r="U26" s="7" t="str">
        <f t="shared" ca="1" si="2"/>
        <v/>
      </c>
      <c r="V26" s="7" t="str">
        <f t="shared" ca="1" si="3"/>
        <v/>
      </c>
      <c r="AG26" t="s">
        <v>19</v>
      </c>
      <c r="AJ26" cm="1">
        <f t="array" ref="AJ26">_xlfn.IFS(AG26="Yes",1,AG26="No",0,AG26="","")</f>
        <v>1</v>
      </c>
    </row>
    <row r="27" spans="1:36">
      <c r="A27" t="s">
        <v>73</v>
      </c>
      <c r="D27" s="3" t="s">
        <v>189</v>
      </c>
      <c r="E27" s="3" t="s">
        <v>190</v>
      </c>
      <c r="J27" s="7" t="s">
        <v>374</v>
      </c>
      <c r="U27" s="7" t="str">
        <f t="shared" ca="1" si="2"/>
        <v/>
      </c>
      <c r="V27" s="7" t="str">
        <f t="shared" ca="1" si="3"/>
        <v/>
      </c>
      <c r="AG27" t="s">
        <v>20</v>
      </c>
      <c r="AJ27" cm="1">
        <f t="array" ref="AJ27">_xlfn.IFS(AG27="Yes",1,AG27="No",0,AG27="","")</f>
        <v>0</v>
      </c>
    </row>
    <row r="28" spans="1:36">
      <c r="A28" t="s">
        <v>73</v>
      </c>
      <c r="D28" s="3" t="s">
        <v>74</v>
      </c>
      <c r="E28" s="3" t="s">
        <v>75</v>
      </c>
      <c r="J28" s="7" t="s">
        <v>374</v>
      </c>
      <c r="U28" s="7" t="str">
        <f t="shared" ca="1" si="2"/>
        <v/>
      </c>
      <c r="V28" s="7" t="str">
        <f t="shared" ca="1" si="3"/>
        <v/>
      </c>
      <c r="AG28" t="s">
        <v>19</v>
      </c>
      <c r="AJ28" cm="1">
        <f t="array" ref="AJ28">_xlfn.IFS(AG28="Yes",1,AG28="No",0,AG28="","")</f>
        <v>1</v>
      </c>
    </row>
    <row r="29" spans="1:36">
      <c r="A29" t="s">
        <v>73</v>
      </c>
      <c r="D29" s="3" t="s">
        <v>76</v>
      </c>
      <c r="E29" s="3" t="s">
        <v>77</v>
      </c>
      <c r="J29" s="7" t="s">
        <v>374</v>
      </c>
      <c r="U29" s="7" t="str">
        <f t="shared" ca="1" si="2"/>
        <v/>
      </c>
      <c r="V29" s="7" t="str">
        <f t="shared" ca="1" si="3"/>
        <v/>
      </c>
      <c r="AG29" t="s">
        <v>19</v>
      </c>
      <c r="AJ29" cm="1">
        <f t="array" ref="AJ29">_xlfn.IFS(AG29="Yes",1,AG29="No",0,AG29="","")</f>
        <v>1</v>
      </c>
    </row>
    <row r="30" spans="1:36">
      <c r="A30" t="s">
        <v>78</v>
      </c>
      <c r="D30" s="3" t="s">
        <v>191</v>
      </c>
      <c r="E30" s="3" t="s">
        <v>192</v>
      </c>
      <c r="J30" s="7" t="s">
        <v>25</v>
      </c>
      <c r="L30" s="7">
        <v>1</v>
      </c>
      <c r="M30" s="7">
        <v>2</v>
      </c>
      <c r="N30" s="7" t="s">
        <v>331</v>
      </c>
      <c r="O30" s="7" t="s">
        <v>373</v>
      </c>
      <c r="S30" s="7">
        <v>2475</v>
      </c>
      <c r="U30" s="7" t="str">
        <f t="shared" ca="1" si="2"/>
        <v/>
      </c>
      <c r="V30" s="7" t="str">
        <f t="shared" ca="1" si="3"/>
        <v/>
      </c>
      <c r="AG30" t="s">
        <v>19</v>
      </c>
      <c r="AJ30" cm="1">
        <f t="array" ref="AJ30">_xlfn.IFS(AG30="Yes",1,AG30="No",0,AG30="","")</f>
        <v>1</v>
      </c>
    </row>
    <row r="31" spans="1:36">
      <c r="A31" t="s">
        <v>78</v>
      </c>
      <c r="D31" s="3" t="s">
        <v>79</v>
      </c>
      <c r="E31" s="5" t="s">
        <v>80</v>
      </c>
      <c r="F31" t="s">
        <v>16</v>
      </c>
      <c r="I31" t="s">
        <v>193</v>
      </c>
      <c r="U31" s="7" t="str">
        <f t="shared" ca="1" si="2"/>
        <v/>
      </c>
      <c r="V31" s="7" t="str">
        <f t="shared" ca="1" si="3"/>
        <v/>
      </c>
      <c r="AJ31" t="str" cm="1">
        <f t="array" ref="AJ31">_xlfn.IFS(AG31="Yes",1,AG31="No",0,AG31="","")</f>
        <v/>
      </c>
    </row>
    <row r="32" spans="1:36" ht="29">
      <c r="A32" t="s">
        <v>78</v>
      </c>
      <c r="D32" s="3" t="s">
        <v>195</v>
      </c>
      <c r="E32" s="3" t="s">
        <v>194</v>
      </c>
      <c r="J32" s="7" t="s">
        <v>24</v>
      </c>
      <c r="L32" s="7">
        <v>1</v>
      </c>
      <c r="M32" s="7">
        <v>3</v>
      </c>
      <c r="N32" s="7" t="s">
        <v>341</v>
      </c>
      <c r="O32" s="7" t="s">
        <v>332</v>
      </c>
      <c r="S32" s="7">
        <v>1701</v>
      </c>
      <c r="U32" s="7" t="str">
        <f t="shared" ca="1" si="2"/>
        <v/>
      </c>
      <c r="V32" s="7" t="str">
        <f t="shared" ca="1" si="3"/>
        <v/>
      </c>
      <c r="AG32" t="s">
        <v>19</v>
      </c>
      <c r="AJ32" cm="1">
        <f t="array" ref="AJ32">_xlfn.IFS(AG32="Yes",1,AG32="No",0,AG32="","")</f>
        <v>1</v>
      </c>
    </row>
    <row r="33" spans="1:36" ht="72.5">
      <c r="A33" t="s">
        <v>78</v>
      </c>
      <c r="D33" s="3" t="s">
        <v>197</v>
      </c>
      <c r="E33" s="3" t="s">
        <v>198</v>
      </c>
      <c r="H33" t="s">
        <v>19</v>
      </c>
      <c r="J33" s="7" t="s">
        <v>374</v>
      </c>
      <c r="U33" s="7" t="str">
        <f t="shared" ca="1" si="2"/>
        <v/>
      </c>
      <c r="V33" s="7" t="str">
        <f t="shared" ca="1" si="3"/>
        <v/>
      </c>
      <c r="AG33" t="s">
        <v>19</v>
      </c>
      <c r="AJ33" cm="1">
        <f t="array" ref="AJ33">_xlfn.IFS(AG33="Yes",1,AG33="No",0,AG33="","")</f>
        <v>1</v>
      </c>
    </row>
    <row r="34" spans="1:36" ht="72.5">
      <c r="A34" t="s">
        <v>81</v>
      </c>
      <c r="D34" s="3" t="s">
        <v>396</v>
      </c>
      <c r="E34" s="3" t="s">
        <v>196</v>
      </c>
      <c r="H34" t="s">
        <v>19</v>
      </c>
      <c r="I34" t="s">
        <v>398</v>
      </c>
      <c r="J34" s="7" t="s">
        <v>25</v>
      </c>
      <c r="L34" s="7">
        <v>8</v>
      </c>
      <c r="M34" s="7">
        <v>46</v>
      </c>
      <c r="O34" s="7" t="s">
        <v>326</v>
      </c>
      <c r="P34" s="7" t="s">
        <v>395</v>
      </c>
      <c r="Q34" s="8" t="s">
        <v>397</v>
      </c>
      <c r="S34" s="7">
        <v>1</v>
      </c>
      <c r="U34" s="7" t="str">
        <f t="shared" ca="1" si="2"/>
        <v/>
      </c>
      <c r="V34" s="7" t="str">
        <f t="shared" ca="1" si="3"/>
        <v/>
      </c>
      <c r="AG34" t="s">
        <v>20</v>
      </c>
      <c r="AJ34" cm="1">
        <f t="array" ref="AJ34">_xlfn.IFS(AG34="Yes",1,AG34="No",0,AG34="","")</f>
        <v>0</v>
      </c>
    </row>
    <row r="35" spans="1:36" ht="29">
      <c r="A35" t="s">
        <v>82</v>
      </c>
      <c r="D35" s="3" t="s">
        <v>200</v>
      </c>
      <c r="E35" s="3" t="s">
        <v>199</v>
      </c>
      <c r="J35" s="7" t="s">
        <v>24</v>
      </c>
      <c r="L35" s="7">
        <v>1</v>
      </c>
      <c r="M35" s="7">
        <v>2</v>
      </c>
      <c r="N35" s="7" t="s">
        <v>331</v>
      </c>
      <c r="O35" s="7" t="s">
        <v>373</v>
      </c>
      <c r="S35" s="7">
        <v>2475</v>
      </c>
      <c r="U35" s="7" t="str">
        <f t="shared" ca="1" si="2"/>
        <v/>
      </c>
      <c r="V35" s="7" t="str">
        <f t="shared" ca="1" si="3"/>
        <v/>
      </c>
      <c r="AG35" t="s">
        <v>19</v>
      </c>
      <c r="AJ35" cm="1">
        <f t="array" ref="AJ35">_xlfn.IFS(AG35="Yes",1,AG35="No",0,AG35="","")</f>
        <v>1</v>
      </c>
    </row>
    <row r="36" spans="1:36">
      <c r="A36" t="s">
        <v>82</v>
      </c>
      <c r="D36" s="3" t="s">
        <v>201</v>
      </c>
      <c r="E36" s="3" t="s">
        <v>202</v>
      </c>
      <c r="J36" s="7" t="s">
        <v>25</v>
      </c>
      <c r="L36" s="7">
        <v>1</v>
      </c>
      <c r="M36" s="7">
        <v>2</v>
      </c>
      <c r="N36" s="7" t="s">
        <v>331</v>
      </c>
      <c r="O36" s="7" t="s">
        <v>373</v>
      </c>
      <c r="R36" s="7" t="s">
        <v>327</v>
      </c>
      <c r="S36" s="7">
        <v>2475</v>
      </c>
      <c r="U36" s="7" t="str">
        <f t="shared" ca="1" si="2"/>
        <v/>
      </c>
      <c r="V36" s="7" t="str">
        <f t="shared" ca="1" si="3"/>
        <v/>
      </c>
      <c r="AG36" t="s">
        <v>19</v>
      </c>
      <c r="AJ36" cm="1">
        <f t="array" ref="AJ36">_xlfn.IFS(AG36="Yes",1,AG36="No",0,AG36="","")</f>
        <v>1</v>
      </c>
    </row>
    <row r="37" spans="1:36">
      <c r="A37" t="s">
        <v>83</v>
      </c>
      <c r="D37" s="3" t="s">
        <v>174</v>
      </c>
      <c r="E37" s="3" t="s">
        <v>173</v>
      </c>
      <c r="I37" t="s">
        <v>399</v>
      </c>
      <c r="J37" s="7" t="s">
        <v>25</v>
      </c>
      <c r="L37" s="7">
        <v>1</v>
      </c>
      <c r="M37" s="7">
        <v>3</v>
      </c>
      <c r="N37" s="7" t="s">
        <v>331</v>
      </c>
      <c r="O37" s="7" t="s">
        <v>332</v>
      </c>
      <c r="S37" s="7">
        <v>2475</v>
      </c>
      <c r="U37" s="7" t="str">
        <f t="shared" ca="1" si="2"/>
        <v/>
      </c>
      <c r="V37" s="7" t="str">
        <f t="shared" ca="1" si="3"/>
        <v/>
      </c>
      <c r="AG37" t="s">
        <v>19</v>
      </c>
      <c r="AJ37" cm="1">
        <f t="array" ref="AJ37">_xlfn.IFS(AG37="Yes",1,AG37="No",0,AG37="","")</f>
        <v>1</v>
      </c>
    </row>
    <row r="38" spans="1:36" ht="29">
      <c r="A38" t="s">
        <v>83</v>
      </c>
      <c r="D38" s="3" t="s">
        <v>204</v>
      </c>
      <c r="E38" s="3" t="s">
        <v>203</v>
      </c>
      <c r="J38" s="7" t="s">
        <v>372</v>
      </c>
      <c r="T38" s="7">
        <f>79-1701</f>
        <v>-1622</v>
      </c>
      <c r="U38" s="7">
        <f t="shared" ca="1" si="2"/>
        <v>1701</v>
      </c>
      <c r="V38" s="7">
        <f t="shared" ca="1" si="3"/>
        <v>79</v>
      </c>
      <c r="AG38" t="s">
        <v>19</v>
      </c>
      <c r="AJ38" cm="1">
        <f t="array" ref="AJ38">_xlfn.IFS(AG38="Yes",1,AG38="No",0,AG38="","")</f>
        <v>1</v>
      </c>
    </row>
    <row r="39" spans="1:36">
      <c r="A39" t="s">
        <v>83</v>
      </c>
      <c r="D39" s="3" t="s">
        <v>174</v>
      </c>
      <c r="E39" s="3" t="s">
        <v>173</v>
      </c>
      <c r="J39" s="7" t="s">
        <v>25</v>
      </c>
      <c r="L39" s="7">
        <v>1</v>
      </c>
      <c r="M39" s="7">
        <v>3</v>
      </c>
      <c r="N39" s="7" t="s">
        <v>331</v>
      </c>
      <c r="O39" s="7" t="s">
        <v>332</v>
      </c>
      <c r="S39" s="7">
        <v>2475</v>
      </c>
      <c r="U39" s="7" t="str">
        <f t="shared" ca="1" si="2"/>
        <v/>
      </c>
      <c r="V39" s="7" t="str">
        <f t="shared" ca="1" si="3"/>
        <v/>
      </c>
      <c r="AG39" t="s">
        <v>19</v>
      </c>
      <c r="AJ39" cm="1">
        <f t="array" ref="AJ39">_xlfn.IFS(AG39="Yes",1,AG39="No",0,AG39="","")</f>
        <v>1</v>
      </c>
    </row>
    <row r="40" spans="1:36">
      <c r="A40" t="s">
        <v>85</v>
      </c>
      <c r="D40" s="3" t="s">
        <v>206</v>
      </c>
      <c r="E40" s="3" t="s">
        <v>205</v>
      </c>
      <c r="J40" s="7" t="s">
        <v>25</v>
      </c>
      <c r="L40" s="7">
        <v>1</v>
      </c>
      <c r="M40" s="7">
        <v>2</v>
      </c>
      <c r="N40" s="7" t="s">
        <v>341</v>
      </c>
      <c r="O40" s="7" t="s">
        <v>373</v>
      </c>
      <c r="S40" s="7">
        <v>171</v>
      </c>
      <c r="U40" s="7" t="str">
        <f t="shared" ca="1" si="2"/>
        <v/>
      </c>
      <c r="V40" s="7" t="str">
        <f t="shared" ca="1" si="3"/>
        <v/>
      </c>
      <c r="AG40" t="s">
        <v>19</v>
      </c>
      <c r="AJ40" cm="1">
        <f t="array" ref="AJ40">_xlfn.IFS(AG40="Yes",1,AG40="No",0,AG40="","")</f>
        <v>1</v>
      </c>
    </row>
    <row r="41" spans="1:36">
      <c r="A41" t="s">
        <v>86</v>
      </c>
      <c r="D41" s="3" t="s">
        <v>87</v>
      </c>
      <c r="E41" s="3" t="s">
        <v>88</v>
      </c>
      <c r="H41" t="s">
        <v>19</v>
      </c>
      <c r="J41" s="7" t="s">
        <v>374</v>
      </c>
      <c r="U41" s="7" t="str">
        <f t="shared" ca="1" si="2"/>
        <v/>
      </c>
      <c r="V41" s="7" t="str">
        <f t="shared" ca="1" si="3"/>
        <v/>
      </c>
      <c r="AE41" s="7" t="s">
        <v>330</v>
      </c>
      <c r="AG41" t="s">
        <v>20</v>
      </c>
      <c r="AJ41" cm="1">
        <f t="array" ref="AJ41">_xlfn.IFS(AG41="Yes",1,AG41="No",0,AG41="","")</f>
        <v>0</v>
      </c>
    </row>
    <row r="42" spans="1:36" ht="29">
      <c r="A42" t="s">
        <v>89</v>
      </c>
      <c r="D42" s="3" t="s">
        <v>207</v>
      </c>
      <c r="E42" s="3" t="s">
        <v>208</v>
      </c>
      <c r="J42" s="7" t="s">
        <v>24</v>
      </c>
      <c r="L42" s="7">
        <v>1</v>
      </c>
      <c r="M42" s="7">
        <v>3</v>
      </c>
      <c r="N42" s="7" t="s">
        <v>331</v>
      </c>
      <c r="O42" s="7" t="s">
        <v>332</v>
      </c>
      <c r="S42" s="7">
        <v>2475</v>
      </c>
      <c r="U42" s="7" t="str">
        <f t="shared" ca="1" si="2"/>
        <v/>
      </c>
      <c r="V42" s="7" t="str">
        <f t="shared" ca="1" si="3"/>
        <v/>
      </c>
      <c r="AG42" t="s">
        <v>19</v>
      </c>
      <c r="AJ42" cm="1">
        <f t="array" ref="AJ42">_xlfn.IFS(AG42="Yes",1,AG42="No",0,AG42="","")</f>
        <v>1</v>
      </c>
    </row>
    <row r="43" spans="1:36" ht="29">
      <c r="A43" t="s">
        <v>89</v>
      </c>
      <c r="D43" s="3" t="s">
        <v>210</v>
      </c>
      <c r="E43" s="3" t="s">
        <v>209</v>
      </c>
      <c r="J43" s="7" t="s">
        <v>372</v>
      </c>
      <c r="T43" s="7">
        <f>132-250</f>
        <v>-118</v>
      </c>
      <c r="U43" s="7">
        <f t="shared" ca="1" si="2"/>
        <v>250</v>
      </c>
      <c r="V43" s="7">
        <f t="shared" ca="1" si="3"/>
        <v>132</v>
      </c>
      <c r="AG43" t="s">
        <v>19</v>
      </c>
      <c r="AJ43" cm="1">
        <f t="array" ref="AJ43">_xlfn.IFS(AG43="Yes",1,AG43="No",0,AG43="","")</f>
        <v>1</v>
      </c>
    </row>
    <row r="44" spans="1:36">
      <c r="A44" t="s">
        <v>90</v>
      </c>
      <c r="D44" s="3" t="s">
        <v>91</v>
      </c>
      <c r="E44" s="3" t="s">
        <v>92</v>
      </c>
      <c r="J44" s="7" t="s">
        <v>374</v>
      </c>
      <c r="U44" s="7" t="str">
        <f t="shared" ca="1" si="2"/>
        <v/>
      </c>
      <c r="V44" s="7" t="str">
        <f t="shared" ca="1" si="3"/>
        <v/>
      </c>
      <c r="AC44" s="7" t="s">
        <v>386</v>
      </c>
      <c r="AD44" s="7" t="s">
        <v>19</v>
      </c>
      <c r="AE44" s="7" t="s">
        <v>330</v>
      </c>
      <c r="AG44" t="s">
        <v>20</v>
      </c>
      <c r="AJ44" cm="1">
        <f t="array" ref="AJ44">_xlfn.IFS(AG44="Yes",1,AG44="No",0,AG44="","")</f>
        <v>0</v>
      </c>
    </row>
    <row r="45" spans="1:36">
      <c r="A45" t="s">
        <v>93</v>
      </c>
      <c r="D45" s="3" t="s">
        <v>94</v>
      </c>
      <c r="E45" s="3" t="s">
        <v>95</v>
      </c>
      <c r="H45" t="s">
        <v>19</v>
      </c>
      <c r="J45" s="7" t="s">
        <v>374</v>
      </c>
      <c r="U45" s="7" t="str">
        <f t="shared" ca="1" si="2"/>
        <v/>
      </c>
      <c r="V45" s="7" t="str">
        <f t="shared" ca="1" si="3"/>
        <v/>
      </c>
      <c r="AC45" s="7" t="s">
        <v>385</v>
      </c>
      <c r="AD45" s="7" t="s">
        <v>19</v>
      </c>
      <c r="AE45" s="7" t="s">
        <v>330</v>
      </c>
      <c r="AG45" t="s">
        <v>20</v>
      </c>
      <c r="AJ45" cm="1">
        <f t="array" ref="AJ45">_xlfn.IFS(AG45="Yes",1,AG45="No",0,AG45="","")</f>
        <v>0</v>
      </c>
    </row>
    <row r="46" spans="1:36" ht="29">
      <c r="A46" t="s">
        <v>96</v>
      </c>
      <c r="D46" s="3" t="s">
        <v>212</v>
      </c>
      <c r="E46" s="3" t="s">
        <v>211</v>
      </c>
      <c r="J46" s="7" t="s">
        <v>374</v>
      </c>
      <c r="U46" s="7" t="str">
        <f t="shared" ca="1" si="2"/>
        <v/>
      </c>
      <c r="V46" s="7" t="str">
        <f t="shared" ca="1" si="3"/>
        <v/>
      </c>
      <c r="AE46" s="7" t="s">
        <v>343</v>
      </c>
      <c r="AG46" t="s">
        <v>19</v>
      </c>
      <c r="AJ46" cm="1">
        <f t="array" ref="AJ46">_xlfn.IFS(AG46="Yes",1,AG46="No",0,AG46="","")</f>
        <v>1</v>
      </c>
    </row>
    <row r="47" spans="1:36" ht="43.5">
      <c r="A47" t="s">
        <v>96</v>
      </c>
      <c r="D47" s="3" t="s">
        <v>214</v>
      </c>
      <c r="E47" s="3" t="s">
        <v>213</v>
      </c>
      <c r="J47" s="7" t="s">
        <v>25</v>
      </c>
      <c r="L47" s="7">
        <v>1</v>
      </c>
      <c r="M47" s="7">
        <v>7</v>
      </c>
      <c r="N47" s="7" t="s">
        <v>325</v>
      </c>
      <c r="O47" s="7" t="s">
        <v>332</v>
      </c>
      <c r="S47" s="7">
        <v>13</v>
      </c>
      <c r="U47" s="7" t="str">
        <f t="shared" ca="1" si="2"/>
        <v/>
      </c>
      <c r="V47" s="7" t="str">
        <f t="shared" ca="1" si="3"/>
        <v/>
      </c>
      <c r="AG47" t="s">
        <v>19</v>
      </c>
      <c r="AJ47" cm="1">
        <f t="array" ref="AJ47">_xlfn.IFS(AG47="Yes",1,AG47="No",0,AG47="","")</f>
        <v>1</v>
      </c>
    </row>
    <row r="48" spans="1:36" ht="43.5">
      <c r="A48" t="s">
        <v>96</v>
      </c>
      <c r="D48" s="3" t="s">
        <v>215</v>
      </c>
      <c r="E48" s="3" t="s">
        <v>213</v>
      </c>
      <c r="J48" s="7" t="s">
        <v>25</v>
      </c>
      <c r="L48" s="7">
        <v>1</v>
      </c>
      <c r="M48" s="7">
        <v>3</v>
      </c>
      <c r="N48" s="7" t="s">
        <v>331</v>
      </c>
      <c r="O48" s="7" t="s">
        <v>332</v>
      </c>
      <c r="S48" s="7">
        <v>2475</v>
      </c>
      <c r="U48" s="7" t="str">
        <f t="shared" ca="1" si="2"/>
        <v/>
      </c>
      <c r="V48" s="7" t="str">
        <f t="shared" ca="1" si="3"/>
        <v/>
      </c>
      <c r="AG48" t="s">
        <v>19</v>
      </c>
      <c r="AJ48" cm="1">
        <f t="array" ref="AJ48">_xlfn.IFS(AG48="Yes",1,AG48="No",0,AG48="","")</f>
        <v>1</v>
      </c>
    </row>
    <row r="49" spans="1:36">
      <c r="A49" t="s">
        <v>97</v>
      </c>
      <c r="D49" s="3" t="s">
        <v>216</v>
      </c>
      <c r="E49" s="3" t="s">
        <v>217</v>
      </c>
      <c r="J49" s="7" t="s">
        <v>374</v>
      </c>
      <c r="U49" s="7" t="str">
        <f t="shared" ca="1" si="2"/>
        <v/>
      </c>
      <c r="V49" s="7" t="str">
        <f t="shared" ca="1" si="3"/>
        <v/>
      </c>
      <c r="AG49" t="s">
        <v>19</v>
      </c>
      <c r="AJ49" cm="1">
        <f t="array" ref="AJ49">_xlfn.IFS(AG49="Yes",1,AG49="No",0,AG49="","")</f>
        <v>1</v>
      </c>
    </row>
    <row r="50" spans="1:36" ht="29">
      <c r="A50" t="s">
        <v>98</v>
      </c>
      <c r="D50" s="3" t="s">
        <v>219</v>
      </c>
      <c r="E50" s="3" t="s">
        <v>218</v>
      </c>
      <c r="J50" s="7" t="s">
        <v>374</v>
      </c>
      <c r="U50" s="7" t="str">
        <f t="shared" ca="1" si="2"/>
        <v/>
      </c>
      <c r="V50" s="7" t="str">
        <f t="shared" ca="1" si="3"/>
        <v/>
      </c>
      <c r="AG50" t="s">
        <v>19</v>
      </c>
      <c r="AJ50" cm="1">
        <f t="array" ref="AJ50">_xlfn.IFS(AG50="Yes",1,AG50="No",0,AG50="","")</f>
        <v>1</v>
      </c>
    </row>
    <row r="51" spans="1:36">
      <c r="A51" t="s">
        <v>99</v>
      </c>
      <c r="D51" s="3" t="s">
        <v>221</v>
      </c>
      <c r="E51" s="3" t="s">
        <v>222</v>
      </c>
      <c r="J51" s="7" t="s">
        <v>374</v>
      </c>
      <c r="U51" s="7" t="str">
        <f t="shared" ca="1" si="2"/>
        <v/>
      </c>
      <c r="V51" s="7" t="str">
        <f t="shared" ca="1" si="3"/>
        <v/>
      </c>
      <c r="AB51" s="7" t="s">
        <v>335</v>
      </c>
      <c r="AD51" s="7" t="s">
        <v>19</v>
      </c>
      <c r="AG51" t="s">
        <v>19</v>
      </c>
      <c r="AJ51" cm="1">
        <f t="array" ref="AJ51">_xlfn.IFS(AG51="Yes",1,AG51="No",0,AG51="","")</f>
        <v>1</v>
      </c>
    </row>
    <row r="52" spans="1:36">
      <c r="A52" t="s">
        <v>99</v>
      </c>
      <c r="D52" s="3" t="s">
        <v>220</v>
      </c>
      <c r="E52" s="3" t="s">
        <v>223</v>
      </c>
      <c r="J52" s="7" t="s">
        <v>24</v>
      </c>
      <c r="L52" s="7">
        <v>1</v>
      </c>
      <c r="M52" s="7">
        <v>1</v>
      </c>
      <c r="N52" s="7" t="s">
        <v>331</v>
      </c>
      <c r="O52" s="7" t="s">
        <v>373</v>
      </c>
      <c r="S52" s="7">
        <v>2475</v>
      </c>
      <c r="U52" s="7" t="str">
        <f t="shared" ca="1" si="2"/>
        <v/>
      </c>
      <c r="V52" s="7" t="str">
        <f t="shared" ca="1" si="3"/>
        <v/>
      </c>
      <c r="AG52" t="s">
        <v>19</v>
      </c>
      <c r="AJ52" cm="1">
        <f t="array" ref="AJ52">_xlfn.IFS(AG52="Yes",1,AG52="No",0,AG52="","")</f>
        <v>1</v>
      </c>
    </row>
    <row r="53" spans="1:36">
      <c r="A53" t="s">
        <v>99</v>
      </c>
      <c r="D53" s="3" t="s">
        <v>224</v>
      </c>
      <c r="E53" s="3" t="s">
        <v>225</v>
      </c>
      <c r="J53" s="7" t="s">
        <v>374</v>
      </c>
      <c r="U53" s="7" t="str">
        <f t="shared" ca="1" si="2"/>
        <v/>
      </c>
      <c r="V53" s="7" t="str">
        <f t="shared" ca="1" si="3"/>
        <v/>
      </c>
      <c r="AB53" s="7" t="s">
        <v>418</v>
      </c>
      <c r="AD53" s="7" t="s">
        <v>19</v>
      </c>
      <c r="AG53" t="s">
        <v>19</v>
      </c>
      <c r="AJ53" cm="1">
        <f t="array" ref="AJ53">_xlfn.IFS(AG53="Yes",1,AG53="No",0,AG53="","")</f>
        <v>1</v>
      </c>
    </row>
    <row r="54" spans="1:36">
      <c r="A54" t="s">
        <v>99</v>
      </c>
      <c r="D54" s="3" t="s">
        <v>227</v>
      </c>
      <c r="E54" s="3" t="s">
        <v>226</v>
      </c>
      <c r="J54" s="7" t="s">
        <v>372</v>
      </c>
      <c r="T54" s="7">
        <f>830-17</f>
        <v>813</v>
      </c>
      <c r="U54" s="7">
        <f t="shared" ca="1" si="2"/>
        <v>17</v>
      </c>
      <c r="V54" s="7">
        <f t="shared" ca="1" si="3"/>
        <v>830</v>
      </c>
      <c r="AG54" t="s">
        <v>19</v>
      </c>
      <c r="AJ54" cm="1">
        <f t="array" ref="AJ54">_xlfn.IFS(AG54="Yes",1,AG54="No",0,AG54="","")</f>
        <v>1</v>
      </c>
    </row>
    <row r="55" spans="1:36">
      <c r="A55" t="s">
        <v>99</v>
      </c>
      <c r="D55" s="3" t="s">
        <v>228</v>
      </c>
      <c r="E55" s="3" t="s">
        <v>229</v>
      </c>
      <c r="H55" t="s">
        <v>19</v>
      </c>
      <c r="J55" s="7" t="s">
        <v>374</v>
      </c>
      <c r="U55" s="7" t="str">
        <f t="shared" ca="1" si="2"/>
        <v/>
      </c>
      <c r="V55" s="7" t="str">
        <f t="shared" ca="1" si="3"/>
        <v/>
      </c>
      <c r="AE55" s="7" t="s">
        <v>336</v>
      </c>
      <c r="AG55" t="s">
        <v>20</v>
      </c>
      <c r="AJ55" cm="1">
        <f t="array" ref="AJ55">_xlfn.IFS(AG55="Yes",1,AG55="No",0,AG55="","")</f>
        <v>0</v>
      </c>
    </row>
    <row r="56" spans="1:36" ht="101.5">
      <c r="A56" t="s">
        <v>99</v>
      </c>
      <c r="D56" s="3" t="s">
        <v>230</v>
      </c>
      <c r="E56" s="3" t="s">
        <v>231</v>
      </c>
      <c r="H56" t="s">
        <v>19</v>
      </c>
      <c r="I56" t="s">
        <v>400</v>
      </c>
      <c r="J56" s="7" t="s">
        <v>25</v>
      </c>
      <c r="L56" s="7">
        <v>15</v>
      </c>
      <c r="M56" s="7">
        <v>67</v>
      </c>
      <c r="O56" s="7" t="s">
        <v>326</v>
      </c>
      <c r="P56" s="7" t="s">
        <v>391</v>
      </c>
      <c r="Q56" s="8" t="s">
        <v>394</v>
      </c>
      <c r="S56" s="7">
        <v>2</v>
      </c>
      <c r="U56" s="7" t="str">
        <f t="shared" ca="1" si="2"/>
        <v/>
      </c>
      <c r="V56" s="7" t="str">
        <f t="shared" ca="1" si="3"/>
        <v/>
      </c>
      <c r="AG56" t="s">
        <v>20</v>
      </c>
      <c r="AJ56" cm="1">
        <f t="array" ref="AJ56">_xlfn.IFS(AG56="Yes",1,AG56="No",0,AG56="","")</f>
        <v>0</v>
      </c>
    </row>
    <row r="57" spans="1:36" ht="101.5">
      <c r="A57" t="s">
        <v>100</v>
      </c>
      <c r="D57" s="3" t="s">
        <v>232</v>
      </c>
      <c r="E57" s="3" t="s">
        <v>233</v>
      </c>
      <c r="F57" t="s">
        <v>16</v>
      </c>
      <c r="J57" s="7" t="s">
        <v>372</v>
      </c>
      <c r="T57" s="7">
        <f>49-9</f>
        <v>40</v>
      </c>
      <c r="U57" s="7">
        <f t="shared" ca="1" si="2"/>
        <v>9</v>
      </c>
      <c r="V57" s="7">
        <f t="shared" ca="1" si="3"/>
        <v>49</v>
      </c>
      <c r="AC57" s="7" t="s">
        <v>414</v>
      </c>
      <c r="AD57" s="7" t="s">
        <v>19</v>
      </c>
      <c r="AG57" t="s">
        <v>19</v>
      </c>
      <c r="AJ57" cm="1">
        <f t="array" ref="AJ57">_xlfn.IFS(AG57="Yes",1,AG57="No",0,AG57="","")</f>
        <v>1</v>
      </c>
    </row>
    <row r="58" spans="1:36">
      <c r="A58" t="s">
        <v>100</v>
      </c>
      <c r="D58" s="3" t="s">
        <v>101</v>
      </c>
      <c r="E58" s="3" t="s">
        <v>234</v>
      </c>
      <c r="H58" t="s">
        <v>19</v>
      </c>
      <c r="J58" s="7" t="s">
        <v>374</v>
      </c>
      <c r="U58" s="7" t="str">
        <f t="shared" ca="1" si="2"/>
        <v/>
      </c>
      <c r="V58" s="7" t="str">
        <f t="shared" ca="1" si="3"/>
        <v/>
      </c>
      <c r="AG58" t="s">
        <v>20</v>
      </c>
      <c r="AJ58" cm="1">
        <f t="array" ref="AJ58">_xlfn.IFS(AG58="Yes",1,AG58="No",0,AG58="","")</f>
        <v>0</v>
      </c>
    </row>
    <row r="59" spans="1:36">
      <c r="A59" t="s">
        <v>102</v>
      </c>
      <c r="D59" s="3" t="s">
        <v>235</v>
      </c>
      <c r="E59" s="3" t="s">
        <v>236</v>
      </c>
      <c r="J59" s="7" t="s">
        <v>25</v>
      </c>
      <c r="L59" s="7">
        <v>1</v>
      </c>
      <c r="M59" s="7">
        <v>1</v>
      </c>
      <c r="N59" s="7" t="s">
        <v>331</v>
      </c>
      <c r="O59" s="7" t="s">
        <v>373</v>
      </c>
      <c r="S59" s="7">
        <v>2475</v>
      </c>
      <c r="U59" s="7" t="str">
        <f t="shared" ref="U59:U114" ca="1" si="4">IF(ISNUMBER(T59),VALUE(MID(_xlfn.FORMULATEXT(T59),SEARCH("-",_xlfn.FORMULATEXT(T59))+1,LEN(_xlfn.FORMULATEXT(T59))-SEARCH("-",_xlfn.FORMULATEXT(T59)))), "")</f>
        <v/>
      </c>
      <c r="V59" s="7" t="str">
        <f t="shared" ref="V59:V114" ca="1" si="5">IF(ISNUMBER(T59), VALUE(MID(_xlfn.FORMULATEXT(T59), 2, SEARCH("-", _xlfn.FORMULATEXT(T59)) - 2)), "")</f>
        <v/>
      </c>
      <c r="AG59" t="s">
        <v>19</v>
      </c>
      <c r="AJ59" cm="1">
        <f t="array" ref="AJ59">_xlfn.IFS(AG59="Yes",1,AG59="No",0,AG59="","")</f>
        <v>1</v>
      </c>
    </row>
    <row r="60" spans="1:36">
      <c r="A60" t="s">
        <v>103</v>
      </c>
      <c r="D60" s="3" t="s">
        <v>104</v>
      </c>
      <c r="E60" s="3" t="s">
        <v>105</v>
      </c>
      <c r="J60" s="7" t="s">
        <v>372</v>
      </c>
      <c r="T60" s="7" t="s">
        <v>384</v>
      </c>
      <c r="U60" s="7" t="str">
        <f t="shared" ca="1" si="4"/>
        <v/>
      </c>
      <c r="V60" s="7" t="str">
        <f t="shared" ca="1" si="5"/>
        <v/>
      </c>
      <c r="AB60" s="7" t="s">
        <v>390</v>
      </c>
      <c r="AD60" s="7" t="s">
        <v>19</v>
      </c>
      <c r="AG60" t="s">
        <v>19</v>
      </c>
      <c r="AJ60" cm="1">
        <f t="array" ref="AJ60">_xlfn.IFS(AG60="Yes",1,AG60="No",0,AG60="","")</f>
        <v>1</v>
      </c>
    </row>
    <row r="61" spans="1:36">
      <c r="A61" t="s">
        <v>103</v>
      </c>
      <c r="D61" s="3" t="s">
        <v>237</v>
      </c>
      <c r="E61" s="3" t="s">
        <v>238</v>
      </c>
      <c r="J61" s="7" t="s">
        <v>25</v>
      </c>
      <c r="L61" s="7">
        <v>1</v>
      </c>
      <c r="M61" s="7">
        <v>1</v>
      </c>
      <c r="N61" s="7" t="s">
        <v>331</v>
      </c>
      <c r="O61" s="7" t="s">
        <v>373</v>
      </c>
      <c r="S61" s="7">
        <v>2475</v>
      </c>
      <c r="U61" s="7" t="str">
        <f t="shared" ca="1" si="4"/>
        <v/>
      </c>
      <c r="V61" s="7" t="str">
        <f t="shared" ca="1" si="5"/>
        <v/>
      </c>
      <c r="AG61" t="s">
        <v>19</v>
      </c>
      <c r="AJ61" cm="1">
        <f t="array" ref="AJ61">_xlfn.IFS(AG61="Yes",1,AG61="No",0,AG61="","")</f>
        <v>1</v>
      </c>
    </row>
    <row r="62" spans="1:36">
      <c r="A62" t="s">
        <v>106</v>
      </c>
      <c r="D62" s="3" t="s">
        <v>107</v>
      </c>
      <c r="E62" s="3" t="s">
        <v>108</v>
      </c>
      <c r="J62" s="7" t="s">
        <v>372</v>
      </c>
      <c r="T62" s="7" t="s">
        <v>384</v>
      </c>
      <c r="U62" s="7" t="str">
        <f t="shared" ca="1" si="4"/>
        <v/>
      </c>
      <c r="V62" s="7" t="str">
        <f t="shared" ca="1" si="5"/>
        <v/>
      </c>
      <c r="AB62" s="7" t="s">
        <v>390</v>
      </c>
      <c r="AD62" s="7" t="s">
        <v>19</v>
      </c>
      <c r="AG62" t="s">
        <v>19</v>
      </c>
      <c r="AJ62" cm="1">
        <f t="array" ref="AJ62">_xlfn.IFS(AG62="Yes",1,AG62="No",0,AG62="","")</f>
        <v>1</v>
      </c>
    </row>
    <row r="63" spans="1:36">
      <c r="A63" t="s">
        <v>106</v>
      </c>
      <c r="D63" s="3" t="s">
        <v>239</v>
      </c>
      <c r="E63" s="3" t="s">
        <v>240</v>
      </c>
      <c r="J63" s="7" t="s">
        <v>25</v>
      </c>
      <c r="L63" s="7">
        <v>1</v>
      </c>
      <c r="M63" s="7">
        <v>2</v>
      </c>
      <c r="N63" s="7" t="s">
        <v>383</v>
      </c>
      <c r="O63" s="7" t="s">
        <v>373</v>
      </c>
      <c r="S63" s="7">
        <v>295</v>
      </c>
      <c r="U63" s="7" t="str">
        <f t="shared" ca="1" si="4"/>
        <v/>
      </c>
      <c r="V63" s="7" t="str">
        <f t="shared" ca="1" si="5"/>
        <v/>
      </c>
      <c r="AG63" t="s">
        <v>19</v>
      </c>
      <c r="AJ63" cm="1">
        <f t="array" ref="AJ63">_xlfn.IFS(AG63="Yes",1,AG63="No",0,AG63="","")</f>
        <v>1</v>
      </c>
    </row>
    <row r="64" spans="1:36">
      <c r="A64" t="s">
        <v>109</v>
      </c>
      <c r="D64" s="3" t="s">
        <v>110</v>
      </c>
      <c r="E64" s="3" t="s">
        <v>111</v>
      </c>
      <c r="H64" t="s">
        <v>19</v>
      </c>
      <c r="J64" s="7" t="s">
        <v>372</v>
      </c>
      <c r="T64" s="7" t="s">
        <v>373</v>
      </c>
      <c r="U64" s="7" t="str">
        <f t="shared" ca="1" si="4"/>
        <v/>
      </c>
      <c r="V64" s="7" t="str">
        <f t="shared" ca="1" si="5"/>
        <v/>
      </c>
      <c r="AB64" s="7" t="s">
        <v>390</v>
      </c>
      <c r="AD64" s="7" t="s">
        <v>19</v>
      </c>
      <c r="AG64" t="s">
        <v>20</v>
      </c>
      <c r="AJ64" cm="1">
        <f t="array" ref="AJ64">_xlfn.IFS(AG64="Yes",1,AG64="No",0,AG64="","")</f>
        <v>0</v>
      </c>
    </row>
    <row r="65" spans="1:36" ht="29">
      <c r="A65" t="s">
        <v>109</v>
      </c>
      <c r="D65" s="3" t="s">
        <v>242</v>
      </c>
      <c r="E65" s="3" t="s">
        <v>241</v>
      </c>
      <c r="J65" s="7" t="s">
        <v>25</v>
      </c>
      <c r="L65" s="7">
        <v>1</v>
      </c>
      <c r="M65" s="7">
        <v>3</v>
      </c>
      <c r="N65" s="7" t="s">
        <v>350</v>
      </c>
      <c r="O65" s="7" t="s">
        <v>332</v>
      </c>
      <c r="S65" s="7">
        <v>210</v>
      </c>
      <c r="U65" s="7" t="str">
        <f t="shared" ca="1" si="4"/>
        <v/>
      </c>
      <c r="V65" s="7" t="str">
        <f t="shared" ca="1" si="5"/>
        <v/>
      </c>
      <c r="AG65" t="s">
        <v>19</v>
      </c>
      <c r="AJ65" cm="1">
        <f t="array" ref="AJ65">_xlfn.IFS(AG65="Yes",1,AG65="No",0,AG65="","")</f>
        <v>1</v>
      </c>
    </row>
    <row r="66" spans="1:36" ht="43.5">
      <c r="A66" t="s">
        <v>112</v>
      </c>
      <c r="D66" s="3" t="s">
        <v>244</v>
      </c>
      <c r="E66" s="3" t="s">
        <v>243</v>
      </c>
      <c r="J66" s="7" t="s">
        <v>24</v>
      </c>
      <c r="L66" s="7">
        <v>1</v>
      </c>
      <c r="M66" s="7">
        <v>3</v>
      </c>
      <c r="N66" s="7" t="s">
        <v>341</v>
      </c>
      <c r="O66" s="7" t="s">
        <v>332</v>
      </c>
      <c r="S66" s="7">
        <v>1701</v>
      </c>
      <c r="U66" s="7" t="str">
        <f t="shared" ca="1" si="4"/>
        <v/>
      </c>
      <c r="V66" s="7" t="str">
        <f t="shared" ca="1" si="5"/>
        <v/>
      </c>
      <c r="AG66" t="s">
        <v>19</v>
      </c>
      <c r="AJ66" cm="1">
        <f t="array" ref="AJ66">_xlfn.IFS(AG66="Yes",1,AG66="No",0,AG66="","")</f>
        <v>1</v>
      </c>
    </row>
    <row r="67" spans="1:36">
      <c r="A67" t="s">
        <v>112</v>
      </c>
      <c r="D67" s="3" t="s">
        <v>113</v>
      </c>
      <c r="E67" s="3" t="s">
        <v>114</v>
      </c>
      <c r="H67" t="s">
        <v>19</v>
      </c>
      <c r="J67" s="7" t="s">
        <v>372</v>
      </c>
      <c r="T67" s="7" t="s">
        <v>384</v>
      </c>
      <c r="U67" s="7" t="str">
        <f t="shared" ca="1" si="4"/>
        <v/>
      </c>
      <c r="V67" s="7" t="str">
        <f t="shared" ca="1" si="5"/>
        <v/>
      </c>
      <c r="AE67" s="7" t="s">
        <v>330</v>
      </c>
      <c r="AG67" t="s">
        <v>20</v>
      </c>
      <c r="AJ67" cm="1">
        <f t="array" ref="AJ67">_xlfn.IFS(AG67="Yes",1,AG67="No",0,AG67="","")</f>
        <v>0</v>
      </c>
    </row>
    <row r="68" spans="1:36">
      <c r="A68" t="s">
        <v>115</v>
      </c>
      <c r="D68" s="3" t="s">
        <v>245</v>
      </c>
      <c r="E68" s="3" t="s">
        <v>246</v>
      </c>
      <c r="J68" s="7" t="s">
        <v>372</v>
      </c>
      <c r="T68" s="7">
        <f>1-8</f>
        <v>-7</v>
      </c>
      <c r="U68" s="7">
        <f t="shared" ca="1" si="4"/>
        <v>8</v>
      </c>
      <c r="V68" s="7">
        <f t="shared" ca="1" si="5"/>
        <v>1</v>
      </c>
      <c r="AC68" s="7" t="s">
        <v>386</v>
      </c>
      <c r="AD68" s="7" t="s">
        <v>19</v>
      </c>
      <c r="AG68" t="s">
        <v>19</v>
      </c>
      <c r="AJ68" cm="1">
        <f t="array" ref="AJ68">_xlfn.IFS(AG68="Yes",1,AG68="No",0,AG68="","")</f>
        <v>1</v>
      </c>
    </row>
    <row r="69" spans="1:36" ht="29">
      <c r="A69" t="s">
        <v>115</v>
      </c>
      <c r="D69" s="3" t="s">
        <v>248</v>
      </c>
      <c r="E69" s="3" t="s">
        <v>249</v>
      </c>
      <c r="J69" s="7" t="s">
        <v>374</v>
      </c>
      <c r="U69" s="7" t="str">
        <f t="shared" ca="1" si="4"/>
        <v/>
      </c>
      <c r="V69" s="7" t="str">
        <f t="shared" ca="1" si="5"/>
        <v/>
      </c>
      <c r="AB69" s="7" t="s">
        <v>335</v>
      </c>
      <c r="AD69" s="7" t="s">
        <v>19</v>
      </c>
      <c r="AG69" t="s">
        <v>19</v>
      </c>
      <c r="AJ69" cm="1">
        <f t="array" ref="AJ69">_xlfn.IFS(AG69="Yes",1,AG69="No",0,AG69="","")</f>
        <v>1</v>
      </c>
    </row>
    <row r="70" spans="1:36" ht="29">
      <c r="A70" t="s">
        <v>115</v>
      </c>
      <c r="D70" s="3" t="s">
        <v>250</v>
      </c>
      <c r="E70" s="3" t="s">
        <v>247</v>
      </c>
      <c r="J70" s="7" t="s">
        <v>25</v>
      </c>
      <c r="L70" s="7">
        <v>1</v>
      </c>
      <c r="M70" s="7">
        <v>3</v>
      </c>
      <c r="N70" s="7" t="s">
        <v>348</v>
      </c>
      <c r="O70" s="7" t="s">
        <v>332</v>
      </c>
      <c r="S70" s="7">
        <v>743</v>
      </c>
      <c r="U70" s="7" t="str">
        <f t="shared" ca="1" si="4"/>
        <v/>
      </c>
      <c r="V70" s="7" t="str">
        <f t="shared" ca="1" si="5"/>
        <v/>
      </c>
      <c r="AG70" t="s">
        <v>19</v>
      </c>
      <c r="AJ70" cm="1">
        <f t="array" ref="AJ70">_xlfn.IFS(AG70="Yes",1,AG70="No",0,AG70="","")</f>
        <v>1</v>
      </c>
    </row>
    <row r="71" spans="1:36">
      <c r="A71" t="s">
        <v>116</v>
      </c>
      <c r="D71" s="3" t="s">
        <v>251</v>
      </c>
      <c r="E71" s="3" t="s">
        <v>251</v>
      </c>
      <c r="F71" t="s">
        <v>35</v>
      </c>
      <c r="I71" t="s">
        <v>252</v>
      </c>
      <c r="U71" s="7" t="str">
        <f t="shared" ca="1" si="4"/>
        <v/>
      </c>
      <c r="V71" s="7" t="str">
        <f t="shared" ca="1" si="5"/>
        <v/>
      </c>
      <c r="AJ71" t="str" cm="1">
        <f t="array" ref="AJ71">_xlfn.IFS(AG71="Yes",1,AG71="No",0,AG71="","")</f>
        <v/>
      </c>
    </row>
    <row r="72" spans="1:36">
      <c r="A72" t="s">
        <v>117</v>
      </c>
      <c r="D72" s="3" t="s">
        <v>118</v>
      </c>
      <c r="E72" s="3" t="s">
        <v>119</v>
      </c>
      <c r="H72" t="s">
        <v>19</v>
      </c>
      <c r="J72" s="7" t="s">
        <v>372</v>
      </c>
      <c r="T72" s="7" t="s">
        <v>384</v>
      </c>
      <c r="U72" s="7" t="str">
        <f t="shared" ca="1" si="4"/>
        <v/>
      </c>
      <c r="V72" s="7" t="str">
        <f t="shared" ca="1" si="5"/>
        <v/>
      </c>
      <c r="AC72" s="7" t="s">
        <v>415</v>
      </c>
      <c r="AD72" s="7" t="s">
        <v>19</v>
      </c>
      <c r="AE72" s="7" t="s">
        <v>330</v>
      </c>
      <c r="AG72" t="s">
        <v>19</v>
      </c>
      <c r="AJ72" cm="1">
        <f t="array" ref="AJ72">_xlfn.IFS(AG72="Yes",1,AG72="No",0,AG72="","")</f>
        <v>1</v>
      </c>
    </row>
    <row r="73" spans="1:36">
      <c r="A73" t="s">
        <v>120</v>
      </c>
      <c r="D73" s="3" t="s">
        <v>190</v>
      </c>
      <c r="E73" s="3" t="s">
        <v>189</v>
      </c>
      <c r="I73" t="s">
        <v>401</v>
      </c>
      <c r="J73" s="7" t="s">
        <v>374</v>
      </c>
      <c r="U73" s="7" t="str">
        <f t="shared" ca="1" si="4"/>
        <v/>
      </c>
      <c r="V73" s="7" t="str">
        <f t="shared" ca="1" si="5"/>
        <v/>
      </c>
      <c r="W73" s="7" t="s">
        <v>371</v>
      </c>
      <c r="AG73" t="s">
        <v>19</v>
      </c>
      <c r="AJ73" cm="1">
        <f t="array" ref="AJ73">_xlfn.IFS(AG73="Yes",1,AG73="No",0,AG73="","")</f>
        <v>1</v>
      </c>
    </row>
    <row r="74" spans="1:36" ht="29">
      <c r="A74" t="s">
        <v>120</v>
      </c>
      <c r="D74" s="3" t="s">
        <v>253</v>
      </c>
      <c r="E74" s="3" t="s">
        <v>254</v>
      </c>
      <c r="H74" t="s">
        <v>22</v>
      </c>
      <c r="I74" t="s">
        <v>255</v>
      </c>
      <c r="J74" s="7" t="s">
        <v>374</v>
      </c>
      <c r="U74" s="7" t="str">
        <f t="shared" ca="1" si="4"/>
        <v/>
      </c>
      <c r="V74" s="7" t="str">
        <f t="shared" ca="1" si="5"/>
        <v/>
      </c>
      <c r="AE74" s="7" t="s">
        <v>330</v>
      </c>
      <c r="AG74" t="s">
        <v>19</v>
      </c>
      <c r="AJ74" cm="1">
        <f t="array" ref="AJ74">_xlfn.IFS(AG74="Yes",1,AG74="No",0,AG74="","")</f>
        <v>1</v>
      </c>
    </row>
    <row r="75" spans="1:36">
      <c r="A75" t="s">
        <v>120</v>
      </c>
      <c r="D75" s="3" t="s">
        <v>121</v>
      </c>
      <c r="E75" s="3" t="s">
        <v>122</v>
      </c>
      <c r="H75" t="s">
        <v>19</v>
      </c>
      <c r="J75" s="7" t="s">
        <v>374</v>
      </c>
      <c r="Q75" s="7"/>
      <c r="U75" s="7" t="str">
        <f t="shared" ca="1" si="4"/>
        <v/>
      </c>
      <c r="V75" s="7" t="str">
        <f t="shared" ca="1" si="5"/>
        <v/>
      </c>
      <c r="AC75" s="7" t="s">
        <v>393</v>
      </c>
      <c r="AD75" s="7" t="s">
        <v>19</v>
      </c>
      <c r="AG75" t="s">
        <v>20</v>
      </c>
      <c r="AJ75" cm="1">
        <f t="array" ref="AJ75">_xlfn.IFS(AG75="Yes",1,AG75="No",0,AG75="","")</f>
        <v>0</v>
      </c>
    </row>
    <row r="76" spans="1:36">
      <c r="A76" t="s">
        <v>123</v>
      </c>
      <c r="D76" s="3" t="s">
        <v>256</v>
      </c>
      <c r="E76" s="3" t="s">
        <v>257</v>
      </c>
      <c r="H76" t="s">
        <v>19</v>
      </c>
      <c r="J76" s="7" t="s">
        <v>374</v>
      </c>
      <c r="U76" s="7" t="str">
        <f t="shared" ca="1" si="4"/>
        <v/>
      </c>
      <c r="V76" s="7" t="str">
        <f t="shared" ca="1" si="5"/>
        <v/>
      </c>
      <c r="AE76" s="7" t="s">
        <v>336</v>
      </c>
      <c r="AG76" t="s">
        <v>20</v>
      </c>
      <c r="AJ76" cm="1">
        <f t="array" ref="AJ76">_xlfn.IFS(AG76="Yes",1,AG76="No",0,AG76="","")</f>
        <v>0</v>
      </c>
    </row>
    <row r="77" spans="1:36">
      <c r="A77" t="s">
        <v>124</v>
      </c>
      <c r="D77" s="3" t="s">
        <v>258</v>
      </c>
      <c r="E77" s="3" t="s">
        <v>259</v>
      </c>
      <c r="H77" t="s">
        <v>19</v>
      </c>
      <c r="J77" s="7" t="s">
        <v>374</v>
      </c>
      <c r="U77" s="7" t="str">
        <f t="shared" ca="1" si="4"/>
        <v/>
      </c>
      <c r="V77" s="7" t="str">
        <f t="shared" ca="1" si="5"/>
        <v/>
      </c>
      <c r="AE77" s="7" t="s">
        <v>330</v>
      </c>
      <c r="AG77" t="s">
        <v>20</v>
      </c>
      <c r="AJ77" cm="1">
        <f t="array" ref="AJ77">_xlfn.IFS(AG77="Yes",1,AG77="No",0,AG77="","")</f>
        <v>0</v>
      </c>
    </row>
    <row r="78" spans="1:36" ht="58">
      <c r="A78" t="s">
        <v>125</v>
      </c>
      <c r="D78" s="3" t="s">
        <v>261</v>
      </c>
      <c r="E78" s="3" t="s">
        <v>260</v>
      </c>
      <c r="I78" t="s">
        <v>262</v>
      </c>
      <c r="J78" s="7" t="s">
        <v>25</v>
      </c>
      <c r="L78" s="7">
        <v>7</v>
      </c>
      <c r="M78" s="7">
        <v>32</v>
      </c>
      <c r="O78" s="7" t="s">
        <v>326</v>
      </c>
      <c r="P78" s="7" t="s">
        <v>395</v>
      </c>
      <c r="Q78" s="8" t="s">
        <v>402</v>
      </c>
      <c r="U78" s="7" t="str">
        <f t="shared" ca="1" si="4"/>
        <v/>
      </c>
      <c r="V78" s="7" t="str">
        <f t="shared" ca="1" si="5"/>
        <v/>
      </c>
      <c r="AG78" t="s">
        <v>20</v>
      </c>
      <c r="AJ78" cm="1">
        <f t="array" ref="AJ78">_xlfn.IFS(AG78="Yes",1,AG78="No",0,AG78="","")</f>
        <v>0</v>
      </c>
    </row>
    <row r="79" spans="1:36">
      <c r="A79" t="s">
        <v>125</v>
      </c>
      <c r="D79" s="3" t="s">
        <v>126</v>
      </c>
      <c r="E79" s="3" t="s">
        <v>126</v>
      </c>
      <c r="F79" t="s">
        <v>35</v>
      </c>
      <c r="I79" t="s">
        <v>263</v>
      </c>
      <c r="U79" s="7" t="str">
        <f t="shared" ca="1" si="4"/>
        <v/>
      </c>
      <c r="V79" s="7" t="str">
        <f t="shared" ca="1" si="5"/>
        <v/>
      </c>
      <c r="AJ79" t="str" cm="1">
        <f t="array" ref="AJ79">_xlfn.IFS(AG79="Yes",1,AG79="No",0,AG79="","")</f>
        <v/>
      </c>
    </row>
    <row r="80" spans="1:36">
      <c r="A80" t="s">
        <v>125</v>
      </c>
      <c r="D80" s="3" t="s">
        <v>127</v>
      </c>
      <c r="E80" s="3" t="s">
        <v>128</v>
      </c>
      <c r="H80" t="s">
        <v>19</v>
      </c>
      <c r="J80" s="7" t="s">
        <v>372</v>
      </c>
      <c r="T80" s="7">
        <f>0-1</f>
        <v>-1</v>
      </c>
      <c r="U80" s="7">
        <f t="shared" ca="1" si="4"/>
        <v>1</v>
      </c>
      <c r="V80" s="7">
        <f t="shared" ca="1" si="5"/>
        <v>0</v>
      </c>
      <c r="AG80" t="s">
        <v>19</v>
      </c>
      <c r="AJ80" cm="1">
        <f t="array" ref="AJ80">_xlfn.IFS(AG80="Yes",1,AG80="No",0,AG80="","")</f>
        <v>1</v>
      </c>
    </row>
    <row r="81" spans="1:36" ht="72.5">
      <c r="A81" t="s">
        <v>129</v>
      </c>
      <c r="D81" s="3" t="s">
        <v>265</v>
      </c>
      <c r="E81" s="3" t="s">
        <v>266</v>
      </c>
      <c r="I81" t="s">
        <v>403</v>
      </c>
      <c r="J81" s="7" t="s">
        <v>26</v>
      </c>
      <c r="U81" s="7" t="str">
        <f t="shared" ca="1" si="4"/>
        <v/>
      </c>
      <c r="V81" s="7" t="str">
        <f t="shared" ca="1" si="5"/>
        <v/>
      </c>
      <c r="AG81" t="s">
        <v>19</v>
      </c>
      <c r="AJ81" cm="1">
        <f t="array" ref="AJ81">_xlfn.IFS(AG81="Yes",1,AG81="No",0,AG81="","")</f>
        <v>1</v>
      </c>
    </row>
    <row r="82" spans="1:36" ht="72.5">
      <c r="A82" t="s">
        <v>129</v>
      </c>
      <c r="D82" s="3" t="s">
        <v>264</v>
      </c>
      <c r="E82" s="3" t="s">
        <v>267</v>
      </c>
      <c r="J82" s="7" t="s">
        <v>24</v>
      </c>
      <c r="L82" s="7">
        <v>1</v>
      </c>
      <c r="M82" s="7">
        <v>3</v>
      </c>
      <c r="N82" s="7" t="s">
        <v>341</v>
      </c>
      <c r="O82" s="7" t="s">
        <v>332</v>
      </c>
      <c r="S82" s="7">
        <v>86</v>
      </c>
      <c r="U82" s="7" t="str">
        <f t="shared" ca="1" si="4"/>
        <v/>
      </c>
      <c r="V82" s="7" t="str">
        <f t="shared" ca="1" si="5"/>
        <v/>
      </c>
      <c r="AG82" t="s">
        <v>19</v>
      </c>
      <c r="AJ82" cm="1">
        <f t="array" ref="AJ82">_xlfn.IFS(AG82="Yes",1,AG82="No",0,AG82="","")</f>
        <v>1</v>
      </c>
    </row>
    <row r="83" spans="1:36" ht="72.5">
      <c r="A83" t="s">
        <v>129</v>
      </c>
      <c r="D83" s="3" t="s">
        <v>269</v>
      </c>
      <c r="E83" s="3" t="s">
        <v>268</v>
      </c>
      <c r="H83" t="s">
        <v>19</v>
      </c>
      <c r="J83" s="7" t="s">
        <v>374</v>
      </c>
      <c r="U83" s="7" t="str">
        <f t="shared" ca="1" si="4"/>
        <v/>
      </c>
      <c r="V83" s="7" t="str">
        <f t="shared" ca="1" si="5"/>
        <v/>
      </c>
      <c r="AE83" s="7" t="s">
        <v>336</v>
      </c>
      <c r="AG83" t="s">
        <v>20</v>
      </c>
      <c r="AJ83" cm="1">
        <f t="array" ref="AJ83">_xlfn.IFS(AG83="Yes",1,AG83="No",0,AG83="","")</f>
        <v>0</v>
      </c>
    </row>
    <row r="84" spans="1:36" ht="43.5">
      <c r="A84" t="s">
        <v>129</v>
      </c>
      <c r="D84" s="3" t="s">
        <v>271</v>
      </c>
      <c r="E84" s="3" t="s">
        <v>272</v>
      </c>
      <c r="J84" s="7" t="s">
        <v>374</v>
      </c>
      <c r="U84" s="7" t="str">
        <f t="shared" ca="1" si="4"/>
        <v/>
      </c>
      <c r="V84" s="7" t="str">
        <f t="shared" ca="1" si="5"/>
        <v/>
      </c>
      <c r="AE84" s="7" t="s">
        <v>336</v>
      </c>
      <c r="AG84" t="s">
        <v>20</v>
      </c>
      <c r="AJ84" cm="1">
        <f t="array" ref="AJ84">_xlfn.IFS(AG84="Yes",1,AG84="No",0,AG84="","")</f>
        <v>0</v>
      </c>
    </row>
    <row r="85" spans="1:36" ht="43.5">
      <c r="A85" t="s">
        <v>129</v>
      </c>
      <c r="D85" s="3" t="s">
        <v>273</v>
      </c>
      <c r="E85" s="3" t="s">
        <v>270</v>
      </c>
      <c r="J85" s="7" t="s">
        <v>25</v>
      </c>
      <c r="L85" s="7">
        <v>1</v>
      </c>
      <c r="M85" s="7">
        <v>9</v>
      </c>
      <c r="N85" s="7" t="s">
        <v>383</v>
      </c>
      <c r="O85" s="7" t="s">
        <v>332</v>
      </c>
      <c r="S85" s="7">
        <v>18</v>
      </c>
      <c r="U85" s="7" t="str">
        <f t="shared" ca="1" si="4"/>
        <v/>
      </c>
      <c r="V85" s="7" t="str">
        <f t="shared" ca="1" si="5"/>
        <v/>
      </c>
      <c r="AG85" t="s">
        <v>19</v>
      </c>
      <c r="AJ85" cm="1">
        <f t="array" ref="AJ85">_xlfn.IFS(AG85="Yes",1,AG85="No",0,AG85="","")</f>
        <v>1</v>
      </c>
    </row>
    <row r="86" spans="1:36" ht="43.5">
      <c r="A86" t="s">
        <v>129</v>
      </c>
      <c r="D86" s="3" t="s">
        <v>274</v>
      </c>
      <c r="E86" s="3" t="s">
        <v>275</v>
      </c>
      <c r="J86" s="7" t="s">
        <v>374</v>
      </c>
      <c r="U86" s="7" t="str">
        <f t="shared" ca="1" si="4"/>
        <v/>
      </c>
      <c r="V86" s="7" t="str">
        <f t="shared" ca="1" si="5"/>
        <v/>
      </c>
      <c r="AG86" t="s">
        <v>19</v>
      </c>
      <c r="AJ86" cm="1">
        <f t="array" ref="AJ86">_xlfn.IFS(AG86="Yes",1,AG86="No",0,AG86="","")</f>
        <v>1</v>
      </c>
    </row>
    <row r="87" spans="1:36">
      <c r="A87" t="s">
        <v>130</v>
      </c>
      <c r="D87" s="3" t="s">
        <v>131</v>
      </c>
      <c r="E87" s="3" t="s">
        <v>276</v>
      </c>
      <c r="G87" t="s">
        <v>19</v>
      </c>
      <c r="J87" s="7" t="s">
        <v>374</v>
      </c>
      <c r="U87" s="7" t="str">
        <f t="shared" ca="1" si="4"/>
        <v/>
      </c>
      <c r="V87" s="7" t="str">
        <f t="shared" ca="1" si="5"/>
        <v/>
      </c>
      <c r="AG87" t="s">
        <v>19</v>
      </c>
      <c r="AJ87" cm="1">
        <f t="array" ref="AJ87">_xlfn.IFS(AG87="Yes",1,AG87="No",0,AG87="","")</f>
        <v>1</v>
      </c>
    </row>
    <row r="88" spans="1:36">
      <c r="A88" t="s">
        <v>132</v>
      </c>
      <c r="D88" s="3" t="s">
        <v>133</v>
      </c>
      <c r="E88" s="3" t="s">
        <v>134</v>
      </c>
      <c r="J88" s="7" t="s">
        <v>374</v>
      </c>
      <c r="U88" s="7" t="str">
        <f t="shared" ca="1" si="4"/>
        <v/>
      </c>
      <c r="V88" s="7" t="str">
        <f t="shared" ca="1" si="5"/>
        <v/>
      </c>
      <c r="AC88" s="7" t="s">
        <v>393</v>
      </c>
      <c r="AD88" s="7" t="s">
        <v>19</v>
      </c>
      <c r="AG88" t="s">
        <v>19</v>
      </c>
      <c r="AJ88" cm="1">
        <f t="array" ref="AJ88">_xlfn.IFS(AG88="Yes",1,AG88="No",0,AG88="","")</f>
        <v>1</v>
      </c>
    </row>
    <row r="89" spans="1:36" ht="29">
      <c r="A89" t="s">
        <v>135</v>
      </c>
      <c r="D89" s="3" t="s">
        <v>278</v>
      </c>
      <c r="E89" s="3" t="s">
        <v>277</v>
      </c>
      <c r="J89" s="7" t="s">
        <v>25</v>
      </c>
      <c r="L89" s="7">
        <v>1</v>
      </c>
      <c r="M89" s="7">
        <v>3</v>
      </c>
      <c r="N89" s="7" t="s">
        <v>331</v>
      </c>
      <c r="O89" s="7" t="s">
        <v>332</v>
      </c>
      <c r="S89" s="7">
        <v>2475</v>
      </c>
      <c r="U89" s="7" t="str">
        <f t="shared" ca="1" si="4"/>
        <v/>
      </c>
      <c r="V89" s="7" t="str">
        <f t="shared" ca="1" si="5"/>
        <v/>
      </c>
      <c r="AG89" t="s">
        <v>19</v>
      </c>
      <c r="AJ89" cm="1">
        <f t="array" ref="AJ89">_xlfn.IFS(AG89="Yes",1,AG89="No",0,AG89="","")</f>
        <v>1</v>
      </c>
    </row>
    <row r="90" spans="1:36" ht="29">
      <c r="A90" t="s">
        <v>135</v>
      </c>
      <c r="D90" s="3" t="s">
        <v>279</v>
      </c>
      <c r="E90" s="3" t="s">
        <v>280</v>
      </c>
      <c r="F90" t="s">
        <v>28</v>
      </c>
      <c r="H90" t="s">
        <v>19</v>
      </c>
      <c r="J90" s="7" t="s">
        <v>372</v>
      </c>
      <c r="T90" s="7" t="s">
        <v>373</v>
      </c>
      <c r="U90" s="7" t="str">
        <f t="shared" ca="1" si="4"/>
        <v/>
      </c>
      <c r="V90" s="7" t="str">
        <f t="shared" ca="1" si="5"/>
        <v/>
      </c>
      <c r="AE90" s="7" t="s">
        <v>330</v>
      </c>
      <c r="AG90" t="s">
        <v>20</v>
      </c>
      <c r="AJ90" cm="1">
        <f t="array" ref="AJ90">_xlfn.IFS(AG90="Yes",1,AG90="No",0,AG90="","")</f>
        <v>0</v>
      </c>
    </row>
    <row r="91" spans="1:36">
      <c r="A91" t="s">
        <v>135</v>
      </c>
      <c r="D91" s="3" t="s">
        <v>136</v>
      </c>
      <c r="E91" s="3" t="s">
        <v>137</v>
      </c>
      <c r="H91" t="s">
        <v>19</v>
      </c>
      <c r="J91" s="7" t="s">
        <v>372</v>
      </c>
      <c r="U91" s="7" t="str">
        <f t="shared" ca="1" si="4"/>
        <v/>
      </c>
      <c r="V91" s="7" t="str">
        <f t="shared" ca="1" si="5"/>
        <v/>
      </c>
      <c r="AE91" s="7" t="s">
        <v>330</v>
      </c>
      <c r="AG91" t="s">
        <v>20</v>
      </c>
      <c r="AJ91" cm="1">
        <f t="array" ref="AJ91">_xlfn.IFS(AG91="Yes",1,AG91="No",0,AG91="","")</f>
        <v>0</v>
      </c>
    </row>
    <row r="92" spans="1:36">
      <c r="A92" t="s">
        <v>138</v>
      </c>
      <c r="D92" s="3" t="s">
        <v>282</v>
      </c>
      <c r="E92" s="3" t="s">
        <v>281</v>
      </c>
      <c r="J92" s="7" t="s">
        <v>25</v>
      </c>
      <c r="L92" s="7">
        <v>1</v>
      </c>
      <c r="M92" s="7">
        <v>2</v>
      </c>
      <c r="N92" s="7" t="s">
        <v>341</v>
      </c>
      <c r="O92" s="7" t="s">
        <v>373</v>
      </c>
      <c r="S92" s="7">
        <v>171</v>
      </c>
      <c r="U92" s="7" t="str">
        <f t="shared" ca="1" si="4"/>
        <v/>
      </c>
      <c r="V92" s="7" t="str">
        <f t="shared" ca="1" si="5"/>
        <v/>
      </c>
      <c r="AG92" t="s">
        <v>19</v>
      </c>
      <c r="AJ92" cm="1">
        <f t="array" ref="AJ92">_xlfn.IFS(AG92="Yes",1,AG92="No",0,AG92="","")</f>
        <v>1</v>
      </c>
    </row>
    <row r="93" spans="1:36">
      <c r="A93" t="s">
        <v>138</v>
      </c>
      <c r="D93" s="3" t="s">
        <v>284</v>
      </c>
      <c r="E93" s="3" t="s">
        <v>283</v>
      </c>
      <c r="J93" s="7" t="s">
        <v>25</v>
      </c>
      <c r="L93" s="7">
        <v>1</v>
      </c>
      <c r="M93" s="7">
        <v>2</v>
      </c>
      <c r="N93" s="7" t="s">
        <v>350</v>
      </c>
      <c r="O93" s="7" t="s">
        <v>373</v>
      </c>
      <c r="S93" s="7">
        <v>613</v>
      </c>
      <c r="U93" s="7" t="str">
        <f t="shared" ca="1" si="4"/>
        <v/>
      </c>
      <c r="V93" s="7" t="str">
        <f t="shared" ca="1" si="5"/>
        <v/>
      </c>
      <c r="AG93" t="s">
        <v>19</v>
      </c>
      <c r="AJ93" cm="1">
        <f t="array" ref="AJ93">_xlfn.IFS(AG93="Yes",1,AG93="No",0,AG93="","")</f>
        <v>1</v>
      </c>
    </row>
    <row r="94" spans="1:36" ht="29">
      <c r="A94" t="s">
        <v>138</v>
      </c>
      <c r="D94" s="3" t="s">
        <v>286</v>
      </c>
      <c r="E94" s="3" t="s">
        <v>285</v>
      </c>
      <c r="J94" s="7" t="s">
        <v>372</v>
      </c>
      <c r="T94" s="7">
        <f>2475-150</f>
        <v>2325</v>
      </c>
      <c r="U94" s="7">
        <f t="shared" ca="1" si="4"/>
        <v>150</v>
      </c>
      <c r="V94" s="7">
        <f t="shared" ca="1" si="5"/>
        <v>2475</v>
      </c>
      <c r="AG94" t="s">
        <v>19</v>
      </c>
      <c r="AJ94" cm="1">
        <f t="array" ref="AJ94">_xlfn.IFS(AG94="Yes",1,AG94="No",0,AG94="","")</f>
        <v>1</v>
      </c>
    </row>
    <row r="95" spans="1:36">
      <c r="A95" t="s">
        <v>139</v>
      </c>
      <c r="D95" s="3" t="s">
        <v>37</v>
      </c>
      <c r="E95" s="3" t="s">
        <v>140</v>
      </c>
      <c r="H95" t="s">
        <v>22</v>
      </c>
      <c r="I95" t="s">
        <v>287</v>
      </c>
      <c r="J95" s="7" t="s">
        <v>372</v>
      </c>
      <c r="T95" s="7" t="s">
        <v>384</v>
      </c>
      <c r="U95" s="7" t="str">
        <f t="shared" ca="1" si="4"/>
        <v/>
      </c>
      <c r="V95" s="7" t="str">
        <f t="shared" ca="1" si="5"/>
        <v/>
      </c>
      <c r="AE95" s="7" t="s">
        <v>330</v>
      </c>
      <c r="AG95" t="s">
        <v>20</v>
      </c>
      <c r="AJ95" cm="1">
        <f t="array" ref="AJ95">_xlfn.IFS(AG95="Yes",1,AG95="No",0,AG95="","")</f>
        <v>0</v>
      </c>
    </row>
    <row r="96" spans="1:36">
      <c r="A96" t="s">
        <v>139</v>
      </c>
      <c r="D96" s="3" t="s">
        <v>289</v>
      </c>
      <c r="E96" s="3" t="s">
        <v>288</v>
      </c>
      <c r="J96" s="7" t="s">
        <v>25</v>
      </c>
      <c r="L96" s="7">
        <v>1</v>
      </c>
      <c r="M96" s="7">
        <v>3</v>
      </c>
      <c r="N96" s="7" t="s">
        <v>341</v>
      </c>
      <c r="O96" s="7" t="s">
        <v>332</v>
      </c>
      <c r="S96" s="7">
        <v>1701</v>
      </c>
      <c r="U96" s="7" t="str">
        <f t="shared" ca="1" si="4"/>
        <v/>
      </c>
      <c r="V96" s="7" t="str">
        <f t="shared" ca="1" si="5"/>
        <v/>
      </c>
      <c r="AG96" t="s">
        <v>19</v>
      </c>
      <c r="AJ96" cm="1">
        <f t="array" ref="AJ96">_xlfn.IFS(AG96="Yes",1,AG96="No",0,AG96="","")</f>
        <v>1</v>
      </c>
    </row>
    <row r="97" spans="1:36">
      <c r="A97" t="s">
        <v>141</v>
      </c>
      <c r="D97" s="3" t="s">
        <v>290</v>
      </c>
      <c r="E97" s="3" t="s">
        <v>291</v>
      </c>
      <c r="J97" s="7" t="s">
        <v>372</v>
      </c>
      <c r="T97" s="7">
        <f>31-5</f>
        <v>26</v>
      </c>
      <c r="U97" s="7">
        <f t="shared" ca="1" si="4"/>
        <v>5</v>
      </c>
      <c r="V97" s="7">
        <f t="shared" ca="1" si="5"/>
        <v>31</v>
      </c>
      <c r="AG97" t="s">
        <v>19</v>
      </c>
      <c r="AJ97" cm="1">
        <f t="array" ref="AJ97">_xlfn.IFS(AG97="Yes",1,AG97="No",0,AG97="","")</f>
        <v>1</v>
      </c>
    </row>
    <row r="98" spans="1:36">
      <c r="A98" t="s">
        <v>141</v>
      </c>
      <c r="D98" s="3" t="s">
        <v>293</v>
      </c>
      <c r="E98" s="3" t="s">
        <v>292</v>
      </c>
      <c r="J98" s="7" t="s">
        <v>25</v>
      </c>
      <c r="L98" s="7">
        <v>1</v>
      </c>
      <c r="M98" s="7">
        <v>3</v>
      </c>
      <c r="N98" s="7" t="s">
        <v>341</v>
      </c>
      <c r="O98" s="7" t="s">
        <v>332</v>
      </c>
      <c r="S98" s="7">
        <v>1701</v>
      </c>
      <c r="U98" s="7" t="str">
        <f t="shared" ca="1" si="4"/>
        <v/>
      </c>
      <c r="V98" s="7" t="str">
        <f t="shared" ca="1" si="5"/>
        <v/>
      </c>
      <c r="AG98" t="s">
        <v>19</v>
      </c>
      <c r="AJ98" cm="1">
        <f t="array" ref="AJ98">_xlfn.IFS(AG98="Yes",1,AG98="No",0,AG98="","")</f>
        <v>1</v>
      </c>
    </row>
    <row r="99" spans="1:36">
      <c r="A99" t="s">
        <v>142</v>
      </c>
      <c r="D99" s="3" t="s">
        <v>294</v>
      </c>
      <c r="E99" s="3" t="s">
        <v>295</v>
      </c>
      <c r="J99" s="7" t="s">
        <v>25</v>
      </c>
      <c r="L99" s="7">
        <v>1</v>
      </c>
      <c r="M99" s="7">
        <v>2</v>
      </c>
      <c r="N99" s="7" t="s">
        <v>377</v>
      </c>
      <c r="O99" s="7" t="s">
        <v>373</v>
      </c>
      <c r="S99" s="7">
        <v>10</v>
      </c>
      <c r="U99" s="7" t="str">
        <f t="shared" ca="1" si="4"/>
        <v/>
      </c>
      <c r="V99" s="7" t="str">
        <f t="shared" ca="1" si="5"/>
        <v/>
      </c>
      <c r="AG99" t="s">
        <v>19</v>
      </c>
      <c r="AJ99" cm="1">
        <f t="array" ref="AJ99">_xlfn.IFS(AG99="Yes",1,AG99="No",0,AG99="","")</f>
        <v>1</v>
      </c>
    </row>
    <row r="100" spans="1:36" ht="29">
      <c r="A100" t="s">
        <v>143</v>
      </c>
      <c r="D100" s="3" t="s">
        <v>296</v>
      </c>
      <c r="E100" s="3" t="s">
        <v>297</v>
      </c>
      <c r="H100" t="s">
        <v>23</v>
      </c>
      <c r="I100" s="4" t="s">
        <v>298</v>
      </c>
      <c r="J100" s="7" t="s">
        <v>372</v>
      </c>
      <c r="T100" s="7" t="s">
        <v>384</v>
      </c>
      <c r="U100" s="7" t="str">
        <f t="shared" ca="1" si="4"/>
        <v/>
      </c>
      <c r="V100" s="7" t="str">
        <f t="shared" ca="1" si="5"/>
        <v/>
      </c>
      <c r="AE100" s="7" t="s">
        <v>330</v>
      </c>
      <c r="AG100" t="s">
        <v>20</v>
      </c>
      <c r="AJ100" cm="1">
        <f t="array" ref="AJ100">_xlfn.IFS(AG100="Yes",1,AG100="No",0,AG100="","")</f>
        <v>0</v>
      </c>
    </row>
    <row r="101" spans="1:36" ht="29">
      <c r="A101" t="s">
        <v>143</v>
      </c>
      <c r="D101" s="3" t="s">
        <v>300</v>
      </c>
      <c r="E101" s="3" t="s">
        <v>299</v>
      </c>
      <c r="J101" s="7" t="s">
        <v>374</v>
      </c>
      <c r="U101" s="7" t="str">
        <f t="shared" ca="1" si="4"/>
        <v/>
      </c>
      <c r="V101" s="7" t="str">
        <f t="shared" ca="1" si="5"/>
        <v/>
      </c>
      <c r="AG101" t="s">
        <v>19</v>
      </c>
      <c r="AJ101" cm="1">
        <f t="array" ref="AJ101">_xlfn.IFS(AG101="Yes",1,AG101="No",0,AG101="","")</f>
        <v>1</v>
      </c>
    </row>
    <row r="102" spans="1:36">
      <c r="A102" t="s">
        <v>144</v>
      </c>
      <c r="D102" s="3" t="s">
        <v>145</v>
      </c>
      <c r="E102" s="3" t="s">
        <v>84</v>
      </c>
      <c r="I102" s="4" t="s">
        <v>301</v>
      </c>
      <c r="J102" s="7" t="s">
        <v>372</v>
      </c>
      <c r="T102" s="7" t="s">
        <v>384</v>
      </c>
      <c r="U102" s="7" t="str">
        <f t="shared" ca="1" si="4"/>
        <v/>
      </c>
      <c r="V102" s="7" t="str">
        <f t="shared" ca="1" si="5"/>
        <v/>
      </c>
      <c r="AE102" s="7" t="s">
        <v>340</v>
      </c>
      <c r="AG102" t="s">
        <v>19</v>
      </c>
      <c r="AJ102" cm="1">
        <f t="array" ref="AJ102">_xlfn.IFS(AG102="Yes",1,AG102="No",0,AG102="","")</f>
        <v>1</v>
      </c>
    </row>
    <row r="103" spans="1:36" ht="29">
      <c r="A103" t="s">
        <v>146</v>
      </c>
      <c r="D103" s="3" t="s">
        <v>302</v>
      </c>
      <c r="E103" s="3" t="s">
        <v>303</v>
      </c>
      <c r="H103" t="s">
        <v>19</v>
      </c>
      <c r="J103" s="7" t="s">
        <v>372</v>
      </c>
      <c r="T103" s="7" t="s">
        <v>384</v>
      </c>
      <c r="U103" s="7" t="str">
        <f t="shared" ca="1" si="4"/>
        <v/>
      </c>
      <c r="V103" s="7" t="str">
        <f t="shared" ca="1" si="5"/>
        <v/>
      </c>
      <c r="AC103" s="7" t="s">
        <v>414</v>
      </c>
      <c r="AD103" s="7" t="s">
        <v>19</v>
      </c>
      <c r="AE103" s="7" t="s">
        <v>330</v>
      </c>
      <c r="AG103" t="s">
        <v>20</v>
      </c>
      <c r="AJ103" cm="1">
        <f t="array" ref="AJ103">_xlfn.IFS(AG103="Yes",1,AG103="No",0,AG103="","")</f>
        <v>0</v>
      </c>
    </row>
    <row r="104" spans="1:36">
      <c r="A104" t="s">
        <v>147</v>
      </c>
      <c r="D104" s="3" t="s">
        <v>148</v>
      </c>
      <c r="E104" s="3" t="s">
        <v>149</v>
      </c>
      <c r="H104" t="s">
        <v>19</v>
      </c>
      <c r="J104" s="7" t="s">
        <v>372</v>
      </c>
      <c r="T104" s="7" t="s">
        <v>384</v>
      </c>
      <c r="U104" s="7" t="str">
        <f t="shared" ca="1" si="4"/>
        <v/>
      </c>
      <c r="V104" s="7" t="str">
        <f t="shared" ca="1" si="5"/>
        <v/>
      </c>
      <c r="AE104" s="7" t="s">
        <v>330</v>
      </c>
      <c r="AG104" t="s">
        <v>20</v>
      </c>
      <c r="AJ104" cm="1">
        <f t="array" ref="AJ104">_xlfn.IFS(AG104="Yes",1,AG104="No",0,AG104="","")</f>
        <v>0</v>
      </c>
    </row>
    <row r="105" spans="1:36">
      <c r="A105" t="s">
        <v>147</v>
      </c>
      <c r="D105" s="3" t="s">
        <v>305</v>
      </c>
      <c r="E105" s="3" t="s">
        <v>304</v>
      </c>
      <c r="J105" s="7" t="s">
        <v>25</v>
      </c>
      <c r="L105" s="7">
        <v>1</v>
      </c>
      <c r="M105" s="7">
        <v>1</v>
      </c>
      <c r="N105" s="7" t="s">
        <v>331</v>
      </c>
      <c r="O105" s="7" t="s">
        <v>373</v>
      </c>
      <c r="S105" s="7">
        <v>2475</v>
      </c>
      <c r="U105" s="7" t="str">
        <f t="shared" ca="1" si="4"/>
        <v/>
      </c>
      <c r="V105" s="7" t="str">
        <f t="shared" ca="1" si="5"/>
        <v/>
      </c>
      <c r="AG105" t="s">
        <v>19</v>
      </c>
      <c r="AJ105" cm="1">
        <f t="array" ref="AJ105">_xlfn.IFS(AG105="Yes",1,AG105="No",0,AG105="","")</f>
        <v>1</v>
      </c>
    </row>
    <row r="106" spans="1:36">
      <c r="A106" t="s">
        <v>147</v>
      </c>
      <c r="D106" s="3" t="s">
        <v>306</v>
      </c>
      <c r="E106" s="3" t="s">
        <v>307</v>
      </c>
      <c r="J106" s="7" t="s">
        <v>25</v>
      </c>
      <c r="L106" s="7">
        <v>1</v>
      </c>
      <c r="M106" s="7">
        <v>1</v>
      </c>
      <c r="N106" s="7" t="s">
        <v>331</v>
      </c>
      <c r="O106" s="7" t="s">
        <v>373</v>
      </c>
      <c r="S106" s="7">
        <v>2475</v>
      </c>
      <c r="U106" s="7" t="str">
        <f t="shared" ca="1" si="4"/>
        <v/>
      </c>
      <c r="V106" s="7" t="str">
        <f t="shared" ca="1" si="5"/>
        <v/>
      </c>
      <c r="AG106" t="s">
        <v>19</v>
      </c>
      <c r="AJ106" cm="1">
        <f t="array" ref="AJ106">_xlfn.IFS(AG106="Yes",1,AG106="No",0,AG106="","")</f>
        <v>1</v>
      </c>
    </row>
    <row r="107" spans="1:36">
      <c r="A107" t="s">
        <v>147</v>
      </c>
      <c r="D107" s="3" t="s">
        <v>150</v>
      </c>
      <c r="E107" s="3" t="s">
        <v>151</v>
      </c>
      <c r="H107" t="s">
        <v>19</v>
      </c>
      <c r="J107" s="7" t="s">
        <v>372</v>
      </c>
      <c r="T107" s="7" t="s">
        <v>384</v>
      </c>
      <c r="U107" s="7" t="str">
        <f t="shared" ca="1" si="4"/>
        <v/>
      </c>
      <c r="V107" s="7" t="str">
        <f t="shared" ca="1" si="5"/>
        <v/>
      </c>
      <c r="AE107" s="7" t="s">
        <v>330</v>
      </c>
      <c r="AG107" t="s">
        <v>20</v>
      </c>
      <c r="AJ107" cm="1">
        <f t="array" ref="AJ107">_xlfn.IFS(AG107="Yes",1,AG107="No",0,AG107="","")</f>
        <v>0</v>
      </c>
    </row>
    <row r="108" spans="1:36" ht="43.5">
      <c r="A108" t="s">
        <v>152</v>
      </c>
      <c r="D108" s="3" t="s">
        <v>308</v>
      </c>
      <c r="E108" s="3" t="s">
        <v>309</v>
      </c>
      <c r="H108" t="s">
        <v>19</v>
      </c>
      <c r="I108" t="s">
        <v>498</v>
      </c>
      <c r="J108" s="7" t="s">
        <v>24</v>
      </c>
      <c r="L108" s="7">
        <v>3</v>
      </c>
      <c r="M108" s="7">
        <v>16</v>
      </c>
      <c r="O108" s="7" t="s">
        <v>332</v>
      </c>
      <c r="R108" s="7" t="s">
        <v>333</v>
      </c>
      <c r="S108" s="7">
        <v>9</v>
      </c>
      <c r="U108" s="7" t="str">
        <f t="shared" ca="1" si="4"/>
        <v/>
      </c>
      <c r="V108" s="7" t="str">
        <f t="shared" ca="1" si="5"/>
        <v/>
      </c>
      <c r="AG108" t="s">
        <v>20</v>
      </c>
      <c r="AJ108" cm="1">
        <f t="array" ref="AJ108">_xlfn.IFS(AG108="Yes",1,AG108="No",0,AG108="","")</f>
        <v>0</v>
      </c>
    </row>
    <row r="109" spans="1:36" ht="29">
      <c r="A109" t="s">
        <v>152</v>
      </c>
      <c r="D109" s="3" t="s">
        <v>310</v>
      </c>
      <c r="E109" s="3" t="s">
        <v>311</v>
      </c>
      <c r="J109" s="7" t="s">
        <v>374</v>
      </c>
      <c r="U109" s="7" t="str">
        <f t="shared" ca="1" si="4"/>
        <v/>
      </c>
      <c r="V109" s="7" t="str">
        <f t="shared" ca="1" si="5"/>
        <v/>
      </c>
      <c r="AG109" t="s">
        <v>19</v>
      </c>
      <c r="AJ109" cm="1">
        <f t="array" ref="AJ109">_xlfn.IFS(AG109="Yes",1,AG109="No",0,AG109="","")</f>
        <v>1</v>
      </c>
    </row>
    <row r="110" spans="1:36">
      <c r="A110" t="s">
        <v>153</v>
      </c>
      <c r="D110" s="3" t="s">
        <v>307</v>
      </c>
      <c r="E110" s="3" t="s">
        <v>306</v>
      </c>
      <c r="J110" s="7" t="s">
        <v>24</v>
      </c>
      <c r="L110" s="7">
        <v>1</v>
      </c>
      <c r="M110" s="7">
        <v>1</v>
      </c>
      <c r="N110" s="7" t="s">
        <v>331</v>
      </c>
      <c r="O110" s="7" t="s">
        <v>373</v>
      </c>
      <c r="S110" s="7">
        <v>2475</v>
      </c>
      <c r="U110" s="7" t="str">
        <f t="shared" ca="1" si="4"/>
        <v/>
      </c>
      <c r="V110" s="7" t="str">
        <f t="shared" ca="1" si="5"/>
        <v/>
      </c>
      <c r="AG110" t="s">
        <v>19</v>
      </c>
      <c r="AJ110" cm="1">
        <f t="array" ref="AJ110">_xlfn.IFS(AG110="Yes",1,AG110="No",0,AG110="","")</f>
        <v>1</v>
      </c>
    </row>
    <row r="111" spans="1:36">
      <c r="A111" t="s">
        <v>154</v>
      </c>
      <c r="D111" s="3" t="s">
        <v>155</v>
      </c>
      <c r="E111" s="3" t="s">
        <v>156</v>
      </c>
      <c r="J111" s="7" t="s">
        <v>374</v>
      </c>
      <c r="U111" s="7" t="str">
        <f t="shared" ca="1" si="4"/>
        <v/>
      </c>
      <c r="V111" s="7" t="str">
        <f t="shared" ca="1" si="5"/>
        <v/>
      </c>
      <c r="AG111" t="s">
        <v>19</v>
      </c>
      <c r="AJ111" cm="1">
        <f t="array" ref="AJ111">_xlfn.IFS(AG111="Yes",1,AG111="No",0,AG111="","")</f>
        <v>1</v>
      </c>
    </row>
    <row r="112" spans="1:36" ht="43.5">
      <c r="A112" t="s">
        <v>154</v>
      </c>
      <c r="D112" s="3" t="s">
        <v>313</v>
      </c>
      <c r="E112" s="3" t="s">
        <v>312</v>
      </c>
      <c r="I112" t="s">
        <v>392</v>
      </c>
      <c r="J112" s="7" t="s">
        <v>26</v>
      </c>
      <c r="U112" s="7" t="str">
        <f t="shared" ca="1" si="4"/>
        <v/>
      </c>
      <c r="V112" s="7" t="str">
        <f t="shared" ca="1" si="5"/>
        <v/>
      </c>
      <c r="AG112" t="s">
        <v>19</v>
      </c>
      <c r="AJ112" cm="1">
        <f t="array" ref="AJ112">_xlfn.IFS(AG112="Yes",1,AG112="No",0,AG112="","")</f>
        <v>1</v>
      </c>
    </row>
    <row r="113" spans="1:38">
      <c r="A113" t="s">
        <v>157</v>
      </c>
      <c r="D113" s="3" t="s">
        <v>315</v>
      </c>
      <c r="E113" s="3" t="s">
        <v>314</v>
      </c>
      <c r="J113" s="7" t="s">
        <v>372</v>
      </c>
      <c r="T113" s="7">
        <f>171-186</f>
        <v>-15</v>
      </c>
      <c r="U113" s="7">
        <f t="shared" ca="1" si="4"/>
        <v>186</v>
      </c>
      <c r="V113" s="7">
        <f t="shared" ca="1" si="5"/>
        <v>171</v>
      </c>
      <c r="AG113" t="s">
        <v>19</v>
      </c>
      <c r="AJ113" cm="1">
        <f t="array" ref="AJ113">_xlfn.IFS(AG113="Yes",1,AG113="No",0,AG113="","")</f>
        <v>1</v>
      </c>
    </row>
    <row r="114" spans="1:38" ht="43.5">
      <c r="A114" t="s">
        <v>157</v>
      </c>
      <c r="D114" s="3" t="s">
        <v>316</v>
      </c>
      <c r="E114" s="3" t="s">
        <v>317</v>
      </c>
      <c r="J114" s="7" t="s">
        <v>372</v>
      </c>
      <c r="T114" s="7">
        <f>4-1</f>
        <v>3</v>
      </c>
      <c r="U114" s="7">
        <f t="shared" ca="1" si="4"/>
        <v>1</v>
      </c>
      <c r="V114" s="7">
        <f t="shared" ca="1" si="5"/>
        <v>4</v>
      </c>
      <c r="AG114" t="s">
        <v>19</v>
      </c>
      <c r="AJ114" cm="1">
        <f t="array" ref="AJ114">_xlfn.IFS(AG114="Yes",1,AG114="No",0,AG114="","")</f>
        <v>1</v>
      </c>
    </row>
    <row r="116" spans="1:38">
      <c r="D116" s="3" t="s">
        <v>378</v>
      </c>
      <c r="E116" s="3">
        <f>SUBTOTAL(3,A2:A114)</f>
        <v>113</v>
      </c>
    </row>
    <row r="117" spans="1:38">
      <c r="D117" s="3" t="s">
        <v>379</v>
      </c>
      <c r="E117" s="3">
        <f>COUNTA(A2:A114)</f>
        <v>113</v>
      </c>
      <c r="AJ117" t="s">
        <v>404</v>
      </c>
      <c r="AK117" t="s">
        <v>407</v>
      </c>
      <c r="AL117" t="s">
        <v>408</v>
      </c>
    </row>
    <row r="118" spans="1:38">
      <c r="D118" s="3"/>
    </row>
    <row r="119" spans="1:38">
      <c r="D119" s="3" t="s">
        <v>413</v>
      </c>
      <c r="E119" s="3" t="s">
        <v>411</v>
      </c>
      <c r="AJ119" t="s">
        <v>405</v>
      </c>
      <c r="AK119">
        <f>COUNTIF(AG2:AG114,"No")</f>
        <v>32</v>
      </c>
      <c r="AL119">
        <f>SUBTOTAL(2,AJ2:AJ114)-AL120</f>
        <v>32</v>
      </c>
    </row>
    <row r="120" spans="1:38">
      <c r="D120" s="3" t="s">
        <v>409</v>
      </c>
      <c r="E120" s="3">
        <v>27</v>
      </c>
      <c r="AJ120" t="s">
        <v>338</v>
      </c>
      <c r="AK120">
        <f>COUNTIF(AG2:AG114,"Yes")</f>
        <v>77</v>
      </c>
      <c r="AL120">
        <f>SUBTOTAL(9,AJ2:AJ114)</f>
        <v>77</v>
      </c>
    </row>
    <row r="121" spans="1:38">
      <c r="D121" s="3" t="s">
        <v>410</v>
      </c>
      <c r="E121" s="3">
        <v>20</v>
      </c>
      <c r="AJ121" t="s">
        <v>406</v>
      </c>
      <c r="AK121">
        <f>AK120/(AK119+AK120)</f>
        <v>0.70642201834862384</v>
      </c>
      <c r="AL121">
        <f>AL120/(AL119+AL120)</f>
        <v>0.70642201834862384</v>
      </c>
    </row>
    <row r="122" spans="1:38">
      <c r="E122" s="3" t="s">
        <v>412</v>
      </c>
    </row>
    <row r="123" spans="1:38">
      <c r="D123" s="3" t="s">
        <v>409</v>
      </c>
      <c r="E123" s="3">
        <v>24</v>
      </c>
    </row>
    <row r="124" spans="1:38">
      <c r="D124" s="3" t="s">
        <v>410</v>
      </c>
      <c r="E124" s="3">
        <v>20</v>
      </c>
    </row>
    <row r="128" spans="1:38">
      <c r="E128" s="3">
        <f>COUNTIF(F:F, "Autograph transcript error, but still a variant") + COUNTIF(F:F, "Apograph transcript error, but still a variant") + COUNTIF(F:F, "Not a variant: autograph transcript error") + COUNTIF(F:F, "Not a variant: apograph transcript error")</f>
        <v>3</v>
      </c>
    </row>
  </sheetData>
  <conditionalFormatting sqref="J2:J1048576">
    <cfRule type="expression" dxfId="325" priority="7">
      <formula>$J2&lt;&gt;""</formula>
    </cfRule>
    <cfRule type="expression" dxfId="324" priority="8">
      <formula>$J2=""</formula>
    </cfRule>
  </conditionalFormatting>
  <conditionalFormatting sqref="K2:O1048576 R2:S1048576">
    <cfRule type="expression" dxfId="323" priority="30">
      <formula>AND(OR($J2="Addition",$J2="Omission"), K2="")</formula>
    </cfRule>
    <cfRule type="expression" dxfId="322" priority="31">
      <formula>AND($J2&lt;&gt;"Addition",$J2&lt;&gt;"Omission",$J2&lt;&gt;"Substitution - Word")</formula>
    </cfRule>
  </conditionalFormatting>
  <conditionalFormatting sqref="K2:S1048576">
    <cfRule type="expression" dxfId="321" priority="29">
      <formula>AND(OR($J2="Addition",$J2="Omission"), K2&lt;&gt;"")</formula>
    </cfRule>
  </conditionalFormatting>
  <conditionalFormatting sqref="N2:N1048576">
    <cfRule type="expression" dxfId="320" priority="24">
      <formula>AND($L2&lt;&gt;"",$L2&gt;1)</formula>
    </cfRule>
  </conditionalFormatting>
  <conditionalFormatting sqref="P2:Q1048576">
    <cfRule type="expression" dxfId="319" priority="20">
      <formula>$O2="Absent"</formula>
    </cfRule>
    <cfRule type="expression" dxfId="318" priority="21">
      <formula>$O2="NA"</formula>
    </cfRule>
    <cfRule type="expression" dxfId="317" priority="22">
      <formula>AND(OR($J2="Addition",$J2="Omission"), P2="")</formula>
    </cfRule>
    <cfRule type="expression" dxfId="316" priority="23">
      <formula>AND($J2&lt;&gt;"Addition",$J2&lt;&gt;"Omission")</formula>
    </cfRule>
  </conditionalFormatting>
  <conditionalFormatting sqref="R2:R1048576">
    <cfRule type="expression" dxfId="315" priority="25">
      <formula>OR($J2="Addition",$J2="Omission",$J2 = "Substitution - Word")</formula>
    </cfRule>
  </conditionalFormatting>
  <conditionalFormatting sqref="T2:V1048576">
    <cfRule type="expression" dxfId="314" priority="1">
      <formula>AND(AND(LEFT($J2,3)="Sub", RIGHT($J2,4)&lt;&gt;"Form"),$T2&lt;&gt;"")</formula>
    </cfRule>
    <cfRule type="expression" dxfId="313" priority="2">
      <formula>AND(AND(LEFT($J2,3)="Sub", RIGHT($J2,4)&lt;&gt;"Form"),$T2="")</formula>
    </cfRule>
    <cfRule type="expression" dxfId="312" priority="3">
      <formula>"&lt;&gt;AND(LEFT($J2,3)=""Sub"", RIGHT($J2,4)&lt;&gt;""Form"")"</formula>
    </cfRule>
  </conditionalFormatting>
  <conditionalFormatting sqref="W2:W1048576">
    <cfRule type="expression" dxfId="311" priority="12">
      <formula>AND($W2&lt;&gt;"",OR($AD2="Yes",$AE2&lt;&gt;""))</formula>
    </cfRule>
    <cfRule type="expression" dxfId="310" priority="13">
      <formula>OR($AD2="Yes",$AE2&lt;&gt;"")</formula>
    </cfRule>
    <cfRule type="expression" dxfId="309" priority="43">
      <formula>AND($AD2&lt;&gt;"Yes",$AE2="")</formula>
    </cfRule>
  </conditionalFormatting>
  <conditionalFormatting sqref="W2:AF1048576">
    <cfRule type="expression" dxfId="308" priority="39">
      <formula>AND($J2&lt;&gt;"",$J2&lt;&gt;"Unclear due to correction")</formula>
    </cfRule>
    <cfRule type="expression" dxfId="307" priority="42">
      <formula>OR($J2="",$J2="Unclear due to correction")</formula>
    </cfRule>
  </conditionalFormatting>
  <conditionalFormatting sqref="X2:X1048576">
    <cfRule type="expression" dxfId="306" priority="11">
      <formula>AND($J2&lt;&gt;"",$J2&lt;&gt;"Unclear due to correction",$X2="")</formula>
    </cfRule>
  </conditionalFormatting>
  <conditionalFormatting sqref="Y2:Y1048576">
    <cfRule type="expression" dxfId="305" priority="15">
      <formula>AND($X2="Yes",$Y2="")</formula>
    </cfRule>
    <cfRule type="expression" dxfId="304" priority="16">
      <formula>$X2=""</formula>
    </cfRule>
  </conditionalFormatting>
  <conditionalFormatting sqref="AD2:AD1048576">
    <cfRule type="expression" dxfId="303" priority="88">
      <formula>AND(OR($AB2&lt;&gt;"",$AC2&lt;&gt;""),$AD2="")</formula>
    </cfRule>
  </conditionalFormatting>
  <dataValidations count="1">
    <dataValidation allowBlank="1" showInputMessage="1" sqref="X2:X1048576" xr:uid="{89449E29-5D6F-4A03-AB0A-802981CB0C94}"/>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7301F58A-7842-47E1-A459-B74EC9D1D65F}">
          <x14:formula1>
            <xm:f>'Data Regularization'!$Q$2:$Q$4</xm:f>
          </x14:formula1>
          <xm:sqref>AG2:AI1048576</xm:sqref>
        </x14:dataValidation>
        <x14:dataValidation type="list" allowBlank="1" showInputMessage="1" showErrorMessage="1" xr:uid="{F296372A-82D7-4C15-8DFD-7B6F0274E2CD}">
          <x14:formula1>
            <xm:f>'Data Regularization'!$D$2:$D$1048576</xm:f>
          </x14:formula1>
          <xm:sqref>J2:J1048576</xm:sqref>
        </x14:dataValidation>
        <x14:dataValidation type="list" allowBlank="1" showInputMessage="1" showErrorMessage="1" xr:uid="{BD70BFA8-C89B-4065-9EFE-D228E46E94FC}">
          <x14:formula1>
            <xm:f>'Data Regularization'!$E$2:$E$1048576</xm:f>
          </x14:formula1>
          <xm:sqref>N2:N1048576</xm:sqref>
        </x14:dataValidation>
        <x14:dataValidation type="list" allowBlank="1" showInputMessage="1" showErrorMessage="1" xr:uid="{CD4577D9-C171-4C4C-BCBD-9DDF732DBFEF}">
          <x14:formula1>
            <xm:f>'Data Regularization'!$F$2:$F$1048576</xm:f>
          </x14:formula1>
          <xm:sqref>O2:O1048576</xm:sqref>
        </x14:dataValidation>
        <x14:dataValidation type="list" allowBlank="1" showInputMessage="1" showErrorMessage="1" xr:uid="{281D2E34-3ACE-4DC7-8DEB-5F140C42F358}">
          <x14:formula1>
            <xm:f>'Data Regularization'!$G$2:$G$1048576</xm:f>
          </x14:formula1>
          <xm:sqref>R2:R1048576</xm:sqref>
        </x14:dataValidation>
        <x14:dataValidation type="list" allowBlank="1" showInputMessage="1" showErrorMessage="1" xr:uid="{E58C8269-85C1-4954-94AF-53AEB6BB3AF2}">
          <x14:formula1>
            <xm:f>'Data Regularization'!$K$2:$K$1048576</xm:f>
          </x14:formula1>
          <xm:sqref>W2:W1048576 Y2:Y1048576</xm:sqref>
        </x14:dataValidation>
        <x14:dataValidation type="list" allowBlank="1" showInputMessage="1" showErrorMessage="1" xr:uid="{1551F1B6-52BD-424E-BAE3-B6C43C345BE1}">
          <x14:formula1>
            <xm:f>'Data Regularization'!$L$2:$L$1048576</xm:f>
          </x14:formula1>
          <xm:sqref>Z2:Z1048576</xm:sqref>
        </x14:dataValidation>
        <x14:dataValidation type="list" allowBlank="1" showInputMessage="1" showErrorMessage="1" xr:uid="{A2A165D6-3E6F-4690-8799-A94019E3C6D5}">
          <x14:formula1>
            <xm:f>'Data Regularization'!$M$2:$M$1048576</xm:f>
          </x14:formula1>
          <xm:sqref>AA2:AA1048576</xm:sqref>
        </x14:dataValidation>
        <x14:dataValidation type="list" allowBlank="1" showInputMessage="1" showErrorMessage="1" xr:uid="{C2D49E17-5064-4A0C-91D6-C555B2458E2D}">
          <x14:formula1>
            <xm:f>'Data Regularization'!$N$2:$N$1048576</xm:f>
          </x14:formula1>
          <xm:sqref>AB2:AB1048576</xm:sqref>
        </x14:dataValidation>
        <x14:dataValidation type="list" allowBlank="1" showInputMessage="1" showErrorMessage="1" xr:uid="{C86CB294-184E-427F-AD99-9FE4540AAE92}">
          <x14:formula1>
            <xm:f>'Data Regularization'!$O$2:$O$1048576</xm:f>
          </x14:formula1>
          <xm:sqref>AD2:AD1048576</xm:sqref>
        </x14:dataValidation>
        <x14:dataValidation type="list" allowBlank="1" showInputMessage="1" showErrorMessage="1" xr:uid="{E6D4003E-6DB7-4E6F-87F4-36990610CF3F}">
          <x14:formula1>
            <xm:f>'Data Regularization'!$P$2:$P$1048576</xm:f>
          </x14:formula1>
          <xm:sqref>AE2:AE1048576</xm:sqref>
        </x14:dataValidation>
        <x14:dataValidation type="list" allowBlank="1" showInputMessage="1" showErrorMessage="1" xr:uid="{B5AD62D9-B213-4CA5-A230-16E4ED092956}">
          <x14:formula1>
            <xm:f>'Data Regularization'!$Q$2:$Q$1048576</xm:f>
          </x14:formula1>
          <xm:sqref>AF2:AF1048576</xm:sqref>
        </x14:dataValidation>
        <x14:dataValidation type="list" allowBlank="1" showInputMessage="1" showErrorMessage="1" xr:uid="{2E62E8AD-BAD3-4EB9-AFBF-45839D0B1E9E}">
          <x14:formula1>
            <xm:f>'Data Regularization'!$C$2:$C$29</xm:f>
          </x14:formula1>
          <xm:sqref>H2:H1048576</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CF2233FB-2B28-4DCB-AE62-73C026274D66}">
          <x14:formula1>
            <xm:f>'Data Regularization'!$B$2:$B$1048576</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A501-5C31-4DF1-B0EE-7C895471879E}">
  <dimension ref="A1:AG84"/>
  <sheetViews>
    <sheetView workbookViewId="0">
      <pane xSplit="3" ySplit="1" topLeftCell="D40" activePane="bottomRight" state="frozen"/>
      <selection pane="topRight" activeCell="D1" sqref="D1"/>
      <selection pane="bottomLeft" activeCell="A2" sqref="A2"/>
      <selection pane="bottomRight" sqref="A1:XFD1"/>
    </sheetView>
  </sheetViews>
  <sheetFormatPr defaultRowHeight="14.5"/>
  <cols>
    <col min="1" max="1" width="10.453125" bestFit="1" customWidth="1"/>
    <col min="2" max="3" width="20.81640625" customWidth="1"/>
    <col min="4" max="30" width="8.90625" customWidth="1"/>
    <col min="34" max="34" width="19" bestFit="1" customWidth="1"/>
  </cols>
  <sheetData>
    <row r="1" spans="1:33" s="1" customFormat="1">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364</v>
      </c>
      <c r="R1" s="1" t="s">
        <v>450</v>
      </c>
      <c r="S1" s="1" t="s">
        <v>451</v>
      </c>
      <c r="T1" s="1" t="s">
        <v>367</v>
      </c>
      <c r="U1" s="1" t="s">
        <v>368</v>
      </c>
      <c r="V1" s="1" t="s">
        <v>369</v>
      </c>
      <c r="W1" s="1" t="s">
        <v>321</v>
      </c>
      <c r="X1" s="1" t="s">
        <v>322</v>
      </c>
      <c r="Y1" s="1" t="s">
        <v>323</v>
      </c>
      <c r="Z1" s="1" t="s">
        <v>365</v>
      </c>
      <c r="AA1" s="1" t="s">
        <v>370</v>
      </c>
      <c r="AB1" s="1" t="s">
        <v>324</v>
      </c>
      <c r="AC1" s="1" t="s">
        <v>366</v>
      </c>
      <c r="AD1" s="1" t="s">
        <v>382</v>
      </c>
      <c r="AE1" s="1" t="s">
        <v>380</v>
      </c>
      <c r="AF1" s="1" t="s">
        <v>381</v>
      </c>
    </row>
    <row r="2" spans="1:33" ht="29">
      <c r="A2" t="s">
        <v>38</v>
      </c>
      <c r="B2" s="3" t="s">
        <v>497</v>
      </c>
      <c r="C2" s="3" t="s">
        <v>158</v>
      </c>
      <c r="G2" s="7" t="s">
        <v>25</v>
      </c>
      <c r="H2" s="7"/>
      <c r="I2" s="7">
        <v>1</v>
      </c>
      <c r="J2" s="7">
        <v>2</v>
      </c>
      <c r="K2" s="7" t="s">
        <v>350</v>
      </c>
      <c r="L2" s="7" t="s">
        <v>373</v>
      </c>
      <c r="M2" s="7"/>
      <c r="N2" s="8"/>
      <c r="O2" s="7"/>
      <c r="P2" s="7">
        <v>613</v>
      </c>
      <c r="Q2" s="7"/>
      <c r="R2" s="7" t="s">
        <v>452</v>
      </c>
      <c r="S2" s="7" t="s">
        <v>452</v>
      </c>
      <c r="T2" s="7"/>
      <c r="U2" s="7"/>
      <c r="V2" s="7"/>
      <c r="W2" s="7"/>
      <c r="X2" s="7"/>
      <c r="Y2" s="7"/>
      <c r="Z2" s="7"/>
      <c r="AA2" s="7"/>
      <c r="AB2" s="7"/>
      <c r="AC2" s="7"/>
      <c r="AD2" t="s">
        <v>19</v>
      </c>
      <c r="AE2" t="s">
        <v>19</v>
      </c>
      <c r="AG2">
        <v>1</v>
      </c>
    </row>
    <row r="3" spans="1:33">
      <c r="A3" t="s">
        <v>38</v>
      </c>
      <c r="B3" s="3" t="s">
        <v>160</v>
      </c>
      <c r="C3" s="3" t="s">
        <v>159</v>
      </c>
      <c r="G3" s="7" t="s">
        <v>25</v>
      </c>
      <c r="H3" s="7"/>
      <c r="I3" s="7">
        <v>1</v>
      </c>
      <c r="J3" s="7">
        <v>3</v>
      </c>
      <c r="K3" s="7" t="s">
        <v>331</v>
      </c>
      <c r="L3" s="7" t="s">
        <v>326</v>
      </c>
      <c r="M3" s="7" t="s">
        <v>389</v>
      </c>
      <c r="N3" s="8" t="s">
        <v>388</v>
      </c>
      <c r="O3" s="7"/>
      <c r="P3" s="7">
        <v>2475</v>
      </c>
      <c r="Q3" s="7"/>
      <c r="R3" s="7" t="s">
        <v>452</v>
      </c>
      <c r="S3" s="7" t="s">
        <v>452</v>
      </c>
      <c r="T3" s="7"/>
      <c r="U3" s="7"/>
      <c r="V3" s="7"/>
      <c r="W3" s="7"/>
      <c r="X3" s="7"/>
      <c r="Y3" s="7"/>
      <c r="Z3" s="7"/>
      <c r="AA3" s="7"/>
      <c r="AB3" s="7"/>
      <c r="AC3" s="7"/>
      <c r="AD3" t="s">
        <v>19</v>
      </c>
      <c r="AE3" t="s">
        <v>20</v>
      </c>
      <c r="AG3">
        <v>1</v>
      </c>
    </row>
    <row r="4" spans="1:33">
      <c r="A4" t="s">
        <v>39</v>
      </c>
      <c r="B4" s="3" t="s">
        <v>162</v>
      </c>
      <c r="C4" s="3" t="s">
        <v>161</v>
      </c>
      <c r="G4" s="7" t="s">
        <v>25</v>
      </c>
      <c r="H4" s="7"/>
      <c r="I4" s="7">
        <v>1</v>
      </c>
      <c r="J4" s="7">
        <v>2</v>
      </c>
      <c r="K4" s="7" t="s">
        <v>331</v>
      </c>
      <c r="L4" s="7" t="s">
        <v>373</v>
      </c>
      <c r="M4" s="7"/>
      <c r="N4" s="8"/>
      <c r="O4" s="7"/>
      <c r="P4" s="7">
        <v>2475</v>
      </c>
      <c r="Q4" s="7"/>
      <c r="R4" s="7" t="s">
        <v>452</v>
      </c>
      <c r="S4" s="7" t="s">
        <v>452</v>
      </c>
      <c r="T4" s="7"/>
      <c r="U4" s="7"/>
      <c r="V4" s="7"/>
      <c r="W4" s="7"/>
      <c r="X4" s="7"/>
      <c r="Y4" s="7"/>
      <c r="Z4" s="7"/>
      <c r="AA4" s="7"/>
      <c r="AB4" s="7"/>
      <c r="AC4" s="7"/>
      <c r="AD4" t="s">
        <v>19</v>
      </c>
      <c r="AE4" t="s">
        <v>20</v>
      </c>
      <c r="AG4">
        <v>1</v>
      </c>
    </row>
    <row r="5" spans="1:33">
      <c r="A5" t="s">
        <v>43</v>
      </c>
      <c r="B5" s="3" t="s">
        <v>166</v>
      </c>
      <c r="C5" s="3" t="s">
        <v>165</v>
      </c>
      <c r="G5" s="7" t="s">
        <v>26</v>
      </c>
      <c r="H5" s="7"/>
      <c r="I5" s="7"/>
      <c r="J5" s="7"/>
      <c r="K5" s="7"/>
      <c r="L5" s="7"/>
      <c r="M5" s="7"/>
      <c r="N5" s="8"/>
      <c r="O5" s="7"/>
      <c r="P5" s="7"/>
      <c r="Q5" s="7"/>
      <c r="R5" s="7" t="s">
        <v>452</v>
      </c>
      <c r="S5" s="7" t="s">
        <v>452</v>
      </c>
      <c r="T5" s="7"/>
      <c r="U5" s="7"/>
      <c r="V5" s="7"/>
      <c r="W5" s="7"/>
      <c r="X5" s="7"/>
      <c r="Y5" s="7"/>
      <c r="Z5" s="7"/>
      <c r="AA5" s="7"/>
      <c r="AB5" s="7"/>
      <c r="AC5" s="7"/>
      <c r="AD5" t="s">
        <v>19</v>
      </c>
      <c r="AE5" t="s">
        <v>19</v>
      </c>
      <c r="AG5">
        <v>1</v>
      </c>
    </row>
    <row r="6" spans="1:33">
      <c r="A6" t="s">
        <v>44</v>
      </c>
      <c r="B6" s="3" t="s">
        <v>168</v>
      </c>
      <c r="C6" s="3" t="s">
        <v>167</v>
      </c>
      <c r="G6" s="7" t="s">
        <v>24</v>
      </c>
      <c r="H6" s="7"/>
      <c r="I6" s="7">
        <v>1</v>
      </c>
      <c r="J6" s="7">
        <v>1</v>
      </c>
      <c r="K6" s="7" t="s">
        <v>331</v>
      </c>
      <c r="L6" s="7" t="s">
        <v>373</v>
      </c>
      <c r="M6" s="7"/>
      <c r="N6" s="8"/>
      <c r="O6" s="7"/>
      <c r="P6" s="7">
        <v>2475</v>
      </c>
      <c r="Q6" s="7"/>
      <c r="R6" s="7" t="s">
        <v>452</v>
      </c>
      <c r="S6" s="7" t="s">
        <v>452</v>
      </c>
      <c r="T6" s="7"/>
      <c r="U6" s="7"/>
      <c r="V6" s="7"/>
      <c r="W6" s="7"/>
      <c r="X6" s="7"/>
      <c r="Y6" s="7"/>
      <c r="Z6" s="7"/>
      <c r="AA6" s="7"/>
      <c r="AB6" s="7"/>
      <c r="AC6" s="7"/>
      <c r="AD6" t="s">
        <v>19</v>
      </c>
      <c r="AE6" t="s">
        <v>20</v>
      </c>
      <c r="AG6">
        <v>1</v>
      </c>
    </row>
    <row r="7" spans="1:33">
      <c r="A7" t="s">
        <v>48</v>
      </c>
      <c r="B7" s="3" t="s">
        <v>172</v>
      </c>
      <c r="C7" s="3" t="s">
        <v>171</v>
      </c>
      <c r="G7" s="7" t="s">
        <v>372</v>
      </c>
      <c r="H7" s="7"/>
      <c r="I7" s="7"/>
      <c r="J7" s="7"/>
      <c r="K7" s="7"/>
      <c r="L7" s="7"/>
      <c r="M7" s="7"/>
      <c r="N7" s="8"/>
      <c r="O7" s="7"/>
      <c r="P7" s="7"/>
      <c r="Q7" s="7">
        <v>-249</v>
      </c>
      <c r="R7" s="7">
        <v>280</v>
      </c>
      <c r="S7" s="7">
        <v>31</v>
      </c>
      <c r="T7" s="7"/>
      <c r="U7" s="7"/>
      <c r="V7" s="7"/>
      <c r="W7" s="7"/>
      <c r="X7" s="7"/>
      <c r="Y7" s="7"/>
      <c r="Z7" s="7"/>
      <c r="AA7" s="7"/>
      <c r="AB7" s="7"/>
      <c r="AC7" s="7"/>
      <c r="AD7" t="s">
        <v>19</v>
      </c>
      <c r="AE7" t="s">
        <v>20</v>
      </c>
      <c r="AG7">
        <v>1</v>
      </c>
    </row>
    <row r="8" spans="1:33" ht="29">
      <c r="A8" t="s">
        <v>52</v>
      </c>
      <c r="B8" s="3" t="s">
        <v>176</v>
      </c>
      <c r="C8" s="3" t="s">
        <v>175</v>
      </c>
      <c r="G8" s="7" t="s">
        <v>25</v>
      </c>
      <c r="H8" s="7"/>
      <c r="I8" s="7">
        <v>1</v>
      </c>
      <c r="J8" s="7">
        <v>3</v>
      </c>
      <c r="K8" s="7" t="s">
        <v>331</v>
      </c>
      <c r="L8" s="7" t="s">
        <v>326</v>
      </c>
      <c r="M8" s="7" t="s">
        <v>387</v>
      </c>
      <c r="N8" s="8" t="s">
        <v>388</v>
      </c>
      <c r="O8" s="7"/>
      <c r="P8" s="7">
        <v>2475</v>
      </c>
      <c r="Q8" s="7"/>
      <c r="R8" s="7" t="s">
        <v>452</v>
      </c>
      <c r="S8" s="7" t="s">
        <v>452</v>
      </c>
      <c r="T8" s="7"/>
      <c r="U8" s="7"/>
      <c r="V8" s="7"/>
      <c r="W8" s="7"/>
      <c r="X8" s="7"/>
      <c r="Y8" s="7"/>
      <c r="Z8" s="7"/>
      <c r="AA8" s="7"/>
      <c r="AB8" s="7"/>
      <c r="AC8" s="7"/>
      <c r="AD8" t="s">
        <v>19</v>
      </c>
      <c r="AE8" t="s">
        <v>20</v>
      </c>
      <c r="AG8">
        <v>1</v>
      </c>
    </row>
    <row r="9" spans="1:33">
      <c r="A9" t="s">
        <v>55</v>
      </c>
      <c r="B9" s="3" t="s">
        <v>177</v>
      </c>
      <c r="C9" s="3" t="s">
        <v>178</v>
      </c>
      <c r="F9" t="s">
        <v>19</v>
      </c>
      <c r="G9" s="7" t="s">
        <v>24</v>
      </c>
      <c r="H9" s="7"/>
      <c r="I9" s="7">
        <v>1</v>
      </c>
      <c r="J9" s="7">
        <v>9</v>
      </c>
      <c r="K9" s="7" t="s">
        <v>325</v>
      </c>
      <c r="L9" s="7" t="s">
        <v>326</v>
      </c>
      <c r="M9" s="7" t="s">
        <v>416</v>
      </c>
      <c r="N9" s="8" t="s">
        <v>417</v>
      </c>
      <c r="O9" s="7"/>
      <c r="P9" s="7">
        <v>4</v>
      </c>
      <c r="Q9" s="7"/>
      <c r="R9" s="7" t="s">
        <v>452</v>
      </c>
      <c r="S9" s="7" t="s">
        <v>452</v>
      </c>
      <c r="T9" s="7"/>
      <c r="U9" s="7"/>
      <c r="V9" s="7"/>
      <c r="W9" s="7"/>
      <c r="X9" s="7"/>
      <c r="Y9" s="7"/>
      <c r="Z9" s="7"/>
      <c r="AA9" s="7"/>
      <c r="AB9" s="7"/>
      <c r="AC9" s="7"/>
      <c r="AD9" t="s">
        <v>20</v>
      </c>
      <c r="AE9" t="s">
        <v>20</v>
      </c>
      <c r="AG9">
        <v>0</v>
      </c>
    </row>
    <row r="10" spans="1:33">
      <c r="A10" t="s">
        <v>56</v>
      </c>
      <c r="B10" s="3" t="s">
        <v>59</v>
      </c>
      <c r="C10" s="3" t="s">
        <v>60</v>
      </c>
      <c r="G10" s="7" t="s">
        <v>372</v>
      </c>
      <c r="H10" s="7"/>
      <c r="I10" s="7"/>
      <c r="J10" s="7"/>
      <c r="K10" s="7"/>
      <c r="L10" s="7"/>
      <c r="M10" s="7"/>
      <c r="N10" s="8"/>
      <c r="O10" s="7"/>
      <c r="P10" s="7"/>
      <c r="Q10" s="7">
        <v>7</v>
      </c>
      <c r="R10" s="7">
        <v>1</v>
      </c>
      <c r="S10" s="7">
        <v>8</v>
      </c>
      <c r="T10" s="7"/>
      <c r="U10" s="7"/>
      <c r="V10" s="7"/>
      <c r="W10" s="7"/>
      <c r="X10" s="7"/>
      <c r="Y10" s="7"/>
      <c r="Z10" s="7"/>
      <c r="AA10" s="7"/>
      <c r="AB10" s="7"/>
      <c r="AC10" s="7"/>
      <c r="AD10" t="s">
        <v>20</v>
      </c>
      <c r="AE10" t="s">
        <v>20</v>
      </c>
      <c r="AG10">
        <v>0</v>
      </c>
    </row>
    <row r="11" spans="1:33">
      <c r="A11" t="s">
        <v>61</v>
      </c>
      <c r="B11" s="3" t="s">
        <v>179</v>
      </c>
      <c r="C11" s="3" t="s">
        <v>180</v>
      </c>
      <c r="G11" s="7" t="s">
        <v>24</v>
      </c>
      <c r="H11" s="7"/>
      <c r="I11" s="7">
        <v>1</v>
      </c>
      <c r="J11" s="7">
        <v>3</v>
      </c>
      <c r="K11" s="7" t="s">
        <v>331</v>
      </c>
      <c r="L11" s="7" t="s">
        <v>332</v>
      </c>
      <c r="M11" s="7"/>
      <c r="N11" s="8"/>
      <c r="O11" s="7"/>
      <c r="P11" s="7">
        <v>2475</v>
      </c>
      <c r="Q11" s="7"/>
      <c r="R11" s="7" t="s">
        <v>452</v>
      </c>
      <c r="S11" s="7" t="s">
        <v>452</v>
      </c>
      <c r="T11" s="7"/>
      <c r="U11" s="7"/>
      <c r="V11" s="7"/>
      <c r="W11" s="7"/>
      <c r="X11" s="7"/>
      <c r="Y11" s="7"/>
      <c r="Z11" s="7"/>
      <c r="AA11" s="7"/>
      <c r="AB11" s="7"/>
      <c r="AC11" s="7"/>
      <c r="AD11" t="s">
        <v>19</v>
      </c>
      <c r="AE11" t="s">
        <v>19</v>
      </c>
      <c r="AG11">
        <v>1</v>
      </c>
    </row>
    <row r="12" spans="1:33">
      <c r="A12" t="s">
        <v>61</v>
      </c>
      <c r="B12" s="3" t="s">
        <v>179</v>
      </c>
      <c r="C12" s="3" t="s">
        <v>181</v>
      </c>
      <c r="G12" s="7" t="s">
        <v>24</v>
      </c>
      <c r="H12" s="7"/>
      <c r="I12" s="7">
        <v>1</v>
      </c>
      <c r="J12" s="7">
        <v>3</v>
      </c>
      <c r="K12" s="7" t="s">
        <v>331</v>
      </c>
      <c r="L12" s="7" t="s">
        <v>332</v>
      </c>
      <c r="M12" s="7"/>
      <c r="N12" s="8"/>
      <c r="O12" s="7"/>
      <c r="P12" s="7">
        <v>2475</v>
      </c>
      <c r="Q12" s="7"/>
      <c r="R12" s="7" t="s">
        <v>452</v>
      </c>
      <c r="S12" s="7" t="s">
        <v>452</v>
      </c>
      <c r="T12" s="7"/>
      <c r="U12" s="7"/>
      <c r="V12" s="7"/>
      <c r="W12" s="7"/>
      <c r="X12" s="7"/>
      <c r="Y12" s="7"/>
      <c r="Z12" s="7"/>
      <c r="AA12" s="7"/>
      <c r="AB12" s="7"/>
      <c r="AC12" s="7"/>
      <c r="AD12" t="s">
        <v>19</v>
      </c>
      <c r="AE12" t="s">
        <v>20</v>
      </c>
      <c r="AG12">
        <v>1</v>
      </c>
    </row>
    <row r="13" spans="1:33">
      <c r="A13" t="s">
        <v>61</v>
      </c>
      <c r="B13" s="3" t="s">
        <v>183</v>
      </c>
      <c r="C13" s="3" t="s">
        <v>182</v>
      </c>
      <c r="G13" s="7" t="s">
        <v>24</v>
      </c>
      <c r="H13" s="7"/>
      <c r="I13" s="7">
        <v>1</v>
      </c>
      <c r="J13" s="7">
        <v>3</v>
      </c>
      <c r="K13" s="7" t="s">
        <v>331</v>
      </c>
      <c r="L13" s="7" t="s">
        <v>332</v>
      </c>
      <c r="M13" s="7"/>
      <c r="N13" s="8"/>
      <c r="O13" s="7"/>
      <c r="P13" s="7">
        <v>2475</v>
      </c>
      <c r="Q13" s="7"/>
      <c r="R13" s="7" t="s">
        <v>452</v>
      </c>
      <c r="S13" s="7" t="s">
        <v>452</v>
      </c>
      <c r="T13" s="7"/>
      <c r="U13" s="7"/>
      <c r="V13" s="7"/>
      <c r="W13" s="7"/>
      <c r="X13" s="7"/>
      <c r="Y13" s="7"/>
      <c r="Z13" s="7"/>
      <c r="AA13" s="7"/>
      <c r="AB13" s="7"/>
      <c r="AC13" s="7"/>
      <c r="AD13" t="s">
        <v>19</v>
      </c>
      <c r="AE13" t="s">
        <v>19</v>
      </c>
      <c r="AG13">
        <v>1</v>
      </c>
    </row>
    <row r="14" spans="1:33">
      <c r="A14" t="s">
        <v>69</v>
      </c>
      <c r="B14" s="3" t="s">
        <v>70</v>
      </c>
      <c r="C14" s="3" t="s">
        <v>71</v>
      </c>
      <c r="G14" s="7" t="s">
        <v>374</v>
      </c>
      <c r="H14" s="7"/>
      <c r="I14" s="7"/>
      <c r="J14" s="7"/>
      <c r="K14" s="7"/>
      <c r="L14" s="7"/>
      <c r="M14" s="7"/>
      <c r="N14" s="8"/>
      <c r="O14" s="7"/>
      <c r="P14" s="7"/>
      <c r="Q14" s="7"/>
      <c r="R14" s="7" t="s">
        <v>452</v>
      </c>
      <c r="S14" s="7" t="s">
        <v>452</v>
      </c>
      <c r="T14" s="7"/>
      <c r="U14" s="7"/>
      <c r="V14" s="7"/>
      <c r="W14" s="7"/>
      <c r="X14" s="7"/>
      <c r="Y14" s="7"/>
      <c r="Z14" s="7"/>
      <c r="AA14" s="7"/>
      <c r="AB14" s="7"/>
      <c r="AC14" s="7"/>
      <c r="AD14" t="s">
        <v>19</v>
      </c>
      <c r="AE14" t="s">
        <v>20</v>
      </c>
      <c r="AG14">
        <v>1</v>
      </c>
    </row>
    <row r="15" spans="1:33">
      <c r="A15" t="s">
        <v>73</v>
      </c>
      <c r="B15" s="3" t="s">
        <v>187</v>
      </c>
      <c r="C15" s="3" t="s">
        <v>188</v>
      </c>
      <c r="G15" s="7" t="s">
        <v>24</v>
      </c>
      <c r="H15" s="7"/>
      <c r="I15" s="7">
        <v>1</v>
      </c>
      <c r="J15" s="7">
        <v>1</v>
      </c>
      <c r="K15" s="7" t="s">
        <v>331</v>
      </c>
      <c r="L15" s="7" t="s">
        <v>373</v>
      </c>
      <c r="M15" s="7"/>
      <c r="N15" s="8"/>
      <c r="O15" s="7"/>
      <c r="P15" s="7">
        <v>2475</v>
      </c>
      <c r="Q15" s="7"/>
      <c r="R15" s="7" t="s">
        <v>452</v>
      </c>
      <c r="S15" s="7" t="s">
        <v>452</v>
      </c>
      <c r="T15" s="7"/>
      <c r="U15" s="7"/>
      <c r="V15" s="7"/>
      <c r="W15" s="7"/>
      <c r="X15" s="7"/>
      <c r="Y15" s="7"/>
      <c r="Z15" s="7"/>
      <c r="AA15" s="7"/>
      <c r="AB15" s="7"/>
      <c r="AC15" s="7"/>
      <c r="AD15" t="s">
        <v>19</v>
      </c>
      <c r="AE15" t="s">
        <v>19</v>
      </c>
      <c r="AG15">
        <v>1</v>
      </c>
    </row>
    <row r="16" spans="1:33">
      <c r="A16" t="s">
        <v>73</v>
      </c>
      <c r="B16" s="3" t="s">
        <v>189</v>
      </c>
      <c r="C16" s="3" t="s">
        <v>190</v>
      </c>
      <c r="G16" s="7" t="s">
        <v>374</v>
      </c>
      <c r="H16" s="7"/>
      <c r="I16" s="7"/>
      <c r="J16" s="7"/>
      <c r="K16" s="7"/>
      <c r="L16" s="7"/>
      <c r="M16" s="7"/>
      <c r="N16" s="8"/>
      <c r="O16" s="7"/>
      <c r="P16" s="7"/>
      <c r="Q16" s="7"/>
      <c r="R16" s="7" t="s">
        <v>452</v>
      </c>
      <c r="S16" s="7" t="s">
        <v>452</v>
      </c>
      <c r="T16" s="7"/>
      <c r="U16" s="7"/>
      <c r="V16" s="7"/>
      <c r="W16" s="7"/>
      <c r="X16" s="7"/>
      <c r="Y16" s="7"/>
      <c r="Z16" s="7"/>
      <c r="AA16" s="7"/>
      <c r="AB16" s="7"/>
      <c r="AC16" s="7"/>
      <c r="AD16" t="s">
        <v>20</v>
      </c>
      <c r="AE16" t="s">
        <v>19</v>
      </c>
      <c r="AG16">
        <v>0</v>
      </c>
    </row>
    <row r="17" spans="1:33">
      <c r="A17" t="s">
        <v>73</v>
      </c>
      <c r="B17" s="3" t="s">
        <v>74</v>
      </c>
      <c r="C17" s="3" t="s">
        <v>75</v>
      </c>
      <c r="G17" s="7" t="s">
        <v>374</v>
      </c>
      <c r="H17" s="7"/>
      <c r="I17" s="7"/>
      <c r="J17" s="7"/>
      <c r="K17" s="7"/>
      <c r="L17" s="7"/>
      <c r="M17" s="7"/>
      <c r="N17" s="8"/>
      <c r="O17" s="7"/>
      <c r="P17" s="7"/>
      <c r="Q17" s="7"/>
      <c r="R17" s="7" t="s">
        <v>452</v>
      </c>
      <c r="S17" s="7" t="s">
        <v>452</v>
      </c>
      <c r="T17" s="7"/>
      <c r="U17" s="7"/>
      <c r="V17" s="7"/>
      <c r="W17" s="7"/>
      <c r="X17" s="7"/>
      <c r="Y17" s="7"/>
      <c r="Z17" s="7"/>
      <c r="AA17" s="7"/>
      <c r="AB17" s="7"/>
      <c r="AC17" s="7"/>
      <c r="AD17" t="s">
        <v>19</v>
      </c>
      <c r="AE17" t="s">
        <v>19</v>
      </c>
      <c r="AG17">
        <v>1</v>
      </c>
    </row>
    <row r="18" spans="1:33">
      <c r="A18" t="s">
        <v>73</v>
      </c>
      <c r="B18" s="3" t="s">
        <v>76</v>
      </c>
      <c r="C18" s="3" t="s">
        <v>77</v>
      </c>
      <c r="G18" s="7" t="s">
        <v>374</v>
      </c>
      <c r="H18" s="7"/>
      <c r="I18" s="7"/>
      <c r="J18" s="7"/>
      <c r="K18" s="7"/>
      <c r="L18" s="7"/>
      <c r="M18" s="7"/>
      <c r="N18" s="8"/>
      <c r="O18" s="7"/>
      <c r="P18" s="7"/>
      <c r="Q18" s="7"/>
      <c r="R18" s="7" t="s">
        <v>452</v>
      </c>
      <c r="S18" s="7" t="s">
        <v>452</v>
      </c>
      <c r="T18" s="7"/>
      <c r="U18" s="7"/>
      <c r="V18" s="7"/>
      <c r="W18" s="7"/>
      <c r="X18" s="7"/>
      <c r="Y18" s="7"/>
      <c r="Z18" s="7"/>
      <c r="AA18" s="7"/>
      <c r="AB18" s="7"/>
      <c r="AC18" s="7"/>
      <c r="AD18" t="s">
        <v>19</v>
      </c>
      <c r="AE18" t="s">
        <v>19</v>
      </c>
      <c r="AG18">
        <v>1</v>
      </c>
    </row>
    <row r="19" spans="1:33">
      <c r="A19" t="s">
        <v>78</v>
      </c>
      <c r="B19" s="3" t="s">
        <v>191</v>
      </c>
      <c r="C19" s="3" t="s">
        <v>192</v>
      </c>
      <c r="G19" s="7" t="s">
        <v>25</v>
      </c>
      <c r="H19" s="7"/>
      <c r="I19" s="7">
        <v>1</v>
      </c>
      <c r="J19" s="7">
        <v>2</v>
      </c>
      <c r="K19" s="7" t="s">
        <v>331</v>
      </c>
      <c r="L19" s="7" t="s">
        <v>373</v>
      </c>
      <c r="M19" s="7"/>
      <c r="N19" s="8"/>
      <c r="O19" s="7"/>
      <c r="P19" s="7">
        <v>2475</v>
      </c>
      <c r="Q19" s="7"/>
      <c r="R19" s="7" t="s">
        <v>452</v>
      </c>
      <c r="S19" s="7" t="s">
        <v>452</v>
      </c>
      <c r="T19" s="7"/>
      <c r="U19" s="7"/>
      <c r="V19" s="7"/>
      <c r="W19" s="7"/>
      <c r="X19" s="7"/>
      <c r="Y19" s="7"/>
      <c r="Z19" s="7"/>
      <c r="AA19" s="7"/>
      <c r="AB19" s="7"/>
      <c r="AC19" s="7"/>
      <c r="AD19" t="s">
        <v>19</v>
      </c>
      <c r="AE19" t="s">
        <v>19</v>
      </c>
      <c r="AG19">
        <v>1</v>
      </c>
    </row>
    <row r="20" spans="1:33">
      <c r="A20" t="s">
        <v>78</v>
      </c>
      <c r="B20" s="3" t="s">
        <v>195</v>
      </c>
      <c r="C20" s="3" t="s">
        <v>194</v>
      </c>
      <c r="G20" s="7" t="s">
        <v>24</v>
      </c>
      <c r="H20" s="7"/>
      <c r="I20" s="7">
        <v>1</v>
      </c>
      <c r="J20" s="7">
        <v>3</v>
      </c>
      <c r="K20" s="7" t="s">
        <v>341</v>
      </c>
      <c r="L20" s="7" t="s">
        <v>332</v>
      </c>
      <c r="M20" s="7"/>
      <c r="N20" s="8"/>
      <c r="O20" s="7"/>
      <c r="P20" s="7">
        <v>1701</v>
      </c>
      <c r="Q20" s="7"/>
      <c r="R20" s="7" t="s">
        <v>452</v>
      </c>
      <c r="S20" s="7" t="s">
        <v>452</v>
      </c>
      <c r="T20" s="7"/>
      <c r="U20" s="7"/>
      <c r="V20" s="7"/>
      <c r="W20" s="7"/>
      <c r="X20" s="7"/>
      <c r="Y20" s="7"/>
      <c r="Z20" s="7"/>
      <c r="AA20" s="7"/>
      <c r="AB20" s="7"/>
      <c r="AC20" s="7"/>
      <c r="AD20" t="s">
        <v>19</v>
      </c>
      <c r="AE20" t="s">
        <v>20</v>
      </c>
      <c r="AG20">
        <v>1</v>
      </c>
    </row>
    <row r="21" spans="1:33" ht="72.5">
      <c r="A21" t="s">
        <v>78</v>
      </c>
      <c r="B21" s="3" t="s">
        <v>197</v>
      </c>
      <c r="C21" s="3" t="s">
        <v>198</v>
      </c>
      <c r="F21" t="s">
        <v>19</v>
      </c>
      <c r="G21" s="7" t="s">
        <v>374</v>
      </c>
      <c r="H21" s="7"/>
      <c r="I21" s="7"/>
      <c r="J21" s="7"/>
      <c r="K21" s="7"/>
      <c r="L21" s="7"/>
      <c r="M21" s="7"/>
      <c r="N21" s="8"/>
      <c r="O21" s="7"/>
      <c r="P21" s="7"/>
      <c r="Q21" s="7"/>
      <c r="R21" s="7" t="s">
        <v>452</v>
      </c>
      <c r="S21" s="7" t="s">
        <v>452</v>
      </c>
      <c r="T21" s="7"/>
      <c r="U21" s="7"/>
      <c r="V21" s="7"/>
      <c r="W21" s="7"/>
      <c r="X21" s="7"/>
      <c r="Y21" s="7"/>
      <c r="Z21" s="7"/>
      <c r="AA21" s="7"/>
      <c r="AB21" s="7"/>
      <c r="AC21" s="7"/>
      <c r="AD21" t="s">
        <v>19</v>
      </c>
      <c r="AE21" t="s">
        <v>20</v>
      </c>
      <c r="AG21">
        <v>1</v>
      </c>
    </row>
    <row r="22" spans="1:33" ht="72.5">
      <c r="A22" t="s">
        <v>81</v>
      </c>
      <c r="B22" s="3" t="s">
        <v>396</v>
      </c>
      <c r="C22" s="3" t="s">
        <v>196</v>
      </c>
      <c r="F22" t="s">
        <v>19</v>
      </c>
      <c r="G22" s="7" t="s">
        <v>25</v>
      </c>
      <c r="H22" s="7"/>
      <c r="I22" s="7">
        <v>8</v>
      </c>
      <c r="J22" s="7">
        <v>46</v>
      </c>
      <c r="K22" s="7"/>
      <c r="L22" s="7" t="s">
        <v>326</v>
      </c>
      <c r="M22" s="7" t="s">
        <v>395</v>
      </c>
      <c r="N22" s="8" t="s">
        <v>397</v>
      </c>
      <c r="O22" s="7"/>
      <c r="P22" s="7">
        <v>1</v>
      </c>
      <c r="Q22" s="7"/>
      <c r="R22" s="7" t="s">
        <v>452</v>
      </c>
      <c r="S22" s="7" t="s">
        <v>452</v>
      </c>
      <c r="T22" s="7"/>
      <c r="U22" s="7"/>
      <c r="V22" s="7"/>
      <c r="W22" s="7"/>
      <c r="X22" s="7"/>
      <c r="Y22" s="7"/>
      <c r="Z22" s="7"/>
      <c r="AA22" s="7"/>
      <c r="AB22" s="7"/>
      <c r="AC22" s="7"/>
      <c r="AD22" t="s">
        <v>20</v>
      </c>
      <c r="AE22" t="s">
        <v>20</v>
      </c>
      <c r="AG22">
        <v>0</v>
      </c>
    </row>
    <row r="23" spans="1:33">
      <c r="A23" t="s">
        <v>82</v>
      </c>
      <c r="B23" s="3" t="s">
        <v>200</v>
      </c>
      <c r="C23" s="3" t="s">
        <v>199</v>
      </c>
      <c r="G23" s="7" t="s">
        <v>24</v>
      </c>
      <c r="H23" s="7"/>
      <c r="I23" s="7">
        <v>1</v>
      </c>
      <c r="J23" s="7">
        <v>2</v>
      </c>
      <c r="K23" s="7" t="s">
        <v>331</v>
      </c>
      <c r="L23" s="7" t="s">
        <v>373</v>
      </c>
      <c r="M23" s="7"/>
      <c r="N23" s="8"/>
      <c r="O23" s="7"/>
      <c r="P23" s="7">
        <v>2475</v>
      </c>
      <c r="Q23" s="7"/>
      <c r="R23" s="7" t="s">
        <v>452</v>
      </c>
      <c r="S23" s="7" t="s">
        <v>452</v>
      </c>
      <c r="T23" s="7"/>
      <c r="U23" s="7"/>
      <c r="V23" s="7"/>
      <c r="W23" s="7"/>
      <c r="X23" s="7"/>
      <c r="Y23" s="7"/>
      <c r="Z23" s="7"/>
      <c r="AA23" s="7"/>
      <c r="AB23" s="7"/>
      <c r="AC23" s="7"/>
      <c r="AD23" t="s">
        <v>19</v>
      </c>
      <c r="AE23" t="s">
        <v>20</v>
      </c>
      <c r="AG23">
        <v>1</v>
      </c>
    </row>
    <row r="24" spans="1:33">
      <c r="A24" t="s">
        <v>82</v>
      </c>
      <c r="B24" s="3" t="s">
        <v>201</v>
      </c>
      <c r="C24" s="3" t="s">
        <v>202</v>
      </c>
      <c r="G24" s="7" t="s">
        <v>25</v>
      </c>
      <c r="H24" s="7"/>
      <c r="I24" s="7">
        <v>1</v>
      </c>
      <c r="J24" s="7">
        <v>2</v>
      </c>
      <c r="K24" s="7" t="s">
        <v>331</v>
      </c>
      <c r="L24" s="7" t="s">
        <v>373</v>
      </c>
      <c r="M24" s="7"/>
      <c r="N24" s="8"/>
      <c r="O24" s="7" t="s">
        <v>327</v>
      </c>
      <c r="P24" s="7">
        <v>2475</v>
      </c>
      <c r="Q24" s="7"/>
      <c r="R24" s="7" t="s">
        <v>452</v>
      </c>
      <c r="S24" s="7" t="s">
        <v>452</v>
      </c>
      <c r="T24" s="7"/>
      <c r="U24" s="7"/>
      <c r="V24" s="7"/>
      <c r="W24" s="7"/>
      <c r="X24" s="7"/>
      <c r="Y24" s="7"/>
      <c r="Z24" s="7"/>
      <c r="AA24" s="7"/>
      <c r="AB24" s="7"/>
      <c r="AC24" s="7"/>
      <c r="AD24" t="s">
        <v>19</v>
      </c>
      <c r="AE24" t="s">
        <v>20</v>
      </c>
      <c r="AG24">
        <v>1</v>
      </c>
    </row>
    <row r="25" spans="1:33">
      <c r="A25" t="s">
        <v>83</v>
      </c>
      <c r="B25" s="3" t="s">
        <v>174</v>
      </c>
      <c r="C25" s="3" t="s">
        <v>173</v>
      </c>
      <c r="G25" s="7" t="s">
        <v>25</v>
      </c>
      <c r="H25" s="7"/>
      <c r="I25" s="7">
        <v>1</v>
      </c>
      <c r="J25" s="7">
        <v>3</v>
      </c>
      <c r="K25" s="7" t="s">
        <v>331</v>
      </c>
      <c r="L25" s="7" t="s">
        <v>332</v>
      </c>
      <c r="M25" s="7"/>
      <c r="N25" s="8"/>
      <c r="O25" s="7"/>
      <c r="P25" s="7">
        <v>2475</v>
      </c>
      <c r="Q25" s="7"/>
      <c r="R25" s="7" t="s">
        <v>452</v>
      </c>
      <c r="S25" s="7" t="s">
        <v>452</v>
      </c>
      <c r="T25" s="7"/>
      <c r="U25" s="7"/>
      <c r="V25" s="7"/>
      <c r="W25" s="7"/>
      <c r="X25" s="7"/>
      <c r="Y25" s="7"/>
      <c r="Z25" s="7"/>
      <c r="AA25" s="7"/>
      <c r="AB25" s="7"/>
      <c r="AC25" s="7"/>
      <c r="AD25" t="s">
        <v>19</v>
      </c>
      <c r="AE25" t="s">
        <v>19</v>
      </c>
      <c r="AG25">
        <v>1</v>
      </c>
    </row>
    <row r="26" spans="1:33" ht="29">
      <c r="A26" t="s">
        <v>83</v>
      </c>
      <c r="B26" s="3" t="s">
        <v>204</v>
      </c>
      <c r="C26" s="3" t="s">
        <v>203</v>
      </c>
      <c r="G26" s="7" t="s">
        <v>372</v>
      </c>
      <c r="H26" s="7"/>
      <c r="I26" s="7"/>
      <c r="J26" s="7"/>
      <c r="K26" s="7"/>
      <c r="L26" s="7"/>
      <c r="M26" s="7"/>
      <c r="N26" s="8"/>
      <c r="O26" s="7"/>
      <c r="P26" s="7"/>
      <c r="Q26" s="7">
        <v>-1622</v>
      </c>
      <c r="R26" s="7">
        <v>1701</v>
      </c>
      <c r="S26" s="7">
        <v>79</v>
      </c>
      <c r="T26" s="7"/>
      <c r="U26" s="7"/>
      <c r="V26" s="7"/>
      <c r="W26" s="7"/>
      <c r="X26" s="7"/>
      <c r="Y26" s="7"/>
      <c r="Z26" s="7"/>
      <c r="AA26" s="7"/>
      <c r="AB26" s="7"/>
      <c r="AC26" s="7"/>
      <c r="AD26" t="s">
        <v>19</v>
      </c>
      <c r="AE26" t="s">
        <v>19</v>
      </c>
      <c r="AG26">
        <v>1</v>
      </c>
    </row>
    <row r="27" spans="1:33">
      <c r="A27" t="s">
        <v>83</v>
      </c>
      <c r="B27" s="3" t="s">
        <v>174</v>
      </c>
      <c r="C27" s="3" t="s">
        <v>173</v>
      </c>
      <c r="G27" s="7" t="s">
        <v>25</v>
      </c>
      <c r="H27" s="7"/>
      <c r="I27" s="7">
        <v>1</v>
      </c>
      <c r="J27" s="7">
        <v>3</v>
      </c>
      <c r="K27" s="7" t="s">
        <v>331</v>
      </c>
      <c r="L27" s="7" t="s">
        <v>332</v>
      </c>
      <c r="M27" s="7"/>
      <c r="N27" s="8"/>
      <c r="O27" s="7"/>
      <c r="P27" s="7">
        <v>2475</v>
      </c>
      <c r="Q27" s="7"/>
      <c r="R27" s="7" t="s">
        <v>452</v>
      </c>
      <c r="S27" s="7" t="s">
        <v>452</v>
      </c>
      <c r="T27" s="7"/>
      <c r="U27" s="7"/>
      <c r="V27" s="7"/>
      <c r="W27" s="7"/>
      <c r="X27" s="7"/>
      <c r="Y27" s="7"/>
      <c r="Z27" s="7"/>
      <c r="AA27" s="7"/>
      <c r="AB27" s="7"/>
      <c r="AC27" s="7"/>
      <c r="AD27" t="s">
        <v>19</v>
      </c>
      <c r="AE27" t="s">
        <v>19</v>
      </c>
      <c r="AG27">
        <v>1</v>
      </c>
    </row>
    <row r="28" spans="1:33">
      <c r="A28" t="s">
        <v>85</v>
      </c>
      <c r="B28" s="3" t="s">
        <v>206</v>
      </c>
      <c r="C28" s="3" t="s">
        <v>205</v>
      </c>
      <c r="G28" s="7" t="s">
        <v>25</v>
      </c>
      <c r="H28" s="7"/>
      <c r="I28" s="7">
        <v>1</v>
      </c>
      <c r="J28" s="7">
        <v>2</v>
      </c>
      <c r="K28" s="7" t="s">
        <v>341</v>
      </c>
      <c r="L28" s="7" t="s">
        <v>373</v>
      </c>
      <c r="M28" s="7"/>
      <c r="N28" s="8"/>
      <c r="O28" s="7"/>
      <c r="P28" s="7">
        <v>171</v>
      </c>
      <c r="Q28" s="7"/>
      <c r="R28" s="7" t="s">
        <v>452</v>
      </c>
      <c r="S28" s="7" t="s">
        <v>452</v>
      </c>
      <c r="T28" s="7"/>
      <c r="U28" s="7"/>
      <c r="V28" s="7"/>
      <c r="W28" s="7"/>
      <c r="X28" s="7"/>
      <c r="Y28" s="7"/>
      <c r="Z28" s="7"/>
      <c r="AA28" s="7"/>
      <c r="AB28" s="7"/>
      <c r="AC28" s="7"/>
      <c r="AD28" t="s">
        <v>19</v>
      </c>
      <c r="AE28" t="s">
        <v>20</v>
      </c>
      <c r="AG28">
        <v>1</v>
      </c>
    </row>
    <row r="29" spans="1:33" ht="29">
      <c r="A29" t="s">
        <v>89</v>
      </c>
      <c r="B29" s="3" t="s">
        <v>207</v>
      </c>
      <c r="C29" s="3" t="s">
        <v>208</v>
      </c>
      <c r="G29" s="7" t="s">
        <v>24</v>
      </c>
      <c r="H29" s="7"/>
      <c r="I29" s="7">
        <v>1</v>
      </c>
      <c r="J29" s="7">
        <v>3</v>
      </c>
      <c r="K29" s="7" t="s">
        <v>331</v>
      </c>
      <c r="L29" s="7" t="s">
        <v>332</v>
      </c>
      <c r="M29" s="7"/>
      <c r="N29" s="8"/>
      <c r="O29" s="7"/>
      <c r="P29" s="7">
        <v>2475</v>
      </c>
      <c r="Q29" s="7"/>
      <c r="R29" s="7" t="s">
        <v>452</v>
      </c>
      <c r="S29" s="7" t="s">
        <v>452</v>
      </c>
      <c r="T29" s="7"/>
      <c r="U29" s="7"/>
      <c r="V29" s="7"/>
      <c r="W29" s="7"/>
      <c r="X29" s="7"/>
      <c r="Y29" s="7"/>
      <c r="Z29" s="7"/>
      <c r="AA29" s="7"/>
      <c r="AB29" s="7"/>
      <c r="AC29" s="7"/>
      <c r="AD29" t="s">
        <v>19</v>
      </c>
      <c r="AE29" t="s">
        <v>20</v>
      </c>
      <c r="AG29">
        <v>1</v>
      </c>
    </row>
    <row r="30" spans="1:33" ht="29">
      <c r="A30" t="s">
        <v>89</v>
      </c>
      <c r="B30" s="3" t="s">
        <v>210</v>
      </c>
      <c r="C30" s="3" t="s">
        <v>209</v>
      </c>
      <c r="G30" s="7" t="s">
        <v>372</v>
      </c>
      <c r="H30" s="7"/>
      <c r="I30" s="7"/>
      <c r="J30" s="7"/>
      <c r="K30" s="7"/>
      <c r="L30" s="7"/>
      <c r="M30" s="7"/>
      <c r="N30" s="8"/>
      <c r="O30" s="7"/>
      <c r="P30" s="7"/>
      <c r="Q30" s="7">
        <v>-118</v>
      </c>
      <c r="R30" s="7">
        <v>250</v>
      </c>
      <c r="S30" s="7">
        <v>132</v>
      </c>
      <c r="T30" s="7"/>
      <c r="U30" s="7"/>
      <c r="V30" s="7"/>
      <c r="W30" s="7"/>
      <c r="X30" s="7"/>
      <c r="Y30" s="7"/>
      <c r="Z30" s="7"/>
      <c r="AA30" s="7"/>
      <c r="AB30" s="7"/>
      <c r="AC30" s="7"/>
      <c r="AD30" t="s">
        <v>19</v>
      </c>
      <c r="AE30" t="s">
        <v>19</v>
      </c>
      <c r="AG30">
        <v>1</v>
      </c>
    </row>
    <row r="31" spans="1:33" ht="43.5">
      <c r="A31" t="s">
        <v>96</v>
      </c>
      <c r="B31" s="3" t="s">
        <v>214</v>
      </c>
      <c r="C31" s="3" t="s">
        <v>213</v>
      </c>
      <c r="G31" s="7" t="s">
        <v>25</v>
      </c>
      <c r="H31" s="7"/>
      <c r="I31" s="7">
        <v>1</v>
      </c>
      <c r="J31" s="7">
        <v>7</v>
      </c>
      <c r="K31" s="7" t="s">
        <v>325</v>
      </c>
      <c r="L31" s="7" t="s">
        <v>332</v>
      </c>
      <c r="M31" s="7"/>
      <c r="N31" s="8"/>
      <c r="O31" s="7"/>
      <c r="P31" s="7">
        <v>13</v>
      </c>
      <c r="Q31" s="7"/>
      <c r="R31" s="7" t="s">
        <v>452</v>
      </c>
      <c r="S31" s="7" t="s">
        <v>452</v>
      </c>
      <c r="T31" s="7"/>
      <c r="U31" s="7"/>
      <c r="V31" s="7"/>
      <c r="W31" s="7"/>
      <c r="X31" s="7"/>
      <c r="Y31" s="7"/>
      <c r="Z31" s="7"/>
      <c r="AA31" s="7"/>
      <c r="AB31" s="7"/>
      <c r="AC31" s="7"/>
      <c r="AD31" t="s">
        <v>19</v>
      </c>
      <c r="AE31" t="s">
        <v>19</v>
      </c>
      <c r="AG31">
        <v>1</v>
      </c>
    </row>
    <row r="32" spans="1:33" ht="43.5">
      <c r="A32" t="s">
        <v>96</v>
      </c>
      <c r="B32" s="3" t="s">
        <v>215</v>
      </c>
      <c r="C32" s="3" t="s">
        <v>213</v>
      </c>
      <c r="G32" s="7" t="s">
        <v>25</v>
      </c>
      <c r="H32" s="7"/>
      <c r="I32" s="7">
        <v>1</v>
      </c>
      <c r="J32" s="7">
        <v>3</v>
      </c>
      <c r="K32" s="7" t="s">
        <v>331</v>
      </c>
      <c r="L32" s="7" t="s">
        <v>332</v>
      </c>
      <c r="M32" s="7"/>
      <c r="N32" s="8"/>
      <c r="O32" s="7"/>
      <c r="P32" s="7">
        <v>2475</v>
      </c>
      <c r="Q32" s="7"/>
      <c r="R32" s="7" t="s">
        <v>452</v>
      </c>
      <c r="S32" s="7" t="s">
        <v>452</v>
      </c>
      <c r="T32" s="7"/>
      <c r="U32" s="7"/>
      <c r="V32" s="7"/>
      <c r="W32" s="7"/>
      <c r="X32" s="7"/>
      <c r="Y32" s="7"/>
      <c r="Z32" s="7"/>
      <c r="AA32" s="7"/>
      <c r="AB32" s="7"/>
      <c r="AC32" s="7"/>
      <c r="AD32" t="s">
        <v>19</v>
      </c>
      <c r="AE32" t="s">
        <v>19</v>
      </c>
      <c r="AG32">
        <v>1</v>
      </c>
    </row>
    <row r="33" spans="1:33">
      <c r="A33" t="s">
        <v>97</v>
      </c>
      <c r="B33" s="3" t="s">
        <v>216</v>
      </c>
      <c r="C33" s="3" t="s">
        <v>217</v>
      </c>
      <c r="G33" s="7" t="s">
        <v>374</v>
      </c>
      <c r="H33" s="7"/>
      <c r="I33" s="7"/>
      <c r="J33" s="7"/>
      <c r="K33" s="7"/>
      <c r="L33" s="7"/>
      <c r="M33" s="7"/>
      <c r="N33" s="8"/>
      <c r="O33" s="7"/>
      <c r="P33" s="7"/>
      <c r="Q33" s="7"/>
      <c r="R33" s="7" t="s">
        <v>452</v>
      </c>
      <c r="S33" s="7" t="s">
        <v>452</v>
      </c>
      <c r="T33" s="7"/>
      <c r="U33" s="7"/>
      <c r="V33" s="7"/>
      <c r="W33" s="7"/>
      <c r="X33" s="7"/>
      <c r="Y33" s="7"/>
      <c r="Z33" s="7"/>
      <c r="AA33" s="7"/>
      <c r="AB33" s="7"/>
      <c r="AC33" s="7"/>
      <c r="AD33" t="s">
        <v>19</v>
      </c>
      <c r="AE33" t="s">
        <v>19</v>
      </c>
      <c r="AG33">
        <v>1</v>
      </c>
    </row>
    <row r="34" spans="1:33">
      <c r="A34" t="s">
        <v>98</v>
      </c>
      <c r="B34" s="3" t="s">
        <v>219</v>
      </c>
      <c r="C34" s="3" t="s">
        <v>218</v>
      </c>
      <c r="G34" s="7" t="s">
        <v>374</v>
      </c>
      <c r="H34" s="7"/>
      <c r="I34" s="7"/>
      <c r="J34" s="7"/>
      <c r="K34" s="7"/>
      <c r="L34" s="7"/>
      <c r="M34" s="7"/>
      <c r="N34" s="8"/>
      <c r="O34" s="7"/>
      <c r="P34" s="7"/>
      <c r="Q34" s="7"/>
      <c r="R34" s="7" t="s">
        <v>452</v>
      </c>
      <c r="S34" s="7" t="s">
        <v>452</v>
      </c>
      <c r="T34" s="7"/>
      <c r="U34" s="7"/>
      <c r="V34" s="7"/>
      <c r="W34" s="7"/>
      <c r="X34" s="7"/>
      <c r="Y34" s="7"/>
      <c r="Z34" s="7"/>
      <c r="AA34" s="7"/>
      <c r="AB34" s="7"/>
      <c r="AC34" s="7"/>
      <c r="AD34" t="s">
        <v>19</v>
      </c>
      <c r="AE34" t="s">
        <v>20</v>
      </c>
      <c r="AG34">
        <v>1</v>
      </c>
    </row>
    <row r="35" spans="1:33">
      <c r="A35" t="s">
        <v>99</v>
      </c>
      <c r="B35" s="3" t="s">
        <v>220</v>
      </c>
      <c r="C35" s="3" t="s">
        <v>223</v>
      </c>
      <c r="G35" s="7" t="s">
        <v>24</v>
      </c>
      <c r="H35" s="7"/>
      <c r="I35" s="7">
        <v>1</v>
      </c>
      <c r="J35" s="7">
        <v>1</v>
      </c>
      <c r="K35" s="7" t="s">
        <v>331</v>
      </c>
      <c r="L35" s="7" t="s">
        <v>373</v>
      </c>
      <c r="M35" s="7"/>
      <c r="N35" s="8"/>
      <c r="O35" s="7"/>
      <c r="P35" s="7">
        <v>2475</v>
      </c>
      <c r="Q35" s="7"/>
      <c r="R35" s="7" t="s">
        <v>452</v>
      </c>
      <c r="S35" s="7" t="s">
        <v>452</v>
      </c>
      <c r="T35" s="7"/>
      <c r="U35" s="7"/>
      <c r="V35" s="7"/>
      <c r="W35" s="7"/>
      <c r="X35" s="7"/>
      <c r="Y35" s="7"/>
      <c r="Z35" s="7"/>
      <c r="AA35" s="7"/>
      <c r="AB35" s="7"/>
      <c r="AC35" s="7"/>
      <c r="AD35" t="s">
        <v>19</v>
      </c>
      <c r="AE35" t="s">
        <v>19</v>
      </c>
      <c r="AG35">
        <v>1</v>
      </c>
    </row>
    <row r="36" spans="1:33">
      <c r="A36" t="s">
        <v>99</v>
      </c>
      <c r="B36" s="3" t="s">
        <v>227</v>
      </c>
      <c r="C36" s="3" t="s">
        <v>226</v>
      </c>
      <c r="G36" s="7" t="s">
        <v>372</v>
      </c>
      <c r="H36" s="7"/>
      <c r="I36" s="7"/>
      <c r="J36" s="7"/>
      <c r="K36" s="7"/>
      <c r="L36" s="7"/>
      <c r="M36" s="7"/>
      <c r="N36" s="8"/>
      <c r="O36" s="7"/>
      <c r="P36" s="7"/>
      <c r="Q36" s="7">
        <v>813</v>
      </c>
      <c r="R36" s="7">
        <v>17</v>
      </c>
      <c r="S36" s="7">
        <v>830</v>
      </c>
      <c r="T36" s="7"/>
      <c r="U36" s="7"/>
      <c r="V36" s="7"/>
      <c r="W36" s="7"/>
      <c r="X36" s="7"/>
      <c r="Y36" s="7"/>
      <c r="Z36" s="7"/>
      <c r="AA36" s="7"/>
      <c r="AB36" s="7"/>
      <c r="AC36" s="7"/>
      <c r="AD36" t="s">
        <v>19</v>
      </c>
      <c r="AE36" t="s">
        <v>19</v>
      </c>
      <c r="AG36">
        <v>1</v>
      </c>
    </row>
    <row r="37" spans="1:33" ht="101.5">
      <c r="A37" t="s">
        <v>99</v>
      </c>
      <c r="B37" s="3" t="s">
        <v>230</v>
      </c>
      <c r="C37" s="3" t="s">
        <v>231</v>
      </c>
      <c r="F37" t="s">
        <v>19</v>
      </c>
      <c r="G37" s="7" t="s">
        <v>25</v>
      </c>
      <c r="H37" s="7"/>
      <c r="I37" s="7">
        <v>15</v>
      </c>
      <c r="J37" s="7">
        <v>67</v>
      </c>
      <c r="K37" s="7"/>
      <c r="L37" s="7" t="s">
        <v>326</v>
      </c>
      <c r="M37" s="7" t="s">
        <v>391</v>
      </c>
      <c r="N37" s="8" t="s">
        <v>394</v>
      </c>
      <c r="O37" s="7"/>
      <c r="P37" s="7">
        <v>2</v>
      </c>
      <c r="Q37" s="7"/>
      <c r="R37" s="7" t="s">
        <v>452</v>
      </c>
      <c r="S37" s="7" t="s">
        <v>452</v>
      </c>
      <c r="T37" s="7"/>
      <c r="U37" s="7"/>
      <c r="V37" s="7"/>
      <c r="W37" s="7"/>
      <c r="X37" s="7"/>
      <c r="Y37" s="7"/>
      <c r="Z37" s="7"/>
      <c r="AA37" s="7"/>
      <c r="AB37" s="7"/>
      <c r="AC37" s="7"/>
      <c r="AD37" t="s">
        <v>20</v>
      </c>
      <c r="AE37" t="s">
        <v>20</v>
      </c>
      <c r="AG37">
        <v>0</v>
      </c>
    </row>
    <row r="38" spans="1:33">
      <c r="A38" t="s">
        <v>100</v>
      </c>
      <c r="B38" s="3" t="s">
        <v>101</v>
      </c>
      <c r="C38" s="3" t="s">
        <v>234</v>
      </c>
      <c r="F38" t="s">
        <v>19</v>
      </c>
      <c r="G38" s="7" t="s">
        <v>374</v>
      </c>
      <c r="H38" s="7"/>
      <c r="I38" s="7"/>
      <c r="J38" s="7"/>
      <c r="K38" s="7"/>
      <c r="L38" s="7"/>
      <c r="M38" s="7"/>
      <c r="N38" s="8"/>
      <c r="O38" s="7"/>
      <c r="P38" s="7"/>
      <c r="Q38" s="7"/>
      <c r="R38" s="7" t="s">
        <v>452</v>
      </c>
      <c r="S38" s="7" t="s">
        <v>452</v>
      </c>
      <c r="T38" s="7"/>
      <c r="U38" s="7"/>
      <c r="V38" s="7"/>
      <c r="W38" s="7"/>
      <c r="X38" s="7"/>
      <c r="Y38" s="7"/>
      <c r="Z38" s="7"/>
      <c r="AA38" s="7"/>
      <c r="AB38" s="7"/>
      <c r="AC38" s="7"/>
      <c r="AD38" t="s">
        <v>20</v>
      </c>
      <c r="AE38" t="s">
        <v>20</v>
      </c>
      <c r="AG38">
        <v>0</v>
      </c>
    </row>
    <row r="39" spans="1:33">
      <c r="A39" t="s">
        <v>102</v>
      </c>
      <c r="B39" s="3" t="s">
        <v>235</v>
      </c>
      <c r="C39" s="3" t="s">
        <v>236</v>
      </c>
      <c r="G39" s="7" t="s">
        <v>25</v>
      </c>
      <c r="H39" s="7"/>
      <c r="I39" s="7">
        <v>1</v>
      </c>
      <c r="J39" s="7">
        <v>1</v>
      </c>
      <c r="K39" s="7" t="s">
        <v>331</v>
      </c>
      <c r="L39" s="7" t="s">
        <v>373</v>
      </c>
      <c r="M39" s="7"/>
      <c r="N39" s="8"/>
      <c r="O39" s="7"/>
      <c r="P39" s="7">
        <v>2475</v>
      </c>
      <c r="Q39" s="7"/>
      <c r="R39" s="7" t="s">
        <v>452</v>
      </c>
      <c r="S39" s="7" t="s">
        <v>452</v>
      </c>
      <c r="T39" s="7"/>
      <c r="U39" s="7"/>
      <c r="V39" s="7"/>
      <c r="W39" s="7"/>
      <c r="X39" s="7"/>
      <c r="Y39" s="7"/>
      <c r="Z39" s="7"/>
      <c r="AA39" s="7"/>
      <c r="AB39" s="7"/>
      <c r="AC39" s="7"/>
      <c r="AD39" t="s">
        <v>19</v>
      </c>
      <c r="AE39" t="s">
        <v>19</v>
      </c>
      <c r="AG39">
        <v>1</v>
      </c>
    </row>
    <row r="40" spans="1:33">
      <c r="A40" t="s">
        <v>103</v>
      </c>
      <c r="B40" s="3" t="s">
        <v>237</v>
      </c>
      <c r="C40" s="3" t="s">
        <v>238</v>
      </c>
      <c r="G40" s="7" t="s">
        <v>25</v>
      </c>
      <c r="H40" s="7"/>
      <c r="I40" s="7">
        <v>1</v>
      </c>
      <c r="J40" s="7">
        <v>1</v>
      </c>
      <c r="K40" s="7" t="s">
        <v>331</v>
      </c>
      <c r="L40" s="7" t="s">
        <v>373</v>
      </c>
      <c r="M40" s="7"/>
      <c r="N40" s="8"/>
      <c r="O40" s="7"/>
      <c r="P40" s="7">
        <v>2475</v>
      </c>
      <c r="Q40" s="7"/>
      <c r="R40" s="7" t="s">
        <v>452</v>
      </c>
      <c r="S40" s="7" t="s">
        <v>452</v>
      </c>
      <c r="T40" s="7"/>
      <c r="U40" s="7"/>
      <c r="V40" s="7"/>
      <c r="W40" s="7"/>
      <c r="X40" s="7"/>
      <c r="Y40" s="7"/>
      <c r="Z40" s="7"/>
      <c r="AA40" s="7"/>
      <c r="AB40" s="7"/>
      <c r="AC40" s="7"/>
      <c r="AD40" t="s">
        <v>19</v>
      </c>
      <c r="AE40" t="s">
        <v>20</v>
      </c>
      <c r="AG40">
        <v>1</v>
      </c>
    </row>
    <row r="41" spans="1:33">
      <c r="A41" t="s">
        <v>106</v>
      </c>
      <c r="B41" s="3" t="s">
        <v>239</v>
      </c>
      <c r="C41" s="3" t="s">
        <v>240</v>
      </c>
      <c r="G41" s="7" t="s">
        <v>25</v>
      </c>
      <c r="H41" s="7"/>
      <c r="I41" s="7">
        <v>1</v>
      </c>
      <c r="J41" s="7">
        <v>2</v>
      </c>
      <c r="K41" s="7" t="s">
        <v>383</v>
      </c>
      <c r="L41" s="7" t="s">
        <v>373</v>
      </c>
      <c r="M41" s="7"/>
      <c r="N41" s="8"/>
      <c r="O41" s="7"/>
      <c r="P41" s="7">
        <v>295</v>
      </c>
      <c r="Q41" s="7"/>
      <c r="R41" s="7" t="s">
        <v>452</v>
      </c>
      <c r="S41" s="7" t="s">
        <v>452</v>
      </c>
      <c r="T41" s="7"/>
      <c r="U41" s="7"/>
      <c r="V41" s="7"/>
      <c r="W41" s="7"/>
      <c r="X41" s="7"/>
      <c r="Y41" s="7"/>
      <c r="Z41" s="7"/>
      <c r="AA41" s="7"/>
      <c r="AB41" s="7"/>
      <c r="AC41" s="7"/>
      <c r="AD41" t="s">
        <v>19</v>
      </c>
      <c r="AE41" t="s">
        <v>19</v>
      </c>
      <c r="AG41">
        <v>1</v>
      </c>
    </row>
    <row r="42" spans="1:33" ht="29">
      <c r="A42" t="s">
        <v>109</v>
      </c>
      <c r="B42" s="3" t="s">
        <v>242</v>
      </c>
      <c r="C42" s="3" t="s">
        <v>241</v>
      </c>
      <c r="G42" s="7" t="s">
        <v>25</v>
      </c>
      <c r="H42" s="7"/>
      <c r="I42" s="7">
        <v>1</v>
      </c>
      <c r="J42" s="7">
        <v>3</v>
      </c>
      <c r="K42" s="7" t="s">
        <v>350</v>
      </c>
      <c r="L42" s="7" t="s">
        <v>332</v>
      </c>
      <c r="M42" s="7"/>
      <c r="N42" s="8"/>
      <c r="O42" s="7"/>
      <c r="P42" s="7">
        <v>210</v>
      </c>
      <c r="Q42" s="7"/>
      <c r="R42" s="7" t="s">
        <v>452</v>
      </c>
      <c r="S42" s="7" t="s">
        <v>452</v>
      </c>
      <c r="T42" s="7"/>
      <c r="U42" s="7"/>
      <c r="V42" s="7"/>
      <c r="W42" s="7"/>
      <c r="X42" s="7"/>
      <c r="Y42" s="7"/>
      <c r="Z42" s="7"/>
      <c r="AA42" s="7"/>
      <c r="AB42" s="7"/>
      <c r="AC42" s="7"/>
      <c r="AD42" t="s">
        <v>19</v>
      </c>
      <c r="AE42" t="s">
        <v>20</v>
      </c>
      <c r="AG42">
        <v>1</v>
      </c>
    </row>
    <row r="43" spans="1:33" ht="29">
      <c r="A43" t="s">
        <v>112</v>
      </c>
      <c r="B43" s="3" t="s">
        <v>244</v>
      </c>
      <c r="C43" s="3" t="s">
        <v>243</v>
      </c>
      <c r="G43" s="7" t="s">
        <v>24</v>
      </c>
      <c r="H43" s="7"/>
      <c r="I43" s="7">
        <v>1</v>
      </c>
      <c r="J43" s="7">
        <v>3</v>
      </c>
      <c r="K43" s="7" t="s">
        <v>341</v>
      </c>
      <c r="L43" s="7" t="s">
        <v>332</v>
      </c>
      <c r="M43" s="7"/>
      <c r="N43" s="8"/>
      <c r="O43" s="7"/>
      <c r="P43" s="7">
        <v>1701</v>
      </c>
      <c r="Q43" s="7"/>
      <c r="R43" s="7" t="s">
        <v>452</v>
      </c>
      <c r="S43" s="7" t="s">
        <v>452</v>
      </c>
      <c r="T43" s="7"/>
      <c r="U43" s="7"/>
      <c r="V43" s="7"/>
      <c r="W43" s="7"/>
      <c r="X43" s="7"/>
      <c r="Y43" s="7"/>
      <c r="Z43" s="7"/>
      <c r="AA43" s="7"/>
      <c r="AB43" s="7"/>
      <c r="AC43" s="7"/>
      <c r="AD43" t="s">
        <v>19</v>
      </c>
      <c r="AE43" t="s">
        <v>19</v>
      </c>
      <c r="AG43">
        <v>1</v>
      </c>
    </row>
    <row r="44" spans="1:33" ht="29">
      <c r="A44" t="s">
        <v>115</v>
      </c>
      <c r="B44" s="3" t="s">
        <v>250</v>
      </c>
      <c r="C44" s="3" t="s">
        <v>247</v>
      </c>
      <c r="G44" s="7" t="s">
        <v>25</v>
      </c>
      <c r="H44" s="7"/>
      <c r="I44" s="7">
        <v>1</v>
      </c>
      <c r="J44" s="7">
        <v>3</v>
      </c>
      <c r="K44" s="7" t="s">
        <v>348</v>
      </c>
      <c r="L44" s="7" t="s">
        <v>332</v>
      </c>
      <c r="M44" s="7"/>
      <c r="N44" s="8"/>
      <c r="O44" s="7"/>
      <c r="P44" s="7">
        <v>743</v>
      </c>
      <c r="Q44" s="7"/>
      <c r="R44" s="7" t="s">
        <v>452</v>
      </c>
      <c r="S44" s="7" t="s">
        <v>452</v>
      </c>
      <c r="T44" s="7"/>
      <c r="U44" s="7"/>
      <c r="V44" s="7"/>
      <c r="W44" s="7"/>
      <c r="X44" s="7"/>
      <c r="Y44" s="7"/>
      <c r="Z44" s="7"/>
      <c r="AA44" s="7"/>
      <c r="AB44" s="7"/>
      <c r="AC44" s="7"/>
      <c r="AD44" t="s">
        <v>19</v>
      </c>
      <c r="AE44" t="s">
        <v>19</v>
      </c>
      <c r="AG44">
        <v>1</v>
      </c>
    </row>
    <row r="45" spans="1:33">
      <c r="A45" t="s">
        <v>120</v>
      </c>
      <c r="B45" s="3" t="s">
        <v>190</v>
      </c>
      <c r="C45" s="3" t="s">
        <v>189</v>
      </c>
      <c r="G45" s="7" t="s">
        <v>374</v>
      </c>
      <c r="H45" s="7"/>
      <c r="I45" s="7"/>
      <c r="J45" s="7"/>
      <c r="K45" s="7"/>
      <c r="L45" s="7"/>
      <c r="M45" s="7"/>
      <c r="N45" s="8"/>
      <c r="O45" s="7"/>
      <c r="P45" s="7"/>
      <c r="Q45" s="7"/>
      <c r="R45" s="7" t="s">
        <v>452</v>
      </c>
      <c r="S45" s="7" t="s">
        <v>452</v>
      </c>
      <c r="T45" s="7" t="s">
        <v>371</v>
      </c>
      <c r="U45" s="7"/>
      <c r="V45" s="7"/>
      <c r="W45" s="7"/>
      <c r="X45" s="7"/>
      <c r="Y45" s="7"/>
      <c r="Z45" s="7"/>
      <c r="AA45" s="7"/>
      <c r="AB45" s="7"/>
      <c r="AC45" s="7"/>
      <c r="AD45" t="s">
        <v>19</v>
      </c>
      <c r="AE45" t="s">
        <v>20</v>
      </c>
      <c r="AG45">
        <v>1</v>
      </c>
    </row>
    <row r="46" spans="1:33" ht="58">
      <c r="A46" t="s">
        <v>125</v>
      </c>
      <c r="B46" s="3" t="s">
        <v>261</v>
      </c>
      <c r="C46" s="3" t="s">
        <v>260</v>
      </c>
      <c r="G46" s="7" t="s">
        <v>25</v>
      </c>
      <c r="H46" s="7"/>
      <c r="I46" s="7">
        <v>7</v>
      </c>
      <c r="J46" s="7">
        <v>32</v>
      </c>
      <c r="K46" s="7"/>
      <c r="L46" s="7" t="s">
        <v>326</v>
      </c>
      <c r="M46" s="7" t="s">
        <v>395</v>
      </c>
      <c r="N46" s="8" t="s">
        <v>402</v>
      </c>
      <c r="O46" s="7"/>
      <c r="P46" s="7"/>
      <c r="Q46" s="7"/>
      <c r="R46" s="7" t="s">
        <v>452</v>
      </c>
      <c r="S46" s="7" t="s">
        <v>452</v>
      </c>
      <c r="T46" s="7"/>
      <c r="U46" s="7"/>
      <c r="V46" s="7"/>
      <c r="W46" s="7"/>
      <c r="X46" s="7"/>
      <c r="Y46" s="7"/>
      <c r="Z46" s="7"/>
      <c r="AA46" s="7"/>
      <c r="AB46" s="7"/>
      <c r="AC46" s="7"/>
      <c r="AD46" t="s">
        <v>20</v>
      </c>
      <c r="AE46" t="s">
        <v>20</v>
      </c>
      <c r="AG46">
        <v>0</v>
      </c>
    </row>
    <row r="47" spans="1:33">
      <c r="A47" t="s">
        <v>125</v>
      </c>
      <c r="B47" s="3" t="s">
        <v>127</v>
      </c>
      <c r="C47" s="3" t="s">
        <v>128</v>
      </c>
      <c r="F47" t="s">
        <v>19</v>
      </c>
      <c r="G47" s="7" t="s">
        <v>372</v>
      </c>
      <c r="H47" s="7"/>
      <c r="I47" s="7"/>
      <c r="J47" s="7"/>
      <c r="K47" s="7"/>
      <c r="L47" s="7"/>
      <c r="M47" s="7"/>
      <c r="N47" s="8"/>
      <c r="O47" s="7"/>
      <c r="P47" s="7"/>
      <c r="Q47" s="7">
        <v>-1</v>
      </c>
      <c r="R47" s="7">
        <v>1</v>
      </c>
      <c r="S47" s="7">
        <v>0</v>
      </c>
      <c r="T47" s="7"/>
      <c r="U47" s="7"/>
      <c r="V47" s="7"/>
      <c r="W47" s="7"/>
      <c r="X47" s="7"/>
      <c r="Y47" s="7"/>
      <c r="Z47" s="7"/>
      <c r="AA47" s="7"/>
      <c r="AB47" s="7"/>
      <c r="AC47" s="7"/>
      <c r="AD47" t="s">
        <v>19</v>
      </c>
      <c r="AE47" t="s">
        <v>20</v>
      </c>
      <c r="AG47">
        <v>1</v>
      </c>
    </row>
    <row r="48" spans="1:33" ht="58">
      <c r="A48" t="s">
        <v>129</v>
      </c>
      <c r="B48" s="3" t="s">
        <v>265</v>
      </c>
      <c r="C48" s="3" t="s">
        <v>266</v>
      </c>
      <c r="G48" s="7" t="s">
        <v>26</v>
      </c>
      <c r="H48" s="7"/>
      <c r="I48" s="7"/>
      <c r="J48" s="7"/>
      <c r="K48" s="7"/>
      <c r="L48" s="7"/>
      <c r="M48" s="7"/>
      <c r="N48" s="8"/>
      <c r="O48" s="7"/>
      <c r="P48" s="7"/>
      <c r="Q48" s="7"/>
      <c r="R48" s="7" t="s">
        <v>452</v>
      </c>
      <c r="S48" s="7" t="s">
        <v>452</v>
      </c>
      <c r="T48" s="7"/>
      <c r="U48" s="7"/>
      <c r="V48" s="7"/>
      <c r="W48" s="7"/>
      <c r="X48" s="7"/>
      <c r="Y48" s="7"/>
      <c r="Z48" s="7"/>
      <c r="AA48" s="7"/>
      <c r="AB48" s="7"/>
      <c r="AC48" s="7"/>
      <c r="AD48" t="s">
        <v>19</v>
      </c>
      <c r="AE48" t="s">
        <v>19</v>
      </c>
      <c r="AG48">
        <v>1</v>
      </c>
    </row>
    <row r="49" spans="1:33" ht="58">
      <c r="A49" t="s">
        <v>129</v>
      </c>
      <c r="B49" s="3" t="s">
        <v>264</v>
      </c>
      <c r="C49" s="3" t="s">
        <v>267</v>
      </c>
      <c r="G49" s="7" t="s">
        <v>24</v>
      </c>
      <c r="H49" s="7"/>
      <c r="I49" s="7">
        <v>1</v>
      </c>
      <c r="J49" s="7">
        <v>3</v>
      </c>
      <c r="K49" s="7" t="s">
        <v>341</v>
      </c>
      <c r="L49" s="7" t="s">
        <v>332</v>
      </c>
      <c r="M49" s="7"/>
      <c r="N49" s="8"/>
      <c r="O49" s="7"/>
      <c r="P49" s="7">
        <v>86</v>
      </c>
      <c r="Q49" s="7"/>
      <c r="R49" s="7" t="s">
        <v>452</v>
      </c>
      <c r="S49" s="7" t="s">
        <v>452</v>
      </c>
      <c r="T49" s="7"/>
      <c r="U49" s="7"/>
      <c r="V49" s="7"/>
      <c r="W49" s="7"/>
      <c r="X49" s="7"/>
      <c r="Y49" s="7"/>
      <c r="Z49" s="7"/>
      <c r="AA49" s="7"/>
      <c r="AB49" s="7"/>
      <c r="AC49" s="7"/>
      <c r="AD49" t="s">
        <v>19</v>
      </c>
      <c r="AE49" t="s">
        <v>19</v>
      </c>
      <c r="AG49">
        <v>1</v>
      </c>
    </row>
    <row r="50" spans="1:33" ht="43.5">
      <c r="A50" t="s">
        <v>129</v>
      </c>
      <c r="B50" s="3" t="s">
        <v>273</v>
      </c>
      <c r="C50" s="3" t="s">
        <v>270</v>
      </c>
      <c r="G50" s="7" t="s">
        <v>25</v>
      </c>
      <c r="H50" s="7"/>
      <c r="I50" s="7">
        <v>1</v>
      </c>
      <c r="J50" s="7">
        <v>9</v>
      </c>
      <c r="K50" s="7" t="s">
        <v>383</v>
      </c>
      <c r="L50" s="7" t="s">
        <v>332</v>
      </c>
      <c r="M50" s="7"/>
      <c r="N50" s="8"/>
      <c r="O50" s="7"/>
      <c r="P50" s="7">
        <v>18</v>
      </c>
      <c r="Q50" s="7"/>
      <c r="R50" s="7" t="s">
        <v>452</v>
      </c>
      <c r="S50" s="7" t="s">
        <v>452</v>
      </c>
      <c r="T50" s="7"/>
      <c r="U50" s="7"/>
      <c r="V50" s="7"/>
      <c r="W50" s="7"/>
      <c r="X50" s="7"/>
      <c r="Y50" s="7"/>
      <c r="Z50" s="7"/>
      <c r="AA50" s="7"/>
      <c r="AB50" s="7"/>
      <c r="AC50" s="7"/>
      <c r="AD50" t="s">
        <v>19</v>
      </c>
      <c r="AE50" t="s">
        <v>20</v>
      </c>
      <c r="AG50">
        <v>1</v>
      </c>
    </row>
    <row r="51" spans="1:33" ht="43.5">
      <c r="A51" t="s">
        <v>129</v>
      </c>
      <c r="B51" s="3" t="s">
        <v>274</v>
      </c>
      <c r="C51" s="3" t="s">
        <v>275</v>
      </c>
      <c r="G51" s="7" t="s">
        <v>374</v>
      </c>
      <c r="H51" s="7"/>
      <c r="I51" s="7"/>
      <c r="J51" s="7"/>
      <c r="K51" s="7"/>
      <c r="L51" s="7"/>
      <c r="M51" s="7"/>
      <c r="N51" s="8"/>
      <c r="O51" s="7"/>
      <c r="P51" s="7"/>
      <c r="Q51" s="7"/>
      <c r="R51" s="7" t="s">
        <v>452</v>
      </c>
      <c r="S51" s="7" t="s">
        <v>452</v>
      </c>
      <c r="T51" s="7"/>
      <c r="U51" s="7"/>
      <c r="V51" s="7"/>
      <c r="W51" s="7"/>
      <c r="X51" s="7"/>
      <c r="Y51" s="7"/>
      <c r="Z51" s="7"/>
      <c r="AA51" s="7"/>
      <c r="AB51" s="7"/>
      <c r="AC51" s="7"/>
      <c r="AD51" t="s">
        <v>19</v>
      </c>
      <c r="AE51" t="s">
        <v>19</v>
      </c>
      <c r="AG51">
        <v>1</v>
      </c>
    </row>
    <row r="52" spans="1:33" ht="29">
      <c r="A52" t="s">
        <v>135</v>
      </c>
      <c r="B52" s="3" t="s">
        <v>278</v>
      </c>
      <c r="C52" s="3" t="s">
        <v>277</v>
      </c>
      <c r="G52" s="7" t="s">
        <v>25</v>
      </c>
      <c r="H52" s="7"/>
      <c r="I52" s="7">
        <v>1</v>
      </c>
      <c r="J52" s="7">
        <v>3</v>
      </c>
      <c r="K52" s="7" t="s">
        <v>331</v>
      </c>
      <c r="L52" s="7" t="s">
        <v>332</v>
      </c>
      <c r="M52" s="7"/>
      <c r="N52" s="8"/>
      <c r="O52" s="7"/>
      <c r="P52" s="7">
        <v>2475</v>
      </c>
      <c r="Q52" s="7"/>
      <c r="R52" s="7" t="s">
        <v>452</v>
      </c>
      <c r="S52" s="7" t="s">
        <v>452</v>
      </c>
      <c r="T52" s="7"/>
      <c r="U52" s="7"/>
      <c r="V52" s="7"/>
      <c r="W52" s="7"/>
      <c r="X52" s="7"/>
      <c r="Y52" s="7"/>
      <c r="Z52" s="7"/>
      <c r="AA52" s="7"/>
      <c r="AB52" s="7"/>
      <c r="AC52" s="7"/>
      <c r="AD52" t="s">
        <v>19</v>
      </c>
      <c r="AE52" t="s">
        <v>19</v>
      </c>
      <c r="AG52">
        <v>1</v>
      </c>
    </row>
    <row r="53" spans="1:33">
      <c r="A53" t="s">
        <v>138</v>
      </c>
      <c r="B53" s="3" t="s">
        <v>282</v>
      </c>
      <c r="C53" s="3" t="s">
        <v>281</v>
      </c>
      <c r="G53" s="7" t="s">
        <v>25</v>
      </c>
      <c r="H53" s="7"/>
      <c r="I53" s="7">
        <v>1</v>
      </c>
      <c r="J53" s="7">
        <v>2</v>
      </c>
      <c r="K53" s="7" t="s">
        <v>341</v>
      </c>
      <c r="L53" s="7" t="s">
        <v>373</v>
      </c>
      <c r="M53" s="7"/>
      <c r="N53" s="8"/>
      <c r="O53" s="7"/>
      <c r="P53" s="7">
        <v>171</v>
      </c>
      <c r="Q53" s="7"/>
      <c r="R53" s="7" t="s">
        <v>452</v>
      </c>
      <c r="S53" s="7" t="s">
        <v>452</v>
      </c>
      <c r="T53" s="7"/>
      <c r="U53" s="7"/>
      <c r="V53" s="7"/>
      <c r="W53" s="7"/>
      <c r="X53" s="7"/>
      <c r="Y53" s="7"/>
      <c r="Z53" s="7"/>
      <c r="AA53" s="7"/>
      <c r="AB53" s="7"/>
      <c r="AC53" s="7"/>
      <c r="AD53" t="s">
        <v>19</v>
      </c>
      <c r="AE53" t="s">
        <v>20</v>
      </c>
      <c r="AG53">
        <v>1</v>
      </c>
    </row>
    <row r="54" spans="1:33">
      <c r="A54" t="s">
        <v>138</v>
      </c>
      <c r="B54" s="3" t="s">
        <v>284</v>
      </c>
      <c r="C54" s="3" t="s">
        <v>283</v>
      </c>
      <c r="G54" s="7" t="s">
        <v>25</v>
      </c>
      <c r="H54" s="7"/>
      <c r="I54" s="7">
        <v>1</v>
      </c>
      <c r="J54" s="7">
        <v>2</v>
      </c>
      <c r="K54" s="7" t="s">
        <v>350</v>
      </c>
      <c r="L54" s="7" t="s">
        <v>373</v>
      </c>
      <c r="M54" s="7"/>
      <c r="N54" s="8"/>
      <c r="O54" s="7"/>
      <c r="P54" s="7">
        <v>613</v>
      </c>
      <c r="Q54" s="7"/>
      <c r="R54" s="7" t="s">
        <v>452</v>
      </c>
      <c r="S54" s="7" t="s">
        <v>452</v>
      </c>
      <c r="T54" s="7"/>
      <c r="U54" s="7"/>
      <c r="V54" s="7"/>
      <c r="W54" s="7"/>
      <c r="X54" s="7"/>
      <c r="Y54" s="7"/>
      <c r="Z54" s="7"/>
      <c r="AA54" s="7"/>
      <c r="AB54" s="7"/>
      <c r="AC54" s="7"/>
      <c r="AD54" t="s">
        <v>19</v>
      </c>
      <c r="AE54" t="s">
        <v>19</v>
      </c>
      <c r="AG54">
        <v>1</v>
      </c>
    </row>
    <row r="55" spans="1:33">
      <c r="A55" t="s">
        <v>138</v>
      </c>
      <c r="B55" s="3" t="s">
        <v>286</v>
      </c>
      <c r="C55" s="3" t="s">
        <v>285</v>
      </c>
      <c r="G55" s="7" t="s">
        <v>372</v>
      </c>
      <c r="H55" s="7"/>
      <c r="I55" s="7"/>
      <c r="J55" s="7"/>
      <c r="K55" s="7"/>
      <c r="L55" s="7"/>
      <c r="M55" s="7"/>
      <c r="N55" s="8"/>
      <c r="O55" s="7"/>
      <c r="P55" s="7"/>
      <c r="Q55" s="7">
        <v>2325</v>
      </c>
      <c r="R55" s="7">
        <v>150</v>
      </c>
      <c r="S55" s="7">
        <v>2475</v>
      </c>
      <c r="T55" s="7"/>
      <c r="U55" s="7"/>
      <c r="V55" s="7"/>
      <c r="W55" s="7"/>
      <c r="X55" s="7"/>
      <c r="Y55" s="7"/>
      <c r="Z55" s="7"/>
      <c r="AA55" s="7"/>
      <c r="AB55" s="7"/>
      <c r="AC55" s="7"/>
      <c r="AD55" t="s">
        <v>19</v>
      </c>
      <c r="AE55" t="s">
        <v>19</v>
      </c>
      <c r="AG55">
        <v>1</v>
      </c>
    </row>
    <row r="56" spans="1:33">
      <c r="A56" t="s">
        <v>139</v>
      </c>
      <c r="B56" s="3" t="s">
        <v>289</v>
      </c>
      <c r="C56" s="3" t="s">
        <v>288</v>
      </c>
      <c r="G56" s="7" t="s">
        <v>25</v>
      </c>
      <c r="H56" s="7"/>
      <c r="I56" s="7">
        <v>1</v>
      </c>
      <c r="J56" s="7">
        <v>3</v>
      </c>
      <c r="K56" s="7" t="s">
        <v>341</v>
      </c>
      <c r="L56" s="7" t="s">
        <v>332</v>
      </c>
      <c r="M56" s="7"/>
      <c r="N56" s="8"/>
      <c r="O56" s="7"/>
      <c r="P56" s="7">
        <v>1701</v>
      </c>
      <c r="Q56" s="7"/>
      <c r="R56" s="7" t="s">
        <v>452</v>
      </c>
      <c r="S56" s="7" t="s">
        <v>452</v>
      </c>
      <c r="T56" s="7"/>
      <c r="U56" s="7"/>
      <c r="V56" s="7"/>
      <c r="W56" s="7"/>
      <c r="X56" s="7"/>
      <c r="Y56" s="7"/>
      <c r="Z56" s="7"/>
      <c r="AA56" s="7"/>
      <c r="AB56" s="7"/>
      <c r="AC56" s="7"/>
      <c r="AD56" t="s">
        <v>19</v>
      </c>
      <c r="AE56" t="s">
        <v>19</v>
      </c>
      <c r="AG56">
        <v>1</v>
      </c>
    </row>
    <row r="57" spans="1:33">
      <c r="A57" t="s">
        <v>141</v>
      </c>
      <c r="B57" s="3" t="s">
        <v>290</v>
      </c>
      <c r="C57" s="3" t="s">
        <v>291</v>
      </c>
      <c r="G57" s="7" t="s">
        <v>372</v>
      </c>
      <c r="H57" s="7"/>
      <c r="I57" s="7"/>
      <c r="J57" s="7"/>
      <c r="K57" s="7"/>
      <c r="L57" s="7"/>
      <c r="M57" s="7"/>
      <c r="N57" s="8"/>
      <c r="O57" s="7"/>
      <c r="P57" s="7"/>
      <c r="Q57" s="7">
        <v>26</v>
      </c>
      <c r="R57" s="7">
        <v>5</v>
      </c>
      <c r="S57" s="7">
        <v>31</v>
      </c>
      <c r="T57" s="7"/>
      <c r="U57" s="7"/>
      <c r="V57" s="7"/>
      <c r="W57" s="7"/>
      <c r="X57" s="7"/>
      <c r="Y57" s="7"/>
      <c r="Z57" s="7"/>
      <c r="AA57" s="7"/>
      <c r="AB57" s="7"/>
      <c r="AC57" s="7"/>
      <c r="AD57" t="s">
        <v>19</v>
      </c>
      <c r="AE57" t="s">
        <v>19</v>
      </c>
      <c r="AG57">
        <v>1</v>
      </c>
    </row>
    <row r="58" spans="1:33">
      <c r="A58" t="s">
        <v>141</v>
      </c>
      <c r="B58" s="3" t="s">
        <v>293</v>
      </c>
      <c r="C58" s="3" t="s">
        <v>292</v>
      </c>
      <c r="G58" s="7" t="s">
        <v>25</v>
      </c>
      <c r="H58" s="7"/>
      <c r="I58" s="7">
        <v>1</v>
      </c>
      <c r="J58" s="7">
        <v>3</v>
      </c>
      <c r="K58" s="7" t="s">
        <v>341</v>
      </c>
      <c r="L58" s="7" t="s">
        <v>332</v>
      </c>
      <c r="M58" s="7"/>
      <c r="N58" s="8"/>
      <c r="O58" s="7"/>
      <c r="P58" s="7">
        <v>1701</v>
      </c>
      <c r="Q58" s="7"/>
      <c r="R58" s="7" t="s">
        <v>452</v>
      </c>
      <c r="S58" s="7" t="s">
        <v>452</v>
      </c>
      <c r="T58" s="7"/>
      <c r="U58" s="7"/>
      <c r="V58" s="7"/>
      <c r="W58" s="7"/>
      <c r="X58" s="7"/>
      <c r="Y58" s="7"/>
      <c r="Z58" s="7"/>
      <c r="AA58" s="7"/>
      <c r="AB58" s="7"/>
      <c r="AC58" s="7"/>
      <c r="AD58" t="s">
        <v>19</v>
      </c>
      <c r="AE58" t="s">
        <v>19</v>
      </c>
      <c r="AG58">
        <v>1</v>
      </c>
    </row>
    <row r="59" spans="1:33">
      <c r="A59" t="s">
        <v>142</v>
      </c>
      <c r="B59" s="3" t="s">
        <v>294</v>
      </c>
      <c r="C59" s="3" t="s">
        <v>295</v>
      </c>
      <c r="G59" s="7" t="s">
        <v>25</v>
      </c>
      <c r="H59" s="7"/>
      <c r="I59" s="7">
        <v>1</v>
      </c>
      <c r="J59" s="7">
        <v>2</v>
      </c>
      <c r="K59" s="7" t="s">
        <v>377</v>
      </c>
      <c r="L59" s="7" t="s">
        <v>373</v>
      </c>
      <c r="M59" s="7"/>
      <c r="N59" s="8"/>
      <c r="O59" s="7"/>
      <c r="P59" s="7">
        <v>10</v>
      </c>
      <c r="Q59" s="7"/>
      <c r="R59" s="7" t="s">
        <v>452</v>
      </c>
      <c r="S59" s="7" t="s">
        <v>452</v>
      </c>
      <c r="T59" s="7"/>
      <c r="U59" s="7"/>
      <c r="V59" s="7"/>
      <c r="W59" s="7"/>
      <c r="X59" s="7"/>
      <c r="Y59" s="7"/>
      <c r="Z59" s="7"/>
      <c r="AA59" s="7"/>
      <c r="AB59" s="7"/>
      <c r="AC59" s="7"/>
      <c r="AD59" t="s">
        <v>19</v>
      </c>
      <c r="AE59" t="s">
        <v>20</v>
      </c>
      <c r="AG59">
        <v>1</v>
      </c>
    </row>
    <row r="60" spans="1:33">
      <c r="A60" t="s">
        <v>143</v>
      </c>
      <c r="B60" s="3" t="s">
        <v>300</v>
      </c>
      <c r="C60" s="3" t="s">
        <v>299</v>
      </c>
      <c r="G60" s="7" t="s">
        <v>374</v>
      </c>
      <c r="H60" s="7"/>
      <c r="I60" s="7"/>
      <c r="J60" s="7"/>
      <c r="K60" s="7"/>
      <c r="L60" s="7"/>
      <c r="M60" s="7"/>
      <c r="N60" s="8"/>
      <c r="O60" s="7"/>
      <c r="P60" s="7"/>
      <c r="Q60" s="7"/>
      <c r="R60" s="7" t="s">
        <v>452</v>
      </c>
      <c r="S60" s="7" t="s">
        <v>452</v>
      </c>
      <c r="T60" s="7"/>
      <c r="U60" s="7"/>
      <c r="V60" s="7"/>
      <c r="W60" s="7"/>
      <c r="X60" s="7"/>
      <c r="Y60" s="7"/>
      <c r="Z60" s="7"/>
      <c r="AA60" s="7"/>
      <c r="AB60" s="7"/>
      <c r="AC60" s="7"/>
      <c r="AD60" t="s">
        <v>19</v>
      </c>
      <c r="AE60" t="s">
        <v>20</v>
      </c>
      <c r="AG60">
        <v>1</v>
      </c>
    </row>
    <row r="61" spans="1:33">
      <c r="A61" t="s">
        <v>147</v>
      </c>
      <c r="B61" s="3" t="s">
        <v>305</v>
      </c>
      <c r="C61" s="3" t="s">
        <v>304</v>
      </c>
      <c r="G61" s="7" t="s">
        <v>25</v>
      </c>
      <c r="H61" s="7"/>
      <c r="I61" s="7">
        <v>1</v>
      </c>
      <c r="J61" s="7">
        <v>1</v>
      </c>
      <c r="K61" s="7" t="s">
        <v>331</v>
      </c>
      <c r="L61" s="7" t="s">
        <v>373</v>
      </c>
      <c r="M61" s="7"/>
      <c r="N61" s="8"/>
      <c r="O61" s="7"/>
      <c r="P61" s="7">
        <v>2475</v>
      </c>
      <c r="Q61" s="7"/>
      <c r="R61" s="7" t="s">
        <v>452</v>
      </c>
      <c r="S61" s="7" t="s">
        <v>452</v>
      </c>
      <c r="T61" s="7"/>
      <c r="U61" s="7"/>
      <c r="V61" s="7"/>
      <c r="W61" s="7"/>
      <c r="X61" s="7"/>
      <c r="Y61" s="7"/>
      <c r="Z61" s="7"/>
      <c r="AA61" s="7"/>
      <c r="AB61" s="7"/>
      <c r="AC61" s="7"/>
      <c r="AD61" t="s">
        <v>19</v>
      </c>
      <c r="AE61" t="s">
        <v>19</v>
      </c>
      <c r="AG61">
        <v>1</v>
      </c>
    </row>
    <row r="62" spans="1:33">
      <c r="A62" t="s">
        <v>147</v>
      </c>
      <c r="B62" s="3" t="s">
        <v>306</v>
      </c>
      <c r="C62" s="3" t="s">
        <v>307</v>
      </c>
      <c r="G62" s="7" t="s">
        <v>25</v>
      </c>
      <c r="H62" s="7"/>
      <c r="I62" s="7">
        <v>1</v>
      </c>
      <c r="J62" s="7">
        <v>1</v>
      </c>
      <c r="K62" s="7" t="s">
        <v>331</v>
      </c>
      <c r="L62" s="7" t="s">
        <v>373</v>
      </c>
      <c r="M62" s="7"/>
      <c r="N62" s="8"/>
      <c r="O62" s="7"/>
      <c r="P62" s="7">
        <v>2475</v>
      </c>
      <c r="Q62" s="7"/>
      <c r="R62" s="7" t="s">
        <v>452</v>
      </c>
      <c r="S62" s="7" t="s">
        <v>452</v>
      </c>
      <c r="T62" s="7"/>
      <c r="U62" s="7"/>
      <c r="V62" s="7"/>
      <c r="W62" s="7"/>
      <c r="X62" s="7"/>
      <c r="Y62" s="7"/>
      <c r="Z62" s="7"/>
      <c r="AA62" s="7"/>
      <c r="AB62" s="7"/>
      <c r="AC62" s="7"/>
      <c r="AD62" t="s">
        <v>19</v>
      </c>
      <c r="AE62" t="s">
        <v>19</v>
      </c>
      <c r="AG62">
        <v>1</v>
      </c>
    </row>
    <row r="63" spans="1:33" ht="29">
      <c r="A63" t="s">
        <v>152</v>
      </c>
      <c r="B63" s="3" t="s">
        <v>308</v>
      </c>
      <c r="C63" s="3" t="s">
        <v>309</v>
      </c>
      <c r="F63" t="s">
        <v>19</v>
      </c>
      <c r="G63" s="7" t="s">
        <v>24</v>
      </c>
      <c r="H63" s="7"/>
      <c r="I63" s="7">
        <v>3</v>
      </c>
      <c r="J63" s="7">
        <v>16</v>
      </c>
      <c r="K63" s="7"/>
      <c r="L63" s="7" t="s">
        <v>332</v>
      </c>
      <c r="M63" s="7"/>
      <c r="N63" s="8"/>
      <c r="O63" s="7" t="s">
        <v>333</v>
      </c>
      <c r="P63" s="7">
        <v>9</v>
      </c>
      <c r="Q63" s="7"/>
      <c r="R63" s="7" t="s">
        <v>452</v>
      </c>
      <c r="S63" s="7" t="s">
        <v>452</v>
      </c>
      <c r="T63" s="7"/>
      <c r="U63" s="7"/>
      <c r="V63" s="7"/>
      <c r="W63" s="7"/>
      <c r="X63" s="7"/>
      <c r="Y63" s="7"/>
      <c r="Z63" s="7"/>
      <c r="AA63" s="7"/>
      <c r="AB63" s="7"/>
      <c r="AC63" s="7"/>
      <c r="AD63" t="s">
        <v>20</v>
      </c>
      <c r="AE63" t="s">
        <v>20</v>
      </c>
      <c r="AG63">
        <v>0</v>
      </c>
    </row>
    <row r="64" spans="1:33">
      <c r="A64" t="s">
        <v>152</v>
      </c>
      <c r="B64" s="3" t="s">
        <v>310</v>
      </c>
      <c r="C64" s="3" t="s">
        <v>311</v>
      </c>
      <c r="G64" s="7" t="s">
        <v>374</v>
      </c>
      <c r="H64" s="7"/>
      <c r="I64" s="7"/>
      <c r="J64" s="7"/>
      <c r="K64" s="7"/>
      <c r="L64" s="7"/>
      <c r="M64" s="7"/>
      <c r="N64" s="8"/>
      <c r="O64" s="7"/>
      <c r="P64" s="7"/>
      <c r="Q64" s="7"/>
      <c r="R64" s="7" t="s">
        <v>452</v>
      </c>
      <c r="S64" s="7" t="s">
        <v>452</v>
      </c>
      <c r="T64" s="7"/>
      <c r="U64" s="7"/>
      <c r="V64" s="7"/>
      <c r="W64" s="7"/>
      <c r="X64" s="7"/>
      <c r="Y64" s="7"/>
      <c r="Z64" s="7"/>
      <c r="AA64" s="7"/>
      <c r="AB64" s="7"/>
      <c r="AC64" s="7"/>
      <c r="AD64" t="s">
        <v>19</v>
      </c>
      <c r="AE64" t="s">
        <v>19</v>
      </c>
      <c r="AG64">
        <v>1</v>
      </c>
    </row>
    <row r="65" spans="1:33">
      <c r="A65" t="s">
        <v>153</v>
      </c>
      <c r="B65" s="3" t="s">
        <v>307</v>
      </c>
      <c r="C65" s="3" t="s">
        <v>306</v>
      </c>
      <c r="G65" s="7" t="s">
        <v>24</v>
      </c>
      <c r="H65" s="7"/>
      <c r="I65" s="7">
        <v>1</v>
      </c>
      <c r="J65" s="7">
        <v>1</v>
      </c>
      <c r="K65" s="7" t="s">
        <v>331</v>
      </c>
      <c r="L65" s="7" t="s">
        <v>373</v>
      </c>
      <c r="M65" s="7"/>
      <c r="N65" s="8"/>
      <c r="O65" s="7"/>
      <c r="P65" s="7">
        <v>2475</v>
      </c>
      <c r="Q65" s="7"/>
      <c r="R65" s="7" t="s">
        <v>452</v>
      </c>
      <c r="S65" s="7" t="s">
        <v>452</v>
      </c>
      <c r="T65" s="7"/>
      <c r="U65" s="7"/>
      <c r="V65" s="7"/>
      <c r="W65" s="7"/>
      <c r="X65" s="7"/>
      <c r="Y65" s="7"/>
      <c r="Z65" s="7"/>
      <c r="AA65" s="7"/>
      <c r="AB65" s="7"/>
      <c r="AC65" s="7"/>
      <c r="AD65" t="s">
        <v>19</v>
      </c>
      <c r="AE65" t="s">
        <v>19</v>
      </c>
      <c r="AG65">
        <v>1</v>
      </c>
    </row>
    <row r="66" spans="1:33">
      <c r="A66" t="s">
        <v>154</v>
      </c>
      <c r="B66" s="3" t="s">
        <v>155</v>
      </c>
      <c r="C66" s="3" t="s">
        <v>156</v>
      </c>
      <c r="G66" s="7" t="s">
        <v>374</v>
      </c>
      <c r="H66" s="7"/>
      <c r="I66" s="7"/>
      <c r="J66" s="7"/>
      <c r="K66" s="7"/>
      <c r="L66" s="7"/>
      <c r="M66" s="7"/>
      <c r="N66" s="8"/>
      <c r="O66" s="7"/>
      <c r="P66" s="7"/>
      <c r="Q66" s="7"/>
      <c r="R66" s="7" t="s">
        <v>452</v>
      </c>
      <c r="S66" s="7" t="s">
        <v>452</v>
      </c>
      <c r="T66" s="7"/>
      <c r="U66" s="7"/>
      <c r="V66" s="7"/>
      <c r="W66" s="7"/>
      <c r="X66" s="7"/>
      <c r="Y66" s="7"/>
      <c r="Z66" s="7"/>
      <c r="AA66" s="7"/>
      <c r="AB66" s="7"/>
      <c r="AC66" s="7"/>
      <c r="AD66" t="s">
        <v>19</v>
      </c>
      <c r="AG66">
        <v>1</v>
      </c>
    </row>
    <row r="67" spans="1:33" ht="29">
      <c r="A67" t="s">
        <v>154</v>
      </c>
      <c r="B67" s="3" t="s">
        <v>313</v>
      </c>
      <c r="C67" s="3" t="s">
        <v>312</v>
      </c>
      <c r="G67" s="7" t="s">
        <v>26</v>
      </c>
      <c r="H67" s="7"/>
      <c r="I67" s="7"/>
      <c r="J67" s="7"/>
      <c r="K67" s="7"/>
      <c r="L67" s="7"/>
      <c r="M67" s="7"/>
      <c r="N67" s="8"/>
      <c r="O67" s="7"/>
      <c r="P67" s="7"/>
      <c r="Q67" s="7"/>
      <c r="R67" s="7" t="s">
        <v>452</v>
      </c>
      <c r="S67" s="7" t="s">
        <v>452</v>
      </c>
      <c r="T67" s="7"/>
      <c r="U67" s="7"/>
      <c r="V67" s="7"/>
      <c r="W67" s="7"/>
      <c r="X67" s="7"/>
      <c r="Y67" s="7"/>
      <c r="Z67" s="7"/>
      <c r="AA67" s="7"/>
      <c r="AB67" s="7"/>
      <c r="AC67" s="7"/>
      <c r="AD67" t="s">
        <v>19</v>
      </c>
      <c r="AE67" t="s">
        <v>20</v>
      </c>
      <c r="AG67">
        <v>1</v>
      </c>
    </row>
    <row r="68" spans="1:33">
      <c r="A68" t="s">
        <v>157</v>
      </c>
      <c r="B68" s="3" t="s">
        <v>315</v>
      </c>
      <c r="C68" s="3" t="s">
        <v>314</v>
      </c>
      <c r="G68" s="7" t="s">
        <v>372</v>
      </c>
      <c r="H68" s="7"/>
      <c r="I68" s="7"/>
      <c r="J68" s="7"/>
      <c r="K68" s="7"/>
      <c r="L68" s="7"/>
      <c r="M68" s="7"/>
      <c r="N68" s="8"/>
      <c r="O68" s="7"/>
      <c r="P68" s="7"/>
      <c r="Q68" s="7">
        <v>-15</v>
      </c>
      <c r="R68" s="7">
        <v>186</v>
      </c>
      <c r="S68" s="7">
        <v>171</v>
      </c>
      <c r="T68" s="7"/>
      <c r="U68" s="7"/>
      <c r="V68" s="7"/>
      <c r="W68" s="7"/>
      <c r="X68" s="7"/>
      <c r="Y68" s="7"/>
      <c r="Z68" s="7"/>
      <c r="AA68" s="7"/>
      <c r="AB68" s="7"/>
      <c r="AC68" s="7"/>
      <c r="AD68" t="s">
        <v>19</v>
      </c>
      <c r="AE68" t="s">
        <v>19</v>
      </c>
      <c r="AG68">
        <v>1</v>
      </c>
    </row>
    <row r="69" spans="1:33" ht="43.5">
      <c r="A69" t="s">
        <v>157</v>
      </c>
      <c r="B69" s="3" t="s">
        <v>316</v>
      </c>
      <c r="C69" s="3" t="s">
        <v>317</v>
      </c>
      <c r="G69" s="7" t="s">
        <v>372</v>
      </c>
      <c r="H69" s="7"/>
      <c r="I69" s="7"/>
      <c r="J69" s="7"/>
      <c r="K69" s="7"/>
      <c r="L69" s="7"/>
      <c r="M69" s="7"/>
      <c r="N69" s="8"/>
      <c r="O69" s="7"/>
      <c r="P69" s="7"/>
      <c r="Q69" s="7">
        <v>3</v>
      </c>
      <c r="R69" s="7">
        <v>1</v>
      </c>
      <c r="S69" s="7">
        <v>4</v>
      </c>
      <c r="T69" s="7"/>
      <c r="U69" s="7"/>
      <c r="V69" s="7"/>
      <c r="W69" s="7"/>
      <c r="X69" s="7"/>
      <c r="Y69" s="7"/>
      <c r="Z69" s="7"/>
      <c r="AA69" s="7"/>
      <c r="AB69" s="7"/>
      <c r="AC69" s="7"/>
      <c r="AD69" t="s">
        <v>19</v>
      </c>
      <c r="AE69" t="s">
        <v>19</v>
      </c>
      <c r="AG69">
        <v>1</v>
      </c>
    </row>
    <row r="70" spans="1:33">
      <c r="R70" s="7"/>
      <c r="S70" s="7"/>
    </row>
    <row r="71" spans="1:33">
      <c r="R71" s="7"/>
      <c r="S71" s="7"/>
    </row>
    <row r="72" spans="1:33">
      <c r="R72" s="7"/>
      <c r="S72" s="7"/>
    </row>
    <row r="73" spans="1:33">
      <c r="F73">
        <f>COUNTIF(F2:F69,"Yes")</f>
        <v>7</v>
      </c>
      <c r="R73" s="7"/>
      <c r="S73" s="7"/>
    </row>
    <row r="74" spans="1:33">
      <c r="R74" s="7"/>
      <c r="S74" s="7"/>
    </row>
    <row r="75" spans="1:33">
      <c r="R75" s="7"/>
      <c r="S75" s="7"/>
    </row>
    <row r="76" spans="1:33">
      <c r="R76" s="7"/>
      <c r="S76" s="7"/>
    </row>
    <row r="77" spans="1:33">
      <c r="R77" s="7"/>
      <c r="S77" s="7"/>
    </row>
    <row r="78" spans="1:33">
      <c r="R78" s="7"/>
      <c r="S78" s="7"/>
    </row>
    <row r="79" spans="1:33">
      <c r="R79" s="7"/>
      <c r="S79" s="7"/>
    </row>
    <row r="80" spans="1:33">
      <c r="R80" s="7"/>
      <c r="S80" s="7"/>
    </row>
    <row r="81" spans="18:19">
      <c r="R81" s="7"/>
      <c r="S81" s="7"/>
    </row>
    <row r="82" spans="18:19">
      <c r="R82" s="7"/>
      <c r="S82" s="7"/>
    </row>
    <row r="83" spans="18:19">
      <c r="R83" s="7"/>
      <c r="S83" s="7"/>
    </row>
    <row r="84" spans="18:19">
      <c r="R84" s="7"/>
      <c r="S84" s="7"/>
    </row>
  </sheetData>
  <autoFilter ref="A1:AG1" xr:uid="{A51AA501-5C31-4DF1-B0EE-7C895471879E}"/>
  <conditionalFormatting sqref="G2:G69">
    <cfRule type="expression" dxfId="302" priority="4">
      <formula>$I2&lt;&gt;""</formula>
    </cfRule>
    <cfRule type="expression" dxfId="301" priority="5">
      <formula>$I2=""</formula>
    </cfRule>
  </conditionalFormatting>
  <conditionalFormatting sqref="H2:L69 O2:P69">
    <cfRule type="expression" dxfId="300" priority="18">
      <formula>AND(OR($I2="Addition",$I2="Omission"), H2="")</formula>
    </cfRule>
    <cfRule type="expression" dxfId="299" priority="19">
      <formula>AND($I2&lt;&gt;"Addition",$I2&lt;&gt;"Omission",$I2&lt;&gt;"Substitution - Word")</formula>
    </cfRule>
  </conditionalFormatting>
  <conditionalFormatting sqref="H2:P69">
    <cfRule type="expression" dxfId="298" priority="17">
      <formula>AND(OR($I2="Addition",$I2="Omission"), H2&lt;&gt;"")</formula>
    </cfRule>
  </conditionalFormatting>
  <conditionalFormatting sqref="K2:K69">
    <cfRule type="expression" dxfId="297" priority="15">
      <formula>AND($K2&lt;&gt;"",$K2&gt;1)</formula>
    </cfRule>
  </conditionalFormatting>
  <conditionalFormatting sqref="M2:N69">
    <cfRule type="expression" dxfId="296" priority="11">
      <formula>$N2="Absent"</formula>
    </cfRule>
    <cfRule type="expression" dxfId="295" priority="12">
      <formula>$N2="NA"</formula>
    </cfRule>
    <cfRule type="expression" dxfId="294" priority="13">
      <formula>AND(OR($I2="Addition",$I2="Omission"), M2="")</formula>
    </cfRule>
    <cfRule type="expression" dxfId="293" priority="14">
      <formula>AND($I2&lt;&gt;"Addition",$I2&lt;&gt;"Omission")</formula>
    </cfRule>
  </conditionalFormatting>
  <conditionalFormatting sqref="O2:O69">
    <cfRule type="expression" dxfId="292" priority="16">
      <formula>OR($I2="Addition",$I2="Omission",$I2 = "Substitution - Word")</formula>
    </cfRule>
  </conditionalFormatting>
  <conditionalFormatting sqref="Q2:S69 R70:S84">
    <cfRule type="expression" dxfId="291" priority="1">
      <formula>AND(AND(LEFT($I2,3)="Sub", RIGHT($I2,4)&lt;&gt;"Form"),$S2&lt;&gt;"")</formula>
    </cfRule>
    <cfRule type="expression" dxfId="290" priority="2">
      <formula>AND(AND(LEFT($I2,3)="Sub", RIGHT($I2,4)&lt;&gt;"Form"),$S2="")</formula>
    </cfRule>
    <cfRule type="expression" dxfId="289" priority="3">
      <formula>"&lt;&gt;AND(LEFT($J2,3)=""Sub"", RIGHT($J2,4)&lt;&gt;""Form"")"</formula>
    </cfRule>
  </conditionalFormatting>
  <conditionalFormatting sqref="T2:T69">
    <cfRule type="expression" dxfId="288" priority="7">
      <formula>AND($V2&lt;&gt;"",OR($AC2="Yes",$AD2&lt;&gt;""))</formula>
    </cfRule>
    <cfRule type="expression" dxfId="287" priority="8">
      <formula>OR($AC2="Yes",$AD2&lt;&gt;"")</formula>
    </cfRule>
    <cfRule type="expression" dxfId="286" priority="22">
      <formula>AND($AC2&lt;&gt;"Yes",$AD2="")</formula>
    </cfRule>
  </conditionalFormatting>
  <conditionalFormatting sqref="T2:AC69">
    <cfRule type="expression" dxfId="285" priority="20">
      <formula>AND($I2&lt;&gt;"",$I2&lt;&gt;"Unclear due to correction")</formula>
    </cfRule>
    <cfRule type="expression" dxfId="284" priority="21">
      <formula>OR($I2="",$I2="Unclear due to correction")</formula>
    </cfRule>
  </conditionalFormatting>
  <conditionalFormatting sqref="U2:U69">
    <cfRule type="expression" dxfId="283" priority="6">
      <formula>AND($I2&lt;&gt;"",$I2&lt;&gt;"Unclear due to correction",$W2="")</formula>
    </cfRule>
  </conditionalFormatting>
  <conditionalFormatting sqref="V2:V69">
    <cfRule type="expression" dxfId="282" priority="9">
      <formula>AND($W2="Yes",$X2="")</formula>
    </cfRule>
    <cfRule type="expression" dxfId="281" priority="10">
      <formula>$W2=""</formula>
    </cfRule>
  </conditionalFormatting>
  <conditionalFormatting sqref="AA2:AA69">
    <cfRule type="expression" dxfId="280" priority="23">
      <formula>AND(OR($AA2&lt;&gt;"",$AB2&lt;&gt;""),$AC2="")</formula>
    </cfRule>
  </conditionalFormatting>
  <dataValidations count="1">
    <dataValidation allowBlank="1" showInputMessage="1" sqref="U2:U69" xr:uid="{111DF794-5C1D-40AC-9637-EDC98949EA0E}"/>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E23A157A-5E01-4994-8264-037B2440CA9E}">
          <x14:formula1>
            <xm:f>'Data Regularization'!$Q$2:$Q$4</xm:f>
          </x14:formula1>
          <xm:sqref>AD2:AD69 AF2:AF69</xm:sqref>
        </x14:dataValidation>
        <x14:dataValidation type="list" allowBlank="1" showInputMessage="1" showErrorMessage="1" xr:uid="{C57CBA19-B2A7-4370-B83A-A8B3384F1D19}">
          <x14:formula1>
            <xm:f>'Data Regularization'!$D$2:$D$1048576</xm:f>
          </x14:formula1>
          <xm:sqref>G2:G69</xm:sqref>
        </x14:dataValidation>
        <x14:dataValidation type="list" allowBlank="1" showInputMessage="1" showErrorMessage="1" xr:uid="{C5D96432-C3F5-49EE-977A-5DA481C3025A}">
          <x14:formula1>
            <xm:f>'Data Regularization'!$E$2:$E$1048576</xm:f>
          </x14:formula1>
          <xm:sqref>K2:K69</xm:sqref>
        </x14:dataValidation>
        <x14:dataValidation type="list" allowBlank="1" showInputMessage="1" showErrorMessage="1" xr:uid="{465F5801-D03D-4A03-ACEF-48B70665B42A}">
          <x14:formula1>
            <xm:f>'Data Regularization'!$F$2:$F$1048576</xm:f>
          </x14:formula1>
          <xm:sqref>L2:L69</xm:sqref>
        </x14:dataValidation>
        <x14:dataValidation type="list" allowBlank="1" showInputMessage="1" showErrorMessage="1" xr:uid="{E999E33A-B079-4F36-8E7C-322A44D6D4DF}">
          <x14:formula1>
            <xm:f>'Data Regularization'!$G$2:$G$1048576</xm:f>
          </x14:formula1>
          <xm:sqref>O2:O69</xm:sqref>
        </x14:dataValidation>
        <x14:dataValidation type="list" allowBlank="1" showInputMessage="1" showErrorMessage="1" xr:uid="{931200A1-084C-41D1-8503-F253C95CF4C2}">
          <x14:formula1>
            <xm:f>'Data Regularization'!$K$2:$K$1048576</xm:f>
          </x14:formula1>
          <xm:sqref>T2:T69 V2:V69</xm:sqref>
        </x14:dataValidation>
        <x14:dataValidation type="list" allowBlank="1" showInputMessage="1" showErrorMessage="1" xr:uid="{E0642AF3-ED54-4F60-9479-EC4C0C64717D}">
          <x14:formula1>
            <xm:f>'Data Regularization'!$L$2:$L$1048576</xm:f>
          </x14:formula1>
          <xm:sqref>W2:W69</xm:sqref>
        </x14:dataValidation>
        <x14:dataValidation type="list" allowBlank="1" showInputMessage="1" showErrorMessage="1" xr:uid="{2CADAAFC-84A9-4A8C-99CC-7D1509F55488}">
          <x14:formula1>
            <xm:f>'Data Regularization'!$M$2:$M$1048576</xm:f>
          </x14:formula1>
          <xm:sqref>X2:X69</xm:sqref>
        </x14:dataValidation>
        <x14:dataValidation type="list" allowBlank="1" showInputMessage="1" showErrorMessage="1" xr:uid="{8F864FD0-C10C-4848-9226-655314C3389C}">
          <x14:formula1>
            <xm:f>'Data Regularization'!$N$2:$N$1048576</xm:f>
          </x14:formula1>
          <xm:sqref>Y2:Y69</xm:sqref>
        </x14:dataValidation>
        <x14:dataValidation type="list" allowBlank="1" showInputMessage="1" showErrorMessage="1" xr:uid="{FB4BD7DE-5248-427B-A541-C15B1A957CC0}">
          <x14:formula1>
            <xm:f>'Data Regularization'!$O$2:$O$1048576</xm:f>
          </x14:formula1>
          <xm:sqref>AA2:AA69</xm:sqref>
        </x14:dataValidation>
        <x14:dataValidation type="list" allowBlank="1" showInputMessage="1" showErrorMessage="1" xr:uid="{7B010774-7EE5-4DDA-B23F-253ACDC9C866}">
          <x14:formula1>
            <xm:f>'Data Regularization'!$P$2:$P$1048576</xm:f>
          </x14:formula1>
          <xm:sqref>AB2:AB69</xm:sqref>
        </x14:dataValidation>
        <x14:dataValidation type="list" allowBlank="1" showInputMessage="1" showErrorMessage="1" xr:uid="{EC9DC2E8-182F-462D-AAC4-61BD52B5D75D}">
          <x14:formula1>
            <xm:f>'Data Regularization'!$Q$2:$Q$1048576</xm:f>
          </x14:formula1>
          <xm:sqref>AC2:AC69</xm:sqref>
        </x14:dataValidation>
        <x14:dataValidation type="list" allowBlank="1" showInputMessage="1" showErrorMessage="1" xr:uid="{308A9869-BCC6-469C-AEA8-65A229F1F852}">
          <x14:formula1>
            <xm:f>'Data Regularization'!$C$2:$C$29</xm:f>
          </x14:formula1>
          <xm:sqref>F2:F69</xm:sqref>
        </x14:dataValidation>
        <x14:dataValidation type="list" allowBlank="1" showInputMessage="1" showErrorMessage="1" xr:uid="{E7D70BD6-7A72-467B-A2D4-D0022AF07146}">
          <x14:formula1>
            <xm:f>'Data Regularization'!$A$2:$A$1048576</xm:f>
          </x14:formula1>
          <xm:sqref>D2:D69</xm:sqref>
        </x14:dataValidation>
        <x14:dataValidation type="list" allowBlank="1" showInputMessage="1" showErrorMessage="1" xr:uid="{A238A3E3-0685-4757-8A0F-35DA78DA98F8}">
          <x14:formula1>
            <xm:f>'Data Regularization'!$B$2:$B$1048576</xm:f>
          </x14:formula1>
          <xm:sqref>E2:E69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7B9B-1339-4A7F-9A7F-95454CF244EB}">
  <dimension ref="A1:AH124"/>
  <sheetViews>
    <sheetView workbookViewId="0">
      <pane xSplit="3" ySplit="1" topLeftCell="D44" activePane="bottomRight" state="frozen"/>
      <selection pane="topRight" activeCell="D1" sqref="D1"/>
      <selection pane="bottomLeft" activeCell="A2" sqref="A2"/>
      <selection pane="bottomRight" activeCell="A43" sqref="A43"/>
    </sheetView>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38</v>
      </c>
      <c r="B2" s="3" t="s">
        <v>497</v>
      </c>
      <c r="C2" s="3" t="s">
        <v>158</v>
      </c>
      <c r="G2" s="7" t="s">
        <v>25</v>
      </c>
      <c r="H2" s="7"/>
      <c r="I2" s="7">
        <v>1</v>
      </c>
      <c r="J2" s="7">
        <v>2</v>
      </c>
      <c r="K2" s="7" t="s">
        <v>350</v>
      </c>
      <c r="L2" s="7" t="s">
        <v>373</v>
      </c>
      <c r="M2" s="7"/>
      <c r="N2" s="8"/>
      <c r="O2" s="7"/>
      <c r="P2" s="7">
        <v>613</v>
      </c>
      <c r="Q2" s="7">
        <f t="shared" ref="Q2:Q43" si="0">IF(ISNUMBER(P2), (P2/$F$95)*10000, "")</f>
        <v>301.40623463467404</v>
      </c>
      <c r="R2" s="7"/>
      <c r="S2" s="7" t="s">
        <v>452</v>
      </c>
      <c r="T2" s="7" t="s">
        <v>452</v>
      </c>
      <c r="U2" s="7"/>
      <c r="V2" s="7"/>
      <c r="W2" s="7"/>
      <c r="X2" s="7"/>
      <c r="Y2" s="7"/>
      <c r="Z2" s="7"/>
      <c r="AA2" s="7"/>
      <c r="AB2" s="7"/>
      <c r="AC2" s="7"/>
      <c r="AD2" s="7"/>
      <c r="AE2" t="s">
        <v>19</v>
      </c>
      <c r="AF2" t="s">
        <v>19</v>
      </c>
      <c r="AH2">
        <v>1</v>
      </c>
    </row>
    <row r="3" spans="1:34" ht="43.5">
      <c r="A3" t="s">
        <v>38</v>
      </c>
      <c r="B3" s="3" t="s">
        <v>160</v>
      </c>
      <c r="C3" s="3" t="s">
        <v>159</v>
      </c>
      <c r="G3" s="7" t="s">
        <v>25</v>
      </c>
      <c r="H3" s="7"/>
      <c r="I3" s="7">
        <v>1</v>
      </c>
      <c r="J3" s="7">
        <v>3</v>
      </c>
      <c r="K3" s="7" t="s">
        <v>331</v>
      </c>
      <c r="L3" s="7" t="s">
        <v>326</v>
      </c>
      <c r="M3" s="7" t="s">
        <v>389</v>
      </c>
      <c r="N3" s="8" t="s">
        <v>388</v>
      </c>
      <c r="O3" s="7"/>
      <c r="P3" s="7">
        <v>2475</v>
      </c>
      <c r="Q3" s="7">
        <f t="shared" si="0"/>
        <v>1216.9338184678927</v>
      </c>
      <c r="R3" s="7"/>
      <c r="S3" s="7" t="s">
        <v>452</v>
      </c>
      <c r="T3" s="7" t="s">
        <v>452</v>
      </c>
      <c r="U3" s="7"/>
      <c r="V3" s="7"/>
      <c r="W3" s="7"/>
      <c r="X3" s="7"/>
      <c r="Y3" s="7"/>
      <c r="Z3" s="7"/>
      <c r="AA3" s="7"/>
      <c r="AB3" s="7"/>
      <c r="AC3" s="7"/>
      <c r="AD3" s="7"/>
      <c r="AE3" t="s">
        <v>19</v>
      </c>
      <c r="AF3" t="s">
        <v>20</v>
      </c>
      <c r="AH3">
        <v>1</v>
      </c>
    </row>
    <row r="4" spans="1:34" ht="29">
      <c r="A4" t="s">
        <v>39</v>
      </c>
      <c r="B4" s="3" t="s">
        <v>162</v>
      </c>
      <c r="C4" s="3" t="s">
        <v>161</v>
      </c>
      <c r="G4" s="7" t="s">
        <v>25</v>
      </c>
      <c r="H4" s="7"/>
      <c r="I4" s="7">
        <v>1</v>
      </c>
      <c r="J4" s="7">
        <v>2</v>
      </c>
      <c r="K4" s="7" t="s">
        <v>331</v>
      </c>
      <c r="L4" s="7" t="s">
        <v>373</v>
      </c>
      <c r="M4" s="7"/>
      <c r="N4" s="8"/>
      <c r="O4" s="7"/>
      <c r="P4" s="7">
        <v>2475</v>
      </c>
      <c r="Q4" s="7">
        <f t="shared" si="0"/>
        <v>1216.9338184678927</v>
      </c>
      <c r="R4" s="7"/>
      <c r="S4" s="7" t="s">
        <v>452</v>
      </c>
      <c r="T4" s="7" t="s">
        <v>452</v>
      </c>
      <c r="U4" s="7"/>
      <c r="V4" s="7"/>
      <c r="W4" s="7"/>
      <c r="X4" s="7"/>
      <c r="Y4" s="7"/>
      <c r="Z4" s="7"/>
      <c r="AA4" s="7"/>
      <c r="AB4" s="7"/>
      <c r="AC4" s="7"/>
      <c r="AD4" s="7"/>
      <c r="AE4" t="s">
        <v>19</v>
      </c>
      <c r="AF4" t="s">
        <v>20</v>
      </c>
      <c r="AH4">
        <v>1</v>
      </c>
    </row>
    <row r="5" spans="1:34" ht="43.5">
      <c r="A5" t="s">
        <v>44</v>
      </c>
      <c r="B5" s="3" t="s">
        <v>168</v>
      </c>
      <c r="C5" s="3" t="s">
        <v>167</v>
      </c>
      <c r="G5" s="7" t="s">
        <v>24</v>
      </c>
      <c r="H5" s="7"/>
      <c r="I5" s="7">
        <v>1</v>
      </c>
      <c r="J5" s="7">
        <v>1</v>
      </c>
      <c r="K5" s="7" t="s">
        <v>331</v>
      </c>
      <c r="L5" s="7" t="s">
        <v>373</v>
      </c>
      <c r="M5" s="7"/>
      <c r="N5" s="8"/>
      <c r="O5" s="7"/>
      <c r="P5" s="7">
        <v>2475</v>
      </c>
      <c r="Q5" s="7">
        <f t="shared" si="0"/>
        <v>1216.9338184678927</v>
      </c>
      <c r="R5" s="7"/>
      <c r="S5" s="7" t="s">
        <v>452</v>
      </c>
      <c r="T5" s="7" t="s">
        <v>452</v>
      </c>
      <c r="U5" s="7"/>
      <c r="V5" s="7"/>
      <c r="W5" s="7"/>
      <c r="X5" s="7"/>
      <c r="Y5" s="7"/>
      <c r="Z5" s="7"/>
      <c r="AA5" s="7"/>
      <c r="AB5" s="7"/>
      <c r="AC5" s="7"/>
      <c r="AD5" s="7"/>
      <c r="AE5" t="s">
        <v>19</v>
      </c>
      <c r="AF5" t="s">
        <v>20</v>
      </c>
      <c r="AH5">
        <v>1</v>
      </c>
    </row>
    <row r="6" spans="1:34" ht="58">
      <c r="A6" t="s">
        <v>52</v>
      </c>
      <c r="B6" s="3" t="s">
        <v>176</v>
      </c>
      <c r="C6" s="3" t="s">
        <v>175</v>
      </c>
      <c r="G6" s="7" t="s">
        <v>25</v>
      </c>
      <c r="H6" s="7"/>
      <c r="I6" s="7">
        <v>1</v>
      </c>
      <c r="J6" s="7">
        <v>3</v>
      </c>
      <c r="K6" s="7" t="s">
        <v>331</v>
      </c>
      <c r="L6" s="7" t="s">
        <v>326</v>
      </c>
      <c r="M6" s="7" t="s">
        <v>387</v>
      </c>
      <c r="N6" s="8" t="s">
        <v>388</v>
      </c>
      <c r="O6" s="7"/>
      <c r="P6" s="7">
        <v>2475</v>
      </c>
      <c r="Q6" s="7">
        <f t="shared" si="0"/>
        <v>1216.9338184678927</v>
      </c>
      <c r="R6" s="7"/>
      <c r="S6" s="7" t="s">
        <v>452</v>
      </c>
      <c r="T6" s="7" t="s">
        <v>452</v>
      </c>
      <c r="U6" s="7"/>
      <c r="V6" s="7"/>
      <c r="W6" s="7"/>
      <c r="X6" s="7"/>
      <c r="Y6" s="7"/>
      <c r="Z6" s="7"/>
      <c r="AA6" s="7"/>
      <c r="AB6" s="7"/>
      <c r="AC6" s="7"/>
      <c r="AD6" s="7"/>
      <c r="AE6" t="s">
        <v>19</v>
      </c>
      <c r="AF6" t="s">
        <v>20</v>
      </c>
      <c r="AH6">
        <v>1</v>
      </c>
    </row>
    <row r="7" spans="1:34" ht="43.5">
      <c r="A7" t="s">
        <v>55</v>
      </c>
      <c r="B7" s="3" t="s">
        <v>177</v>
      </c>
      <c r="C7" s="3" t="s">
        <v>178</v>
      </c>
      <c r="F7" t="s">
        <v>19</v>
      </c>
      <c r="G7" s="7" t="s">
        <v>24</v>
      </c>
      <c r="H7" s="7"/>
      <c r="I7" s="7">
        <v>1</v>
      </c>
      <c r="J7" s="7">
        <v>9</v>
      </c>
      <c r="K7" s="7" t="s">
        <v>325</v>
      </c>
      <c r="L7" s="7" t="s">
        <v>326</v>
      </c>
      <c r="M7" s="7" t="s">
        <v>416</v>
      </c>
      <c r="N7" s="8" t="s">
        <v>417</v>
      </c>
      <c r="O7" s="7"/>
      <c r="P7" s="7">
        <v>4</v>
      </c>
      <c r="Q7" s="7">
        <f t="shared" si="0"/>
        <v>1.9667617268167963</v>
      </c>
      <c r="R7" s="7"/>
      <c r="S7" s="7" t="s">
        <v>452</v>
      </c>
      <c r="T7" s="7" t="s">
        <v>452</v>
      </c>
      <c r="U7" s="7"/>
      <c r="V7" s="7"/>
      <c r="W7" s="7"/>
      <c r="X7" s="7"/>
      <c r="Y7" s="7"/>
      <c r="Z7" s="7"/>
      <c r="AA7" s="7"/>
      <c r="AB7" s="7"/>
      <c r="AC7" s="7"/>
      <c r="AD7" s="7"/>
      <c r="AE7" t="s">
        <v>20</v>
      </c>
      <c r="AF7" t="s">
        <v>20</v>
      </c>
      <c r="AH7">
        <v>0</v>
      </c>
    </row>
    <row r="8" spans="1:34" ht="58">
      <c r="A8" t="s">
        <v>61</v>
      </c>
      <c r="B8" s="3" t="s">
        <v>179</v>
      </c>
      <c r="C8" s="3" t="s">
        <v>180</v>
      </c>
      <c r="G8" s="7" t="s">
        <v>24</v>
      </c>
      <c r="H8" s="7"/>
      <c r="I8" s="7">
        <v>1</v>
      </c>
      <c r="J8" s="7">
        <v>3</v>
      </c>
      <c r="K8" s="7" t="s">
        <v>331</v>
      </c>
      <c r="L8" s="7" t="s">
        <v>332</v>
      </c>
      <c r="M8" s="7"/>
      <c r="N8" s="8"/>
      <c r="O8" s="7"/>
      <c r="P8" s="7">
        <v>2475</v>
      </c>
      <c r="Q8" s="7">
        <f t="shared" si="0"/>
        <v>1216.9338184678927</v>
      </c>
      <c r="R8" s="7"/>
      <c r="S8" s="7" t="s">
        <v>452</v>
      </c>
      <c r="T8" s="7" t="s">
        <v>452</v>
      </c>
      <c r="U8" s="7"/>
      <c r="V8" s="7"/>
      <c r="W8" s="7"/>
      <c r="X8" s="7"/>
      <c r="Y8" s="7"/>
      <c r="Z8" s="7"/>
      <c r="AA8" s="7"/>
      <c r="AB8" s="7"/>
      <c r="AC8" s="7"/>
      <c r="AD8" s="7"/>
      <c r="AE8" t="s">
        <v>19</v>
      </c>
      <c r="AF8" t="s">
        <v>19</v>
      </c>
      <c r="AH8">
        <v>1</v>
      </c>
    </row>
    <row r="9" spans="1:34" ht="58">
      <c r="A9" t="s">
        <v>61</v>
      </c>
      <c r="B9" s="3" t="s">
        <v>179</v>
      </c>
      <c r="C9" s="3" t="s">
        <v>181</v>
      </c>
      <c r="G9" s="7" t="s">
        <v>24</v>
      </c>
      <c r="H9" s="7"/>
      <c r="I9" s="7">
        <v>1</v>
      </c>
      <c r="J9" s="7">
        <v>3</v>
      </c>
      <c r="K9" s="7" t="s">
        <v>331</v>
      </c>
      <c r="L9" s="7" t="s">
        <v>332</v>
      </c>
      <c r="M9" s="7"/>
      <c r="N9" s="8"/>
      <c r="O9" s="7"/>
      <c r="P9" s="7">
        <v>2475</v>
      </c>
      <c r="Q9" s="7">
        <f t="shared" si="0"/>
        <v>1216.9338184678927</v>
      </c>
      <c r="R9" s="7"/>
      <c r="S9" s="7" t="s">
        <v>452</v>
      </c>
      <c r="T9" s="7" t="s">
        <v>452</v>
      </c>
      <c r="U9" s="7"/>
      <c r="V9" s="7"/>
      <c r="W9" s="7"/>
      <c r="X9" s="7"/>
      <c r="Y9" s="7"/>
      <c r="Z9" s="7"/>
      <c r="AA9" s="7"/>
      <c r="AB9" s="7"/>
      <c r="AC9" s="7"/>
      <c r="AD9" s="7"/>
      <c r="AE9" t="s">
        <v>19</v>
      </c>
      <c r="AF9" t="s">
        <v>20</v>
      </c>
      <c r="AH9">
        <v>1</v>
      </c>
    </row>
    <row r="10" spans="1:34" ht="29">
      <c r="A10" t="s">
        <v>61</v>
      </c>
      <c r="B10" s="3" t="s">
        <v>183</v>
      </c>
      <c r="C10" s="3" t="s">
        <v>182</v>
      </c>
      <c r="G10" s="7" t="s">
        <v>24</v>
      </c>
      <c r="H10" s="7"/>
      <c r="I10" s="7">
        <v>1</v>
      </c>
      <c r="J10" s="7">
        <v>3</v>
      </c>
      <c r="K10" s="7" t="s">
        <v>331</v>
      </c>
      <c r="L10" s="7" t="s">
        <v>332</v>
      </c>
      <c r="M10" s="7"/>
      <c r="N10" s="8"/>
      <c r="O10" s="7"/>
      <c r="P10" s="7">
        <v>2475</v>
      </c>
      <c r="Q10" s="7">
        <f t="shared" si="0"/>
        <v>1216.9338184678927</v>
      </c>
      <c r="R10" s="7"/>
      <c r="S10" s="7" t="s">
        <v>452</v>
      </c>
      <c r="T10" s="7" t="s">
        <v>452</v>
      </c>
      <c r="U10" s="7"/>
      <c r="V10" s="7"/>
      <c r="W10" s="7"/>
      <c r="X10" s="7"/>
      <c r="Y10" s="7"/>
      <c r="Z10" s="7"/>
      <c r="AA10" s="7"/>
      <c r="AB10" s="7"/>
      <c r="AC10" s="7"/>
      <c r="AD10" s="7"/>
      <c r="AE10" t="s">
        <v>19</v>
      </c>
      <c r="AF10" t="s">
        <v>19</v>
      </c>
      <c r="AH10">
        <v>1</v>
      </c>
    </row>
    <row r="11" spans="1:34" ht="29">
      <c r="A11" t="s">
        <v>73</v>
      </c>
      <c r="B11" s="3" t="s">
        <v>187</v>
      </c>
      <c r="C11" s="3" t="s">
        <v>188</v>
      </c>
      <c r="G11" s="7" t="s">
        <v>24</v>
      </c>
      <c r="H11" s="7"/>
      <c r="I11" s="7">
        <v>1</v>
      </c>
      <c r="J11" s="7">
        <v>1</v>
      </c>
      <c r="K11" s="7" t="s">
        <v>331</v>
      </c>
      <c r="L11" s="7" t="s">
        <v>373</v>
      </c>
      <c r="M11" s="7"/>
      <c r="N11" s="8"/>
      <c r="O11" s="7"/>
      <c r="P11" s="7">
        <v>2475</v>
      </c>
      <c r="Q11" s="7">
        <f t="shared" si="0"/>
        <v>1216.9338184678927</v>
      </c>
      <c r="R11" s="7"/>
      <c r="S11" s="7" t="s">
        <v>452</v>
      </c>
      <c r="T11" s="7" t="s">
        <v>452</v>
      </c>
      <c r="U11" s="7"/>
      <c r="V11" s="7"/>
      <c r="W11" s="7"/>
      <c r="X11" s="7"/>
      <c r="Y11" s="7"/>
      <c r="Z11" s="7"/>
      <c r="AA11" s="7"/>
      <c r="AB11" s="7"/>
      <c r="AC11" s="7"/>
      <c r="AD11" s="7"/>
      <c r="AE11" t="s">
        <v>19</v>
      </c>
      <c r="AF11" t="s">
        <v>19</v>
      </c>
      <c r="AH11">
        <v>1</v>
      </c>
    </row>
    <row r="12" spans="1:34" ht="43.5">
      <c r="A12" t="s">
        <v>78</v>
      </c>
      <c r="B12" s="3" t="s">
        <v>191</v>
      </c>
      <c r="C12" s="3" t="s">
        <v>192</v>
      </c>
      <c r="G12" s="7" t="s">
        <v>25</v>
      </c>
      <c r="H12" s="7"/>
      <c r="I12" s="7">
        <v>1</v>
      </c>
      <c r="J12" s="7">
        <v>2</v>
      </c>
      <c r="K12" s="7" t="s">
        <v>331</v>
      </c>
      <c r="L12" s="7" t="s">
        <v>373</v>
      </c>
      <c r="M12" s="7"/>
      <c r="N12" s="8"/>
      <c r="O12" s="7"/>
      <c r="P12" s="7">
        <v>2475</v>
      </c>
      <c r="Q12" s="7">
        <f t="shared" si="0"/>
        <v>1216.9338184678927</v>
      </c>
      <c r="R12" s="7"/>
      <c r="S12" s="7" t="s">
        <v>452</v>
      </c>
      <c r="T12" s="7" t="s">
        <v>452</v>
      </c>
      <c r="U12" s="7"/>
      <c r="V12" s="7"/>
      <c r="W12" s="7"/>
      <c r="X12" s="7"/>
      <c r="Y12" s="7"/>
      <c r="Z12" s="7"/>
      <c r="AA12" s="7"/>
      <c r="AB12" s="7"/>
      <c r="AC12" s="7"/>
      <c r="AD12" s="7"/>
      <c r="AE12" t="s">
        <v>19</v>
      </c>
      <c r="AF12" t="s">
        <v>19</v>
      </c>
      <c r="AH12">
        <v>1</v>
      </c>
    </row>
    <row r="13" spans="1:34" ht="43.5">
      <c r="A13" t="s">
        <v>78</v>
      </c>
      <c r="B13" s="3" t="s">
        <v>195</v>
      </c>
      <c r="C13" s="3" t="s">
        <v>194</v>
      </c>
      <c r="G13" s="7" t="s">
        <v>24</v>
      </c>
      <c r="H13" s="7"/>
      <c r="I13" s="7">
        <v>1</v>
      </c>
      <c r="J13" s="7">
        <v>3</v>
      </c>
      <c r="K13" s="7" t="s">
        <v>341</v>
      </c>
      <c r="L13" s="7" t="s">
        <v>332</v>
      </c>
      <c r="M13" s="7"/>
      <c r="N13" s="8"/>
      <c r="O13" s="7"/>
      <c r="P13" s="7">
        <v>1701</v>
      </c>
      <c r="Q13" s="7">
        <f t="shared" si="0"/>
        <v>836.36542432884255</v>
      </c>
      <c r="R13" s="7"/>
      <c r="S13" s="7" t="s">
        <v>452</v>
      </c>
      <c r="T13" s="7" t="s">
        <v>452</v>
      </c>
      <c r="U13" s="7"/>
      <c r="V13" s="7"/>
      <c r="W13" s="7"/>
      <c r="X13" s="7"/>
      <c r="Y13" s="7"/>
      <c r="Z13" s="7"/>
      <c r="AA13" s="7"/>
      <c r="AB13" s="7"/>
      <c r="AC13" s="7"/>
      <c r="AD13" s="7"/>
      <c r="AE13" t="s">
        <v>19</v>
      </c>
      <c r="AF13" t="s">
        <v>20</v>
      </c>
      <c r="AH13">
        <v>1</v>
      </c>
    </row>
    <row r="14" spans="1:34" ht="174">
      <c r="A14" t="s">
        <v>81</v>
      </c>
      <c r="B14" s="3" t="s">
        <v>396</v>
      </c>
      <c r="C14" s="3" t="s">
        <v>196</v>
      </c>
      <c r="F14" t="s">
        <v>19</v>
      </c>
      <c r="G14" s="7" t="s">
        <v>25</v>
      </c>
      <c r="H14" s="7"/>
      <c r="I14" s="7">
        <v>8</v>
      </c>
      <c r="J14" s="7">
        <v>46</v>
      </c>
      <c r="K14" s="7"/>
      <c r="L14" s="7" t="s">
        <v>326</v>
      </c>
      <c r="M14" s="7" t="s">
        <v>395</v>
      </c>
      <c r="N14" s="8" t="s">
        <v>397</v>
      </c>
      <c r="O14" s="7"/>
      <c r="P14" s="7">
        <v>1</v>
      </c>
      <c r="Q14" s="7">
        <f t="shared" si="0"/>
        <v>0.49169043170419907</v>
      </c>
      <c r="R14" s="7"/>
      <c r="S14" s="7" t="s">
        <v>452</v>
      </c>
      <c r="T14" s="7" t="s">
        <v>452</v>
      </c>
      <c r="U14" s="7"/>
      <c r="V14" s="7"/>
      <c r="W14" s="7"/>
      <c r="X14" s="7"/>
      <c r="Y14" s="7"/>
      <c r="Z14" s="7"/>
      <c r="AA14" s="7"/>
      <c r="AB14" s="7"/>
      <c r="AC14" s="7"/>
      <c r="AD14" s="7"/>
      <c r="AE14" t="s">
        <v>20</v>
      </c>
      <c r="AF14" t="s">
        <v>20</v>
      </c>
      <c r="AH14">
        <v>0</v>
      </c>
    </row>
    <row r="15" spans="1:34" ht="43.5">
      <c r="A15" t="s">
        <v>82</v>
      </c>
      <c r="B15" s="3" t="s">
        <v>200</v>
      </c>
      <c r="C15" s="3" t="s">
        <v>199</v>
      </c>
      <c r="G15" s="7" t="s">
        <v>24</v>
      </c>
      <c r="H15" s="7"/>
      <c r="I15" s="7">
        <v>1</v>
      </c>
      <c r="J15" s="7">
        <v>2</v>
      </c>
      <c r="K15" s="7" t="s">
        <v>331</v>
      </c>
      <c r="L15" s="7" t="s">
        <v>373</v>
      </c>
      <c r="M15" s="7"/>
      <c r="N15" s="8"/>
      <c r="O15" s="7"/>
      <c r="P15" s="7">
        <v>2475</v>
      </c>
      <c r="Q15" s="7">
        <f t="shared" si="0"/>
        <v>1216.9338184678927</v>
      </c>
      <c r="R15" s="7"/>
      <c r="S15" s="7" t="s">
        <v>452</v>
      </c>
      <c r="T15" s="7" t="s">
        <v>452</v>
      </c>
      <c r="U15" s="7"/>
      <c r="V15" s="7"/>
      <c r="W15" s="7"/>
      <c r="X15" s="7"/>
      <c r="Y15" s="7"/>
      <c r="Z15" s="7"/>
      <c r="AA15" s="7"/>
      <c r="AB15" s="7"/>
      <c r="AC15" s="7"/>
      <c r="AD15" s="7"/>
      <c r="AE15" t="s">
        <v>19</v>
      </c>
      <c r="AF15" t="s">
        <v>20</v>
      </c>
      <c r="AH15">
        <v>1</v>
      </c>
    </row>
    <row r="16" spans="1:34" ht="29">
      <c r="A16" t="s">
        <v>82</v>
      </c>
      <c r="B16" s="3" t="s">
        <v>201</v>
      </c>
      <c r="C16" s="3" t="s">
        <v>202</v>
      </c>
      <c r="G16" s="7" t="s">
        <v>25</v>
      </c>
      <c r="H16" s="7"/>
      <c r="I16" s="7">
        <v>1</v>
      </c>
      <c r="J16" s="7">
        <v>2</v>
      </c>
      <c r="K16" s="7" t="s">
        <v>331</v>
      </c>
      <c r="L16" s="7" t="s">
        <v>373</v>
      </c>
      <c r="M16" s="7"/>
      <c r="N16" s="8"/>
      <c r="O16" s="7" t="s">
        <v>327</v>
      </c>
      <c r="P16" s="7">
        <v>2475</v>
      </c>
      <c r="Q16" s="7">
        <f t="shared" si="0"/>
        <v>1216.9338184678927</v>
      </c>
      <c r="R16" s="7"/>
      <c r="S16" s="7" t="s">
        <v>452</v>
      </c>
      <c r="T16" s="7" t="s">
        <v>452</v>
      </c>
      <c r="U16" s="7"/>
      <c r="V16" s="7"/>
      <c r="W16" s="7"/>
      <c r="X16" s="7"/>
      <c r="Y16" s="7"/>
      <c r="Z16" s="7"/>
      <c r="AA16" s="7"/>
      <c r="AB16" s="7"/>
      <c r="AC16" s="7"/>
      <c r="AD16" s="7"/>
      <c r="AE16" t="s">
        <v>19</v>
      </c>
      <c r="AF16" t="s">
        <v>20</v>
      </c>
      <c r="AH16">
        <v>1</v>
      </c>
    </row>
    <row r="17" spans="1:34" ht="29">
      <c r="A17" t="s">
        <v>83</v>
      </c>
      <c r="B17" s="3" t="s">
        <v>174</v>
      </c>
      <c r="C17" s="3" t="s">
        <v>173</v>
      </c>
      <c r="G17" s="7" t="s">
        <v>25</v>
      </c>
      <c r="H17" s="7"/>
      <c r="I17" s="7">
        <v>1</v>
      </c>
      <c r="J17" s="7">
        <v>3</v>
      </c>
      <c r="K17" s="7" t="s">
        <v>331</v>
      </c>
      <c r="L17" s="7" t="s">
        <v>332</v>
      </c>
      <c r="M17" s="7"/>
      <c r="N17" s="8"/>
      <c r="O17" s="7"/>
      <c r="P17" s="7">
        <v>2475</v>
      </c>
      <c r="Q17" s="7">
        <f t="shared" si="0"/>
        <v>1216.9338184678927</v>
      </c>
      <c r="R17" s="7"/>
      <c r="S17" s="7" t="s">
        <v>452</v>
      </c>
      <c r="T17" s="7" t="s">
        <v>452</v>
      </c>
      <c r="U17" s="7"/>
      <c r="V17" s="7"/>
      <c r="W17" s="7"/>
      <c r="X17" s="7"/>
      <c r="Y17" s="7"/>
      <c r="Z17" s="7"/>
      <c r="AA17" s="7"/>
      <c r="AB17" s="7"/>
      <c r="AC17" s="7"/>
      <c r="AD17" s="7"/>
      <c r="AE17" t="s">
        <v>19</v>
      </c>
      <c r="AF17" t="s">
        <v>19</v>
      </c>
      <c r="AH17">
        <v>1</v>
      </c>
    </row>
    <row r="18" spans="1:34" ht="29">
      <c r="A18" t="s">
        <v>83</v>
      </c>
      <c r="B18" s="3" t="s">
        <v>174</v>
      </c>
      <c r="C18" s="3" t="s">
        <v>173</v>
      </c>
      <c r="G18" s="7" t="s">
        <v>25</v>
      </c>
      <c r="H18" s="7"/>
      <c r="I18" s="7">
        <v>1</v>
      </c>
      <c r="J18" s="7">
        <v>3</v>
      </c>
      <c r="K18" s="7" t="s">
        <v>331</v>
      </c>
      <c r="L18" s="7" t="s">
        <v>332</v>
      </c>
      <c r="M18" s="7"/>
      <c r="N18" s="8"/>
      <c r="O18" s="7"/>
      <c r="P18" s="7">
        <v>2475</v>
      </c>
      <c r="Q18" s="7">
        <f t="shared" si="0"/>
        <v>1216.9338184678927</v>
      </c>
      <c r="R18" s="7"/>
      <c r="S18" s="7" t="s">
        <v>452</v>
      </c>
      <c r="T18" s="7" t="s">
        <v>452</v>
      </c>
      <c r="U18" s="7"/>
      <c r="V18" s="7"/>
      <c r="W18" s="7"/>
      <c r="X18" s="7"/>
      <c r="Y18" s="7"/>
      <c r="Z18" s="7"/>
      <c r="AA18" s="7"/>
      <c r="AB18" s="7"/>
      <c r="AC18" s="7"/>
      <c r="AD18" s="7"/>
      <c r="AE18" t="s">
        <v>19</v>
      </c>
      <c r="AF18" t="s">
        <v>19</v>
      </c>
      <c r="AH18">
        <v>1</v>
      </c>
    </row>
    <row r="19" spans="1:34" ht="29">
      <c r="A19" t="s">
        <v>85</v>
      </c>
      <c r="B19" s="3" t="s">
        <v>206</v>
      </c>
      <c r="C19" s="3" t="s">
        <v>205</v>
      </c>
      <c r="G19" s="7" t="s">
        <v>25</v>
      </c>
      <c r="H19" s="7"/>
      <c r="I19" s="7">
        <v>1</v>
      </c>
      <c r="J19" s="7">
        <v>2</v>
      </c>
      <c r="K19" s="7" t="s">
        <v>341</v>
      </c>
      <c r="L19" s="7" t="s">
        <v>373</v>
      </c>
      <c r="M19" s="7"/>
      <c r="N19" s="8"/>
      <c r="O19" s="7"/>
      <c r="P19" s="7">
        <v>171</v>
      </c>
      <c r="Q19" s="7">
        <f t="shared" si="0"/>
        <v>84.079063821418046</v>
      </c>
      <c r="R19" s="7"/>
      <c r="S19" s="7" t="s">
        <v>452</v>
      </c>
      <c r="T19" s="7" t="s">
        <v>452</v>
      </c>
      <c r="U19" s="7"/>
      <c r="V19" s="7"/>
      <c r="W19" s="7"/>
      <c r="X19" s="7"/>
      <c r="Y19" s="7"/>
      <c r="Z19" s="7"/>
      <c r="AA19" s="7"/>
      <c r="AB19" s="7"/>
      <c r="AC19" s="7"/>
      <c r="AD19" s="7"/>
      <c r="AE19" t="s">
        <v>19</v>
      </c>
      <c r="AF19" t="s">
        <v>20</v>
      </c>
      <c r="AH19">
        <v>1</v>
      </c>
    </row>
    <row r="20" spans="1:34" ht="72.5">
      <c r="A20" t="s">
        <v>89</v>
      </c>
      <c r="B20" s="3" t="s">
        <v>207</v>
      </c>
      <c r="C20" s="3" t="s">
        <v>208</v>
      </c>
      <c r="G20" s="7" t="s">
        <v>24</v>
      </c>
      <c r="H20" s="7"/>
      <c r="I20" s="7">
        <v>1</v>
      </c>
      <c r="J20" s="7">
        <v>3</v>
      </c>
      <c r="K20" s="7" t="s">
        <v>331</v>
      </c>
      <c r="L20" s="7" t="s">
        <v>332</v>
      </c>
      <c r="M20" s="7"/>
      <c r="N20" s="8"/>
      <c r="O20" s="7"/>
      <c r="P20" s="7">
        <v>2475</v>
      </c>
      <c r="Q20" s="7">
        <f t="shared" si="0"/>
        <v>1216.9338184678927</v>
      </c>
      <c r="R20" s="7"/>
      <c r="S20" s="7" t="s">
        <v>452</v>
      </c>
      <c r="T20" s="7" t="s">
        <v>452</v>
      </c>
      <c r="U20" s="7"/>
      <c r="V20" s="7"/>
      <c r="W20" s="7"/>
      <c r="X20" s="7"/>
      <c r="Y20" s="7"/>
      <c r="Z20" s="7"/>
      <c r="AA20" s="7"/>
      <c r="AB20" s="7"/>
      <c r="AC20" s="7"/>
      <c r="AD20" s="7"/>
      <c r="AE20" t="s">
        <v>19</v>
      </c>
      <c r="AF20" t="s">
        <v>20</v>
      </c>
      <c r="AH20">
        <v>1</v>
      </c>
    </row>
    <row r="21" spans="1:34" ht="116">
      <c r="A21" t="s">
        <v>96</v>
      </c>
      <c r="B21" s="3" t="s">
        <v>214</v>
      </c>
      <c r="C21" s="3" t="s">
        <v>213</v>
      </c>
      <c r="G21" s="7" t="s">
        <v>25</v>
      </c>
      <c r="H21" s="7"/>
      <c r="I21" s="7">
        <v>1</v>
      </c>
      <c r="J21" s="7">
        <v>7</v>
      </c>
      <c r="K21" s="7" t="s">
        <v>325</v>
      </c>
      <c r="L21" s="7" t="s">
        <v>332</v>
      </c>
      <c r="M21" s="7"/>
      <c r="N21" s="8"/>
      <c r="O21" s="7"/>
      <c r="P21" s="7">
        <v>13</v>
      </c>
      <c r="Q21" s="7">
        <f t="shared" si="0"/>
        <v>6.3919756121545879</v>
      </c>
      <c r="R21" s="7"/>
      <c r="S21" s="7" t="s">
        <v>452</v>
      </c>
      <c r="T21" s="7" t="s">
        <v>452</v>
      </c>
      <c r="U21" s="7"/>
      <c r="V21" s="7"/>
      <c r="W21" s="7"/>
      <c r="X21" s="7"/>
      <c r="Y21" s="7"/>
      <c r="Z21" s="7"/>
      <c r="AA21" s="7"/>
      <c r="AB21" s="7"/>
      <c r="AC21" s="7"/>
      <c r="AD21" s="7"/>
      <c r="AE21" t="s">
        <v>19</v>
      </c>
      <c r="AF21" t="s">
        <v>19</v>
      </c>
      <c r="AH21">
        <v>1</v>
      </c>
    </row>
    <row r="22" spans="1:34" ht="116">
      <c r="A22" t="s">
        <v>96</v>
      </c>
      <c r="B22" s="3" t="s">
        <v>215</v>
      </c>
      <c r="C22" s="3" t="s">
        <v>213</v>
      </c>
      <c r="G22" s="7" t="s">
        <v>25</v>
      </c>
      <c r="H22" s="7"/>
      <c r="I22" s="7">
        <v>1</v>
      </c>
      <c r="J22" s="7">
        <v>3</v>
      </c>
      <c r="K22" s="7" t="s">
        <v>331</v>
      </c>
      <c r="L22" s="7" t="s">
        <v>332</v>
      </c>
      <c r="M22" s="7"/>
      <c r="N22" s="8"/>
      <c r="O22" s="7"/>
      <c r="P22" s="7">
        <v>2475</v>
      </c>
      <c r="Q22" s="7">
        <f t="shared" si="0"/>
        <v>1216.9338184678927</v>
      </c>
      <c r="R22" s="7"/>
      <c r="S22" s="7" t="s">
        <v>452</v>
      </c>
      <c r="T22" s="7" t="s">
        <v>452</v>
      </c>
      <c r="U22" s="7"/>
      <c r="V22" s="7"/>
      <c r="W22" s="7"/>
      <c r="X22" s="7"/>
      <c r="Y22" s="7"/>
      <c r="Z22" s="7"/>
      <c r="AA22" s="7"/>
      <c r="AB22" s="7"/>
      <c r="AC22" s="7"/>
      <c r="AD22" s="7"/>
      <c r="AE22" t="s">
        <v>19</v>
      </c>
      <c r="AF22" t="s">
        <v>19</v>
      </c>
      <c r="AH22">
        <v>1</v>
      </c>
    </row>
    <row r="23" spans="1:34" ht="29">
      <c r="A23" t="s">
        <v>99</v>
      </c>
      <c r="B23" s="3" t="s">
        <v>220</v>
      </c>
      <c r="C23" s="3" t="s">
        <v>223</v>
      </c>
      <c r="G23" s="7" t="s">
        <v>24</v>
      </c>
      <c r="H23" s="7"/>
      <c r="I23" s="7">
        <v>1</v>
      </c>
      <c r="J23" s="7">
        <v>1</v>
      </c>
      <c r="K23" s="7" t="s">
        <v>331</v>
      </c>
      <c r="L23" s="7" t="s">
        <v>373</v>
      </c>
      <c r="M23" s="7"/>
      <c r="N23" s="8"/>
      <c r="O23" s="7"/>
      <c r="P23" s="7">
        <v>2475</v>
      </c>
      <c r="Q23" s="7">
        <f t="shared" si="0"/>
        <v>1216.9338184678927</v>
      </c>
      <c r="R23" s="7"/>
      <c r="S23" s="7" t="s">
        <v>452</v>
      </c>
      <c r="T23" s="7" t="s">
        <v>452</v>
      </c>
      <c r="U23" s="7"/>
      <c r="V23" s="7"/>
      <c r="W23" s="7"/>
      <c r="X23" s="7"/>
      <c r="Y23" s="7"/>
      <c r="Z23" s="7"/>
      <c r="AA23" s="7"/>
      <c r="AB23" s="7"/>
      <c r="AC23" s="7"/>
      <c r="AD23" s="7"/>
      <c r="AE23" t="s">
        <v>19</v>
      </c>
      <c r="AF23" t="s">
        <v>19</v>
      </c>
      <c r="AH23">
        <v>1</v>
      </c>
    </row>
    <row r="24" spans="1:34" ht="290">
      <c r="A24" t="s">
        <v>99</v>
      </c>
      <c r="B24" s="3" t="s">
        <v>230</v>
      </c>
      <c r="C24" s="3" t="s">
        <v>231</v>
      </c>
      <c r="F24" t="s">
        <v>19</v>
      </c>
      <c r="G24" s="7" t="s">
        <v>25</v>
      </c>
      <c r="H24" s="7"/>
      <c r="I24" s="7">
        <v>15</v>
      </c>
      <c r="J24" s="7">
        <v>67</v>
      </c>
      <c r="K24" s="7"/>
      <c r="L24" s="7" t="s">
        <v>326</v>
      </c>
      <c r="M24" s="7" t="s">
        <v>391</v>
      </c>
      <c r="N24" s="8" t="s">
        <v>394</v>
      </c>
      <c r="O24" s="7"/>
      <c r="P24" s="7">
        <v>2</v>
      </c>
      <c r="Q24" s="7">
        <f t="shared" si="0"/>
        <v>0.98338086340839814</v>
      </c>
      <c r="R24" s="7"/>
      <c r="S24" s="7" t="s">
        <v>452</v>
      </c>
      <c r="T24" s="7" t="s">
        <v>452</v>
      </c>
      <c r="U24" s="7"/>
      <c r="V24" s="7"/>
      <c r="W24" s="7"/>
      <c r="X24" s="7"/>
      <c r="Y24" s="7"/>
      <c r="Z24" s="7"/>
      <c r="AA24" s="7"/>
      <c r="AB24" s="7"/>
      <c r="AC24" s="7"/>
      <c r="AD24" s="7"/>
      <c r="AE24" t="s">
        <v>20</v>
      </c>
      <c r="AF24" t="s">
        <v>20</v>
      </c>
      <c r="AH24">
        <v>0</v>
      </c>
    </row>
    <row r="25" spans="1:34" ht="29">
      <c r="A25" t="s">
        <v>102</v>
      </c>
      <c r="B25" s="3" t="s">
        <v>235</v>
      </c>
      <c r="C25" s="3" t="s">
        <v>236</v>
      </c>
      <c r="G25" s="7" t="s">
        <v>25</v>
      </c>
      <c r="H25" s="7"/>
      <c r="I25" s="7">
        <v>1</v>
      </c>
      <c r="J25" s="7">
        <v>1</v>
      </c>
      <c r="K25" s="7" t="s">
        <v>331</v>
      </c>
      <c r="L25" s="7" t="s">
        <v>373</v>
      </c>
      <c r="M25" s="7"/>
      <c r="N25" s="8"/>
      <c r="O25" s="7"/>
      <c r="P25" s="7">
        <v>2475</v>
      </c>
      <c r="Q25" s="7">
        <f t="shared" si="0"/>
        <v>1216.9338184678927</v>
      </c>
      <c r="R25" s="7"/>
      <c r="S25" s="7" t="s">
        <v>452</v>
      </c>
      <c r="T25" s="7" t="s">
        <v>452</v>
      </c>
      <c r="U25" s="7"/>
      <c r="V25" s="7"/>
      <c r="W25" s="7"/>
      <c r="X25" s="7"/>
      <c r="Y25" s="7"/>
      <c r="Z25" s="7"/>
      <c r="AA25" s="7"/>
      <c r="AB25" s="7"/>
      <c r="AC25" s="7"/>
      <c r="AD25" s="7"/>
      <c r="AE25" t="s">
        <v>19</v>
      </c>
      <c r="AF25" t="s">
        <v>19</v>
      </c>
      <c r="AH25">
        <v>1</v>
      </c>
    </row>
    <row r="26" spans="1:34" ht="29">
      <c r="A26" t="s">
        <v>103</v>
      </c>
      <c r="B26" s="3" t="s">
        <v>237</v>
      </c>
      <c r="C26" s="3" t="s">
        <v>238</v>
      </c>
      <c r="G26" s="7" t="s">
        <v>25</v>
      </c>
      <c r="H26" s="7"/>
      <c r="I26" s="7">
        <v>1</v>
      </c>
      <c r="J26" s="7">
        <v>1</v>
      </c>
      <c r="K26" s="7" t="s">
        <v>331</v>
      </c>
      <c r="L26" s="7" t="s">
        <v>373</v>
      </c>
      <c r="M26" s="7"/>
      <c r="N26" s="8"/>
      <c r="O26" s="7"/>
      <c r="P26" s="7">
        <v>2475</v>
      </c>
      <c r="Q26" s="7">
        <f t="shared" si="0"/>
        <v>1216.9338184678927</v>
      </c>
      <c r="R26" s="7"/>
      <c r="S26" s="7" t="s">
        <v>452</v>
      </c>
      <c r="T26" s="7" t="s">
        <v>452</v>
      </c>
      <c r="U26" s="7"/>
      <c r="V26" s="7"/>
      <c r="W26" s="7"/>
      <c r="X26" s="7"/>
      <c r="Y26" s="7"/>
      <c r="Z26" s="7"/>
      <c r="AA26" s="7"/>
      <c r="AB26" s="7"/>
      <c r="AC26" s="7"/>
      <c r="AD26" s="7"/>
      <c r="AE26" t="s">
        <v>19</v>
      </c>
      <c r="AF26" t="s">
        <v>20</v>
      </c>
      <c r="AH26">
        <v>1</v>
      </c>
    </row>
    <row r="27" spans="1:34" ht="43.5">
      <c r="A27" t="s">
        <v>106</v>
      </c>
      <c r="B27" s="3" t="s">
        <v>239</v>
      </c>
      <c r="C27" s="3" t="s">
        <v>240</v>
      </c>
      <c r="G27" s="7" t="s">
        <v>25</v>
      </c>
      <c r="H27" s="7"/>
      <c r="I27" s="7">
        <v>1</v>
      </c>
      <c r="J27" s="7">
        <v>2</v>
      </c>
      <c r="K27" s="7" t="s">
        <v>383</v>
      </c>
      <c r="L27" s="7" t="s">
        <v>373</v>
      </c>
      <c r="M27" s="7"/>
      <c r="N27" s="8"/>
      <c r="O27" s="7"/>
      <c r="P27" s="7">
        <v>295</v>
      </c>
      <c r="Q27" s="7">
        <f t="shared" si="0"/>
        <v>145.04867735273871</v>
      </c>
      <c r="R27" s="7"/>
      <c r="S27" s="7" t="s">
        <v>452</v>
      </c>
      <c r="T27" s="7" t="s">
        <v>452</v>
      </c>
      <c r="U27" s="7"/>
      <c r="V27" s="7"/>
      <c r="W27" s="7"/>
      <c r="X27" s="7"/>
      <c r="Y27" s="7"/>
      <c r="Z27" s="7"/>
      <c r="AA27" s="7"/>
      <c r="AB27" s="7"/>
      <c r="AC27" s="7"/>
      <c r="AD27" s="7"/>
      <c r="AE27" t="s">
        <v>19</v>
      </c>
      <c r="AF27" t="s">
        <v>19</v>
      </c>
      <c r="AH27">
        <v>1</v>
      </c>
    </row>
    <row r="28" spans="1:34" ht="58">
      <c r="A28" t="s">
        <v>109</v>
      </c>
      <c r="B28" s="3" t="s">
        <v>242</v>
      </c>
      <c r="C28" s="3" t="s">
        <v>241</v>
      </c>
      <c r="G28" s="7" t="s">
        <v>25</v>
      </c>
      <c r="H28" s="7"/>
      <c r="I28" s="7">
        <v>1</v>
      </c>
      <c r="J28" s="7">
        <v>3</v>
      </c>
      <c r="K28" s="7" t="s">
        <v>350</v>
      </c>
      <c r="L28" s="7" t="s">
        <v>332</v>
      </c>
      <c r="M28" s="7"/>
      <c r="N28" s="8"/>
      <c r="O28" s="7"/>
      <c r="P28" s="7">
        <v>210</v>
      </c>
      <c r="Q28" s="7">
        <f t="shared" si="0"/>
        <v>103.25499065788181</v>
      </c>
      <c r="R28" s="7"/>
      <c r="S28" s="7" t="s">
        <v>452</v>
      </c>
      <c r="T28" s="7" t="s">
        <v>452</v>
      </c>
      <c r="U28" s="7"/>
      <c r="V28" s="7"/>
      <c r="W28" s="7"/>
      <c r="X28" s="7"/>
      <c r="Y28" s="7"/>
      <c r="Z28" s="7"/>
      <c r="AA28" s="7"/>
      <c r="AB28" s="7"/>
      <c r="AC28" s="7"/>
      <c r="AD28" s="7"/>
      <c r="AE28" t="s">
        <v>19</v>
      </c>
      <c r="AF28" t="s">
        <v>20</v>
      </c>
      <c r="AH28">
        <v>1</v>
      </c>
    </row>
    <row r="29" spans="1:34" ht="87">
      <c r="A29" t="s">
        <v>112</v>
      </c>
      <c r="B29" s="3" t="s">
        <v>244</v>
      </c>
      <c r="C29" s="3" t="s">
        <v>243</v>
      </c>
      <c r="G29" s="7" t="s">
        <v>24</v>
      </c>
      <c r="H29" s="7"/>
      <c r="I29" s="7">
        <v>1</v>
      </c>
      <c r="J29" s="7">
        <v>3</v>
      </c>
      <c r="K29" s="7" t="s">
        <v>341</v>
      </c>
      <c r="L29" s="7" t="s">
        <v>332</v>
      </c>
      <c r="M29" s="7"/>
      <c r="N29" s="8"/>
      <c r="O29" s="7"/>
      <c r="P29" s="7">
        <v>1701</v>
      </c>
      <c r="Q29" s="7">
        <f t="shared" si="0"/>
        <v>836.36542432884255</v>
      </c>
      <c r="R29" s="7"/>
      <c r="S29" s="7" t="s">
        <v>452</v>
      </c>
      <c r="T29" s="7" t="s">
        <v>452</v>
      </c>
      <c r="U29" s="7"/>
      <c r="V29" s="7"/>
      <c r="W29" s="7"/>
      <c r="X29" s="7"/>
      <c r="Y29" s="7"/>
      <c r="Z29" s="7"/>
      <c r="AA29" s="7"/>
      <c r="AB29" s="7"/>
      <c r="AC29" s="7"/>
      <c r="AD29" s="7"/>
      <c r="AE29" t="s">
        <v>19</v>
      </c>
      <c r="AF29" t="s">
        <v>19</v>
      </c>
      <c r="AH29">
        <v>1</v>
      </c>
    </row>
    <row r="30" spans="1:34" ht="58">
      <c r="A30" t="s">
        <v>115</v>
      </c>
      <c r="B30" s="3" t="s">
        <v>250</v>
      </c>
      <c r="C30" s="3" t="s">
        <v>247</v>
      </c>
      <c r="G30" s="7" t="s">
        <v>25</v>
      </c>
      <c r="H30" s="7"/>
      <c r="I30" s="7">
        <v>1</v>
      </c>
      <c r="J30" s="7">
        <v>3</v>
      </c>
      <c r="K30" s="7" t="s">
        <v>348</v>
      </c>
      <c r="L30" s="7" t="s">
        <v>332</v>
      </c>
      <c r="M30" s="7"/>
      <c r="N30" s="8"/>
      <c r="O30" s="7"/>
      <c r="P30" s="7">
        <v>743</v>
      </c>
      <c r="Q30" s="7">
        <f t="shared" si="0"/>
        <v>365.32599075621988</v>
      </c>
      <c r="R30" s="7"/>
      <c r="S30" s="7" t="s">
        <v>452</v>
      </c>
      <c r="T30" s="7" t="s">
        <v>452</v>
      </c>
      <c r="U30" s="7"/>
      <c r="V30" s="7"/>
      <c r="W30" s="7"/>
      <c r="X30" s="7"/>
      <c r="Y30" s="7"/>
      <c r="Z30" s="7"/>
      <c r="AA30" s="7"/>
      <c r="AB30" s="7"/>
      <c r="AC30" s="7"/>
      <c r="AD30" s="7"/>
      <c r="AE30" t="s">
        <v>19</v>
      </c>
      <c r="AF30" t="s">
        <v>19</v>
      </c>
      <c r="AH30">
        <v>1</v>
      </c>
    </row>
    <row r="31" spans="1:34" ht="159.5">
      <c r="A31" t="s">
        <v>125</v>
      </c>
      <c r="B31" s="3" t="s">
        <v>261</v>
      </c>
      <c r="C31" s="3" t="s">
        <v>260</v>
      </c>
      <c r="G31" s="7" t="s">
        <v>25</v>
      </c>
      <c r="H31" s="7"/>
      <c r="I31" s="7">
        <v>7</v>
      </c>
      <c r="J31" s="7">
        <v>32</v>
      </c>
      <c r="K31" s="7"/>
      <c r="L31" s="7" t="s">
        <v>326</v>
      </c>
      <c r="M31" s="7" t="s">
        <v>395</v>
      </c>
      <c r="N31" s="8" t="s">
        <v>402</v>
      </c>
      <c r="O31" s="7"/>
      <c r="P31" s="7"/>
      <c r="Q31" s="7" t="str">
        <f t="shared" si="0"/>
        <v/>
      </c>
      <c r="R31" s="7"/>
      <c r="S31" s="7" t="s">
        <v>452</v>
      </c>
      <c r="T31" s="7" t="s">
        <v>452</v>
      </c>
      <c r="U31" s="7"/>
      <c r="V31" s="7"/>
      <c r="W31" s="7"/>
      <c r="X31" s="7"/>
      <c r="Y31" s="7"/>
      <c r="Z31" s="7"/>
      <c r="AA31" s="7"/>
      <c r="AB31" s="7"/>
      <c r="AC31" s="7"/>
      <c r="AD31" s="7"/>
      <c r="AE31" t="s">
        <v>20</v>
      </c>
      <c r="AF31" t="s">
        <v>20</v>
      </c>
      <c r="AH31">
        <v>0</v>
      </c>
    </row>
    <row r="32" spans="1:34" ht="174">
      <c r="A32" t="s">
        <v>129</v>
      </c>
      <c r="B32" s="3" t="s">
        <v>264</v>
      </c>
      <c r="C32" s="3" t="s">
        <v>267</v>
      </c>
      <c r="G32" s="7" t="s">
        <v>24</v>
      </c>
      <c r="H32" s="7"/>
      <c r="I32" s="7">
        <v>1</v>
      </c>
      <c r="J32" s="7">
        <v>3</v>
      </c>
      <c r="K32" s="7" t="s">
        <v>341</v>
      </c>
      <c r="L32" s="7" t="s">
        <v>332</v>
      </c>
      <c r="M32" s="7"/>
      <c r="N32" s="8"/>
      <c r="O32" s="7"/>
      <c r="P32" s="7">
        <v>86</v>
      </c>
      <c r="Q32" s="7">
        <f t="shared" si="0"/>
        <v>42.285377126561116</v>
      </c>
      <c r="R32" s="7"/>
      <c r="S32" s="7" t="s">
        <v>452</v>
      </c>
      <c r="T32" s="7" t="s">
        <v>452</v>
      </c>
      <c r="U32" s="7"/>
      <c r="V32" s="7"/>
      <c r="W32" s="7"/>
      <c r="X32" s="7"/>
      <c r="Y32" s="7"/>
      <c r="Z32" s="7"/>
      <c r="AA32" s="7"/>
      <c r="AB32" s="7"/>
      <c r="AC32" s="7"/>
      <c r="AD32" s="7"/>
      <c r="AE32" t="s">
        <v>19</v>
      </c>
      <c r="AF32" t="s">
        <v>19</v>
      </c>
      <c r="AH32">
        <v>1</v>
      </c>
    </row>
    <row r="33" spans="1:34" ht="101.5">
      <c r="A33" t="s">
        <v>129</v>
      </c>
      <c r="B33" s="3" t="s">
        <v>273</v>
      </c>
      <c r="C33" s="3" t="s">
        <v>270</v>
      </c>
      <c r="G33" s="7" t="s">
        <v>25</v>
      </c>
      <c r="H33" s="7"/>
      <c r="I33" s="7">
        <v>1</v>
      </c>
      <c r="J33" s="7">
        <v>9</v>
      </c>
      <c r="K33" s="7" t="s">
        <v>383</v>
      </c>
      <c r="L33" s="7" t="s">
        <v>332</v>
      </c>
      <c r="M33" s="7"/>
      <c r="N33" s="8"/>
      <c r="O33" s="7"/>
      <c r="P33" s="7">
        <v>18</v>
      </c>
      <c r="Q33" s="7">
        <f t="shared" si="0"/>
        <v>8.8504277706755818</v>
      </c>
      <c r="R33" s="7"/>
      <c r="S33" s="7" t="s">
        <v>452</v>
      </c>
      <c r="T33" s="7" t="s">
        <v>452</v>
      </c>
      <c r="U33" s="7"/>
      <c r="V33" s="7"/>
      <c r="W33" s="7"/>
      <c r="X33" s="7"/>
      <c r="Y33" s="7"/>
      <c r="Z33" s="7"/>
      <c r="AA33" s="7"/>
      <c r="AB33" s="7"/>
      <c r="AC33" s="7"/>
      <c r="AD33" s="7"/>
      <c r="AE33" t="s">
        <v>19</v>
      </c>
      <c r="AF33" t="s">
        <v>20</v>
      </c>
      <c r="AH33">
        <v>1</v>
      </c>
    </row>
    <row r="34" spans="1:34" ht="58">
      <c r="A34" t="s">
        <v>135</v>
      </c>
      <c r="B34" s="3" t="s">
        <v>278</v>
      </c>
      <c r="C34" s="3" t="s">
        <v>277</v>
      </c>
      <c r="G34" s="7" t="s">
        <v>25</v>
      </c>
      <c r="H34" s="7"/>
      <c r="I34" s="7">
        <v>1</v>
      </c>
      <c r="J34" s="7">
        <v>3</v>
      </c>
      <c r="K34" s="7" t="s">
        <v>331</v>
      </c>
      <c r="L34" s="7" t="s">
        <v>332</v>
      </c>
      <c r="M34" s="7"/>
      <c r="N34" s="8"/>
      <c r="O34" s="7"/>
      <c r="P34" s="7">
        <v>2475</v>
      </c>
      <c r="Q34" s="7">
        <f t="shared" si="0"/>
        <v>1216.9338184678927</v>
      </c>
      <c r="R34" s="7"/>
      <c r="S34" s="7" t="s">
        <v>452</v>
      </c>
      <c r="T34" s="7" t="s">
        <v>452</v>
      </c>
      <c r="U34" s="7"/>
      <c r="V34" s="7"/>
      <c r="W34" s="7"/>
      <c r="X34" s="7"/>
      <c r="Y34" s="7"/>
      <c r="Z34" s="7"/>
      <c r="AA34" s="7"/>
      <c r="AB34" s="7"/>
      <c r="AC34" s="7"/>
      <c r="AD34" s="7"/>
      <c r="AE34" t="s">
        <v>19</v>
      </c>
      <c r="AF34" t="s">
        <v>19</v>
      </c>
      <c r="AH34">
        <v>1</v>
      </c>
    </row>
    <row r="35" spans="1:34" ht="29">
      <c r="A35" t="s">
        <v>138</v>
      </c>
      <c r="B35" s="3" t="s">
        <v>282</v>
      </c>
      <c r="C35" s="3" t="s">
        <v>281</v>
      </c>
      <c r="G35" s="7" t="s">
        <v>25</v>
      </c>
      <c r="H35" s="7"/>
      <c r="I35" s="7">
        <v>1</v>
      </c>
      <c r="J35" s="7">
        <v>2</v>
      </c>
      <c r="K35" s="7" t="s">
        <v>341</v>
      </c>
      <c r="L35" s="7" t="s">
        <v>373</v>
      </c>
      <c r="M35" s="7"/>
      <c r="N35" s="8"/>
      <c r="O35" s="7"/>
      <c r="P35" s="7">
        <v>171</v>
      </c>
      <c r="Q35" s="7">
        <f t="shared" si="0"/>
        <v>84.079063821418046</v>
      </c>
      <c r="R35" s="7"/>
      <c r="S35" s="7" t="s">
        <v>452</v>
      </c>
      <c r="T35" s="7" t="s">
        <v>452</v>
      </c>
      <c r="U35" s="7"/>
      <c r="V35" s="7"/>
      <c r="W35" s="7"/>
      <c r="X35" s="7"/>
      <c r="Y35" s="7"/>
      <c r="Z35" s="7"/>
      <c r="AA35" s="7"/>
      <c r="AB35" s="7"/>
      <c r="AC35" s="7"/>
      <c r="AD35" s="7"/>
      <c r="AE35" t="s">
        <v>19</v>
      </c>
      <c r="AF35" t="s">
        <v>20</v>
      </c>
      <c r="AH35">
        <v>1</v>
      </c>
    </row>
    <row r="36" spans="1:34" ht="29">
      <c r="A36" t="s">
        <v>138</v>
      </c>
      <c r="B36" s="3" t="s">
        <v>284</v>
      </c>
      <c r="C36" s="3" t="s">
        <v>283</v>
      </c>
      <c r="G36" s="7" t="s">
        <v>25</v>
      </c>
      <c r="H36" s="7"/>
      <c r="I36" s="7">
        <v>1</v>
      </c>
      <c r="J36" s="7">
        <v>2</v>
      </c>
      <c r="K36" s="7" t="s">
        <v>350</v>
      </c>
      <c r="L36" s="7" t="s">
        <v>373</v>
      </c>
      <c r="M36" s="7"/>
      <c r="N36" s="8"/>
      <c r="O36" s="7"/>
      <c r="P36" s="7">
        <v>613</v>
      </c>
      <c r="Q36" s="7">
        <f t="shared" si="0"/>
        <v>301.40623463467404</v>
      </c>
      <c r="R36" s="7"/>
      <c r="S36" s="7" t="s">
        <v>452</v>
      </c>
      <c r="T36" s="7" t="s">
        <v>452</v>
      </c>
      <c r="U36" s="7"/>
      <c r="V36" s="7"/>
      <c r="W36" s="7"/>
      <c r="X36" s="7"/>
      <c r="Y36" s="7"/>
      <c r="Z36" s="7"/>
      <c r="AA36" s="7"/>
      <c r="AB36" s="7"/>
      <c r="AC36" s="7"/>
      <c r="AD36" s="7"/>
      <c r="AE36" t="s">
        <v>19</v>
      </c>
      <c r="AF36" t="s">
        <v>19</v>
      </c>
      <c r="AH36">
        <v>1</v>
      </c>
    </row>
    <row r="37" spans="1:34" ht="43.5">
      <c r="A37" t="s">
        <v>139</v>
      </c>
      <c r="B37" s="3" t="s">
        <v>289</v>
      </c>
      <c r="C37" s="3" t="s">
        <v>288</v>
      </c>
      <c r="G37" s="7" t="s">
        <v>25</v>
      </c>
      <c r="H37" s="7"/>
      <c r="I37" s="7">
        <v>1</v>
      </c>
      <c r="J37" s="7">
        <v>3</v>
      </c>
      <c r="K37" s="7" t="s">
        <v>341</v>
      </c>
      <c r="L37" s="7" t="s">
        <v>332</v>
      </c>
      <c r="M37" s="7"/>
      <c r="N37" s="8"/>
      <c r="O37" s="7"/>
      <c r="P37" s="7">
        <v>1701</v>
      </c>
      <c r="Q37" s="7">
        <f t="shared" si="0"/>
        <v>836.36542432884255</v>
      </c>
      <c r="R37" s="7"/>
      <c r="S37" s="7" t="s">
        <v>452</v>
      </c>
      <c r="T37" s="7" t="s">
        <v>452</v>
      </c>
      <c r="U37" s="7"/>
      <c r="V37" s="7"/>
      <c r="W37" s="7"/>
      <c r="X37" s="7"/>
      <c r="Y37" s="7"/>
      <c r="Z37" s="7"/>
      <c r="AA37" s="7"/>
      <c r="AB37" s="7"/>
      <c r="AC37" s="7"/>
      <c r="AD37" s="7"/>
      <c r="AE37" t="s">
        <v>19</v>
      </c>
      <c r="AF37" t="s">
        <v>19</v>
      </c>
      <c r="AH37">
        <v>1</v>
      </c>
    </row>
    <row r="38" spans="1:34" ht="29">
      <c r="A38" t="s">
        <v>141</v>
      </c>
      <c r="B38" s="3" t="s">
        <v>293</v>
      </c>
      <c r="C38" s="3" t="s">
        <v>292</v>
      </c>
      <c r="G38" s="7" t="s">
        <v>25</v>
      </c>
      <c r="H38" s="7"/>
      <c r="I38" s="7">
        <v>1</v>
      </c>
      <c r="J38" s="7">
        <v>3</v>
      </c>
      <c r="K38" s="7" t="s">
        <v>341</v>
      </c>
      <c r="L38" s="7" t="s">
        <v>332</v>
      </c>
      <c r="M38" s="7"/>
      <c r="N38" s="8"/>
      <c r="O38" s="7"/>
      <c r="P38" s="7">
        <v>1701</v>
      </c>
      <c r="Q38" s="7">
        <f t="shared" si="0"/>
        <v>836.36542432884255</v>
      </c>
      <c r="R38" s="7"/>
      <c r="S38" s="7" t="s">
        <v>452</v>
      </c>
      <c r="T38" s="7" t="s">
        <v>452</v>
      </c>
      <c r="U38" s="7"/>
      <c r="V38" s="7"/>
      <c r="W38" s="7"/>
      <c r="X38" s="7"/>
      <c r="Y38" s="7"/>
      <c r="Z38" s="7"/>
      <c r="AA38" s="7"/>
      <c r="AB38" s="7"/>
      <c r="AC38" s="7"/>
      <c r="AD38" s="7"/>
      <c r="AE38" t="s">
        <v>19</v>
      </c>
      <c r="AF38" t="s">
        <v>19</v>
      </c>
      <c r="AH38">
        <v>1</v>
      </c>
    </row>
    <row r="39" spans="1:34" ht="29">
      <c r="A39" t="s">
        <v>142</v>
      </c>
      <c r="B39" s="3" t="s">
        <v>294</v>
      </c>
      <c r="C39" s="3" t="s">
        <v>295</v>
      </c>
      <c r="G39" s="7" t="s">
        <v>25</v>
      </c>
      <c r="H39" s="7"/>
      <c r="I39" s="7">
        <v>1</v>
      </c>
      <c r="J39" s="7">
        <v>2</v>
      </c>
      <c r="K39" s="7" t="s">
        <v>377</v>
      </c>
      <c r="L39" s="7" t="s">
        <v>373</v>
      </c>
      <c r="M39" s="7"/>
      <c r="N39" s="8"/>
      <c r="O39" s="7"/>
      <c r="P39" s="7">
        <v>10</v>
      </c>
      <c r="Q39" s="7">
        <f t="shared" si="0"/>
        <v>4.9169043170419897</v>
      </c>
      <c r="R39" s="7"/>
      <c r="S39" s="7" t="s">
        <v>452</v>
      </c>
      <c r="T39" s="7" t="s">
        <v>452</v>
      </c>
      <c r="U39" s="7"/>
      <c r="V39" s="7"/>
      <c r="W39" s="7"/>
      <c r="X39" s="7"/>
      <c r="Y39" s="7"/>
      <c r="Z39" s="7"/>
      <c r="AA39" s="7"/>
      <c r="AB39" s="7"/>
      <c r="AC39" s="7"/>
      <c r="AD39" s="7"/>
      <c r="AE39" t="s">
        <v>19</v>
      </c>
      <c r="AF39" t="s">
        <v>20</v>
      </c>
      <c r="AH39">
        <v>1</v>
      </c>
    </row>
    <row r="40" spans="1:34" ht="29">
      <c r="A40" t="s">
        <v>147</v>
      </c>
      <c r="B40" s="3" t="s">
        <v>305</v>
      </c>
      <c r="C40" s="3" t="s">
        <v>304</v>
      </c>
      <c r="G40" s="7" t="s">
        <v>25</v>
      </c>
      <c r="H40" s="7"/>
      <c r="I40" s="7">
        <v>1</v>
      </c>
      <c r="J40" s="7">
        <v>1</v>
      </c>
      <c r="K40" s="7" t="s">
        <v>331</v>
      </c>
      <c r="L40" s="7" t="s">
        <v>373</v>
      </c>
      <c r="M40" s="7"/>
      <c r="N40" s="8"/>
      <c r="O40" s="7"/>
      <c r="P40" s="7">
        <v>2475</v>
      </c>
      <c r="Q40" s="7">
        <f t="shared" si="0"/>
        <v>1216.9338184678927</v>
      </c>
      <c r="R40" s="7"/>
      <c r="S40" s="7" t="s">
        <v>452</v>
      </c>
      <c r="T40" s="7" t="s">
        <v>452</v>
      </c>
      <c r="U40" s="7"/>
      <c r="V40" s="7"/>
      <c r="W40" s="7"/>
      <c r="X40" s="7"/>
      <c r="Y40" s="7"/>
      <c r="Z40" s="7"/>
      <c r="AA40" s="7"/>
      <c r="AB40" s="7"/>
      <c r="AC40" s="7"/>
      <c r="AD40" s="7"/>
      <c r="AE40" t="s">
        <v>19</v>
      </c>
      <c r="AF40" t="s">
        <v>19</v>
      </c>
      <c r="AH40">
        <v>1</v>
      </c>
    </row>
    <row r="41" spans="1:34" ht="29">
      <c r="A41" t="s">
        <v>147</v>
      </c>
      <c r="B41" s="3" t="s">
        <v>306</v>
      </c>
      <c r="C41" s="3" t="s">
        <v>307</v>
      </c>
      <c r="G41" s="7" t="s">
        <v>25</v>
      </c>
      <c r="H41" s="7"/>
      <c r="I41" s="7">
        <v>1</v>
      </c>
      <c r="J41" s="7">
        <v>1</v>
      </c>
      <c r="K41" s="7" t="s">
        <v>331</v>
      </c>
      <c r="L41" s="7" t="s">
        <v>373</v>
      </c>
      <c r="M41" s="7"/>
      <c r="N41" s="8"/>
      <c r="O41" s="7"/>
      <c r="P41" s="7">
        <v>2475</v>
      </c>
      <c r="Q41" s="7">
        <f t="shared" si="0"/>
        <v>1216.9338184678927</v>
      </c>
      <c r="R41" s="7"/>
      <c r="S41" s="7" t="s">
        <v>452</v>
      </c>
      <c r="T41" s="7" t="s">
        <v>452</v>
      </c>
      <c r="U41" s="7"/>
      <c r="V41" s="7"/>
      <c r="W41" s="7"/>
      <c r="X41" s="7"/>
      <c r="Y41" s="7"/>
      <c r="Z41" s="7"/>
      <c r="AA41" s="7"/>
      <c r="AB41" s="7"/>
      <c r="AC41" s="7"/>
      <c r="AD41" s="7"/>
      <c r="AE41" t="s">
        <v>19</v>
      </c>
      <c r="AF41" t="s">
        <v>19</v>
      </c>
      <c r="AH41">
        <v>1</v>
      </c>
    </row>
    <row r="42" spans="1:34" ht="72.5">
      <c r="A42" t="s">
        <v>152</v>
      </c>
      <c r="B42" s="3" t="s">
        <v>308</v>
      </c>
      <c r="C42" s="3" t="s">
        <v>309</v>
      </c>
      <c r="F42" t="s">
        <v>19</v>
      </c>
      <c r="G42" s="7" t="s">
        <v>24</v>
      </c>
      <c r="H42" s="7"/>
      <c r="I42" s="7">
        <v>3</v>
      </c>
      <c r="J42" s="7">
        <v>16</v>
      </c>
      <c r="K42" s="7"/>
      <c r="L42" s="7" t="s">
        <v>332</v>
      </c>
      <c r="M42" s="7"/>
      <c r="N42" s="8"/>
      <c r="O42" s="7" t="s">
        <v>333</v>
      </c>
      <c r="P42" s="7">
        <v>9</v>
      </c>
      <c r="Q42" s="7">
        <f t="shared" si="0"/>
        <v>4.4252138853377909</v>
      </c>
      <c r="R42" s="7"/>
      <c r="S42" s="7" t="s">
        <v>452</v>
      </c>
      <c r="T42" s="7" t="s">
        <v>452</v>
      </c>
      <c r="U42" s="7"/>
      <c r="V42" s="7"/>
      <c r="W42" s="7"/>
      <c r="X42" s="7"/>
      <c r="Y42" s="7"/>
      <c r="Z42" s="7"/>
      <c r="AA42" s="7"/>
      <c r="AB42" s="7"/>
      <c r="AC42" s="7"/>
      <c r="AD42" s="7"/>
      <c r="AE42" t="s">
        <v>20</v>
      </c>
      <c r="AF42" t="s">
        <v>20</v>
      </c>
      <c r="AH42">
        <v>0</v>
      </c>
    </row>
    <row r="43" spans="1:34" ht="29">
      <c r="A43" t="s">
        <v>153</v>
      </c>
      <c r="B43" s="3" t="s">
        <v>307</v>
      </c>
      <c r="C43" s="3" t="s">
        <v>306</v>
      </c>
      <c r="G43" s="7" t="s">
        <v>24</v>
      </c>
      <c r="H43" s="7"/>
      <c r="I43" s="7">
        <v>1</v>
      </c>
      <c r="J43" s="7">
        <v>1</v>
      </c>
      <c r="K43" s="7" t="s">
        <v>331</v>
      </c>
      <c r="L43" s="7" t="s">
        <v>373</v>
      </c>
      <c r="M43" s="7"/>
      <c r="N43" s="8"/>
      <c r="O43" s="7"/>
      <c r="P43" s="7">
        <v>2475</v>
      </c>
      <c r="Q43" s="7">
        <f t="shared" si="0"/>
        <v>1216.9338184678927</v>
      </c>
      <c r="R43" s="7"/>
      <c r="S43" s="7" t="s">
        <v>452</v>
      </c>
      <c r="T43" s="7" t="s">
        <v>452</v>
      </c>
      <c r="U43" s="7"/>
      <c r="V43" s="7"/>
      <c r="W43" s="7"/>
      <c r="X43" s="7"/>
      <c r="Y43" s="7"/>
      <c r="Z43" s="7"/>
      <c r="AA43" s="7"/>
      <c r="AB43" s="7"/>
      <c r="AC43" s="7"/>
      <c r="AD43" s="7"/>
      <c r="AE43" t="s">
        <v>19</v>
      </c>
      <c r="AF43" t="s">
        <v>19</v>
      </c>
      <c r="AH43">
        <v>1</v>
      </c>
    </row>
    <row r="44" spans="1:34">
      <c r="S44" s="7"/>
      <c r="T44" s="7"/>
    </row>
    <row r="45" spans="1:34">
      <c r="S45" s="7"/>
      <c r="T45" s="7"/>
    </row>
    <row r="46" spans="1:34">
      <c r="E46" t="s">
        <v>421</v>
      </c>
      <c r="F46">
        <f>COUNTIF(G:G,"Addition")</f>
        <v>14</v>
      </c>
      <c r="S46" s="7"/>
      <c r="T46" s="7"/>
    </row>
    <row r="47" spans="1:34">
      <c r="B47" t="s">
        <v>424</v>
      </c>
      <c r="C47" t="s">
        <v>425</v>
      </c>
      <c r="E47" t="s">
        <v>422</v>
      </c>
      <c r="F47">
        <f>COUNTIF(G:G,"Omission")</f>
        <v>28</v>
      </c>
      <c r="S47" s="7"/>
      <c r="T47" s="7"/>
    </row>
    <row r="48" spans="1:34">
      <c r="B48" t="s">
        <v>331</v>
      </c>
      <c r="C48" t="s">
        <v>325</v>
      </c>
      <c r="E48" t="s">
        <v>423</v>
      </c>
      <c r="F48">
        <f>F46/(F46+F47)</f>
        <v>0.33333333333333331</v>
      </c>
      <c r="S48" s="7"/>
      <c r="T48" s="7"/>
    </row>
    <row r="49" spans="2:20">
      <c r="B49" t="s">
        <v>341</v>
      </c>
      <c r="C49" t="s">
        <v>337</v>
      </c>
      <c r="S49" s="7"/>
      <c r="T49" s="7"/>
    </row>
    <row r="50" spans="2:20">
      <c r="B50" t="s">
        <v>348</v>
      </c>
      <c r="C50" t="s">
        <v>346</v>
      </c>
      <c r="S50" s="7"/>
      <c r="T50" s="7"/>
    </row>
    <row r="51" spans="2:20">
      <c r="B51" t="s">
        <v>350</v>
      </c>
      <c r="C51" t="s">
        <v>352</v>
      </c>
      <c r="E51" t="s">
        <v>426</v>
      </c>
      <c r="F51">
        <f>COUNTIFS(G:G,"Addition", K:K,"Article")+COUNTIFS(G:G,"Addition", K:K,"Conjunction")+COUNTIFS(G:G,"Addition", K:K,"Pronoun")+COUNTIFS(G:G,"Addition", K:K,"Preposition")+COUNTIFS(G:G,"Addition", K:K,"Particle")+COUNTIFS(G:G,"Addition", K:K,"Vocative")</f>
        <v>12</v>
      </c>
      <c r="S51" s="7"/>
      <c r="T51" s="7"/>
    </row>
    <row r="52" spans="2:20">
      <c r="B52" t="s">
        <v>377</v>
      </c>
      <c r="C52" t="s">
        <v>383</v>
      </c>
      <c r="E52" t="s">
        <v>427</v>
      </c>
      <c r="F52">
        <f>COUNTIFS(G:G,"Omission", K:K,"Article")+COUNTIFS(G:G,"Omission", K:K,"Conjunction")+COUNTIFS(G:G,"Omission", K:K,"Pronoun")+COUNTIFS(G:G,"Omission", K:K,"Preposition")+COUNTIFS(G:G,"Omission", K:K,"Particle")+COUNTIFS(G:G,"Omission", K:K,"Vocative")</f>
        <v>22</v>
      </c>
      <c r="S52" s="7"/>
      <c r="T52" s="7"/>
    </row>
    <row r="53" spans="2:20">
      <c r="B53" t="s">
        <v>353</v>
      </c>
      <c r="E53" t="s">
        <v>428</v>
      </c>
      <c r="F53">
        <f>F51/(F51+F52)</f>
        <v>0.35294117647058826</v>
      </c>
      <c r="S53" s="7"/>
      <c r="T53" s="7"/>
    </row>
    <row r="54" spans="2:20">
      <c r="S54" s="7"/>
      <c r="T54" s="7"/>
    </row>
    <row r="55" spans="2:20">
      <c r="S55" s="7"/>
      <c r="T55" s="7"/>
    </row>
    <row r="56" spans="2:20">
      <c r="E56" t="s">
        <v>433</v>
      </c>
      <c r="F56">
        <f>COUNTIFS(G:G,"Addition", K:K,"Adjective")+COUNTIFS(G:G,"Addition", K:K,"Adverb")+COUNTIFS(G:G,"Addition", K:K,"Noun")+COUNTIFS(G:G,"Addition", K:K,"Participle")+COUNTIFS(G:G,"Addition", K:K,"Verb")</f>
        <v>1</v>
      </c>
      <c r="S56" s="7"/>
      <c r="T56" s="7"/>
    </row>
    <row r="57" spans="2:20">
      <c r="E57" t="s">
        <v>434</v>
      </c>
      <c r="F57">
        <f>COUNTIFS(G:G,"Omission", K:K,"Adjective")+COUNTIFS(G:G,"Omission", K:K,"Adverb")+COUNTIFS(G:G,"Omission", K:K,"Noun")+COUNTIFS(G:G,"Omission", K:K,"Participle")+COUNTIFS(G:G,"Omission", K:K,"Verb")</f>
        <v>3</v>
      </c>
      <c r="S57" s="7"/>
      <c r="T57" s="7"/>
    </row>
    <row r="58" spans="2:20">
      <c r="E58" t="s">
        <v>435</v>
      </c>
      <c r="F58">
        <f>F56/(F56+F57)</f>
        <v>0.25</v>
      </c>
      <c r="S58" s="7"/>
      <c r="T58" s="7"/>
    </row>
    <row r="59" spans="2:20">
      <c r="E59" t="s">
        <v>440</v>
      </c>
      <c r="F59">
        <f>F58-F53</f>
        <v>-0.10294117647058826</v>
      </c>
      <c r="S59" s="7"/>
      <c r="T59" s="7"/>
    </row>
    <row r="60" spans="2:20">
      <c r="S60" s="7"/>
      <c r="T60" s="7"/>
    </row>
    <row r="61" spans="2:20">
      <c r="S61" s="7"/>
      <c r="T61" s="7"/>
    </row>
    <row r="62" spans="2:20">
      <c r="D62" s="11" t="s">
        <v>436</v>
      </c>
      <c r="E62" s="11"/>
      <c r="F62" s="11"/>
      <c r="S62" s="7"/>
      <c r="T62" s="7"/>
    </row>
    <row r="63" spans="2:20">
      <c r="D63" t="s">
        <v>326</v>
      </c>
      <c r="E63" t="s">
        <v>437</v>
      </c>
      <c r="F63" t="s">
        <v>438</v>
      </c>
      <c r="S63" s="7"/>
      <c r="T63" s="7"/>
    </row>
    <row r="64" spans="2:20">
      <c r="C64" t="s">
        <v>430</v>
      </c>
      <c r="D64">
        <f>COUNTIFS(G:G,"Addition", L:L, "Present")</f>
        <v>1</v>
      </c>
      <c r="E64">
        <f>COUNTIFS(G:G,"Addition", L:L, "Absent")</f>
        <v>8</v>
      </c>
      <c r="F64">
        <f>D64/(D64+E64)</f>
        <v>0.1111111111111111</v>
      </c>
      <c r="S64" s="7"/>
      <c r="T64" s="7"/>
    </row>
    <row r="65" spans="3:20">
      <c r="C65" t="s">
        <v>431</v>
      </c>
      <c r="D65">
        <f>COUNTIFS(G:G,"Omission", L:L, "Present")</f>
        <v>5</v>
      </c>
      <c r="E65">
        <f>COUNTIFS(G:G,"Omission", L:L, "Absent")</f>
        <v>10</v>
      </c>
      <c r="F65">
        <f>D65/(D65+E65)</f>
        <v>0.33333333333333331</v>
      </c>
      <c r="S65" s="7"/>
      <c r="T65" s="7"/>
    </row>
    <row r="66" spans="3:20">
      <c r="C66" t="s">
        <v>439</v>
      </c>
      <c r="D66">
        <f>SUM(D64+D65)</f>
        <v>6</v>
      </c>
      <c r="E66">
        <f>SUM(E64+E65)</f>
        <v>18</v>
      </c>
      <c r="F66">
        <f>D66/(D66+E66)</f>
        <v>0.25</v>
      </c>
      <c r="S66" s="7"/>
      <c r="T66" s="7"/>
    </row>
    <row r="67" spans="3:20">
      <c r="S67" s="7"/>
      <c r="T67" s="7"/>
    </row>
    <row r="68" spans="3:20">
      <c r="S68" s="7"/>
      <c r="T68" s="7"/>
    </row>
    <row r="69" spans="3:20">
      <c r="D69" t="s">
        <v>430</v>
      </c>
      <c r="E69" t="s">
        <v>431</v>
      </c>
      <c r="F69" t="s">
        <v>443</v>
      </c>
      <c r="S69" s="7"/>
      <c r="T69" s="7"/>
    </row>
    <row r="70" spans="3:20">
      <c r="C70" t="s">
        <v>442</v>
      </c>
      <c r="D70">
        <f>COUNTIFS(G:G,"Addition", L:L, "Absent")</f>
        <v>8</v>
      </c>
      <c r="E70">
        <f>COUNTIFS(G:G,"Omission", L:L, "Absent")</f>
        <v>10</v>
      </c>
      <c r="F70">
        <f>D70/(D70+E70)</f>
        <v>0.44444444444444442</v>
      </c>
      <c r="S70" s="7"/>
      <c r="T70" s="7"/>
    </row>
    <row r="71" spans="3:20">
      <c r="C71" t="s">
        <v>441</v>
      </c>
      <c r="D71">
        <f>COUNTIFS(G:G,"Addition", L:L, "Present")</f>
        <v>1</v>
      </c>
      <c r="E71">
        <f>COUNTIFS(G:G,"Omission", L:L, "Present")</f>
        <v>5</v>
      </c>
      <c r="F71">
        <f>D71/(D71+E71)</f>
        <v>0.16666666666666666</v>
      </c>
      <c r="S71" s="7"/>
      <c r="T71" s="7"/>
    </row>
    <row r="72" spans="3:20">
      <c r="E72" t="s">
        <v>496</v>
      </c>
      <c r="F72">
        <f>F71-F70</f>
        <v>-0.27777777777777779</v>
      </c>
      <c r="S72" s="7"/>
      <c r="T72" s="7"/>
    </row>
    <row r="73" spans="3:20">
      <c r="S73" s="7"/>
      <c r="T73" s="7"/>
    </row>
    <row r="74" spans="3:20">
      <c r="S74" s="7"/>
      <c r="T74" s="7"/>
    </row>
    <row r="75" spans="3:20">
      <c r="D75" t="s">
        <v>430</v>
      </c>
      <c r="E75" t="s">
        <v>431</v>
      </c>
      <c r="F75" t="s">
        <v>443</v>
      </c>
      <c r="S75" s="7"/>
      <c r="T75" s="7"/>
    </row>
    <row r="76" spans="3:20">
      <c r="C76" t="s">
        <v>444</v>
      </c>
      <c r="D76">
        <f>COUNTIFS(G:G,"Addition", O:O, "")</f>
        <v>13</v>
      </c>
      <c r="E76">
        <f>COUNTIFS(G:G,"Omission", O:O, "")</f>
        <v>27</v>
      </c>
      <c r="F76">
        <f>D76/(D76+E76)</f>
        <v>0.32500000000000001</v>
      </c>
      <c r="S76" s="7"/>
      <c r="T76" s="7"/>
    </row>
    <row r="77" spans="3:20">
      <c r="C77" t="s">
        <v>445</v>
      </c>
      <c r="D77">
        <f>COUNTIFS(G:G,"Addition", O:O, "Dittography")</f>
        <v>0</v>
      </c>
      <c r="E77">
        <f>COUNTIFS(G:G,"Omission", O:O, "Dittography")</f>
        <v>1</v>
      </c>
      <c r="F77">
        <f>D77/(D77+E77)</f>
        <v>0</v>
      </c>
      <c r="S77" s="7"/>
      <c r="T77" s="7"/>
    </row>
    <row r="78" spans="3:20">
      <c r="E78" t="s">
        <v>496</v>
      </c>
      <c r="F78">
        <f>F77-F76</f>
        <v>-0.32500000000000001</v>
      </c>
      <c r="S78" s="7"/>
      <c r="T78" s="7"/>
    </row>
    <row r="79" spans="3:20">
      <c r="S79" s="7"/>
      <c r="T79" s="7"/>
    </row>
    <row r="80" spans="3:20">
      <c r="S80" s="7"/>
      <c r="T80" s="7"/>
    </row>
    <row r="81" spans="3:20">
      <c r="C81" t="s">
        <v>429</v>
      </c>
      <c r="D81" t="s">
        <v>430</v>
      </c>
      <c r="E81" t="s">
        <v>431</v>
      </c>
      <c r="F81" t="s">
        <v>443</v>
      </c>
      <c r="S81" s="7"/>
      <c r="T81" s="7"/>
    </row>
    <row r="82" spans="3:20">
      <c r="C82" s="9">
        <v>1</v>
      </c>
      <c r="D82">
        <f>COUNTIFS(G:G,"Addition", I:I, 1)</f>
        <v>13</v>
      </c>
      <c r="E82">
        <f>COUNTIFS(G:G,"Omission", I:I, 1)</f>
        <v>25</v>
      </c>
      <c r="F82">
        <f>D82/(D82+E82)</f>
        <v>0.34210526315789475</v>
      </c>
      <c r="S82" s="7"/>
      <c r="T82" s="7"/>
    </row>
    <row r="83" spans="3:20">
      <c r="C83" s="9" t="s">
        <v>446</v>
      </c>
      <c r="D83">
        <f>COUNTIFS(G:G,"Addition", I:I, "&gt;=2", I:I, "&lt;=3")</f>
        <v>1</v>
      </c>
      <c r="E83">
        <f>COUNTIFS(G:G,"Omission", I:I, "&gt;=2", I:I, "&lt;=3")</f>
        <v>0</v>
      </c>
      <c r="F83">
        <f t="shared" ref="F83:F84" si="1">D83/(D83+E83)</f>
        <v>1</v>
      </c>
      <c r="S83" s="7"/>
      <c r="T83" s="7"/>
    </row>
    <row r="84" spans="3:20">
      <c r="C84" s="9" t="s">
        <v>447</v>
      </c>
      <c r="D84">
        <f>COUNTIFS(G:G,"Addition", I:I, "&gt;=4")</f>
        <v>0</v>
      </c>
      <c r="E84">
        <f>COUNTIFS(G:G,"Omission", I:I, "&gt;=4")</f>
        <v>3</v>
      </c>
      <c r="F84">
        <f t="shared" si="1"/>
        <v>0</v>
      </c>
      <c r="S84" s="7"/>
      <c r="T84" s="7"/>
    </row>
    <row r="85" spans="3:20">
      <c r="S85" s="7"/>
      <c r="T85" s="7"/>
    </row>
    <row r="86" spans="3:20">
      <c r="S86" s="7"/>
      <c r="T86" s="7"/>
    </row>
    <row r="87" spans="3:20">
      <c r="C87" t="s">
        <v>429</v>
      </c>
      <c r="D87" t="s">
        <v>430</v>
      </c>
      <c r="E87" t="s">
        <v>431</v>
      </c>
      <c r="F87" t="s">
        <v>432</v>
      </c>
      <c r="S87" s="7"/>
      <c r="T87" s="7"/>
    </row>
    <row r="88" spans="3:20">
      <c r="C88">
        <v>1</v>
      </c>
      <c r="D88" s="9">
        <f>COUNTIFS(G:G,"Addition", I:I, C88)</f>
        <v>13</v>
      </c>
      <c r="E88">
        <f>COUNTIFS(G:G,"Omission", I:I, C88)</f>
        <v>25</v>
      </c>
      <c r="F88">
        <f>D88/(D88+E88)</f>
        <v>0.34210526315789475</v>
      </c>
      <c r="S88" s="7"/>
      <c r="T88" s="7"/>
    </row>
    <row r="89" spans="3:20">
      <c r="C89">
        <v>2</v>
      </c>
      <c r="D89" s="9">
        <f>COUNTIFS(G:G,"Addition", I:I, C89)</f>
        <v>0</v>
      </c>
      <c r="E89">
        <f>COUNTIFS(G:G,"Omission", I:I, C89)</f>
        <v>0</v>
      </c>
      <c r="F89" t="e">
        <f t="shared" ref="F89:F92" si="2">D89/(D89+E89)</f>
        <v>#DIV/0!</v>
      </c>
      <c r="S89" s="7"/>
      <c r="T89" s="7"/>
    </row>
    <row r="90" spans="3:20">
      <c r="C90">
        <v>3</v>
      </c>
      <c r="D90" s="9">
        <f>COUNTIFS(G:G,"Addition", I:I, C90)</f>
        <v>1</v>
      </c>
      <c r="E90">
        <f>COUNTIFS(G:G,"Omission", I:I, C90)</f>
        <v>0</v>
      </c>
      <c r="F90">
        <f t="shared" si="2"/>
        <v>1</v>
      </c>
      <c r="S90" s="7"/>
      <c r="T90" s="7"/>
    </row>
    <row r="91" spans="3:20">
      <c r="C91">
        <v>4</v>
      </c>
      <c r="D91" s="9">
        <f>COUNTIFS(G:G,"Addition", I:I, C91)</f>
        <v>0</v>
      </c>
      <c r="E91">
        <f>COUNTIFS(G:G,"Omission", I:I, C91)</f>
        <v>0</v>
      </c>
      <c r="F91" t="e">
        <f t="shared" si="2"/>
        <v>#DIV/0!</v>
      </c>
      <c r="S91" s="7"/>
      <c r="T91" s="7"/>
    </row>
    <row r="92" spans="3:20">
      <c r="C92" t="s">
        <v>448</v>
      </c>
      <c r="D92" s="9">
        <f>COUNTIFS(G:G,"Addition", I:I, C92)</f>
        <v>0</v>
      </c>
      <c r="E92">
        <f>COUNTIFS(G:G,"Omission", I:I, C92)</f>
        <v>3</v>
      </c>
      <c r="F92">
        <f t="shared" si="2"/>
        <v>0</v>
      </c>
      <c r="S92" s="7"/>
      <c r="T92" s="7"/>
    </row>
    <row r="93" spans="3:20">
      <c r="D93" s="9"/>
      <c r="S93" s="7"/>
      <c r="T93" s="7"/>
    </row>
    <row r="94" spans="3:20">
      <c r="S94" s="7"/>
      <c r="T94" s="7"/>
    </row>
    <row r="95" spans="3:20">
      <c r="E95" t="s">
        <v>449</v>
      </c>
      <c r="F95">
        <v>20338</v>
      </c>
      <c r="S95" s="7"/>
      <c r="T95" s="7"/>
    </row>
    <row r="96" spans="3:20">
      <c r="S96" s="7"/>
      <c r="T96" s="7"/>
    </row>
    <row r="97" spans="19:20">
      <c r="S97" s="7"/>
      <c r="T97" s="7"/>
    </row>
    <row r="98" spans="19:20">
      <c r="S98" s="7"/>
      <c r="T98" s="7"/>
    </row>
    <row r="99" spans="19:20">
      <c r="S99" s="7"/>
      <c r="T99" s="7"/>
    </row>
    <row r="100" spans="19:20">
      <c r="S100" s="7"/>
      <c r="T100" s="7"/>
    </row>
    <row r="101" spans="19:20">
      <c r="S101" s="7"/>
      <c r="T101" s="7"/>
    </row>
    <row r="102" spans="19:20">
      <c r="S102" s="7"/>
      <c r="T102" s="7"/>
    </row>
    <row r="103" spans="19:20">
      <c r="S103" s="7"/>
      <c r="T103" s="7"/>
    </row>
    <row r="104" spans="19:20">
      <c r="S104" s="7"/>
      <c r="T104" s="7"/>
    </row>
    <row r="105" spans="19:20">
      <c r="S105" s="7"/>
      <c r="T105" s="7"/>
    </row>
    <row r="106" spans="19:20">
      <c r="S106" s="7"/>
      <c r="T106" s="7"/>
    </row>
    <row r="107" spans="19:20">
      <c r="S107" s="7"/>
      <c r="T107" s="7"/>
    </row>
    <row r="108" spans="19:20">
      <c r="S108" s="7"/>
      <c r="T108" s="7"/>
    </row>
    <row r="109" spans="19:20">
      <c r="S109" s="7"/>
      <c r="T109" s="7"/>
    </row>
    <row r="110" spans="19:20">
      <c r="S110" s="7"/>
      <c r="T110" s="7"/>
    </row>
    <row r="111" spans="19:20">
      <c r="S111" s="7"/>
      <c r="T111" s="7"/>
    </row>
    <row r="112" spans="19:20">
      <c r="S112" s="7"/>
      <c r="T112" s="7"/>
    </row>
    <row r="113" spans="19:20">
      <c r="S113" s="7"/>
      <c r="T113" s="7"/>
    </row>
    <row r="114" spans="19:20">
      <c r="S114" s="7"/>
      <c r="T114" s="7"/>
    </row>
    <row r="115" spans="19:20">
      <c r="S115" s="7"/>
      <c r="T115" s="7"/>
    </row>
    <row r="116" spans="19:20">
      <c r="S116" s="7"/>
      <c r="T116" s="7"/>
    </row>
    <row r="117" spans="19:20">
      <c r="S117" s="7"/>
      <c r="T117" s="7"/>
    </row>
    <row r="118" spans="19:20">
      <c r="S118" s="7"/>
      <c r="T118" s="7"/>
    </row>
    <row r="119" spans="19:20">
      <c r="S119" s="7"/>
      <c r="T119" s="7"/>
    </row>
    <row r="120" spans="19:20">
      <c r="S120" s="7"/>
      <c r="T120" s="7"/>
    </row>
    <row r="121" spans="19:20">
      <c r="S121" s="7"/>
      <c r="T121" s="7"/>
    </row>
    <row r="122" spans="19:20">
      <c r="S122" s="7"/>
      <c r="T122" s="7"/>
    </row>
    <row r="123" spans="19:20">
      <c r="S123" s="7"/>
      <c r="T123" s="7"/>
    </row>
    <row r="124" spans="19:20">
      <c r="S124" s="7"/>
      <c r="T124" s="7"/>
    </row>
  </sheetData>
  <mergeCells count="1">
    <mergeCell ref="D62:F62"/>
  </mergeCells>
  <conditionalFormatting sqref="G2:G43">
    <cfRule type="expression" dxfId="279" priority="7">
      <formula>$I2&lt;&gt;""</formula>
    </cfRule>
    <cfRule type="expression" dxfId="278" priority="8">
      <formula>$I2=""</formula>
    </cfRule>
  </conditionalFormatting>
  <conditionalFormatting sqref="H2:L43 O2:P43">
    <cfRule type="expression" dxfId="277" priority="21">
      <formula>AND(OR($I2="Addition",$I2="Omission"), H2="")</formula>
    </cfRule>
    <cfRule type="expression" dxfId="276" priority="22">
      <formula>AND($I2&lt;&gt;"Addition",$I2&lt;&gt;"Omission",$I2&lt;&gt;"Substitution - Word")</formula>
    </cfRule>
  </conditionalFormatting>
  <conditionalFormatting sqref="H2:P43">
    <cfRule type="expression" dxfId="275" priority="20">
      <formula>AND(OR($I2="Addition",$I2="Omission"), H2&lt;&gt;"")</formula>
    </cfRule>
  </conditionalFormatting>
  <conditionalFormatting sqref="K2:K43">
    <cfRule type="expression" dxfId="274" priority="18">
      <formula>AND($K2&lt;&gt;"",$K2&gt;1)</formula>
    </cfRule>
  </conditionalFormatting>
  <conditionalFormatting sqref="M2:N43">
    <cfRule type="expression" dxfId="273" priority="14">
      <formula>$N2="Absent"</formula>
    </cfRule>
    <cfRule type="expression" dxfId="272" priority="15">
      <formula>$N2="NA"</formula>
    </cfRule>
    <cfRule type="expression" dxfId="271" priority="16">
      <formula>AND(OR($I2="Addition",$I2="Omission"), M2="")</formula>
    </cfRule>
    <cfRule type="expression" dxfId="270" priority="17">
      <formula>AND($I2&lt;&gt;"Addition",$I2&lt;&gt;"Omission")</formula>
    </cfRule>
  </conditionalFormatting>
  <conditionalFormatting sqref="O2:O43">
    <cfRule type="expression" dxfId="269" priority="19">
      <formula>OR($I2="Addition",$I2="Omission",$I2 = "Substitution - Word")</formula>
    </cfRule>
  </conditionalFormatting>
  <conditionalFormatting sqref="Q2:Q43">
    <cfRule type="expression" dxfId="268" priority="1">
      <formula>AND(OR($I2="Addition",$I2="Omission"), Q2&lt;&gt;"")</formula>
    </cfRule>
    <cfRule type="expression" dxfId="267" priority="2">
      <formula>AND(OR($I2="Addition",$I2="Omission"), Q2="")</formula>
    </cfRule>
    <cfRule type="expression" dxfId="266" priority="3">
      <formula>AND($I2&lt;&gt;"Addition",$I2&lt;&gt;"Omission",$I2&lt;&gt;"Substitution - Word")</formula>
    </cfRule>
  </conditionalFormatting>
  <conditionalFormatting sqref="R2:T43 S44:T124">
    <cfRule type="expression" dxfId="265" priority="4">
      <formula>AND(AND(LEFT($I2,3)="Sub", RIGHT($I2,4)&lt;&gt;"Form"),$T2&lt;&gt;"")</formula>
    </cfRule>
    <cfRule type="expression" dxfId="264" priority="5">
      <formula>AND(AND(LEFT($I2,3)="Sub", RIGHT($I2,4)&lt;&gt;"Form"),$T2="")</formula>
    </cfRule>
    <cfRule type="expression" dxfId="263" priority="6">
      <formula>"&lt;&gt;AND(LEFT($J2,3)=""Sub"", RIGHT($J2,4)&lt;&gt;""Form"")"</formula>
    </cfRule>
  </conditionalFormatting>
  <conditionalFormatting sqref="U2:U43">
    <cfRule type="expression" dxfId="262" priority="10">
      <formula>AND($W2&lt;&gt;"",OR($AD2="Yes",$AE2&lt;&gt;""))</formula>
    </cfRule>
    <cfRule type="expression" dxfId="261" priority="11">
      <formula>OR($AD2="Yes",$AE2&lt;&gt;"")</formula>
    </cfRule>
    <cfRule type="expression" dxfId="260" priority="25">
      <formula>AND($AD2&lt;&gt;"Yes",$AE2="")</formula>
    </cfRule>
  </conditionalFormatting>
  <conditionalFormatting sqref="U2:AD43">
    <cfRule type="expression" dxfId="259" priority="23">
      <formula>AND($I2&lt;&gt;"",$I2&lt;&gt;"Unclear due to correction")</formula>
    </cfRule>
    <cfRule type="expression" dxfId="258" priority="24">
      <formula>OR($I2="",$I2="Unclear due to correction")</formula>
    </cfRule>
  </conditionalFormatting>
  <conditionalFormatting sqref="V2:V43">
    <cfRule type="expression" dxfId="257" priority="9">
      <formula>AND($I2&lt;&gt;"",$I2&lt;&gt;"Unclear due to correction",$X2="")</formula>
    </cfRule>
  </conditionalFormatting>
  <conditionalFormatting sqref="W2:W43">
    <cfRule type="expression" dxfId="256" priority="12">
      <formula>AND($X2="Yes",$Y2="")</formula>
    </cfRule>
    <cfRule type="expression" dxfId="255" priority="13">
      <formula>$X2=""</formula>
    </cfRule>
  </conditionalFormatting>
  <conditionalFormatting sqref="AB2:AB43">
    <cfRule type="expression" dxfId="254" priority="26">
      <formula>AND(OR($AB2&lt;&gt;"",$AC2&lt;&gt;""),$AD2="")</formula>
    </cfRule>
  </conditionalFormatting>
  <dataValidations count="1">
    <dataValidation allowBlank="1" showInputMessage="1" sqref="V2:V43" xr:uid="{D6902746-1F82-4534-B3C2-946107E72E7F}"/>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5">
        <x14:dataValidation type="list" allowBlank="1" showInputMessage="1" showErrorMessage="1" xr:uid="{28CA039E-CF90-4070-8DB7-6618F0092097}">
          <x14:formula1>
            <xm:f>'Data Regularization'!$Q$2:$Q$4</xm:f>
          </x14:formula1>
          <xm:sqref>AE2:AE43 AG2:AG43</xm:sqref>
        </x14:dataValidation>
        <x14:dataValidation type="list" allowBlank="1" showInputMessage="1" showErrorMessage="1" xr:uid="{61092ACE-4CE5-4035-B1A4-FFD065D82F8D}">
          <x14:formula1>
            <xm:f>'Data Regularization'!$D$2:$D$1048576</xm:f>
          </x14:formula1>
          <xm:sqref>G2:G43</xm:sqref>
        </x14:dataValidation>
        <x14:dataValidation type="list" allowBlank="1" showInputMessage="1" showErrorMessage="1" xr:uid="{24411696-70E1-454B-8EEB-8E8F3BA40F5E}">
          <x14:formula1>
            <xm:f>'Data Regularization'!$E$2:$E$1048576</xm:f>
          </x14:formula1>
          <xm:sqref>K2:K43</xm:sqref>
        </x14:dataValidation>
        <x14:dataValidation type="list" allowBlank="1" showInputMessage="1" showErrorMessage="1" xr:uid="{BD755891-5C74-4D8A-8554-84F7B09E9395}">
          <x14:formula1>
            <xm:f>'Data Regularization'!$F$2:$F$1048576</xm:f>
          </x14:formula1>
          <xm:sqref>L2:L43</xm:sqref>
        </x14:dataValidation>
        <x14:dataValidation type="list" allowBlank="1" showInputMessage="1" showErrorMessage="1" xr:uid="{259002B1-4E31-4D9B-A927-5F96CCCC3327}">
          <x14:formula1>
            <xm:f>'Data Regularization'!$G$2:$G$1048576</xm:f>
          </x14:formula1>
          <xm:sqref>O2:O43</xm:sqref>
        </x14:dataValidation>
        <x14:dataValidation type="list" allowBlank="1" showInputMessage="1" showErrorMessage="1" xr:uid="{380F4392-57EF-4692-85DE-403E37D8100D}">
          <x14:formula1>
            <xm:f>'Data Regularization'!$K$2:$K$1048576</xm:f>
          </x14:formula1>
          <xm:sqref>U2:U43 W2:W43</xm:sqref>
        </x14:dataValidation>
        <x14:dataValidation type="list" allowBlank="1" showInputMessage="1" showErrorMessage="1" xr:uid="{FC5D931A-A2D2-42BA-AA7F-C3341333AA2B}">
          <x14:formula1>
            <xm:f>'Data Regularization'!$L$2:$L$1048576</xm:f>
          </x14:formula1>
          <xm:sqref>X2:X43</xm:sqref>
        </x14:dataValidation>
        <x14:dataValidation type="list" allowBlank="1" showInputMessage="1" showErrorMessage="1" xr:uid="{11C7590F-6026-4064-AC81-3A57A32DD135}">
          <x14:formula1>
            <xm:f>'Data Regularization'!$M$2:$M$1048576</xm:f>
          </x14:formula1>
          <xm:sqref>Y2:Y43</xm:sqref>
        </x14:dataValidation>
        <x14:dataValidation type="list" allowBlank="1" showInputMessage="1" showErrorMessage="1" xr:uid="{1685823D-8DB6-45C5-8DD8-2EBCB3421A44}">
          <x14:formula1>
            <xm:f>'Data Regularization'!$N$2:$N$1048576</xm:f>
          </x14:formula1>
          <xm:sqref>Z2:Z43</xm:sqref>
        </x14:dataValidation>
        <x14:dataValidation type="list" allowBlank="1" showInputMessage="1" showErrorMessage="1" xr:uid="{F2DA3C2F-619D-4179-80D3-D26C94D16253}">
          <x14:formula1>
            <xm:f>'Data Regularization'!$O$2:$O$1048576</xm:f>
          </x14:formula1>
          <xm:sqref>AB2:AB43</xm:sqref>
        </x14:dataValidation>
        <x14:dataValidation type="list" allowBlank="1" showInputMessage="1" showErrorMessage="1" xr:uid="{3D1076E6-3308-4CB7-9819-2F9E5BEA5CA6}">
          <x14:formula1>
            <xm:f>'Data Regularization'!$P$2:$P$1048576</xm:f>
          </x14:formula1>
          <xm:sqref>AC2:AC43</xm:sqref>
        </x14:dataValidation>
        <x14:dataValidation type="list" allowBlank="1" showInputMessage="1" showErrorMessage="1" xr:uid="{7CA3A2A1-BF41-44E3-AA42-2D39D252C40C}">
          <x14:formula1>
            <xm:f>'Data Regularization'!$Q$2:$Q$1048576</xm:f>
          </x14:formula1>
          <xm:sqref>AD2:AD43</xm:sqref>
        </x14:dataValidation>
        <x14:dataValidation type="list" allowBlank="1" showInputMessage="1" showErrorMessage="1" xr:uid="{433C2C66-0572-45BF-905B-346EC8EA9AEF}">
          <x14:formula1>
            <xm:f>'Data Regularization'!$C$2:$C$29</xm:f>
          </x14:formula1>
          <xm:sqref>F2:F43</xm:sqref>
        </x14:dataValidation>
        <x14:dataValidation type="list" allowBlank="1" showInputMessage="1" showErrorMessage="1" xr:uid="{5408AE52-33F9-403C-9842-72C046563CFB}">
          <x14:formula1>
            <xm:f>'Data Regularization'!$A$2:$A$1048576</xm:f>
          </x14:formula1>
          <xm:sqref>D2:D43</xm:sqref>
        </x14:dataValidation>
        <x14:dataValidation type="list" allowBlank="1" showInputMessage="1" showErrorMessage="1" xr:uid="{ED8DF416-A85C-408E-867C-A0E316068774}">
          <x14:formula1>
            <xm:f>'Data Regularization'!$B$2:$B$1048576</xm:f>
          </x14:formula1>
          <xm:sqref>E2:E43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EA3BF-7A71-4DF8-B449-F910DDF0C1F8}">
  <dimension ref="A1:AH5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38</v>
      </c>
      <c r="B2" s="3" t="s">
        <v>497</v>
      </c>
      <c r="C2" s="3" t="s">
        <v>158</v>
      </c>
      <c r="G2" s="7" t="s">
        <v>25</v>
      </c>
      <c r="H2" s="7"/>
      <c r="I2" s="7">
        <v>1</v>
      </c>
      <c r="J2" s="7">
        <v>2</v>
      </c>
      <c r="K2" s="7" t="s">
        <v>350</v>
      </c>
      <c r="L2" s="7" t="s">
        <v>373</v>
      </c>
      <c r="M2" s="7"/>
      <c r="N2" s="8"/>
      <c r="O2" s="7"/>
      <c r="P2" s="7">
        <v>613</v>
      </c>
      <c r="Q2" s="7">
        <v>301.40623463467404</v>
      </c>
      <c r="R2" s="7"/>
      <c r="S2" s="7" t="s">
        <v>452</v>
      </c>
      <c r="T2" s="7" t="s">
        <v>452</v>
      </c>
      <c r="U2" s="7"/>
      <c r="V2" s="7"/>
      <c r="W2" s="7"/>
      <c r="X2" s="7"/>
      <c r="Y2" s="7"/>
      <c r="Z2" s="7"/>
      <c r="AA2" s="7"/>
      <c r="AB2" s="7"/>
      <c r="AC2" s="7"/>
      <c r="AD2" s="7"/>
      <c r="AE2" t="s">
        <v>19</v>
      </c>
      <c r="AF2" t="s">
        <v>19</v>
      </c>
      <c r="AH2">
        <v>1</v>
      </c>
    </row>
    <row r="3" spans="1:34" ht="43.5">
      <c r="A3" t="s">
        <v>38</v>
      </c>
      <c r="B3" s="3" t="s">
        <v>160</v>
      </c>
      <c r="C3" s="3" t="s">
        <v>159</v>
      </c>
      <c r="G3" s="7" t="s">
        <v>25</v>
      </c>
      <c r="H3" s="7"/>
      <c r="I3" s="7">
        <v>1</v>
      </c>
      <c r="J3" s="7">
        <v>3</v>
      </c>
      <c r="K3" s="7" t="s">
        <v>331</v>
      </c>
      <c r="L3" s="7" t="s">
        <v>326</v>
      </c>
      <c r="M3" s="7" t="s">
        <v>389</v>
      </c>
      <c r="N3" s="8" t="s">
        <v>388</v>
      </c>
      <c r="O3" s="7"/>
      <c r="P3" s="7">
        <v>2475</v>
      </c>
      <c r="Q3" s="7">
        <v>1216.9338184678927</v>
      </c>
      <c r="R3" s="7"/>
      <c r="S3" s="7" t="s">
        <v>452</v>
      </c>
      <c r="T3" s="7" t="s">
        <v>452</v>
      </c>
      <c r="U3" s="7"/>
      <c r="V3" s="7"/>
      <c r="W3" s="7"/>
      <c r="X3" s="7"/>
      <c r="Y3" s="7"/>
      <c r="Z3" s="7"/>
      <c r="AA3" s="7"/>
      <c r="AB3" s="7"/>
      <c r="AC3" s="7"/>
      <c r="AD3" s="7"/>
      <c r="AE3" t="s">
        <v>19</v>
      </c>
      <c r="AF3" t="s">
        <v>20</v>
      </c>
      <c r="AH3">
        <v>1</v>
      </c>
    </row>
    <row r="4" spans="1:34" ht="29">
      <c r="A4" t="s">
        <v>39</v>
      </c>
      <c r="B4" s="3" t="s">
        <v>162</v>
      </c>
      <c r="C4" s="3" t="s">
        <v>161</v>
      </c>
      <c r="G4" s="7" t="s">
        <v>25</v>
      </c>
      <c r="H4" s="7"/>
      <c r="I4" s="7">
        <v>1</v>
      </c>
      <c r="J4" s="7">
        <v>2</v>
      </c>
      <c r="K4" s="7" t="s">
        <v>331</v>
      </c>
      <c r="L4" s="7" t="s">
        <v>373</v>
      </c>
      <c r="M4" s="7"/>
      <c r="N4" s="8"/>
      <c r="O4" s="7"/>
      <c r="P4" s="7">
        <v>2475</v>
      </c>
      <c r="Q4" s="7">
        <v>1216.9338184678927</v>
      </c>
      <c r="R4" s="7"/>
      <c r="S4" s="7" t="s">
        <v>452</v>
      </c>
      <c r="T4" s="7" t="s">
        <v>452</v>
      </c>
      <c r="U4" s="7"/>
      <c r="V4" s="7"/>
      <c r="W4" s="7"/>
      <c r="X4" s="7"/>
      <c r="Y4" s="7"/>
      <c r="Z4" s="7"/>
      <c r="AA4" s="7"/>
      <c r="AB4" s="7"/>
      <c r="AC4" s="7"/>
      <c r="AD4" s="7"/>
      <c r="AE4" t="s">
        <v>19</v>
      </c>
      <c r="AF4" t="s">
        <v>20</v>
      </c>
      <c r="AH4">
        <v>1</v>
      </c>
    </row>
    <row r="5" spans="1:34" ht="43.5">
      <c r="A5" t="s">
        <v>44</v>
      </c>
      <c r="B5" s="3" t="s">
        <v>168</v>
      </c>
      <c r="C5" s="3" t="s">
        <v>167</v>
      </c>
      <c r="G5" s="7" t="s">
        <v>24</v>
      </c>
      <c r="H5" s="7"/>
      <c r="I5" s="7">
        <v>1</v>
      </c>
      <c r="J5" s="7">
        <v>1</v>
      </c>
      <c r="K5" s="7" t="s">
        <v>331</v>
      </c>
      <c r="L5" s="7" t="s">
        <v>373</v>
      </c>
      <c r="M5" s="7"/>
      <c r="N5" s="8"/>
      <c r="O5" s="7"/>
      <c r="P5" s="7">
        <v>2475</v>
      </c>
      <c r="Q5" s="7">
        <v>1216.9338184678927</v>
      </c>
      <c r="R5" s="7"/>
      <c r="S5" s="7" t="s">
        <v>452</v>
      </c>
      <c r="T5" s="7" t="s">
        <v>452</v>
      </c>
      <c r="U5" s="7"/>
      <c r="V5" s="7"/>
      <c r="W5" s="7"/>
      <c r="X5" s="7"/>
      <c r="Y5" s="7"/>
      <c r="Z5" s="7"/>
      <c r="AA5" s="7"/>
      <c r="AB5" s="7"/>
      <c r="AC5" s="7"/>
      <c r="AD5" s="7"/>
      <c r="AE5" t="s">
        <v>19</v>
      </c>
      <c r="AF5" t="s">
        <v>20</v>
      </c>
      <c r="AH5">
        <v>1</v>
      </c>
    </row>
    <row r="6" spans="1:34" ht="58">
      <c r="A6" t="s">
        <v>52</v>
      </c>
      <c r="B6" s="3" t="s">
        <v>176</v>
      </c>
      <c r="C6" s="3" t="s">
        <v>175</v>
      </c>
      <c r="G6" s="7" t="s">
        <v>25</v>
      </c>
      <c r="H6" s="7"/>
      <c r="I6" s="7">
        <v>1</v>
      </c>
      <c r="J6" s="7">
        <v>3</v>
      </c>
      <c r="K6" s="7" t="s">
        <v>331</v>
      </c>
      <c r="L6" s="7" t="s">
        <v>326</v>
      </c>
      <c r="M6" s="7" t="s">
        <v>387</v>
      </c>
      <c r="N6" s="8" t="s">
        <v>388</v>
      </c>
      <c r="O6" s="7"/>
      <c r="P6" s="7">
        <v>2475</v>
      </c>
      <c r="Q6" s="7">
        <v>1216.9338184678927</v>
      </c>
      <c r="R6" s="7"/>
      <c r="S6" s="7" t="s">
        <v>452</v>
      </c>
      <c r="T6" s="7" t="s">
        <v>452</v>
      </c>
      <c r="U6" s="7"/>
      <c r="V6" s="7"/>
      <c r="W6" s="7"/>
      <c r="X6" s="7"/>
      <c r="Y6" s="7"/>
      <c r="Z6" s="7"/>
      <c r="AA6" s="7"/>
      <c r="AB6" s="7"/>
      <c r="AC6" s="7"/>
      <c r="AD6" s="7"/>
      <c r="AE6" t="s">
        <v>19</v>
      </c>
      <c r="AF6" t="s">
        <v>20</v>
      </c>
      <c r="AH6">
        <v>1</v>
      </c>
    </row>
    <row r="7" spans="1:34" ht="58">
      <c r="A7" t="s">
        <v>61</v>
      </c>
      <c r="B7" s="3" t="s">
        <v>179</v>
      </c>
      <c r="C7" s="3" t="s">
        <v>180</v>
      </c>
      <c r="G7" s="7" t="s">
        <v>24</v>
      </c>
      <c r="H7" s="7"/>
      <c r="I7" s="7">
        <v>1</v>
      </c>
      <c r="J7" s="7">
        <v>3</v>
      </c>
      <c r="K7" s="7" t="s">
        <v>331</v>
      </c>
      <c r="L7" s="7" t="s">
        <v>332</v>
      </c>
      <c r="M7" s="7"/>
      <c r="N7" s="8"/>
      <c r="O7" s="7"/>
      <c r="P7" s="7">
        <v>2475</v>
      </c>
      <c r="Q7" s="7">
        <v>1216.9338184678927</v>
      </c>
      <c r="R7" s="7"/>
      <c r="S7" s="7" t="s">
        <v>452</v>
      </c>
      <c r="T7" s="7" t="s">
        <v>452</v>
      </c>
      <c r="U7" s="7"/>
      <c r="V7" s="7"/>
      <c r="W7" s="7"/>
      <c r="X7" s="7"/>
      <c r="Y7" s="7"/>
      <c r="Z7" s="7"/>
      <c r="AA7" s="7"/>
      <c r="AB7" s="7"/>
      <c r="AC7" s="7"/>
      <c r="AD7" s="7"/>
      <c r="AE7" t="s">
        <v>19</v>
      </c>
      <c r="AF7" t="s">
        <v>19</v>
      </c>
      <c r="AH7">
        <v>1</v>
      </c>
    </row>
    <row r="8" spans="1:34" ht="58">
      <c r="A8" t="s">
        <v>61</v>
      </c>
      <c r="B8" s="3" t="s">
        <v>179</v>
      </c>
      <c r="C8" s="3" t="s">
        <v>181</v>
      </c>
      <c r="G8" s="7" t="s">
        <v>24</v>
      </c>
      <c r="H8" s="7"/>
      <c r="I8" s="7">
        <v>1</v>
      </c>
      <c r="J8" s="7">
        <v>3</v>
      </c>
      <c r="K8" s="7" t="s">
        <v>331</v>
      </c>
      <c r="L8" s="7" t="s">
        <v>332</v>
      </c>
      <c r="M8" s="7"/>
      <c r="N8" s="8"/>
      <c r="O8" s="7"/>
      <c r="P8" s="7">
        <v>2475</v>
      </c>
      <c r="Q8" s="7">
        <v>1216.9338184678927</v>
      </c>
      <c r="R8" s="7"/>
      <c r="S8" s="7" t="s">
        <v>452</v>
      </c>
      <c r="T8" s="7" t="s">
        <v>452</v>
      </c>
      <c r="U8" s="7"/>
      <c r="V8" s="7"/>
      <c r="W8" s="7"/>
      <c r="X8" s="7"/>
      <c r="Y8" s="7"/>
      <c r="Z8" s="7"/>
      <c r="AA8" s="7"/>
      <c r="AB8" s="7"/>
      <c r="AC8" s="7"/>
      <c r="AD8" s="7"/>
      <c r="AE8" t="s">
        <v>19</v>
      </c>
      <c r="AF8" t="s">
        <v>20</v>
      </c>
      <c r="AH8">
        <v>1</v>
      </c>
    </row>
    <row r="9" spans="1:34" ht="29">
      <c r="A9" t="s">
        <v>61</v>
      </c>
      <c r="B9" s="3" t="s">
        <v>183</v>
      </c>
      <c r="C9" s="3" t="s">
        <v>182</v>
      </c>
      <c r="G9" s="7" t="s">
        <v>24</v>
      </c>
      <c r="H9" s="7"/>
      <c r="I9" s="7">
        <v>1</v>
      </c>
      <c r="J9" s="7">
        <v>3</v>
      </c>
      <c r="K9" s="7" t="s">
        <v>331</v>
      </c>
      <c r="L9" s="7" t="s">
        <v>332</v>
      </c>
      <c r="M9" s="7"/>
      <c r="N9" s="8"/>
      <c r="O9" s="7"/>
      <c r="P9" s="7">
        <v>2475</v>
      </c>
      <c r="Q9" s="7">
        <v>1216.9338184678927</v>
      </c>
      <c r="R9" s="7"/>
      <c r="S9" s="7" t="s">
        <v>452</v>
      </c>
      <c r="T9" s="7" t="s">
        <v>452</v>
      </c>
      <c r="U9" s="7"/>
      <c r="V9" s="7"/>
      <c r="W9" s="7"/>
      <c r="X9" s="7"/>
      <c r="Y9" s="7"/>
      <c r="Z9" s="7"/>
      <c r="AA9" s="7"/>
      <c r="AB9" s="7"/>
      <c r="AC9" s="7"/>
      <c r="AD9" s="7"/>
      <c r="AE9" t="s">
        <v>19</v>
      </c>
      <c r="AF9" t="s">
        <v>19</v>
      </c>
      <c r="AH9">
        <v>1</v>
      </c>
    </row>
    <row r="10" spans="1:34" ht="29">
      <c r="A10" t="s">
        <v>73</v>
      </c>
      <c r="B10" s="3" t="s">
        <v>187</v>
      </c>
      <c r="C10" s="3" t="s">
        <v>188</v>
      </c>
      <c r="G10" s="7" t="s">
        <v>24</v>
      </c>
      <c r="H10" s="7"/>
      <c r="I10" s="7">
        <v>1</v>
      </c>
      <c r="J10" s="7">
        <v>1</v>
      </c>
      <c r="K10" s="7" t="s">
        <v>331</v>
      </c>
      <c r="L10" s="7" t="s">
        <v>373</v>
      </c>
      <c r="M10" s="7"/>
      <c r="N10" s="8"/>
      <c r="O10" s="7"/>
      <c r="P10" s="7">
        <v>2475</v>
      </c>
      <c r="Q10" s="7">
        <v>1216.9338184678927</v>
      </c>
      <c r="R10" s="7"/>
      <c r="S10" s="7" t="s">
        <v>452</v>
      </c>
      <c r="T10" s="7" t="s">
        <v>452</v>
      </c>
      <c r="U10" s="7"/>
      <c r="V10" s="7"/>
      <c r="W10" s="7"/>
      <c r="X10" s="7"/>
      <c r="Y10" s="7"/>
      <c r="Z10" s="7"/>
      <c r="AA10" s="7"/>
      <c r="AB10" s="7"/>
      <c r="AC10" s="7"/>
      <c r="AD10" s="7"/>
      <c r="AE10" t="s">
        <v>19</v>
      </c>
      <c r="AF10" t="s">
        <v>19</v>
      </c>
      <c r="AH10">
        <v>1</v>
      </c>
    </row>
    <row r="11" spans="1:34" ht="43.5">
      <c r="A11" t="s">
        <v>78</v>
      </c>
      <c r="B11" s="3" t="s">
        <v>191</v>
      </c>
      <c r="C11" s="3" t="s">
        <v>192</v>
      </c>
      <c r="G11" s="7" t="s">
        <v>25</v>
      </c>
      <c r="H11" s="7"/>
      <c r="I11" s="7">
        <v>1</v>
      </c>
      <c r="J11" s="7">
        <v>2</v>
      </c>
      <c r="K11" s="7" t="s">
        <v>331</v>
      </c>
      <c r="L11" s="7" t="s">
        <v>373</v>
      </c>
      <c r="M11" s="7"/>
      <c r="N11" s="8"/>
      <c r="O11" s="7"/>
      <c r="P11" s="7">
        <v>2475</v>
      </c>
      <c r="Q11" s="7">
        <v>1216.9338184678927</v>
      </c>
      <c r="R11" s="7"/>
      <c r="S11" s="7" t="s">
        <v>452</v>
      </c>
      <c r="T11" s="7" t="s">
        <v>452</v>
      </c>
      <c r="U11" s="7"/>
      <c r="V11" s="7"/>
      <c r="W11" s="7"/>
      <c r="X11" s="7"/>
      <c r="Y11" s="7"/>
      <c r="Z11" s="7"/>
      <c r="AA11" s="7"/>
      <c r="AB11" s="7"/>
      <c r="AC11" s="7"/>
      <c r="AD11" s="7"/>
      <c r="AE11" t="s">
        <v>19</v>
      </c>
      <c r="AF11" t="s">
        <v>19</v>
      </c>
      <c r="AH11">
        <v>1</v>
      </c>
    </row>
    <row r="12" spans="1:34" ht="43.5">
      <c r="A12" t="s">
        <v>78</v>
      </c>
      <c r="B12" s="3" t="s">
        <v>195</v>
      </c>
      <c r="C12" s="3" t="s">
        <v>194</v>
      </c>
      <c r="G12" s="7" t="s">
        <v>24</v>
      </c>
      <c r="H12" s="7"/>
      <c r="I12" s="7">
        <v>1</v>
      </c>
      <c r="J12" s="7">
        <v>3</v>
      </c>
      <c r="K12" s="7" t="s">
        <v>341</v>
      </c>
      <c r="L12" s="7" t="s">
        <v>332</v>
      </c>
      <c r="M12" s="7"/>
      <c r="N12" s="8"/>
      <c r="O12" s="7"/>
      <c r="P12" s="7">
        <v>1701</v>
      </c>
      <c r="Q12" s="7">
        <v>836.36542432884255</v>
      </c>
      <c r="R12" s="7"/>
      <c r="S12" s="7" t="s">
        <v>452</v>
      </c>
      <c r="T12" s="7" t="s">
        <v>452</v>
      </c>
      <c r="U12" s="7"/>
      <c r="V12" s="7"/>
      <c r="W12" s="7"/>
      <c r="X12" s="7"/>
      <c r="Y12" s="7"/>
      <c r="Z12" s="7"/>
      <c r="AA12" s="7"/>
      <c r="AB12" s="7"/>
      <c r="AC12" s="7"/>
      <c r="AD12" s="7"/>
      <c r="AE12" t="s">
        <v>19</v>
      </c>
      <c r="AF12" t="s">
        <v>20</v>
      </c>
      <c r="AH12">
        <v>1</v>
      </c>
    </row>
    <row r="13" spans="1:34" ht="43.5">
      <c r="A13" t="s">
        <v>82</v>
      </c>
      <c r="B13" s="3" t="s">
        <v>200</v>
      </c>
      <c r="C13" s="3" t="s">
        <v>199</v>
      </c>
      <c r="G13" s="7" t="s">
        <v>24</v>
      </c>
      <c r="H13" s="7"/>
      <c r="I13" s="7">
        <v>1</v>
      </c>
      <c r="J13" s="7">
        <v>2</v>
      </c>
      <c r="K13" s="7" t="s">
        <v>331</v>
      </c>
      <c r="L13" s="7" t="s">
        <v>373</v>
      </c>
      <c r="M13" s="7"/>
      <c r="N13" s="8"/>
      <c r="O13" s="7"/>
      <c r="P13" s="7">
        <v>2475</v>
      </c>
      <c r="Q13" s="7">
        <v>1216.9338184678927</v>
      </c>
      <c r="R13" s="7"/>
      <c r="S13" s="7" t="s">
        <v>452</v>
      </c>
      <c r="T13" s="7" t="s">
        <v>452</v>
      </c>
      <c r="U13" s="7"/>
      <c r="V13" s="7"/>
      <c r="W13" s="7"/>
      <c r="X13" s="7"/>
      <c r="Y13" s="7"/>
      <c r="Z13" s="7"/>
      <c r="AA13" s="7"/>
      <c r="AB13" s="7"/>
      <c r="AC13" s="7"/>
      <c r="AD13" s="7"/>
      <c r="AE13" t="s">
        <v>19</v>
      </c>
      <c r="AF13" t="s">
        <v>20</v>
      </c>
      <c r="AH13">
        <v>1</v>
      </c>
    </row>
    <row r="14" spans="1:34" ht="29">
      <c r="A14" t="s">
        <v>82</v>
      </c>
      <c r="B14" s="3" t="s">
        <v>201</v>
      </c>
      <c r="C14" s="3" t="s">
        <v>202</v>
      </c>
      <c r="G14" s="7" t="s">
        <v>25</v>
      </c>
      <c r="H14" s="7"/>
      <c r="I14" s="7">
        <v>1</v>
      </c>
      <c r="J14" s="7">
        <v>2</v>
      </c>
      <c r="K14" s="7" t="s">
        <v>331</v>
      </c>
      <c r="L14" s="7" t="s">
        <v>373</v>
      </c>
      <c r="M14" s="7"/>
      <c r="N14" s="8"/>
      <c r="O14" s="7" t="s">
        <v>327</v>
      </c>
      <c r="P14" s="7">
        <v>2475</v>
      </c>
      <c r="Q14" s="7">
        <v>1216.9338184678927</v>
      </c>
      <c r="R14" s="7"/>
      <c r="S14" s="7" t="s">
        <v>452</v>
      </c>
      <c r="T14" s="7" t="s">
        <v>452</v>
      </c>
      <c r="U14" s="7"/>
      <c r="V14" s="7"/>
      <c r="W14" s="7"/>
      <c r="X14" s="7"/>
      <c r="Y14" s="7"/>
      <c r="Z14" s="7"/>
      <c r="AA14" s="7"/>
      <c r="AB14" s="7"/>
      <c r="AC14" s="7"/>
      <c r="AD14" s="7"/>
      <c r="AE14" t="s">
        <v>19</v>
      </c>
      <c r="AF14" t="s">
        <v>20</v>
      </c>
      <c r="AH14">
        <v>1</v>
      </c>
    </row>
    <row r="15" spans="1:34" ht="29">
      <c r="A15" t="s">
        <v>83</v>
      </c>
      <c r="B15" s="3" t="s">
        <v>174</v>
      </c>
      <c r="C15" s="3" t="s">
        <v>173</v>
      </c>
      <c r="G15" s="7" t="s">
        <v>25</v>
      </c>
      <c r="H15" s="7"/>
      <c r="I15" s="7">
        <v>1</v>
      </c>
      <c r="J15" s="7">
        <v>3</v>
      </c>
      <c r="K15" s="7" t="s">
        <v>331</v>
      </c>
      <c r="L15" s="7" t="s">
        <v>332</v>
      </c>
      <c r="M15" s="7"/>
      <c r="N15" s="8"/>
      <c r="O15" s="7"/>
      <c r="P15" s="7">
        <v>2475</v>
      </c>
      <c r="Q15" s="7">
        <v>1216.9338184678927</v>
      </c>
      <c r="R15" s="7"/>
      <c r="S15" s="7" t="s">
        <v>452</v>
      </c>
      <c r="T15" s="7" t="s">
        <v>452</v>
      </c>
      <c r="U15" s="7"/>
      <c r="V15" s="7"/>
      <c r="W15" s="7"/>
      <c r="X15" s="7"/>
      <c r="Y15" s="7"/>
      <c r="Z15" s="7"/>
      <c r="AA15" s="7"/>
      <c r="AB15" s="7"/>
      <c r="AC15" s="7"/>
      <c r="AD15" s="7"/>
      <c r="AE15" t="s">
        <v>19</v>
      </c>
      <c r="AF15" t="s">
        <v>19</v>
      </c>
      <c r="AH15">
        <v>1</v>
      </c>
    </row>
    <row r="16" spans="1:34" ht="29">
      <c r="A16" t="s">
        <v>83</v>
      </c>
      <c r="B16" s="3" t="s">
        <v>174</v>
      </c>
      <c r="C16" s="3" t="s">
        <v>173</v>
      </c>
      <c r="G16" s="7" t="s">
        <v>25</v>
      </c>
      <c r="H16" s="7"/>
      <c r="I16" s="7">
        <v>1</v>
      </c>
      <c r="J16" s="7">
        <v>3</v>
      </c>
      <c r="K16" s="7" t="s">
        <v>331</v>
      </c>
      <c r="L16" s="7" t="s">
        <v>332</v>
      </c>
      <c r="M16" s="7"/>
      <c r="N16" s="8"/>
      <c r="O16" s="7"/>
      <c r="P16" s="7">
        <v>2475</v>
      </c>
      <c r="Q16" s="7">
        <v>1216.9338184678927</v>
      </c>
      <c r="R16" s="7"/>
      <c r="S16" s="7" t="s">
        <v>452</v>
      </c>
      <c r="T16" s="7" t="s">
        <v>452</v>
      </c>
      <c r="U16" s="7"/>
      <c r="V16" s="7"/>
      <c r="W16" s="7"/>
      <c r="X16" s="7"/>
      <c r="Y16" s="7"/>
      <c r="Z16" s="7"/>
      <c r="AA16" s="7"/>
      <c r="AB16" s="7"/>
      <c r="AC16" s="7"/>
      <c r="AD16" s="7"/>
      <c r="AE16" t="s">
        <v>19</v>
      </c>
      <c r="AF16" t="s">
        <v>19</v>
      </c>
      <c r="AH16">
        <v>1</v>
      </c>
    </row>
    <row r="17" spans="1:34" ht="29">
      <c r="A17" t="s">
        <v>85</v>
      </c>
      <c r="B17" s="3" t="s">
        <v>206</v>
      </c>
      <c r="C17" s="3" t="s">
        <v>205</v>
      </c>
      <c r="G17" s="7" t="s">
        <v>25</v>
      </c>
      <c r="H17" s="7"/>
      <c r="I17" s="7">
        <v>1</v>
      </c>
      <c r="J17" s="7">
        <v>2</v>
      </c>
      <c r="K17" s="7" t="s">
        <v>341</v>
      </c>
      <c r="L17" s="7" t="s">
        <v>373</v>
      </c>
      <c r="M17" s="7"/>
      <c r="N17" s="8"/>
      <c r="O17" s="7"/>
      <c r="P17" s="7">
        <v>171</v>
      </c>
      <c r="Q17" s="7">
        <v>84.079063821418046</v>
      </c>
      <c r="R17" s="7"/>
      <c r="S17" s="7" t="s">
        <v>452</v>
      </c>
      <c r="T17" s="7" t="s">
        <v>452</v>
      </c>
      <c r="U17" s="7"/>
      <c r="V17" s="7"/>
      <c r="W17" s="7"/>
      <c r="X17" s="7"/>
      <c r="Y17" s="7"/>
      <c r="Z17" s="7"/>
      <c r="AA17" s="7"/>
      <c r="AB17" s="7"/>
      <c r="AC17" s="7"/>
      <c r="AD17" s="7"/>
      <c r="AE17" t="s">
        <v>19</v>
      </c>
      <c r="AF17" t="s">
        <v>20</v>
      </c>
      <c r="AH17">
        <v>1</v>
      </c>
    </row>
    <row r="18" spans="1:34" ht="72.5">
      <c r="A18" t="s">
        <v>89</v>
      </c>
      <c r="B18" s="3" t="s">
        <v>207</v>
      </c>
      <c r="C18" s="3" t="s">
        <v>208</v>
      </c>
      <c r="G18" s="7" t="s">
        <v>24</v>
      </c>
      <c r="H18" s="7"/>
      <c r="I18" s="7">
        <v>1</v>
      </c>
      <c r="J18" s="7">
        <v>3</v>
      </c>
      <c r="K18" s="7" t="s">
        <v>331</v>
      </c>
      <c r="L18" s="7" t="s">
        <v>332</v>
      </c>
      <c r="M18" s="7"/>
      <c r="N18" s="8"/>
      <c r="O18" s="7"/>
      <c r="P18" s="7">
        <v>2475</v>
      </c>
      <c r="Q18" s="7">
        <v>1216.9338184678927</v>
      </c>
      <c r="R18" s="7"/>
      <c r="S18" s="7" t="s">
        <v>452</v>
      </c>
      <c r="T18" s="7" t="s">
        <v>452</v>
      </c>
      <c r="U18" s="7"/>
      <c r="V18" s="7"/>
      <c r="W18" s="7"/>
      <c r="X18" s="7"/>
      <c r="Y18" s="7"/>
      <c r="Z18" s="7"/>
      <c r="AA18" s="7"/>
      <c r="AB18" s="7"/>
      <c r="AC18" s="7"/>
      <c r="AD18" s="7"/>
      <c r="AE18" t="s">
        <v>19</v>
      </c>
      <c r="AF18" t="s">
        <v>20</v>
      </c>
      <c r="AH18">
        <v>1</v>
      </c>
    </row>
    <row r="19" spans="1:34" ht="116">
      <c r="A19" t="s">
        <v>96</v>
      </c>
      <c r="B19" s="3" t="s">
        <v>215</v>
      </c>
      <c r="C19" s="3" t="s">
        <v>213</v>
      </c>
      <c r="G19" s="7" t="s">
        <v>25</v>
      </c>
      <c r="H19" s="7"/>
      <c r="I19" s="7">
        <v>1</v>
      </c>
      <c r="J19" s="7">
        <v>3</v>
      </c>
      <c r="K19" s="7" t="s">
        <v>331</v>
      </c>
      <c r="L19" s="7" t="s">
        <v>332</v>
      </c>
      <c r="M19" s="7"/>
      <c r="N19" s="8"/>
      <c r="O19" s="7"/>
      <c r="P19" s="7">
        <v>2475</v>
      </c>
      <c r="Q19" s="7">
        <v>1216.9338184678927</v>
      </c>
      <c r="R19" s="7"/>
      <c r="S19" s="7" t="s">
        <v>452</v>
      </c>
      <c r="T19" s="7" t="s">
        <v>452</v>
      </c>
      <c r="U19" s="7"/>
      <c r="V19" s="7"/>
      <c r="W19" s="7"/>
      <c r="X19" s="7"/>
      <c r="Y19" s="7"/>
      <c r="Z19" s="7"/>
      <c r="AA19" s="7"/>
      <c r="AB19" s="7"/>
      <c r="AC19" s="7"/>
      <c r="AD19" s="7"/>
      <c r="AE19" t="s">
        <v>19</v>
      </c>
      <c r="AF19" t="s">
        <v>19</v>
      </c>
      <c r="AH19">
        <v>1</v>
      </c>
    </row>
    <row r="20" spans="1:34" ht="29">
      <c r="A20" t="s">
        <v>99</v>
      </c>
      <c r="B20" s="3" t="s">
        <v>220</v>
      </c>
      <c r="C20" s="3" t="s">
        <v>223</v>
      </c>
      <c r="G20" s="7" t="s">
        <v>24</v>
      </c>
      <c r="H20" s="7"/>
      <c r="I20" s="7">
        <v>1</v>
      </c>
      <c r="J20" s="7">
        <v>1</v>
      </c>
      <c r="K20" s="7" t="s">
        <v>331</v>
      </c>
      <c r="L20" s="7" t="s">
        <v>373</v>
      </c>
      <c r="M20" s="7"/>
      <c r="N20" s="8"/>
      <c r="O20" s="7"/>
      <c r="P20" s="7">
        <v>2475</v>
      </c>
      <c r="Q20" s="7">
        <v>1216.9338184678927</v>
      </c>
      <c r="R20" s="7"/>
      <c r="S20" s="7" t="s">
        <v>452</v>
      </c>
      <c r="T20" s="7" t="s">
        <v>452</v>
      </c>
      <c r="U20" s="7"/>
      <c r="V20" s="7"/>
      <c r="W20" s="7"/>
      <c r="X20" s="7"/>
      <c r="Y20" s="7"/>
      <c r="Z20" s="7"/>
      <c r="AA20" s="7"/>
      <c r="AB20" s="7"/>
      <c r="AC20" s="7"/>
      <c r="AD20" s="7"/>
      <c r="AE20" t="s">
        <v>19</v>
      </c>
      <c r="AF20" t="s">
        <v>19</v>
      </c>
      <c r="AH20">
        <v>1</v>
      </c>
    </row>
    <row r="21" spans="1:34" ht="29">
      <c r="A21" t="s">
        <v>102</v>
      </c>
      <c r="B21" s="3" t="s">
        <v>235</v>
      </c>
      <c r="C21" s="3" t="s">
        <v>236</v>
      </c>
      <c r="G21" s="7" t="s">
        <v>25</v>
      </c>
      <c r="H21" s="7"/>
      <c r="I21" s="7">
        <v>1</v>
      </c>
      <c r="J21" s="7">
        <v>1</v>
      </c>
      <c r="K21" s="7" t="s">
        <v>331</v>
      </c>
      <c r="L21" s="7" t="s">
        <v>373</v>
      </c>
      <c r="M21" s="7"/>
      <c r="N21" s="8"/>
      <c r="O21" s="7"/>
      <c r="P21" s="7">
        <v>2475</v>
      </c>
      <c r="Q21" s="7">
        <v>1216.9338184678927</v>
      </c>
      <c r="R21" s="7"/>
      <c r="S21" s="7" t="s">
        <v>452</v>
      </c>
      <c r="T21" s="7" t="s">
        <v>452</v>
      </c>
      <c r="U21" s="7"/>
      <c r="V21" s="7"/>
      <c r="W21" s="7"/>
      <c r="X21" s="7"/>
      <c r="Y21" s="7"/>
      <c r="Z21" s="7"/>
      <c r="AA21" s="7"/>
      <c r="AB21" s="7"/>
      <c r="AC21" s="7"/>
      <c r="AD21" s="7"/>
      <c r="AE21" t="s">
        <v>19</v>
      </c>
      <c r="AF21" t="s">
        <v>19</v>
      </c>
      <c r="AH21">
        <v>1</v>
      </c>
    </row>
    <row r="22" spans="1:34" ht="29">
      <c r="A22" t="s">
        <v>103</v>
      </c>
      <c r="B22" s="3" t="s">
        <v>237</v>
      </c>
      <c r="C22" s="3" t="s">
        <v>238</v>
      </c>
      <c r="G22" s="7" t="s">
        <v>25</v>
      </c>
      <c r="H22" s="7"/>
      <c r="I22" s="7">
        <v>1</v>
      </c>
      <c r="J22" s="7">
        <v>1</v>
      </c>
      <c r="K22" s="7" t="s">
        <v>331</v>
      </c>
      <c r="L22" s="7" t="s">
        <v>373</v>
      </c>
      <c r="M22" s="7"/>
      <c r="N22" s="8"/>
      <c r="O22" s="7"/>
      <c r="P22" s="7">
        <v>2475</v>
      </c>
      <c r="Q22" s="7">
        <v>1216.9338184678927</v>
      </c>
      <c r="R22" s="7"/>
      <c r="S22" s="7" t="s">
        <v>452</v>
      </c>
      <c r="T22" s="7" t="s">
        <v>452</v>
      </c>
      <c r="U22" s="7"/>
      <c r="V22" s="7"/>
      <c r="W22" s="7"/>
      <c r="X22" s="7"/>
      <c r="Y22" s="7"/>
      <c r="Z22" s="7"/>
      <c r="AA22" s="7"/>
      <c r="AB22" s="7"/>
      <c r="AC22" s="7"/>
      <c r="AD22" s="7"/>
      <c r="AE22" t="s">
        <v>19</v>
      </c>
      <c r="AF22" t="s">
        <v>20</v>
      </c>
      <c r="AH22">
        <v>1</v>
      </c>
    </row>
    <row r="23" spans="1:34" ht="58">
      <c r="A23" t="s">
        <v>109</v>
      </c>
      <c r="B23" s="3" t="s">
        <v>242</v>
      </c>
      <c r="C23" s="3" t="s">
        <v>241</v>
      </c>
      <c r="G23" s="7" t="s">
        <v>25</v>
      </c>
      <c r="H23" s="7"/>
      <c r="I23" s="7">
        <v>1</v>
      </c>
      <c r="J23" s="7">
        <v>3</v>
      </c>
      <c r="K23" s="7" t="s">
        <v>350</v>
      </c>
      <c r="L23" s="7" t="s">
        <v>332</v>
      </c>
      <c r="M23" s="7"/>
      <c r="N23" s="8"/>
      <c r="O23" s="7"/>
      <c r="P23" s="7">
        <v>210</v>
      </c>
      <c r="Q23" s="7">
        <v>103.25499065788181</v>
      </c>
      <c r="R23" s="7"/>
      <c r="S23" s="7" t="s">
        <v>452</v>
      </c>
      <c r="T23" s="7" t="s">
        <v>452</v>
      </c>
      <c r="U23" s="7"/>
      <c r="V23" s="7"/>
      <c r="W23" s="7"/>
      <c r="X23" s="7"/>
      <c r="Y23" s="7"/>
      <c r="Z23" s="7"/>
      <c r="AA23" s="7"/>
      <c r="AB23" s="7"/>
      <c r="AC23" s="7"/>
      <c r="AD23" s="7"/>
      <c r="AE23" t="s">
        <v>19</v>
      </c>
      <c r="AF23" t="s">
        <v>20</v>
      </c>
      <c r="AH23">
        <v>1</v>
      </c>
    </row>
    <row r="24" spans="1:34" ht="87">
      <c r="A24" t="s">
        <v>112</v>
      </c>
      <c r="B24" s="3" t="s">
        <v>244</v>
      </c>
      <c r="C24" s="3" t="s">
        <v>243</v>
      </c>
      <c r="G24" s="7" t="s">
        <v>24</v>
      </c>
      <c r="H24" s="7"/>
      <c r="I24" s="7">
        <v>1</v>
      </c>
      <c r="J24" s="7">
        <v>3</v>
      </c>
      <c r="K24" s="7" t="s">
        <v>341</v>
      </c>
      <c r="L24" s="7" t="s">
        <v>332</v>
      </c>
      <c r="M24" s="7"/>
      <c r="N24" s="8"/>
      <c r="O24" s="7"/>
      <c r="P24" s="7">
        <v>1701</v>
      </c>
      <c r="Q24" s="7">
        <v>836.36542432884255</v>
      </c>
      <c r="R24" s="7"/>
      <c r="S24" s="7" t="s">
        <v>452</v>
      </c>
      <c r="T24" s="7" t="s">
        <v>452</v>
      </c>
      <c r="U24" s="7"/>
      <c r="V24" s="7"/>
      <c r="W24" s="7"/>
      <c r="X24" s="7"/>
      <c r="Y24" s="7"/>
      <c r="Z24" s="7"/>
      <c r="AA24" s="7"/>
      <c r="AB24" s="7"/>
      <c r="AC24" s="7"/>
      <c r="AD24" s="7"/>
      <c r="AE24" t="s">
        <v>19</v>
      </c>
      <c r="AF24" t="s">
        <v>19</v>
      </c>
      <c r="AH24">
        <v>1</v>
      </c>
    </row>
    <row r="25" spans="1:34" ht="58">
      <c r="A25" t="s">
        <v>115</v>
      </c>
      <c r="B25" s="3" t="s">
        <v>250</v>
      </c>
      <c r="C25" s="3" t="s">
        <v>247</v>
      </c>
      <c r="G25" s="7" t="s">
        <v>25</v>
      </c>
      <c r="H25" s="7"/>
      <c r="I25" s="7">
        <v>1</v>
      </c>
      <c r="J25" s="7">
        <v>3</v>
      </c>
      <c r="K25" s="7" t="s">
        <v>348</v>
      </c>
      <c r="L25" s="7" t="s">
        <v>332</v>
      </c>
      <c r="M25" s="7"/>
      <c r="N25" s="8"/>
      <c r="O25" s="7"/>
      <c r="P25" s="7">
        <v>743</v>
      </c>
      <c r="Q25" s="7">
        <v>365.32599075621988</v>
      </c>
      <c r="R25" s="7"/>
      <c r="S25" s="7" t="s">
        <v>452</v>
      </c>
      <c r="T25" s="7" t="s">
        <v>452</v>
      </c>
      <c r="U25" s="7"/>
      <c r="V25" s="7"/>
      <c r="W25" s="7"/>
      <c r="X25" s="7"/>
      <c r="Y25" s="7"/>
      <c r="Z25" s="7"/>
      <c r="AA25" s="7"/>
      <c r="AB25" s="7"/>
      <c r="AC25" s="7"/>
      <c r="AD25" s="7"/>
      <c r="AE25" t="s">
        <v>19</v>
      </c>
      <c r="AF25" t="s">
        <v>19</v>
      </c>
      <c r="AH25">
        <v>1</v>
      </c>
    </row>
    <row r="26" spans="1:34" ht="174">
      <c r="A26" t="s">
        <v>129</v>
      </c>
      <c r="B26" s="3" t="s">
        <v>264</v>
      </c>
      <c r="C26" s="3" t="s">
        <v>267</v>
      </c>
      <c r="G26" s="7" t="s">
        <v>24</v>
      </c>
      <c r="H26" s="7"/>
      <c r="I26" s="7">
        <v>1</v>
      </c>
      <c r="J26" s="7">
        <v>3</v>
      </c>
      <c r="K26" s="7" t="s">
        <v>341</v>
      </c>
      <c r="L26" s="7" t="s">
        <v>332</v>
      </c>
      <c r="M26" s="7"/>
      <c r="N26" s="8"/>
      <c r="O26" s="7"/>
      <c r="P26" s="7">
        <v>86</v>
      </c>
      <c r="Q26" s="7">
        <v>42.285377126561116</v>
      </c>
      <c r="R26" s="7"/>
      <c r="S26" s="7" t="s">
        <v>452</v>
      </c>
      <c r="T26" s="7" t="s">
        <v>452</v>
      </c>
      <c r="U26" s="7"/>
      <c r="V26" s="7"/>
      <c r="W26" s="7"/>
      <c r="X26" s="7"/>
      <c r="Y26" s="7"/>
      <c r="Z26" s="7"/>
      <c r="AA26" s="7"/>
      <c r="AB26" s="7"/>
      <c r="AC26" s="7"/>
      <c r="AD26" s="7"/>
      <c r="AE26" t="s">
        <v>19</v>
      </c>
      <c r="AF26" t="s">
        <v>19</v>
      </c>
      <c r="AH26">
        <v>1</v>
      </c>
    </row>
    <row r="27" spans="1:34" ht="58">
      <c r="A27" t="s">
        <v>135</v>
      </c>
      <c r="B27" s="3" t="s">
        <v>278</v>
      </c>
      <c r="C27" s="3" t="s">
        <v>277</v>
      </c>
      <c r="G27" s="7" t="s">
        <v>25</v>
      </c>
      <c r="H27" s="7"/>
      <c r="I27" s="7">
        <v>1</v>
      </c>
      <c r="J27" s="7">
        <v>3</v>
      </c>
      <c r="K27" s="7" t="s">
        <v>331</v>
      </c>
      <c r="L27" s="7" t="s">
        <v>332</v>
      </c>
      <c r="M27" s="7"/>
      <c r="N27" s="8"/>
      <c r="O27" s="7"/>
      <c r="P27" s="7">
        <v>2475</v>
      </c>
      <c r="Q27" s="7">
        <v>1216.9338184678927</v>
      </c>
      <c r="R27" s="7"/>
      <c r="S27" s="7" t="s">
        <v>452</v>
      </c>
      <c r="T27" s="7" t="s">
        <v>452</v>
      </c>
      <c r="U27" s="7"/>
      <c r="V27" s="7"/>
      <c r="W27" s="7"/>
      <c r="X27" s="7"/>
      <c r="Y27" s="7"/>
      <c r="Z27" s="7"/>
      <c r="AA27" s="7"/>
      <c r="AB27" s="7"/>
      <c r="AC27" s="7"/>
      <c r="AD27" s="7"/>
      <c r="AE27" t="s">
        <v>19</v>
      </c>
      <c r="AF27" t="s">
        <v>19</v>
      </c>
      <c r="AH27">
        <v>1</v>
      </c>
    </row>
    <row r="28" spans="1:34" ht="29">
      <c r="A28" t="s">
        <v>138</v>
      </c>
      <c r="B28" s="3" t="s">
        <v>282</v>
      </c>
      <c r="C28" s="3" t="s">
        <v>281</v>
      </c>
      <c r="G28" s="7" t="s">
        <v>25</v>
      </c>
      <c r="H28" s="7"/>
      <c r="I28" s="7">
        <v>1</v>
      </c>
      <c r="J28" s="7">
        <v>2</v>
      </c>
      <c r="K28" s="7" t="s">
        <v>341</v>
      </c>
      <c r="L28" s="7" t="s">
        <v>373</v>
      </c>
      <c r="M28" s="7"/>
      <c r="N28" s="8"/>
      <c r="O28" s="7"/>
      <c r="P28" s="7">
        <v>171</v>
      </c>
      <c r="Q28" s="7">
        <v>84.079063821418046</v>
      </c>
      <c r="R28" s="7"/>
      <c r="S28" s="7" t="s">
        <v>452</v>
      </c>
      <c r="T28" s="7" t="s">
        <v>452</v>
      </c>
      <c r="U28" s="7"/>
      <c r="V28" s="7"/>
      <c r="W28" s="7"/>
      <c r="X28" s="7"/>
      <c r="Y28" s="7"/>
      <c r="Z28" s="7"/>
      <c r="AA28" s="7"/>
      <c r="AB28" s="7"/>
      <c r="AC28" s="7"/>
      <c r="AD28" s="7"/>
      <c r="AE28" t="s">
        <v>19</v>
      </c>
      <c r="AF28" t="s">
        <v>20</v>
      </c>
      <c r="AH28">
        <v>1</v>
      </c>
    </row>
    <row r="29" spans="1:34" ht="29">
      <c r="A29" t="s">
        <v>138</v>
      </c>
      <c r="B29" s="3" t="s">
        <v>284</v>
      </c>
      <c r="C29" s="3" t="s">
        <v>283</v>
      </c>
      <c r="G29" s="7" t="s">
        <v>25</v>
      </c>
      <c r="H29" s="7"/>
      <c r="I29" s="7">
        <v>1</v>
      </c>
      <c r="J29" s="7">
        <v>2</v>
      </c>
      <c r="K29" s="7" t="s">
        <v>350</v>
      </c>
      <c r="L29" s="7" t="s">
        <v>373</v>
      </c>
      <c r="M29" s="7"/>
      <c r="N29" s="8"/>
      <c r="O29" s="7"/>
      <c r="P29" s="7">
        <v>613</v>
      </c>
      <c r="Q29" s="7">
        <v>301.40623463467404</v>
      </c>
      <c r="R29" s="7"/>
      <c r="S29" s="7" t="s">
        <v>452</v>
      </c>
      <c r="T29" s="7" t="s">
        <v>452</v>
      </c>
      <c r="U29" s="7"/>
      <c r="V29" s="7"/>
      <c r="W29" s="7"/>
      <c r="X29" s="7"/>
      <c r="Y29" s="7"/>
      <c r="Z29" s="7"/>
      <c r="AA29" s="7"/>
      <c r="AB29" s="7"/>
      <c r="AC29" s="7"/>
      <c r="AD29" s="7"/>
      <c r="AE29" t="s">
        <v>19</v>
      </c>
      <c r="AF29" t="s">
        <v>19</v>
      </c>
      <c r="AH29">
        <v>1</v>
      </c>
    </row>
    <row r="30" spans="1:34" ht="43.5">
      <c r="A30" t="s">
        <v>139</v>
      </c>
      <c r="B30" s="3" t="s">
        <v>289</v>
      </c>
      <c r="C30" s="3" t="s">
        <v>288</v>
      </c>
      <c r="G30" s="7" t="s">
        <v>25</v>
      </c>
      <c r="H30" s="7"/>
      <c r="I30" s="7">
        <v>1</v>
      </c>
      <c r="J30" s="7">
        <v>3</v>
      </c>
      <c r="K30" s="7" t="s">
        <v>341</v>
      </c>
      <c r="L30" s="7" t="s">
        <v>332</v>
      </c>
      <c r="M30" s="7"/>
      <c r="N30" s="8"/>
      <c r="O30" s="7"/>
      <c r="P30" s="7">
        <v>1701</v>
      </c>
      <c r="Q30" s="7">
        <v>836.36542432884255</v>
      </c>
      <c r="R30" s="7"/>
      <c r="S30" s="7" t="s">
        <v>452</v>
      </c>
      <c r="T30" s="7" t="s">
        <v>452</v>
      </c>
      <c r="U30" s="7"/>
      <c r="V30" s="7"/>
      <c r="W30" s="7"/>
      <c r="X30" s="7"/>
      <c r="Y30" s="7"/>
      <c r="Z30" s="7"/>
      <c r="AA30" s="7"/>
      <c r="AB30" s="7"/>
      <c r="AC30" s="7"/>
      <c r="AD30" s="7"/>
      <c r="AE30" t="s">
        <v>19</v>
      </c>
      <c r="AF30" t="s">
        <v>19</v>
      </c>
      <c r="AH30">
        <v>1</v>
      </c>
    </row>
    <row r="31" spans="1:34" ht="29">
      <c r="A31" t="s">
        <v>141</v>
      </c>
      <c r="B31" s="3" t="s">
        <v>293</v>
      </c>
      <c r="C31" s="3" t="s">
        <v>292</v>
      </c>
      <c r="G31" s="7" t="s">
        <v>25</v>
      </c>
      <c r="H31" s="7"/>
      <c r="I31" s="7">
        <v>1</v>
      </c>
      <c r="J31" s="7">
        <v>3</v>
      </c>
      <c r="K31" s="7" t="s">
        <v>341</v>
      </c>
      <c r="L31" s="7" t="s">
        <v>332</v>
      </c>
      <c r="M31" s="7"/>
      <c r="N31" s="8"/>
      <c r="O31" s="7"/>
      <c r="P31" s="7">
        <v>1701</v>
      </c>
      <c r="Q31" s="7">
        <v>836.36542432884255</v>
      </c>
      <c r="R31" s="7"/>
      <c r="S31" s="7" t="s">
        <v>452</v>
      </c>
      <c r="T31" s="7" t="s">
        <v>452</v>
      </c>
      <c r="U31" s="7"/>
      <c r="V31" s="7"/>
      <c r="W31" s="7"/>
      <c r="X31" s="7"/>
      <c r="Y31" s="7"/>
      <c r="Z31" s="7"/>
      <c r="AA31" s="7"/>
      <c r="AB31" s="7"/>
      <c r="AC31" s="7"/>
      <c r="AD31" s="7"/>
      <c r="AE31" t="s">
        <v>19</v>
      </c>
      <c r="AF31" t="s">
        <v>19</v>
      </c>
      <c r="AH31">
        <v>1</v>
      </c>
    </row>
    <row r="32" spans="1:34" ht="29">
      <c r="A32" t="s">
        <v>142</v>
      </c>
      <c r="B32" s="3" t="s">
        <v>294</v>
      </c>
      <c r="C32" s="3" t="s">
        <v>295</v>
      </c>
      <c r="G32" s="7" t="s">
        <v>25</v>
      </c>
      <c r="H32" s="7"/>
      <c r="I32" s="7">
        <v>1</v>
      </c>
      <c r="J32" s="7">
        <v>2</v>
      </c>
      <c r="K32" s="7" t="s">
        <v>377</v>
      </c>
      <c r="L32" s="7" t="s">
        <v>373</v>
      </c>
      <c r="M32" s="7"/>
      <c r="N32" s="8"/>
      <c r="O32" s="7"/>
      <c r="P32" s="7">
        <v>10</v>
      </c>
      <c r="Q32" s="7">
        <v>4.9169043170419897</v>
      </c>
      <c r="R32" s="7"/>
      <c r="S32" s="7" t="s">
        <v>452</v>
      </c>
      <c r="T32" s="7" t="s">
        <v>452</v>
      </c>
      <c r="U32" s="7"/>
      <c r="V32" s="7"/>
      <c r="W32" s="7"/>
      <c r="X32" s="7"/>
      <c r="Y32" s="7"/>
      <c r="Z32" s="7"/>
      <c r="AA32" s="7"/>
      <c r="AB32" s="7"/>
      <c r="AC32" s="7"/>
      <c r="AD32" s="7"/>
      <c r="AE32" t="s">
        <v>19</v>
      </c>
      <c r="AF32" t="s">
        <v>20</v>
      </c>
      <c r="AH32">
        <v>1</v>
      </c>
    </row>
    <row r="33" spans="1:34" ht="29">
      <c r="A33" t="s">
        <v>147</v>
      </c>
      <c r="B33" s="3" t="s">
        <v>305</v>
      </c>
      <c r="C33" s="3" t="s">
        <v>304</v>
      </c>
      <c r="G33" s="7" t="s">
        <v>25</v>
      </c>
      <c r="H33" s="7"/>
      <c r="I33" s="7">
        <v>1</v>
      </c>
      <c r="J33" s="7">
        <v>1</v>
      </c>
      <c r="K33" s="7" t="s">
        <v>331</v>
      </c>
      <c r="L33" s="7" t="s">
        <v>373</v>
      </c>
      <c r="M33" s="7"/>
      <c r="N33" s="8"/>
      <c r="O33" s="7"/>
      <c r="P33" s="7">
        <v>2475</v>
      </c>
      <c r="Q33" s="7">
        <v>1216.9338184678927</v>
      </c>
      <c r="R33" s="7"/>
      <c r="S33" s="7" t="s">
        <v>452</v>
      </c>
      <c r="T33" s="7" t="s">
        <v>452</v>
      </c>
      <c r="U33" s="7"/>
      <c r="V33" s="7"/>
      <c r="W33" s="7"/>
      <c r="X33" s="7"/>
      <c r="Y33" s="7"/>
      <c r="Z33" s="7"/>
      <c r="AA33" s="7"/>
      <c r="AB33" s="7"/>
      <c r="AC33" s="7"/>
      <c r="AD33" s="7"/>
      <c r="AE33" t="s">
        <v>19</v>
      </c>
      <c r="AF33" t="s">
        <v>19</v>
      </c>
      <c r="AH33">
        <v>1</v>
      </c>
    </row>
    <row r="34" spans="1:34" ht="29">
      <c r="A34" t="s">
        <v>147</v>
      </c>
      <c r="B34" s="3" t="s">
        <v>306</v>
      </c>
      <c r="C34" s="3" t="s">
        <v>307</v>
      </c>
      <c r="G34" s="7" t="s">
        <v>25</v>
      </c>
      <c r="H34" s="7"/>
      <c r="I34" s="7">
        <v>1</v>
      </c>
      <c r="J34" s="7">
        <v>1</v>
      </c>
      <c r="K34" s="7" t="s">
        <v>331</v>
      </c>
      <c r="L34" s="7" t="s">
        <v>373</v>
      </c>
      <c r="M34" s="7"/>
      <c r="N34" s="8"/>
      <c r="O34" s="7"/>
      <c r="P34" s="7">
        <v>2475</v>
      </c>
      <c r="Q34" s="7">
        <v>1216.9338184678927</v>
      </c>
      <c r="R34" s="7"/>
      <c r="S34" s="7" t="s">
        <v>452</v>
      </c>
      <c r="T34" s="7" t="s">
        <v>452</v>
      </c>
      <c r="U34" s="7"/>
      <c r="V34" s="7"/>
      <c r="W34" s="7"/>
      <c r="X34" s="7"/>
      <c r="Y34" s="7"/>
      <c r="Z34" s="7"/>
      <c r="AA34" s="7"/>
      <c r="AB34" s="7"/>
      <c r="AC34" s="7"/>
      <c r="AD34" s="7"/>
      <c r="AE34" t="s">
        <v>19</v>
      </c>
      <c r="AF34" t="s">
        <v>19</v>
      </c>
      <c r="AH34">
        <v>1</v>
      </c>
    </row>
    <row r="35" spans="1:34" ht="29">
      <c r="A35" t="s">
        <v>153</v>
      </c>
      <c r="B35" s="3" t="s">
        <v>307</v>
      </c>
      <c r="C35" s="3" t="s">
        <v>306</v>
      </c>
      <c r="G35" s="7" t="s">
        <v>24</v>
      </c>
      <c r="H35" s="7"/>
      <c r="I35" s="7">
        <v>1</v>
      </c>
      <c r="J35" s="7">
        <v>1</v>
      </c>
      <c r="K35" s="7" t="s">
        <v>331</v>
      </c>
      <c r="L35" s="7" t="s">
        <v>373</v>
      </c>
      <c r="M35" s="7"/>
      <c r="N35" s="8"/>
      <c r="O35" s="7"/>
      <c r="P35" s="7">
        <v>2475</v>
      </c>
      <c r="Q35" s="7">
        <v>1216.9338184678927</v>
      </c>
      <c r="R35" s="7"/>
      <c r="S35" s="7" t="s">
        <v>452</v>
      </c>
      <c r="T35" s="7" t="s">
        <v>452</v>
      </c>
      <c r="U35" s="7"/>
      <c r="V35" s="7"/>
      <c r="W35" s="7"/>
      <c r="X35" s="7"/>
      <c r="Y35" s="7"/>
      <c r="Z35" s="7"/>
      <c r="AA35" s="7"/>
      <c r="AB35" s="7"/>
      <c r="AC35" s="7"/>
      <c r="AD35" s="7"/>
      <c r="AE35" t="s">
        <v>19</v>
      </c>
      <c r="AF35" t="s">
        <v>19</v>
      </c>
      <c r="AH35">
        <v>1</v>
      </c>
    </row>
    <row r="36" spans="1:34">
      <c r="B36" s="3"/>
      <c r="C36" s="3"/>
      <c r="G36" s="7"/>
      <c r="H36" s="7"/>
      <c r="I36" s="7"/>
      <c r="J36" s="7"/>
      <c r="K36" s="7"/>
      <c r="L36" s="7"/>
      <c r="M36" s="7"/>
      <c r="N36" s="8"/>
      <c r="O36" s="7"/>
      <c r="P36" s="7"/>
      <c r="Q36" s="7"/>
      <c r="R36" s="7"/>
      <c r="S36" s="7"/>
      <c r="T36" s="7"/>
      <c r="U36" s="7"/>
      <c r="V36" s="7"/>
      <c r="W36" s="7"/>
      <c r="X36" s="7"/>
      <c r="Y36" s="7"/>
      <c r="Z36" s="7"/>
      <c r="AA36" s="7"/>
      <c r="AB36" s="7"/>
      <c r="AC36" s="7"/>
      <c r="AD36" s="7"/>
    </row>
    <row r="37" spans="1:34">
      <c r="B37" s="3"/>
      <c r="C37" s="3"/>
      <c r="G37" s="7"/>
      <c r="H37" s="7"/>
      <c r="I37" s="7"/>
      <c r="J37" s="7"/>
      <c r="K37" s="7"/>
      <c r="L37" s="7"/>
      <c r="M37" s="7"/>
      <c r="N37" s="8"/>
      <c r="O37" s="7"/>
      <c r="P37" s="7"/>
      <c r="Q37" s="7"/>
      <c r="R37" s="7"/>
      <c r="S37" s="7"/>
      <c r="T37" s="7"/>
      <c r="U37" s="7"/>
      <c r="V37" s="7"/>
      <c r="W37" s="7"/>
      <c r="X37" s="7"/>
      <c r="Y37" s="7"/>
      <c r="Z37" s="7"/>
      <c r="AA37" s="7"/>
      <c r="AB37" s="7"/>
      <c r="AC37" s="7"/>
      <c r="AD37" s="7"/>
    </row>
    <row r="40" spans="1:34">
      <c r="D40" t="s">
        <v>449</v>
      </c>
      <c r="E40">
        <v>20338</v>
      </c>
    </row>
    <row r="41" spans="1:34">
      <c r="D41" t="s">
        <v>454</v>
      </c>
      <c r="E41">
        <f>MEDIAN(Q:Q)</f>
        <v>1216.9338184678927</v>
      </c>
    </row>
    <row r="44" spans="1:34">
      <c r="D44" t="s">
        <v>455</v>
      </c>
      <c r="E44">
        <f>COUNTIFS(G:G, "Addition", Q:Q, "&gt;=" &amp; $E$41)</f>
        <v>9</v>
      </c>
      <c r="F44" t="s">
        <v>465</v>
      </c>
    </row>
    <row r="45" spans="1:34">
      <c r="D45" t="s">
        <v>456</v>
      </c>
      <c r="E45">
        <f>COUNTIFS(G:G, "Omission", Q:Q, "&gt;=" &amp; $E$41)</f>
        <v>13</v>
      </c>
    </row>
    <row r="46" spans="1:34">
      <c r="D46" t="s">
        <v>457</v>
      </c>
      <c r="E46">
        <f>E44/(E44+E45)</f>
        <v>0.40909090909090912</v>
      </c>
    </row>
    <row r="47" spans="1:34">
      <c r="D47" t="s">
        <v>458</v>
      </c>
      <c r="E47">
        <f>COUNTIFS(G:G, "Addition", Q:Q, "&lt;" &amp; $E$41)</f>
        <v>3</v>
      </c>
    </row>
    <row r="48" spans="1:34">
      <c r="D48" t="s">
        <v>459</v>
      </c>
      <c r="E48">
        <f>COUNTIFS(G:G, "Omission", Q:Q, "&lt;" &amp; $E$41)</f>
        <v>9</v>
      </c>
    </row>
    <row r="49" spans="4:5">
      <c r="D49" t="s">
        <v>460</v>
      </c>
      <c r="E49">
        <f>E47/(E47+E48)</f>
        <v>0.25</v>
      </c>
    </row>
    <row r="52" spans="4:5">
      <c r="D52" t="s">
        <v>462</v>
      </c>
      <c r="E52">
        <f>COUNTIFS(G:G, "Addition", K:K, "Article")</f>
        <v>9</v>
      </c>
    </row>
    <row r="53" spans="4:5">
      <c r="D53" t="s">
        <v>463</v>
      </c>
      <c r="E53">
        <f>COUNTIFS(G:G, "Omission", K:K, "Article")</f>
        <v>13</v>
      </c>
    </row>
    <row r="54" spans="4:5">
      <c r="D54" t="s">
        <v>464</v>
      </c>
      <c r="E54">
        <f>COUNTIFS(G:G, "Addition", K:K, "Article")/(COUNTIFS(G:G, "Addition", K:K, "Article") + COUNTIFS(G:G, "Omission", K:K, "Article"))</f>
        <v>0.40909090909090912</v>
      </c>
    </row>
  </sheetData>
  <conditionalFormatting sqref="G2:G37">
    <cfRule type="expression" dxfId="253" priority="7">
      <formula>$I2&lt;&gt;""</formula>
    </cfRule>
    <cfRule type="expression" dxfId="252" priority="8">
      <formula>$I2=""</formula>
    </cfRule>
  </conditionalFormatting>
  <conditionalFormatting sqref="H2:L37 O2:P37">
    <cfRule type="expression" dxfId="251" priority="21">
      <formula>AND(OR($I2="Addition",$I2="Omission"), H2="")</formula>
    </cfRule>
    <cfRule type="expression" dxfId="250" priority="22">
      <formula>AND($I2&lt;&gt;"Addition",$I2&lt;&gt;"Omission",$I2&lt;&gt;"Substitution - Word")</formula>
    </cfRule>
  </conditionalFormatting>
  <conditionalFormatting sqref="H2:P37">
    <cfRule type="expression" dxfId="249" priority="20">
      <formula>AND(OR($I2="Addition",$I2="Omission"), H2&lt;&gt;"")</formula>
    </cfRule>
  </conditionalFormatting>
  <conditionalFormatting sqref="K2:K37">
    <cfRule type="expression" dxfId="248" priority="18">
      <formula>AND($K2&lt;&gt;"",$K2&gt;1)</formula>
    </cfRule>
  </conditionalFormatting>
  <conditionalFormatting sqref="M2:N37">
    <cfRule type="expression" dxfId="247" priority="14">
      <formula>$N2="Absent"</formula>
    </cfRule>
    <cfRule type="expression" dxfId="246" priority="15">
      <formula>$N2="NA"</formula>
    </cfRule>
    <cfRule type="expression" dxfId="245" priority="16">
      <formula>AND(OR($I2="Addition",$I2="Omission"), M2="")</formula>
    </cfRule>
    <cfRule type="expression" dxfId="244" priority="17">
      <formula>AND($I2&lt;&gt;"Addition",$I2&lt;&gt;"Omission")</formula>
    </cfRule>
  </conditionalFormatting>
  <conditionalFormatting sqref="O2:O37">
    <cfRule type="expression" dxfId="243" priority="19">
      <formula>OR($I2="Addition",$I2="Omission",$I2 = "Substitution - Word")</formula>
    </cfRule>
  </conditionalFormatting>
  <conditionalFormatting sqref="Q2:Q37">
    <cfRule type="expression" dxfId="242" priority="1">
      <formula>AND(OR($I2="Addition",$I2="Omission"), Q2&lt;&gt;"")</formula>
    </cfRule>
    <cfRule type="expression" dxfId="241" priority="2">
      <formula>AND(OR($I2="Addition",$I2="Omission"), Q2="")</formula>
    </cfRule>
    <cfRule type="expression" dxfId="240" priority="3">
      <formula>AND($I2&lt;&gt;"Addition",$I2&lt;&gt;"Omission",$I2&lt;&gt;"Substitution - Word")</formula>
    </cfRule>
  </conditionalFormatting>
  <conditionalFormatting sqref="R36:R37">
    <cfRule type="expression" dxfId="239" priority="46">
      <formula>AND(AND(LEFT($I36,3)="Sub", RIGHT($I36,4)&lt;&gt;"Form"),$V36&lt;&gt;"")</formula>
    </cfRule>
    <cfRule type="expression" dxfId="238" priority="47">
      <formula>AND(AND(LEFT($I36,3)="Sub", RIGHT($I36,4)&lt;&gt;"Form"),$V36="")</formula>
    </cfRule>
    <cfRule type="expression" dxfId="237" priority="48">
      <formula>"&lt;&gt;AND(LEFT($J2,3)=""Sub"", RIGHT($J2,4)&lt;&gt;""Form"")"</formula>
    </cfRule>
  </conditionalFormatting>
  <conditionalFormatting sqref="R2:T35">
    <cfRule type="expression" dxfId="236" priority="4">
      <formula>AND(AND(LEFT($I2,3)="Sub", RIGHT($I2,4)&lt;&gt;"Form"),$T2&lt;&gt;"")</formula>
    </cfRule>
    <cfRule type="expression" dxfId="235" priority="5">
      <formula>AND(AND(LEFT($I2,3)="Sub", RIGHT($I2,4)&lt;&gt;"Form"),$T2="")</formula>
    </cfRule>
    <cfRule type="expression" dxfId="234" priority="6">
      <formula>"&lt;&gt;AND(LEFT($J2,3)=""Sub"", RIGHT($J2,4)&lt;&gt;""Form"")"</formula>
    </cfRule>
  </conditionalFormatting>
  <conditionalFormatting sqref="S36:T37">
    <cfRule type="expression" dxfId="233" priority="30">
      <formula>AND(AND(LEFT($I36,3)="Sub", RIGHT($I36,4)&lt;&gt;"Form"),$T36&lt;&gt;"")</formula>
    </cfRule>
    <cfRule type="expression" dxfId="232" priority="31">
      <formula>AND(AND(LEFT($I36,3)="Sub", RIGHT($I36,4)&lt;&gt;"Form"),$T36="")</formula>
    </cfRule>
    <cfRule type="expression" dxfId="231" priority="32">
      <formula>"&lt;&gt;AND(LEFT($J2,3)=""Sub"", RIGHT($J2,4)&lt;&gt;""Form"")"</formula>
    </cfRule>
  </conditionalFormatting>
  <conditionalFormatting sqref="U2:U37">
    <cfRule type="expression" dxfId="230" priority="10">
      <formula>AND($W2&lt;&gt;"",OR($AD2="Yes",$AE2&lt;&gt;""))</formula>
    </cfRule>
    <cfRule type="expression" dxfId="229" priority="11">
      <formula>OR($AD2="Yes",$AE2&lt;&gt;"")</formula>
    </cfRule>
    <cfRule type="expression" dxfId="228" priority="25">
      <formula>AND($AD2&lt;&gt;"Yes",$AE2="")</formula>
    </cfRule>
  </conditionalFormatting>
  <conditionalFormatting sqref="U2:AD37">
    <cfRule type="expression" dxfId="227" priority="23">
      <formula>AND($I2&lt;&gt;"",$I2&lt;&gt;"Unclear due to correction")</formula>
    </cfRule>
    <cfRule type="expression" dxfId="226" priority="24">
      <formula>OR($I2="",$I2="Unclear due to correction")</formula>
    </cfRule>
  </conditionalFormatting>
  <conditionalFormatting sqref="V2:V37">
    <cfRule type="expression" dxfId="225" priority="9">
      <formula>AND($I2&lt;&gt;"",$I2&lt;&gt;"Unclear due to correction",$X2="")</formula>
    </cfRule>
  </conditionalFormatting>
  <conditionalFormatting sqref="W2:W37">
    <cfRule type="expression" dxfId="224" priority="12">
      <formula>AND($X2="Yes",$Y2="")</formula>
    </cfRule>
    <cfRule type="expression" dxfId="223" priority="13">
      <formula>$X2=""</formula>
    </cfRule>
  </conditionalFormatting>
  <conditionalFormatting sqref="AB2:AB37">
    <cfRule type="expression" dxfId="222" priority="26">
      <formula>AND(OR($AB2&lt;&gt;"",$AC2&lt;&gt;""),$AD2="")</formula>
    </cfRule>
  </conditionalFormatting>
  <dataValidations count="1">
    <dataValidation allowBlank="1" showInputMessage="1" sqref="V2:V37" xr:uid="{5B458AE5-5441-4857-A992-D4A3CB8E7B4A}"/>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9260D979-ED3C-44A9-947F-E1ED2D810981}">
          <x14:formula1>
            <xm:f>'Data Regularization'!$Q$2:$Q$4</xm:f>
          </x14:formula1>
          <xm:sqref>AE36:AG37 AG2:AG35 AE2:AE35</xm:sqref>
        </x14:dataValidation>
        <x14:dataValidation type="list" allowBlank="1" showInputMessage="1" showErrorMessage="1" xr:uid="{D77113DB-BB01-40C4-8CA3-1EAD8BE6BC94}">
          <x14:formula1>
            <xm:f>'Data Regularization'!$B$2:$B$1048576</xm:f>
          </x14:formula1>
          <xm:sqref>E2:E37</xm:sqref>
        </x14:dataValidation>
        <x14:dataValidation type="list" allowBlank="1" showInputMessage="1" showErrorMessage="1" xr:uid="{C57EECB0-0CCC-4405-BCD1-0DD153064EE2}">
          <x14:formula1>
            <xm:f>'Data Regularization'!$A$2:$A$1048576</xm:f>
          </x14:formula1>
          <xm:sqref>D2:D37</xm:sqref>
        </x14:dataValidation>
        <x14:dataValidation type="list" allowBlank="1" showInputMessage="1" showErrorMessage="1" xr:uid="{71A7A0B1-D151-4125-AADC-C55B97AE4D8B}">
          <x14:formula1>
            <xm:f>'Data Regularization'!$C$2:$C$29</xm:f>
          </x14:formula1>
          <xm:sqref>F2:F37</xm:sqref>
        </x14:dataValidation>
        <x14:dataValidation type="list" allowBlank="1" showInputMessage="1" showErrorMessage="1" xr:uid="{EC57F860-964C-4324-8F73-D833A2608978}">
          <x14:formula1>
            <xm:f>'Data Regularization'!$Q$2:$Q$1048576</xm:f>
          </x14:formula1>
          <xm:sqref>AD2:AD37</xm:sqref>
        </x14:dataValidation>
        <x14:dataValidation type="list" allowBlank="1" showInputMessage="1" showErrorMessage="1" xr:uid="{A752F9F0-367C-4054-A8FF-8F709EBD15A3}">
          <x14:formula1>
            <xm:f>'Data Regularization'!$P$2:$P$1048576</xm:f>
          </x14:formula1>
          <xm:sqref>AC2:AC37</xm:sqref>
        </x14:dataValidation>
        <x14:dataValidation type="list" allowBlank="1" showInputMessage="1" showErrorMessage="1" xr:uid="{29AC971D-FD69-4813-BF03-7F91AC904886}">
          <x14:formula1>
            <xm:f>'Data Regularization'!$O$2:$O$1048576</xm:f>
          </x14:formula1>
          <xm:sqref>AB2:AB37</xm:sqref>
        </x14:dataValidation>
        <x14:dataValidation type="list" allowBlank="1" showInputMessage="1" showErrorMessage="1" xr:uid="{ACA02654-FE60-4EA0-B27B-29B603E3DE55}">
          <x14:formula1>
            <xm:f>'Data Regularization'!$N$2:$N$1048576</xm:f>
          </x14:formula1>
          <xm:sqref>Z2:Z37</xm:sqref>
        </x14:dataValidation>
        <x14:dataValidation type="list" allowBlank="1" showInputMessage="1" showErrorMessage="1" xr:uid="{73B90BAA-BC63-4776-859D-D45C0E8C8B0E}">
          <x14:formula1>
            <xm:f>'Data Regularization'!$M$2:$M$1048576</xm:f>
          </x14:formula1>
          <xm:sqref>Y2:Y37</xm:sqref>
        </x14:dataValidation>
        <x14:dataValidation type="list" allowBlank="1" showInputMessage="1" showErrorMessage="1" xr:uid="{A3EDF8B9-8F36-4CC3-BE93-D5CB35430157}">
          <x14:formula1>
            <xm:f>'Data Regularization'!$L$2:$L$1048576</xm:f>
          </x14:formula1>
          <xm:sqref>X2:X37</xm:sqref>
        </x14:dataValidation>
        <x14:dataValidation type="list" allowBlank="1" showInputMessage="1" showErrorMessage="1" xr:uid="{143CA09F-033B-494A-9026-F20B443C1AC0}">
          <x14:formula1>
            <xm:f>'Data Regularization'!$K$2:$K$1048576</xm:f>
          </x14:formula1>
          <xm:sqref>U2:U37 W2:W37</xm:sqref>
        </x14:dataValidation>
        <x14:dataValidation type="list" allowBlank="1" showInputMessage="1" showErrorMessage="1" xr:uid="{FD935AFA-867B-4610-B583-7188CE96A54C}">
          <x14:formula1>
            <xm:f>'Data Regularization'!$G$2:$G$1048576</xm:f>
          </x14:formula1>
          <xm:sqref>O2:O37</xm:sqref>
        </x14:dataValidation>
        <x14:dataValidation type="list" allowBlank="1" showInputMessage="1" showErrorMessage="1" xr:uid="{AAE85AEC-4D79-40B6-87A3-49D319095477}">
          <x14:formula1>
            <xm:f>'Data Regularization'!$F$2:$F$1048576</xm:f>
          </x14:formula1>
          <xm:sqref>L2:L37</xm:sqref>
        </x14:dataValidation>
        <x14:dataValidation type="list" allowBlank="1" showInputMessage="1" showErrorMessage="1" xr:uid="{0272F06C-0F6D-4ABC-87D6-B241ADBAD3B8}">
          <x14:formula1>
            <xm:f>'Data Regularization'!$E$2:$E$1048576</xm:f>
          </x14:formula1>
          <xm:sqref>K2:K37</xm:sqref>
        </x14:dataValidation>
        <x14:dataValidation type="list" allowBlank="1" showInputMessage="1" showErrorMessage="1" xr:uid="{5149A66E-64B3-40BF-AE64-5D5B29C564D1}">
          <x14:formula1>
            <xm:f>'Data Regularization'!$D$2:$D$1048576</xm:f>
          </x14:formula1>
          <xm:sqref>G2:G37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1AE9-29E2-4CD6-B029-5D13951830A2}">
  <dimension ref="A1:AH18"/>
  <sheetViews>
    <sheetView workbookViewId="0"/>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55</v>
      </c>
      <c r="B2" s="3" t="s">
        <v>177</v>
      </c>
      <c r="C2" s="3" t="s">
        <v>178</v>
      </c>
      <c r="F2" t="s">
        <v>19</v>
      </c>
      <c r="G2" s="7" t="s">
        <v>24</v>
      </c>
      <c r="H2" s="7"/>
      <c r="I2" s="7">
        <v>1</v>
      </c>
      <c r="J2" s="7">
        <v>9</v>
      </c>
      <c r="K2" s="7" t="s">
        <v>325</v>
      </c>
      <c r="L2" s="7" t="s">
        <v>326</v>
      </c>
      <c r="M2" s="7" t="s">
        <v>416</v>
      </c>
      <c r="N2" s="8" t="s">
        <v>417</v>
      </c>
      <c r="O2" s="7"/>
      <c r="P2" s="7">
        <v>4</v>
      </c>
      <c r="Q2" s="7">
        <v>1.9667617268167963</v>
      </c>
      <c r="R2" s="7"/>
      <c r="S2" s="7" t="s">
        <v>452</v>
      </c>
      <c r="T2" s="7" t="s">
        <v>452</v>
      </c>
      <c r="U2" s="7"/>
      <c r="V2" s="7"/>
      <c r="W2" s="7"/>
      <c r="X2" s="7"/>
      <c r="Y2" s="7"/>
      <c r="Z2" s="7"/>
      <c r="AA2" s="7"/>
      <c r="AB2" s="7"/>
      <c r="AC2" s="7"/>
      <c r="AD2" s="7"/>
      <c r="AE2" t="s">
        <v>20</v>
      </c>
      <c r="AF2" t="s">
        <v>20</v>
      </c>
      <c r="AH2">
        <v>0</v>
      </c>
    </row>
    <row r="3" spans="1:34" ht="116">
      <c r="A3" t="s">
        <v>96</v>
      </c>
      <c r="B3" s="3" t="s">
        <v>214</v>
      </c>
      <c r="C3" s="3" t="s">
        <v>213</v>
      </c>
      <c r="G3" s="7" t="s">
        <v>25</v>
      </c>
      <c r="H3" s="7"/>
      <c r="I3" s="7">
        <v>1</v>
      </c>
      <c r="J3" s="7">
        <v>7</v>
      </c>
      <c r="K3" s="7" t="s">
        <v>325</v>
      </c>
      <c r="L3" s="7" t="s">
        <v>332</v>
      </c>
      <c r="M3" s="7"/>
      <c r="N3" s="8"/>
      <c r="O3" s="7"/>
      <c r="P3" s="7">
        <v>13</v>
      </c>
      <c r="Q3" s="7">
        <v>6.3919756121545879</v>
      </c>
      <c r="R3" s="7"/>
      <c r="S3" s="7" t="s">
        <v>452</v>
      </c>
      <c r="T3" s="7" t="s">
        <v>452</v>
      </c>
      <c r="U3" s="7"/>
      <c r="V3" s="7"/>
      <c r="W3" s="7"/>
      <c r="X3" s="7"/>
      <c r="Y3" s="7"/>
      <c r="Z3" s="7"/>
      <c r="AA3" s="7"/>
      <c r="AB3" s="7"/>
      <c r="AC3" s="7"/>
      <c r="AD3" s="7"/>
      <c r="AE3" t="s">
        <v>19</v>
      </c>
      <c r="AF3" t="s">
        <v>19</v>
      </c>
      <c r="AH3">
        <v>1</v>
      </c>
    </row>
    <row r="4" spans="1:34" ht="43.5">
      <c r="A4" t="s">
        <v>106</v>
      </c>
      <c r="B4" s="3" t="s">
        <v>239</v>
      </c>
      <c r="C4" s="3" t="s">
        <v>240</v>
      </c>
      <c r="G4" s="7" t="s">
        <v>25</v>
      </c>
      <c r="H4" s="7"/>
      <c r="I4" s="7">
        <v>1</v>
      </c>
      <c r="J4" s="7">
        <v>2</v>
      </c>
      <c r="K4" s="7" t="s">
        <v>383</v>
      </c>
      <c r="L4" s="7" t="s">
        <v>373</v>
      </c>
      <c r="M4" s="7"/>
      <c r="N4" s="8"/>
      <c r="O4" s="7"/>
      <c r="P4" s="7">
        <v>295</v>
      </c>
      <c r="Q4" s="7">
        <v>145.04867735273871</v>
      </c>
      <c r="R4" s="7"/>
      <c r="S4" s="7" t="s">
        <v>452</v>
      </c>
      <c r="T4" s="7" t="s">
        <v>452</v>
      </c>
      <c r="U4" s="7"/>
      <c r="V4" s="7"/>
      <c r="W4" s="7"/>
      <c r="X4" s="7"/>
      <c r="Y4" s="7"/>
      <c r="Z4" s="7"/>
      <c r="AA4" s="7"/>
      <c r="AB4" s="7"/>
      <c r="AC4" s="7"/>
      <c r="AD4" s="7"/>
      <c r="AE4" t="s">
        <v>19</v>
      </c>
      <c r="AF4" t="s">
        <v>19</v>
      </c>
      <c r="AH4">
        <v>1</v>
      </c>
    </row>
    <row r="5" spans="1:34" ht="101.5">
      <c r="A5" t="s">
        <v>129</v>
      </c>
      <c r="B5" s="3" t="s">
        <v>273</v>
      </c>
      <c r="C5" s="3" t="s">
        <v>270</v>
      </c>
      <c r="G5" s="7" t="s">
        <v>25</v>
      </c>
      <c r="H5" s="7"/>
      <c r="I5" s="7">
        <v>1</v>
      </c>
      <c r="J5" s="7">
        <v>9</v>
      </c>
      <c r="K5" s="7" t="s">
        <v>383</v>
      </c>
      <c r="L5" s="7" t="s">
        <v>332</v>
      </c>
      <c r="M5" s="7"/>
      <c r="N5" s="8"/>
      <c r="O5" s="7"/>
      <c r="P5" s="7">
        <v>18</v>
      </c>
      <c r="Q5" s="7">
        <v>8.8504277706755818</v>
      </c>
      <c r="R5" s="7"/>
      <c r="S5" s="7" t="s">
        <v>452</v>
      </c>
      <c r="T5" s="7" t="s">
        <v>452</v>
      </c>
      <c r="U5" s="7"/>
      <c r="V5" s="7"/>
      <c r="W5" s="7"/>
      <c r="X5" s="7"/>
      <c r="Y5" s="7"/>
      <c r="Z5" s="7"/>
      <c r="AA5" s="7"/>
      <c r="AB5" s="7"/>
      <c r="AC5" s="7"/>
      <c r="AD5" s="7"/>
      <c r="AE5" t="s">
        <v>19</v>
      </c>
      <c r="AF5" t="s">
        <v>20</v>
      </c>
      <c r="AH5">
        <v>1</v>
      </c>
    </row>
    <row r="8" spans="1:34">
      <c r="D8" t="s">
        <v>449</v>
      </c>
      <c r="E8">
        <v>20338</v>
      </c>
    </row>
    <row r="9" spans="1:34">
      <c r="D9" t="s">
        <v>454</v>
      </c>
      <c r="E9">
        <f>MEDIAN(Q:Q)</f>
        <v>7.6212016914150844</v>
      </c>
    </row>
    <row r="12" spans="1:34">
      <c r="D12" t="s">
        <v>455</v>
      </c>
      <c r="E12">
        <f>COUNTIFS(G:G, "Addition", Q:Q, "&gt;=" &amp; $E$9)</f>
        <v>0</v>
      </c>
      <c r="F12" s="4" t="s">
        <v>461</v>
      </c>
    </row>
    <row r="13" spans="1:34">
      <c r="D13" t="s">
        <v>456</v>
      </c>
      <c r="E13">
        <f>COUNTIFS(G:G, "Omission", Q:Q, "&gt;=" &amp; $E$9)</f>
        <v>2</v>
      </c>
    </row>
    <row r="14" spans="1:34">
      <c r="D14" t="s">
        <v>457</v>
      </c>
      <c r="E14">
        <f>E12/(E12+E13)</f>
        <v>0</v>
      </c>
    </row>
    <row r="15" spans="1:34">
      <c r="D15" t="s">
        <v>458</v>
      </c>
      <c r="E15">
        <f>COUNTIFS(G:G, "Addition", Q:Q, "&lt;" &amp; $E$9)</f>
        <v>1</v>
      </c>
    </row>
    <row r="16" spans="1:34">
      <c r="D16" t="s">
        <v>459</v>
      </c>
      <c r="E16">
        <f>COUNTIFS(G:G, "Omission", Q:Q, "&lt;" &amp; $E$9)</f>
        <v>1</v>
      </c>
    </row>
    <row r="17" spans="4:5">
      <c r="D17" t="s">
        <v>460</v>
      </c>
      <c r="E17">
        <f>E15/(E15+E16)</f>
        <v>0.5</v>
      </c>
    </row>
    <row r="18" spans="4:5">
      <c r="D18" t="s">
        <v>476</v>
      </c>
      <c r="E18">
        <f>E14-E17</f>
        <v>-0.5</v>
      </c>
    </row>
  </sheetData>
  <conditionalFormatting sqref="G2:G5">
    <cfRule type="expression" dxfId="221" priority="7">
      <formula>$I2&lt;&gt;""</formula>
    </cfRule>
    <cfRule type="expression" dxfId="220" priority="8">
      <formula>$I2=""</formula>
    </cfRule>
  </conditionalFormatting>
  <conditionalFormatting sqref="H2:L5 O2:P5">
    <cfRule type="expression" dxfId="219" priority="21">
      <formula>AND(OR($I2="Addition",$I2="Omission"), H2="")</formula>
    </cfRule>
    <cfRule type="expression" dxfId="218" priority="22">
      <formula>AND($I2&lt;&gt;"Addition",$I2&lt;&gt;"Omission",$I2&lt;&gt;"Substitution - Word")</formula>
    </cfRule>
  </conditionalFormatting>
  <conditionalFormatting sqref="H2:P5">
    <cfRule type="expression" dxfId="217" priority="20">
      <formula>AND(OR($I2="Addition",$I2="Omission"), H2&lt;&gt;"")</formula>
    </cfRule>
  </conditionalFormatting>
  <conditionalFormatting sqref="K2:K5">
    <cfRule type="expression" dxfId="216" priority="18">
      <formula>AND($K2&lt;&gt;"",$K2&gt;1)</formula>
    </cfRule>
  </conditionalFormatting>
  <conditionalFormatting sqref="M2:N5">
    <cfRule type="expression" dxfId="215" priority="14">
      <formula>$N2="Absent"</formula>
    </cfRule>
    <cfRule type="expression" dxfId="214" priority="15">
      <formula>$N2="NA"</formula>
    </cfRule>
    <cfRule type="expression" dxfId="213" priority="16">
      <formula>AND(OR($I2="Addition",$I2="Omission"), M2="")</formula>
    </cfRule>
    <cfRule type="expression" dxfId="212" priority="17">
      <formula>AND($I2&lt;&gt;"Addition",$I2&lt;&gt;"Omission")</formula>
    </cfRule>
  </conditionalFormatting>
  <conditionalFormatting sqref="O2:O5">
    <cfRule type="expression" dxfId="211" priority="19">
      <formula>OR($I2="Addition",$I2="Omission",$I2 = "Substitution - Word")</formula>
    </cfRule>
  </conditionalFormatting>
  <conditionalFormatting sqref="Q2:Q5">
    <cfRule type="expression" dxfId="210" priority="1">
      <formula>AND(OR($I2="Addition",$I2="Omission"), Q2&lt;&gt;"")</formula>
    </cfRule>
    <cfRule type="expression" dxfId="209" priority="2">
      <formula>AND(OR($I2="Addition",$I2="Omission"), Q2="")</formula>
    </cfRule>
    <cfRule type="expression" dxfId="208" priority="3">
      <formula>AND($I2&lt;&gt;"Addition",$I2&lt;&gt;"Omission",$I2&lt;&gt;"Substitution - Word")</formula>
    </cfRule>
  </conditionalFormatting>
  <conditionalFormatting sqref="R2:T5">
    <cfRule type="expression" dxfId="207" priority="4">
      <formula>AND(AND(LEFT($I2,3)="Sub", RIGHT($I2,4)&lt;&gt;"Form"),$T2&lt;&gt;"")</formula>
    </cfRule>
    <cfRule type="expression" dxfId="206" priority="5">
      <formula>AND(AND(LEFT($I2,3)="Sub", RIGHT($I2,4)&lt;&gt;"Form"),$T2="")</formula>
    </cfRule>
    <cfRule type="expression" dxfId="205" priority="6">
      <formula>"&lt;&gt;AND(LEFT($J2,3)=""Sub"", RIGHT($J2,4)&lt;&gt;""Form"")"</formula>
    </cfRule>
  </conditionalFormatting>
  <conditionalFormatting sqref="U2:U5">
    <cfRule type="expression" dxfId="204" priority="10">
      <formula>AND($W2&lt;&gt;"",OR($AD2="Yes",$AE2&lt;&gt;""))</formula>
    </cfRule>
    <cfRule type="expression" dxfId="203" priority="11">
      <formula>OR($AD2="Yes",$AE2&lt;&gt;"")</formula>
    </cfRule>
    <cfRule type="expression" dxfId="202" priority="25">
      <formula>AND($AD2&lt;&gt;"Yes",$AE2="")</formula>
    </cfRule>
  </conditionalFormatting>
  <conditionalFormatting sqref="U2:AD5">
    <cfRule type="expression" dxfId="201" priority="23">
      <formula>AND($I2&lt;&gt;"",$I2&lt;&gt;"Unclear due to correction")</formula>
    </cfRule>
    <cfRule type="expression" dxfId="200" priority="24">
      <formula>OR($I2="",$I2="Unclear due to correction")</formula>
    </cfRule>
  </conditionalFormatting>
  <conditionalFormatting sqref="V2:V5">
    <cfRule type="expression" dxfId="199" priority="9">
      <formula>AND($I2&lt;&gt;"",$I2&lt;&gt;"Unclear due to correction",$X2="")</formula>
    </cfRule>
  </conditionalFormatting>
  <conditionalFormatting sqref="W2:W5">
    <cfRule type="expression" dxfId="198" priority="12">
      <formula>AND($X2="Yes",$Y2="")</formula>
    </cfRule>
    <cfRule type="expression" dxfId="197" priority="13">
      <formula>$X2=""</formula>
    </cfRule>
  </conditionalFormatting>
  <conditionalFormatting sqref="AB2:AB5">
    <cfRule type="expression" dxfId="196" priority="26">
      <formula>AND(OR($AB2&lt;&gt;"",$AC2&lt;&gt;""),$AD2="")</formula>
    </cfRule>
  </conditionalFormatting>
  <dataValidations count="1">
    <dataValidation allowBlank="1" showInputMessage="1" sqref="V2:V5" xr:uid="{A188C358-6D45-4920-AC7F-019C7EB70515}"/>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245942D1-D075-4E5A-AA7D-9C26721C81CC}">
          <x14:formula1>
            <xm:f>'Data Regularization'!$Q$2:$Q$4</xm:f>
          </x14:formula1>
          <xm:sqref>AE2:AE5 AG2:AG5</xm:sqref>
        </x14:dataValidation>
        <x14:dataValidation type="list" allowBlank="1" showInputMessage="1" showErrorMessage="1" xr:uid="{92BFDFF4-BC16-47B5-ABCE-35774ED9AFDA}">
          <x14:formula1>
            <xm:f>'Data Regularization'!$B$2:$B$1048576</xm:f>
          </x14:formula1>
          <xm:sqref>E2:E5</xm:sqref>
        </x14:dataValidation>
        <x14:dataValidation type="list" allowBlank="1" showInputMessage="1" showErrorMessage="1" xr:uid="{4F5182DB-7C04-4DA1-8243-94266DBF3870}">
          <x14:formula1>
            <xm:f>'Data Regularization'!$A$2:$A$1048576</xm:f>
          </x14:formula1>
          <xm:sqref>D2:D5</xm:sqref>
        </x14:dataValidation>
        <x14:dataValidation type="list" allowBlank="1" showInputMessage="1" showErrorMessage="1" xr:uid="{0C1A181C-3A1B-44D6-9AEF-E7B5139C83B9}">
          <x14:formula1>
            <xm:f>'Data Regularization'!$C$2:$C$29</xm:f>
          </x14:formula1>
          <xm:sqref>F2:F5</xm:sqref>
        </x14:dataValidation>
        <x14:dataValidation type="list" allowBlank="1" showInputMessage="1" showErrorMessage="1" xr:uid="{0D7F4E81-0669-4267-8383-11B490BA185B}">
          <x14:formula1>
            <xm:f>'Data Regularization'!$Q$2:$Q$1048576</xm:f>
          </x14:formula1>
          <xm:sqref>AD2:AD5</xm:sqref>
        </x14:dataValidation>
        <x14:dataValidation type="list" allowBlank="1" showInputMessage="1" showErrorMessage="1" xr:uid="{D88E8866-7F09-4C46-97E8-AA2A6B2667E1}">
          <x14:formula1>
            <xm:f>'Data Regularization'!$P$2:$P$1048576</xm:f>
          </x14:formula1>
          <xm:sqref>AC2:AC5</xm:sqref>
        </x14:dataValidation>
        <x14:dataValidation type="list" allowBlank="1" showInputMessage="1" showErrorMessage="1" xr:uid="{6C0E0DF9-2506-42B6-AC96-1041F2D47BA0}">
          <x14:formula1>
            <xm:f>'Data Regularization'!$O$2:$O$1048576</xm:f>
          </x14:formula1>
          <xm:sqref>AB2:AB5</xm:sqref>
        </x14:dataValidation>
        <x14:dataValidation type="list" allowBlank="1" showInputMessage="1" showErrorMessage="1" xr:uid="{2A61E2C9-3172-4379-8C63-C9EAC76F2AE2}">
          <x14:formula1>
            <xm:f>'Data Regularization'!$N$2:$N$1048576</xm:f>
          </x14:formula1>
          <xm:sqref>Z2:Z5</xm:sqref>
        </x14:dataValidation>
        <x14:dataValidation type="list" allowBlank="1" showInputMessage="1" showErrorMessage="1" xr:uid="{2F52DEFB-15A6-4B83-9BF9-7F3CC450E71A}">
          <x14:formula1>
            <xm:f>'Data Regularization'!$M$2:$M$1048576</xm:f>
          </x14:formula1>
          <xm:sqref>Y2:Y5</xm:sqref>
        </x14:dataValidation>
        <x14:dataValidation type="list" allowBlank="1" showInputMessage="1" showErrorMessage="1" xr:uid="{5E9D2A79-9D05-42FB-B793-427B83F59A93}">
          <x14:formula1>
            <xm:f>'Data Regularization'!$L$2:$L$1048576</xm:f>
          </x14:formula1>
          <xm:sqref>X2:X5</xm:sqref>
        </x14:dataValidation>
        <x14:dataValidation type="list" allowBlank="1" showInputMessage="1" showErrorMessage="1" xr:uid="{CAF098A5-35B7-41DF-9A9D-C3CD42E80A57}">
          <x14:formula1>
            <xm:f>'Data Regularization'!$K$2:$K$1048576</xm:f>
          </x14:formula1>
          <xm:sqref>U2:U5 W2:W5</xm:sqref>
        </x14:dataValidation>
        <x14:dataValidation type="list" allowBlank="1" showInputMessage="1" showErrorMessage="1" xr:uid="{939F3015-194B-42F7-AB37-8C3361A29976}">
          <x14:formula1>
            <xm:f>'Data Regularization'!$G$2:$G$1048576</xm:f>
          </x14:formula1>
          <xm:sqref>O2:O5</xm:sqref>
        </x14:dataValidation>
        <x14:dataValidation type="list" allowBlank="1" showInputMessage="1" showErrorMessage="1" xr:uid="{B047610D-6AD3-45E7-AE5B-A0E3982EBA1A}">
          <x14:formula1>
            <xm:f>'Data Regularization'!$F$2:$F$1048576</xm:f>
          </x14:formula1>
          <xm:sqref>L2:L5</xm:sqref>
        </x14:dataValidation>
        <x14:dataValidation type="list" allowBlank="1" showInputMessage="1" showErrorMessage="1" xr:uid="{F09E69EE-91F3-456A-8939-ECFD82115F8D}">
          <x14:formula1>
            <xm:f>'Data Regularization'!$E$2:$E$1048576</xm:f>
          </x14:formula1>
          <xm:sqref>K2:K5</xm:sqref>
        </x14:dataValidation>
        <x14:dataValidation type="list" allowBlank="1" showInputMessage="1" showErrorMessage="1" xr:uid="{E10622CF-5490-4602-9DC8-8A175238C80B}">
          <x14:formula1>
            <xm:f>'Data Regularization'!$D$2:$D$1048576</xm:f>
          </x14:formula1>
          <xm:sqref>G2:G5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B56AA-912E-47B1-89A8-CA3B02B75F05}">
  <dimension ref="A1:AJ30"/>
  <sheetViews>
    <sheetView workbookViewId="0"/>
  </sheetViews>
  <sheetFormatPr defaultRowHeight="14.5"/>
  <sheetData>
    <row r="1" spans="1:36"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364</v>
      </c>
      <c r="R1" s="1" t="s">
        <v>450</v>
      </c>
      <c r="S1" s="1" t="s">
        <v>451</v>
      </c>
      <c r="T1" s="1" t="s">
        <v>466</v>
      </c>
      <c r="U1" s="1" t="s">
        <v>467</v>
      </c>
      <c r="V1" s="1" t="s">
        <v>468</v>
      </c>
      <c r="W1" s="1" t="s">
        <v>367</v>
      </c>
      <c r="X1" s="1" t="s">
        <v>368</v>
      </c>
      <c r="Y1" s="1" t="s">
        <v>369</v>
      </c>
      <c r="Z1" s="1" t="s">
        <v>321</v>
      </c>
      <c r="AA1" s="1" t="s">
        <v>322</v>
      </c>
      <c r="AB1" s="1" t="s">
        <v>323</v>
      </c>
      <c r="AC1" s="1" t="s">
        <v>365</v>
      </c>
      <c r="AD1" s="1" t="s">
        <v>370</v>
      </c>
      <c r="AE1" s="1" t="s">
        <v>324</v>
      </c>
      <c r="AF1" s="1" t="s">
        <v>366</v>
      </c>
      <c r="AG1" s="1" t="s">
        <v>382</v>
      </c>
      <c r="AH1" s="1" t="s">
        <v>380</v>
      </c>
      <c r="AI1" s="1" t="s">
        <v>381</v>
      </c>
    </row>
    <row r="2" spans="1:36" ht="29">
      <c r="A2" t="s">
        <v>48</v>
      </c>
      <c r="B2" s="3" t="s">
        <v>172</v>
      </c>
      <c r="C2" s="3" t="s">
        <v>171</v>
      </c>
      <c r="G2" s="7" t="s">
        <v>372</v>
      </c>
      <c r="H2" s="7"/>
      <c r="I2" s="7"/>
      <c r="J2" s="7"/>
      <c r="K2" s="7"/>
      <c r="L2" s="7"/>
      <c r="M2" s="7"/>
      <c r="N2" s="8"/>
      <c r="O2" s="7"/>
      <c r="P2" s="7"/>
      <c r="Q2" s="7">
        <v>-249</v>
      </c>
      <c r="R2" s="7">
        <v>280</v>
      </c>
      <c r="S2" s="7">
        <v>31</v>
      </c>
      <c r="T2" s="10">
        <f>IF(ISNUMBER(R2), (R2/$E$14)*10000, "")</f>
        <v>137.67332087717574</v>
      </c>
      <c r="U2" s="10">
        <f>IF(ISNUMBER(S2), (S2/$E$14)*10000, "")</f>
        <v>15.242403382830171</v>
      </c>
      <c r="V2" s="10">
        <f>IF(ISNUMBER(Q2), U2-T2, "")</f>
        <v>-122.43091749434556</v>
      </c>
      <c r="W2" s="7"/>
      <c r="X2" s="7"/>
      <c r="Y2" s="7"/>
      <c r="Z2" s="7"/>
      <c r="AA2" s="7"/>
      <c r="AB2" s="7"/>
      <c r="AC2" s="7"/>
      <c r="AD2" s="7"/>
      <c r="AE2" s="7"/>
      <c r="AF2" s="7"/>
      <c r="AG2" t="s">
        <v>19</v>
      </c>
      <c r="AH2" t="s">
        <v>20</v>
      </c>
      <c r="AJ2">
        <v>1</v>
      </c>
    </row>
    <row r="3" spans="1:36" ht="29">
      <c r="A3" t="s">
        <v>56</v>
      </c>
      <c r="B3" s="3" t="s">
        <v>59</v>
      </c>
      <c r="C3" s="3" t="s">
        <v>60</v>
      </c>
      <c r="G3" s="7" t="s">
        <v>372</v>
      </c>
      <c r="H3" s="7"/>
      <c r="I3" s="7"/>
      <c r="J3" s="7"/>
      <c r="K3" s="7"/>
      <c r="L3" s="7"/>
      <c r="M3" s="7"/>
      <c r="N3" s="8"/>
      <c r="O3" s="7"/>
      <c r="P3" s="7"/>
      <c r="Q3" s="7">
        <v>7</v>
      </c>
      <c r="R3" s="7">
        <v>1</v>
      </c>
      <c r="S3" s="7">
        <v>8</v>
      </c>
      <c r="T3" s="10">
        <f t="shared" ref="T3:T11" si="0">IF(ISNUMBER(R3), (R3/$E$14)*10000, "")</f>
        <v>0.49169043170419907</v>
      </c>
      <c r="U3" s="10">
        <f t="shared" ref="U3:U11" si="1">IF(ISNUMBER(S3), (S3/$E$14)*10000, "")</f>
        <v>3.9335234536335926</v>
      </c>
      <c r="V3" s="10">
        <f t="shared" ref="V3:V11" si="2">IF(ISNUMBER(Q3), U3-T3, "")</f>
        <v>3.4418330219293933</v>
      </c>
      <c r="W3" s="7"/>
      <c r="X3" s="7"/>
      <c r="Y3" s="7"/>
      <c r="Z3" s="7"/>
      <c r="AA3" s="7"/>
      <c r="AB3" s="7"/>
      <c r="AC3" s="7"/>
      <c r="AD3" s="7"/>
      <c r="AE3" s="7"/>
      <c r="AF3" s="7"/>
      <c r="AG3" t="s">
        <v>20</v>
      </c>
      <c r="AH3" t="s">
        <v>20</v>
      </c>
      <c r="AJ3">
        <v>0</v>
      </c>
    </row>
    <row r="4" spans="1:36" ht="72.5">
      <c r="A4" t="s">
        <v>83</v>
      </c>
      <c r="B4" s="3" t="s">
        <v>204</v>
      </c>
      <c r="C4" s="3" t="s">
        <v>203</v>
      </c>
      <c r="G4" s="7" t="s">
        <v>372</v>
      </c>
      <c r="H4" s="7"/>
      <c r="I4" s="7"/>
      <c r="J4" s="7"/>
      <c r="K4" s="7"/>
      <c r="L4" s="7"/>
      <c r="M4" s="7"/>
      <c r="N4" s="8"/>
      <c r="O4" s="7"/>
      <c r="P4" s="7"/>
      <c r="Q4" s="7">
        <v>-1622</v>
      </c>
      <c r="R4" s="7">
        <v>1701</v>
      </c>
      <c r="S4" s="7">
        <v>79</v>
      </c>
      <c r="T4" s="10">
        <f t="shared" si="0"/>
        <v>836.36542432884255</v>
      </c>
      <c r="U4" s="10">
        <f t="shared" si="1"/>
        <v>38.843544104631725</v>
      </c>
      <c r="V4" s="10">
        <f t="shared" si="2"/>
        <v>-797.5218802242108</v>
      </c>
      <c r="W4" s="7"/>
      <c r="X4" s="7"/>
      <c r="Y4" s="7"/>
      <c r="Z4" s="7"/>
      <c r="AA4" s="7"/>
      <c r="AB4" s="7"/>
      <c r="AC4" s="7"/>
      <c r="AD4" s="7"/>
      <c r="AE4" s="7"/>
      <c r="AF4" s="7"/>
      <c r="AG4" t="s">
        <v>19</v>
      </c>
      <c r="AH4" t="s">
        <v>19</v>
      </c>
      <c r="AJ4">
        <v>1</v>
      </c>
    </row>
    <row r="5" spans="1:36" ht="72.5">
      <c r="A5" t="s">
        <v>89</v>
      </c>
      <c r="B5" s="3" t="s">
        <v>210</v>
      </c>
      <c r="C5" s="3" t="s">
        <v>209</v>
      </c>
      <c r="G5" s="7" t="s">
        <v>372</v>
      </c>
      <c r="H5" s="7"/>
      <c r="I5" s="7"/>
      <c r="J5" s="7"/>
      <c r="K5" s="7"/>
      <c r="L5" s="7"/>
      <c r="M5" s="7"/>
      <c r="N5" s="8"/>
      <c r="O5" s="7"/>
      <c r="P5" s="7"/>
      <c r="Q5" s="7">
        <v>-118</v>
      </c>
      <c r="R5" s="7">
        <v>250</v>
      </c>
      <c r="S5" s="7">
        <v>132</v>
      </c>
      <c r="T5" s="10">
        <f t="shared" si="0"/>
        <v>122.92260792604976</v>
      </c>
      <c r="U5" s="10">
        <f t="shared" si="1"/>
        <v>64.903136984954273</v>
      </c>
      <c r="V5" s="10">
        <f t="shared" si="2"/>
        <v>-58.019470941095491</v>
      </c>
      <c r="W5" s="7"/>
      <c r="X5" s="7"/>
      <c r="Y5" s="7"/>
      <c r="Z5" s="7"/>
      <c r="AA5" s="7"/>
      <c r="AB5" s="7"/>
      <c r="AC5" s="7"/>
      <c r="AD5" s="7"/>
      <c r="AE5" s="7"/>
      <c r="AF5" s="7"/>
      <c r="AG5" t="s">
        <v>19</v>
      </c>
      <c r="AH5" t="s">
        <v>19</v>
      </c>
      <c r="AJ5">
        <v>1</v>
      </c>
    </row>
    <row r="6" spans="1:36" ht="29">
      <c r="A6" t="s">
        <v>99</v>
      </c>
      <c r="B6" s="3" t="s">
        <v>227</v>
      </c>
      <c r="C6" s="3" t="s">
        <v>226</v>
      </c>
      <c r="G6" s="7" t="s">
        <v>372</v>
      </c>
      <c r="H6" s="7"/>
      <c r="I6" s="7"/>
      <c r="J6" s="7"/>
      <c r="K6" s="7"/>
      <c r="L6" s="7"/>
      <c r="M6" s="7"/>
      <c r="N6" s="8"/>
      <c r="O6" s="7"/>
      <c r="P6" s="7"/>
      <c r="Q6" s="7">
        <v>813</v>
      </c>
      <c r="R6" s="7">
        <v>17</v>
      </c>
      <c r="S6" s="7">
        <v>830</v>
      </c>
      <c r="T6" s="10">
        <f t="shared" si="0"/>
        <v>8.3587373389713839</v>
      </c>
      <c r="U6" s="10">
        <f t="shared" si="1"/>
        <v>408.10305831448517</v>
      </c>
      <c r="V6" s="10">
        <f t="shared" si="2"/>
        <v>399.7443209755138</v>
      </c>
      <c r="W6" s="7"/>
      <c r="X6" s="7"/>
      <c r="Y6" s="7"/>
      <c r="Z6" s="7"/>
      <c r="AA6" s="7"/>
      <c r="AB6" s="7"/>
      <c r="AC6" s="7"/>
      <c r="AD6" s="7"/>
      <c r="AE6" s="7"/>
      <c r="AF6" s="7"/>
      <c r="AG6" t="s">
        <v>19</v>
      </c>
      <c r="AH6" t="s">
        <v>19</v>
      </c>
      <c r="AJ6">
        <v>1</v>
      </c>
    </row>
    <row r="7" spans="1:36">
      <c r="A7" t="s">
        <v>125</v>
      </c>
      <c r="B7" s="3" t="s">
        <v>127</v>
      </c>
      <c r="C7" s="3" t="s">
        <v>128</v>
      </c>
      <c r="F7" t="s">
        <v>19</v>
      </c>
      <c r="G7" s="7" t="s">
        <v>372</v>
      </c>
      <c r="H7" s="7"/>
      <c r="I7" s="7"/>
      <c r="J7" s="7"/>
      <c r="K7" s="7"/>
      <c r="L7" s="7"/>
      <c r="M7" s="7"/>
      <c r="N7" s="8"/>
      <c r="O7" s="7"/>
      <c r="P7" s="7"/>
      <c r="Q7" s="7">
        <v>-1</v>
      </c>
      <c r="R7" s="7">
        <v>1</v>
      </c>
      <c r="S7" s="7">
        <v>0</v>
      </c>
      <c r="T7" s="10">
        <f t="shared" si="0"/>
        <v>0.49169043170419907</v>
      </c>
      <c r="U7" s="10">
        <f t="shared" si="1"/>
        <v>0</v>
      </c>
      <c r="V7" s="10">
        <f t="shared" si="2"/>
        <v>-0.49169043170419907</v>
      </c>
      <c r="W7" s="7"/>
      <c r="X7" s="7"/>
      <c r="Y7" s="7"/>
      <c r="Z7" s="7"/>
      <c r="AA7" s="7"/>
      <c r="AB7" s="7"/>
      <c r="AC7" s="7"/>
      <c r="AD7" s="7"/>
      <c r="AE7" s="7"/>
      <c r="AF7" s="7"/>
      <c r="AG7" t="s">
        <v>19</v>
      </c>
      <c r="AH7" t="s">
        <v>20</v>
      </c>
      <c r="AJ7">
        <v>1</v>
      </c>
    </row>
    <row r="8" spans="1:36" ht="43.5">
      <c r="A8" t="s">
        <v>138</v>
      </c>
      <c r="B8" s="3" t="s">
        <v>286</v>
      </c>
      <c r="C8" s="3" t="s">
        <v>285</v>
      </c>
      <c r="G8" s="7" t="s">
        <v>372</v>
      </c>
      <c r="H8" s="7"/>
      <c r="I8" s="7"/>
      <c r="J8" s="7"/>
      <c r="K8" s="7"/>
      <c r="L8" s="7"/>
      <c r="M8" s="7"/>
      <c r="N8" s="8"/>
      <c r="O8" s="7"/>
      <c r="P8" s="7"/>
      <c r="Q8" s="7">
        <v>2325</v>
      </c>
      <c r="R8" s="7">
        <v>150</v>
      </c>
      <c r="S8" s="7">
        <v>2475</v>
      </c>
      <c r="T8" s="10">
        <f t="shared" si="0"/>
        <v>73.753564755629853</v>
      </c>
      <c r="U8" s="10">
        <f t="shared" si="1"/>
        <v>1216.9338184678927</v>
      </c>
      <c r="V8" s="10">
        <f t="shared" si="2"/>
        <v>1143.1802537122628</v>
      </c>
      <c r="W8" s="7"/>
      <c r="X8" s="7"/>
      <c r="Y8" s="7"/>
      <c r="Z8" s="7"/>
      <c r="AA8" s="7"/>
      <c r="AB8" s="7"/>
      <c r="AC8" s="7"/>
      <c r="AD8" s="7"/>
      <c r="AE8" s="7"/>
      <c r="AF8" s="7"/>
      <c r="AG8" t="s">
        <v>19</v>
      </c>
      <c r="AH8" t="s">
        <v>19</v>
      </c>
      <c r="AJ8">
        <v>1</v>
      </c>
    </row>
    <row r="9" spans="1:36" ht="29">
      <c r="A9" t="s">
        <v>141</v>
      </c>
      <c r="B9" s="3" t="s">
        <v>290</v>
      </c>
      <c r="C9" s="3" t="s">
        <v>291</v>
      </c>
      <c r="G9" s="7" t="s">
        <v>372</v>
      </c>
      <c r="H9" s="7"/>
      <c r="I9" s="7"/>
      <c r="J9" s="7"/>
      <c r="K9" s="7"/>
      <c r="L9" s="7"/>
      <c r="M9" s="7"/>
      <c r="N9" s="8"/>
      <c r="O9" s="7"/>
      <c r="P9" s="7"/>
      <c r="Q9" s="7">
        <v>26</v>
      </c>
      <c r="R9" s="7">
        <v>5</v>
      </c>
      <c r="S9" s="7">
        <v>31</v>
      </c>
      <c r="T9" s="10">
        <f t="shared" si="0"/>
        <v>2.4584521585209949</v>
      </c>
      <c r="U9" s="10">
        <f t="shared" si="1"/>
        <v>15.242403382830171</v>
      </c>
      <c r="V9" s="10">
        <f t="shared" si="2"/>
        <v>12.783951224309176</v>
      </c>
      <c r="W9" s="7"/>
      <c r="X9" s="7"/>
      <c r="Y9" s="7"/>
      <c r="Z9" s="7"/>
      <c r="AA9" s="7"/>
      <c r="AB9" s="7"/>
      <c r="AC9" s="7"/>
      <c r="AD9" s="7"/>
      <c r="AE9" s="7"/>
      <c r="AF9" s="7"/>
      <c r="AG9" t="s">
        <v>19</v>
      </c>
      <c r="AH9" t="s">
        <v>19</v>
      </c>
      <c r="AJ9">
        <v>1</v>
      </c>
    </row>
    <row r="10" spans="1:36" ht="43.5">
      <c r="A10" t="s">
        <v>157</v>
      </c>
      <c r="B10" s="3" t="s">
        <v>315</v>
      </c>
      <c r="C10" s="3" t="s">
        <v>314</v>
      </c>
      <c r="G10" s="7" t="s">
        <v>372</v>
      </c>
      <c r="H10" s="7"/>
      <c r="I10" s="7"/>
      <c r="J10" s="7"/>
      <c r="K10" s="7"/>
      <c r="L10" s="7"/>
      <c r="M10" s="7"/>
      <c r="N10" s="8"/>
      <c r="O10" s="7"/>
      <c r="P10" s="7"/>
      <c r="Q10" s="7">
        <v>-15</v>
      </c>
      <c r="R10" s="7">
        <v>186</v>
      </c>
      <c r="S10" s="7">
        <v>171</v>
      </c>
      <c r="T10" s="10">
        <f t="shared" si="0"/>
        <v>91.454420296981013</v>
      </c>
      <c r="U10" s="10">
        <f t="shared" si="1"/>
        <v>84.079063821418046</v>
      </c>
      <c r="V10" s="10">
        <f t="shared" si="2"/>
        <v>-7.3753564755629668</v>
      </c>
      <c r="W10" s="7"/>
      <c r="X10" s="7"/>
      <c r="Y10" s="7"/>
      <c r="Z10" s="7"/>
      <c r="AA10" s="7"/>
      <c r="AB10" s="7"/>
      <c r="AC10" s="7"/>
      <c r="AD10" s="7"/>
      <c r="AE10" s="7"/>
      <c r="AF10" s="7"/>
      <c r="AG10" t="s">
        <v>19</v>
      </c>
      <c r="AH10" t="s">
        <v>19</v>
      </c>
      <c r="AJ10">
        <v>1</v>
      </c>
    </row>
    <row r="11" spans="1:36" ht="87">
      <c r="A11" t="s">
        <v>157</v>
      </c>
      <c r="B11" s="3" t="s">
        <v>316</v>
      </c>
      <c r="C11" s="3" t="s">
        <v>317</v>
      </c>
      <c r="G11" s="7" t="s">
        <v>372</v>
      </c>
      <c r="H11" s="7"/>
      <c r="I11" s="7"/>
      <c r="J11" s="7"/>
      <c r="K11" s="7"/>
      <c r="L11" s="7"/>
      <c r="M11" s="7"/>
      <c r="N11" s="8"/>
      <c r="O11" s="7"/>
      <c r="P11" s="7"/>
      <c r="Q11" s="7">
        <v>3</v>
      </c>
      <c r="R11" s="7">
        <v>1</v>
      </c>
      <c r="S11" s="7">
        <v>4</v>
      </c>
      <c r="T11" s="10">
        <f t="shared" si="0"/>
        <v>0.49169043170419907</v>
      </c>
      <c r="U11" s="10">
        <f t="shared" si="1"/>
        <v>1.9667617268167963</v>
      </c>
      <c r="V11" s="10">
        <f t="shared" si="2"/>
        <v>1.4750712951125973</v>
      </c>
      <c r="W11" s="7"/>
      <c r="X11" s="7"/>
      <c r="Y11" s="7"/>
      <c r="Z11" s="7"/>
      <c r="AA11" s="7"/>
      <c r="AB11" s="7"/>
      <c r="AC11" s="7"/>
      <c r="AD11" s="7"/>
      <c r="AE11" s="7"/>
      <c r="AF11" s="7"/>
      <c r="AG11" t="s">
        <v>19</v>
      </c>
      <c r="AH11" t="s">
        <v>19</v>
      </c>
      <c r="AJ11">
        <v>1</v>
      </c>
    </row>
    <row r="14" spans="1:36">
      <c r="D14" t="s">
        <v>449</v>
      </c>
      <c r="E14">
        <v>20338</v>
      </c>
    </row>
    <row r="17" spans="4:5">
      <c r="D17" t="s">
        <v>469</v>
      </c>
      <c r="E17">
        <f>COUNTIF(Q:Q, "&gt;0")</f>
        <v>5</v>
      </c>
    </row>
    <row r="18" spans="4:5">
      <c r="D18" t="s">
        <v>470</v>
      </c>
      <c r="E18">
        <f>COUNTIF(Q:Q, "&lt;0")</f>
        <v>5</v>
      </c>
    </row>
    <row r="19" spans="4:5">
      <c r="D19" t="s">
        <v>471</v>
      </c>
      <c r="E19">
        <f>_xlfn.BINOM.DIST(MIN(E17,E18),(E17+E18),0.5,TRUE)*2</f>
        <v>1.24609375</v>
      </c>
    </row>
    <row r="21" spans="4:5">
      <c r="D21" t="s">
        <v>472</v>
      </c>
      <c r="E21">
        <f>AVERAGE(Q:Q)</f>
        <v>116.9</v>
      </c>
    </row>
    <row r="22" spans="4:5">
      <c r="D22" t="s">
        <v>473</v>
      </c>
      <c r="E22">
        <f>_xlfn.STDEV.S(Q:Q)</f>
        <v>979.66586707464251</v>
      </c>
    </row>
    <row r="25" spans="4:5">
      <c r="D25" t="s">
        <v>474</v>
      </c>
      <c r="E25">
        <f>AVERAGE(V:V)</f>
        <v>57.478611466220869</v>
      </c>
    </row>
    <row r="26" spans="4:5">
      <c r="D26" t="s">
        <v>475</v>
      </c>
      <c r="E26">
        <f>_xlfn.STDEV.S(V:V)</f>
        <v>481.69233310779947</v>
      </c>
    </row>
    <row r="29" spans="4:5">
      <c r="D29" t="s">
        <v>477</v>
      </c>
      <c r="E29">
        <f>COUNT(V:V)</f>
        <v>10</v>
      </c>
    </row>
    <row r="30" spans="4:5">
      <c r="D30" t="s">
        <v>478</v>
      </c>
      <c r="E30">
        <f>_xlfn.STDEV.P(V:V)</f>
        <v>456.97347121835395</v>
      </c>
    </row>
  </sheetData>
  <conditionalFormatting sqref="G2:G11">
    <cfRule type="expression" dxfId="195" priority="7">
      <formula>$I2&lt;&gt;""</formula>
    </cfRule>
    <cfRule type="expression" dxfId="194" priority="8">
      <formula>$I2=""</formula>
    </cfRule>
  </conditionalFormatting>
  <conditionalFormatting sqref="H2:L11 O2:P11">
    <cfRule type="expression" dxfId="193" priority="21">
      <formula>AND(OR($I2="Addition",$I2="Omission"), H2="")</formula>
    </cfRule>
    <cfRule type="expression" dxfId="192" priority="22">
      <formula>AND($I2&lt;&gt;"Addition",$I2&lt;&gt;"Omission",$I2&lt;&gt;"Substitution - Word")</formula>
    </cfRule>
  </conditionalFormatting>
  <conditionalFormatting sqref="H2:P11">
    <cfRule type="expression" dxfId="191" priority="20">
      <formula>AND(OR($I2="Addition",$I2="Omission"), H2&lt;&gt;"")</formula>
    </cfRule>
  </conditionalFormatting>
  <conditionalFormatting sqref="K2:K11">
    <cfRule type="expression" dxfId="190" priority="18">
      <formula>AND($K2&lt;&gt;"",$K2&gt;1)</formula>
    </cfRule>
  </conditionalFormatting>
  <conditionalFormatting sqref="M2:N11">
    <cfRule type="expression" dxfId="189" priority="14">
      <formula>$N2="Absent"</formula>
    </cfRule>
    <cfRule type="expression" dxfId="188" priority="15">
      <formula>$N2="NA"</formula>
    </cfRule>
    <cfRule type="expression" dxfId="187" priority="16">
      <formula>AND(OR($I2="Addition",$I2="Omission"), M2="")</formula>
    </cfRule>
    <cfRule type="expression" dxfId="186" priority="17">
      <formula>AND($I2&lt;&gt;"Addition",$I2&lt;&gt;"Omission")</formula>
    </cfRule>
  </conditionalFormatting>
  <conditionalFormatting sqref="O2:O11">
    <cfRule type="expression" dxfId="185" priority="19">
      <formula>OR($I2="Addition",$I2="Omission",$I2 = "Substitution - Word")</formula>
    </cfRule>
  </conditionalFormatting>
  <conditionalFormatting sqref="Q2:V11">
    <cfRule type="expression" dxfId="184" priority="1">
      <formula>AND(AND(LEFT($I2,3)="Sub", RIGHT($I2,4)&lt;&gt;"Form"),$S2&lt;&gt;"")</formula>
    </cfRule>
    <cfRule type="expression" dxfId="183" priority="2">
      <formula>AND(AND(LEFT($I2,3)="Sub", RIGHT($I2,4)&lt;&gt;"Form"),$S2="")</formula>
    </cfRule>
    <cfRule type="expression" dxfId="182" priority="3">
      <formula>"&lt;&gt;AND(LEFT($J2,3)=""Sub"", RIGHT($J2,4)&lt;&gt;""Form"")"</formula>
    </cfRule>
  </conditionalFormatting>
  <conditionalFormatting sqref="W2:W11">
    <cfRule type="expression" dxfId="181" priority="10">
      <formula>AND($Y2&lt;&gt;"",OR($AF2="Yes",$AG2&lt;&gt;""))</formula>
    </cfRule>
    <cfRule type="expression" dxfId="180" priority="11">
      <formula>OR($AF2="Yes",$AG2&lt;&gt;"")</formula>
    </cfRule>
    <cfRule type="expression" dxfId="179" priority="25">
      <formula>AND($AF2&lt;&gt;"Yes",$AG2="")</formula>
    </cfRule>
  </conditionalFormatting>
  <conditionalFormatting sqref="W2:AF11">
    <cfRule type="expression" dxfId="178" priority="23">
      <formula>AND($I2&lt;&gt;"",$I2&lt;&gt;"Unclear due to correction")</formula>
    </cfRule>
    <cfRule type="expression" dxfId="177" priority="24">
      <formula>OR($I2="",$I2="Unclear due to correction")</formula>
    </cfRule>
  </conditionalFormatting>
  <conditionalFormatting sqref="X2:X11">
    <cfRule type="expression" dxfId="176" priority="9">
      <formula>AND($I2&lt;&gt;"",$I2&lt;&gt;"Unclear due to correction",$Z2="")</formula>
    </cfRule>
  </conditionalFormatting>
  <conditionalFormatting sqref="Y2:Y11">
    <cfRule type="expression" dxfId="175" priority="12">
      <formula>AND($Z2="Yes",$AA2="")</formula>
    </cfRule>
    <cfRule type="expression" dxfId="174" priority="13">
      <formula>$Z2=""</formula>
    </cfRule>
  </conditionalFormatting>
  <conditionalFormatting sqref="AD2:AD11">
    <cfRule type="expression" dxfId="173" priority="26">
      <formula>AND(OR($AD2&lt;&gt;"",$AE2&lt;&gt;""),$AF2="")</formula>
    </cfRule>
  </conditionalFormatting>
  <dataValidations count="1">
    <dataValidation allowBlank="1" showInputMessage="1" sqref="X2:X11" xr:uid="{B871AFCA-5644-422A-A4B4-C60347C100AF}"/>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3C3E11D3-993B-43FD-A727-064A9E0FE648}">
          <x14:formula1>
            <xm:f>'Data Regularization'!$Q$2:$Q$4</xm:f>
          </x14:formula1>
          <xm:sqref>AG2:AG11 AI2:AI11</xm:sqref>
        </x14:dataValidation>
        <x14:dataValidation type="list" allowBlank="1" showInputMessage="1" showErrorMessage="1" xr:uid="{EB683865-3860-4E79-807A-77C6FE098E0E}">
          <x14:formula1>
            <xm:f>'Data Regularization'!$D$2:$D$1048576</xm:f>
          </x14:formula1>
          <xm:sqref>G2:G11</xm:sqref>
        </x14:dataValidation>
        <x14:dataValidation type="list" allowBlank="1" showInputMessage="1" showErrorMessage="1" xr:uid="{5F0FA84C-00DC-48A1-9E8D-5D6BFFE6FAB1}">
          <x14:formula1>
            <xm:f>'Data Regularization'!$E$2:$E$1048576</xm:f>
          </x14:formula1>
          <xm:sqref>K2:K11</xm:sqref>
        </x14:dataValidation>
        <x14:dataValidation type="list" allowBlank="1" showInputMessage="1" showErrorMessage="1" xr:uid="{184180AA-51A1-4CEF-95C9-EA9150516FC8}">
          <x14:formula1>
            <xm:f>'Data Regularization'!$F$2:$F$1048576</xm:f>
          </x14:formula1>
          <xm:sqref>L2:L11</xm:sqref>
        </x14:dataValidation>
        <x14:dataValidation type="list" allowBlank="1" showInputMessage="1" showErrorMessage="1" xr:uid="{3DF7D9B3-EA75-403D-ACC4-720D084B97E7}">
          <x14:formula1>
            <xm:f>'Data Regularization'!$G$2:$G$1048576</xm:f>
          </x14:formula1>
          <xm:sqref>O2:O11</xm:sqref>
        </x14:dataValidation>
        <x14:dataValidation type="list" allowBlank="1" showInputMessage="1" showErrorMessage="1" xr:uid="{162F021C-F0F4-4DDF-B88C-CE3D8FE7097D}">
          <x14:formula1>
            <xm:f>'Data Regularization'!$K$2:$K$1048576</xm:f>
          </x14:formula1>
          <xm:sqref>W2:W11 Y2:Y11</xm:sqref>
        </x14:dataValidation>
        <x14:dataValidation type="list" allowBlank="1" showInputMessage="1" showErrorMessage="1" xr:uid="{416FF628-8DCE-4DC2-81A8-8A334149DA53}">
          <x14:formula1>
            <xm:f>'Data Regularization'!$L$2:$L$1048576</xm:f>
          </x14:formula1>
          <xm:sqref>Z2:Z11</xm:sqref>
        </x14:dataValidation>
        <x14:dataValidation type="list" allowBlank="1" showInputMessage="1" showErrorMessage="1" xr:uid="{6F081285-9AFC-469D-AE56-41F0B5B34757}">
          <x14:formula1>
            <xm:f>'Data Regularization'!$M$2:$M$1048576</xm:f>
          </x14:formula1>
          <xm:sqref>AA2:AA11</xm:sqref>
        </x14:dataValidation>
        <x14:dataValidation type="list" allowBlank="1" showInputMessage="1" showErrorMessage="1" xr:uid="{E74176C8-0AD1-43D6-B123-F757B2A6CD62}">
          <x14:formula1>
            <xm:f>'Data Regularization'!$N$2:$N$1048576</xm:f>
          </x14:formula1>
          <xm:sqref>AB2:AB11</xm:sqref>
        </x14:dataValidation>
        <x14:dataValidation type="list" allowBlank="1" showInputMessage="1" showErrorMessage="1" xr:uid="{DF9CF9CF-24C8-4B93-9990-7C6D10D94539}">
          <x14:formula1>
            <xm:f>'Data Regularization'!$O$2:$O$1048576</xm:f>
          </x14:formula1>
          <xm:sqref>AD2:AD11</xm:sqref>
        </x14:dataValidation>
        <x14:dataValidation type="list" allowBlank="1" showInputMessage="1" showErrorMessage="1" xr:uid="{9EA5C5F4-ED4A-42FF-B80A-46CD119E5CDA}">
          <x14:formula1>
            <xm:f>'Data Regularization'!$P$2:$P$1048576</xm:f>
          </x14:formula1>
          <xm:sqref>AE2:AE11</xm:sqref>
        </x14:dataValidation>
        <x14:dataValidation type="list" allowBlank="1" showInputMessage="1" showErrorMessage="1" xr:uid="{D81C33F7-FD89-41B7-91B4-B2D71DD2AC1F}">
          <x14:formula1>
            <xm:f>'Data Regularization'!$Q$2:$Q$1048576</xm:f>
          </x14:formula1>
          <xm:sqref>AF2:AF11</xm:sqref>
        </x14:dataValidation>
        <x14:dataValidation type="list" allowBlank="1" showInputMessage="1" showErrorMessage="1" xr:uid="{1C91190D-6C3A-4134-9F97-823C25E2615B}">
          <x14:formula1>
            <xm:f>'Data Regularization'!$C$2:$C$29</xm:f>
          </x14:formula1>
          <xm:sqref>F2:F11</xm:sqref>
        </x14:dataValidation>
        <x14:dataValidation type="list" allowBlank="1" showInputMessage="1" showErrorMessage="1" xr:uid="{FEFC9093-354C-4204-A751-4FE82450A427}">
          <x14:formula1>
            <xm:f>'Data Regularization'!$A$2:$A$1048576</xm:f>
          </x14:formula1>
          <xm:sqref>D2:D11</xm:sqref>
        </x14:dataValidation>
        <x14:dataValidation type="list" allowBlank="1" showInputMessage="1" showErrorMessage="1" xr:uid="{7603579C-B751-4058-BB68-740FEB506FD3}">
          <x14:formula1>
            <xm:f>'Data Regularization'!$B$2:$B$1048576</xm:f>
          </x14:formula1>
          <xm:sqref>E2:E11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F24A-629E-47FA-8AA7-3395130DBEF2}">
  <dimension ref="A1:AI14"/>
  <sheetViews>
    <sheetView workbookViewId="0"/>
  </sheetViews>
  <sheetFormatPr defaultRowHeight="14.5"/>
  <sheetData>
    <row r="1" spans="1:35" s="1" customFormat="1" ht="29">
      <c r="A1" s="1" t="s">
        <v>0</v>
      </c>
      <c r="B1" s="1" t="s">
        <v>5</v>
      </c>
      <c r="C1" s="2" t="s">
        <v>6</v>
      </c>
      <c r="D1" s="1" t="s">
        <v>354</v>
      </c>
      <c r="E1" s="1" t="s">
        <v>355</v>
      </c>
      <c r="F1" s="1" t="s">
        <v>356</v>
      </c>
      <c r="G1" s="1" t="s">
        <v>7</v>
      </c>
      <c r="H1" s="1" t="s">
        <v>3</v>
      </c>
      <c r="I1" s="1" t="s">
        <v>357</v>
      </c>
      <c r="J1" s="1" t="s">
        <v>358</v>
      </c>
      <c r="K1" s="1" t="s">
        <v>359</v>
      </c>
      <c r="L1" s="1" t="s">
        <v>360</v>
      </c>
      <c r="M1" s="1" t="s">
        <v>319</v>
      </c>
      <c r="N1" s="1" t="s">
        <v>361</v>
      </c>
      <c r="O1" s="6" t="s">
        <v>362</v>
      </c>
      <c r="P1" s="1" t="s">
        <v>320</v>
      </c>
      <c r="Q1" s="1" t="s">
        <v>363</v>
      </c>
      <c r="R1" s="1" t="s">
        <v>364</v>
      </c>
      <c r="S1" s="1" t="s">
        <v>450</v>
      </c>
      <c r="T1" s="1" t="s">
        <v>451</v>
      </c>
      <c r="U1" s="1" t="s">
        <v>367</v>
      </c>
      <c r="V1" s="1" t="s">
        <v>499</v>
      </c>
      <c r="W1" s="1" t="s">
        <v>368</v>
      </c>
      <c r="X1" s="1" t="s">
        <v>369</v>
      </c>
      <c r="Y1" s="1" t="s">
        <v>321</v>
      </c>
      <c r="Z1" s="1" t="s">
        <v>322</v>
      </c>
      <c r="AA1" s="1" t="s">
        <v>323</v>
      </c>
      <c r="AB1" s="1" t="s">
        <v>365</v>
      </c>
      <c r="AC1" s="1" t="s">
        <v>370</v>
      </c>
      <c r="AD1" s="1" t="s">
        <v>324</v>
      </c>
      <c r="AE1" s="1" t="s">
        <v>366</v>
      </c>
      <c r="AF1" s="1" t="s">
        <v>382</v>
      </c>
      <c r="AG1" s="1" t="s">
        <v>380</v>
      </c>
      <c r="AH1" s="1" t="s">
        <v>381</v>
      </c>
    </row>
    <row r="2" spans="1:35" ht="29">
      <c r="A2" t="s">
        <v>120</v>
      </c>
      <c r="B2" s="3" t="s">
        <v>190</v>
      </c>
      <c r="C2" s="3" t="s">
        <v>189</v>
      </c>
      <c r="G2" t="s">
        <v>503</v>
      </c>
      <c r="H2" s="7" t="s">
        <v>374</v>
      </c>
      <c r="I2" s="7"/>
      <c r="J2" s="7"/>
      <c r="K2" s="7"/>
      <c r="L2" s="7"/>
      <c r="M2" s="7"/>
      <c r="N2" s="7"/>
      <c r="O2" s="8"/>
      <c r="P2" s="7"/>
      <c r="Q2" s="7"/>
      <c r="R2" s="7"/>
      <c r="S2" s="7" t="s">
        <v>452</v>
      </c>
      <c r="T2" s="7" t="s">
        <v>452</v>
      </c>
      <c r="U2" s="7" t="s">
        <v>371</v>
      </c>
      <c r="V2" s="7" t="s">
        <v>502</v>
      </c>
      <c r="W2" s="7"/>
      <c r="X2" s="7"/>
      <c r="Y2" s="7"/>
      <c r="Z2" s="7"/>
      <c r="AA2" s="7"/>
      <c r="AB2" s="7"/>
      <c r="AC2" s="7"/>
      <c r="AD2" s="7"/>
      <c r="AE2" s="7"/>
      <c r="AF2" t="s">
        <v>19</v>
      </c>
      <c r="AG2" t="s">
        <v>20</v>
      </c>
      <c r="AI2">
        <v>1</v>
      </c>
    </row>
    <row r="5" spans="1:35">
      <c r="D5" t="s">
        <v>479</v>
      </c>
      <c r="E5">
        <f>COUNTIF(U:U, "Harmonizing")</f>
        <v>0</v>
      </c>
    </row>
    <row r="6" spans="1:35">
      <c r="D6" t="s">
        <v>480</v>
      </c>
      <c r="E6">
        <f>COUNTIF(U:U, "Disharmonizing")</f>
        <v>1</v>
      </c>
    </row>
    <row r="7" spans="1:35">
      <c r="D7" t="s">
        <v>481</v>
      </c>
      <c r="E7">
        <f>E5/(E5+E6)</f>
        <v>0</v>
      </c>
    </row>
    <row r="10" spans="1:35">
      <c r="E10" s="11" t="s">
        <v>504</v>
      </c>
      <c r="F10" s="11"/>
      <c r="G10" s="11"/>
      <c r="H10" s="11"/>
    </row>
    <row r="11" spans="1:35">
      <c r="E11" t="s">
        <v>500</v>
      </c>
      <c r="F11" t="s">
        <v>501</v>
      </c>
      <c r="G11" t="s">
        <v>502</v>
      </c>
      <c r="H11" t="s">
        <v>439</v>
      </c>
    </row>
    <row r="12" spans="1:35">
      <c r="D12" t="s">
        <v>479</v>
      </c>
      <c r="E12">
        <f>COUNTIFS($U$2:$U$2,"Harmonizing",$V$2:$V$2,"forward") + COUNTIFS($U$2:$U$2,"Harmonizing",$V$2:$V$2,"both")</f>
        <v>0</v>
      </c>
      <c r="F12">
        <f>COUNTIFS($U$2:$U$2,"Harmonizing",$V$2:$V$2,"backward") + COUNTIFS($U$2:$U$2,"Harmonizing",$V$2:$V$2,"both")</f>
        <v>0</v>
      </c>
      <c r="G12">
        <f>COUNTIFS($U$2:$U$2,"Harmonizing",$V$2:$V$2,"both")</f>
        <v>0</v>
      </c>
      <c r="H12">
        <f>COUNTIFS($U$2:$U$2,"Harmonizing",$V$2:$V$2,"both") + COUNTIFS($U$2:$U$2,"Harmonizing",$V$2:$V$2,"forward") + COUNTIFS($U$2:$U$2,"Harmonizing",$V$2:$V$2,"backward")</f>
        <v>0</v>
      </c>
    </row>
    <row r="13" spans="1:35">
      <c r="D13" t="s">
        <v>480</v>
      </c>
      <c r="E13">
        <f>COUNTIFS($U$2:$U$2,"Disharmonizing",$V$2:$V$2,"forward") + COUNTIFS($U$2:$U$2,"Disharmonizing",$V$2:$V$2,"both")</f>
        <v>1</v>
      </c>
      <c r="F13">
        <f>COUNTIFS($U$2:$U$2,"Disharmonizing",$V$2:$V$2,"backward") + COUNTIFS($U$2:$U$2,"Disharmonizing",$V$2:$V$2,"both")</f>
        <v>1</v>
      </c>
      <c r="G13">
        <f>COUNTIFS($U$2:$U$2,"Disharmonizing",$V$2:$V$2,"both")</f>
        <v>1</v>
      </c>
      <c r="H13">
        <f>COUNTIFS($U$2:$U$2,"Disharmonizing",$V$2:$V$2,"both") + COUNTIFS($U$2:$U$2,"Disharmonizing",$V$2:$V$2,"forward") + COUNTIFS($U$2:$U$2,"Disharmonizing",$V$2:$V$2,"backward")</f>
        <v>1</v>
      </c>
    </row>
    <row r="14" spans="1:35">
      <c r="D14" t="s">
        <v>481</v>
      </c>
      <c r="E14">
        <f>E12/(E12+E13)</f>
        <v>0</v>
      </c>
      <c r="F14">
        <f t="shared" ref="F14:H14" si="0">F12/(F12+F13)</f>
        <v>0</v>
      </c>
      <c r="G14">
        <f t="shared" si="0"/>
        <v>0</v>
      </c>
      <c r="H14">
        <f t="shared" si="0"/>
        <v>0</v>
      </c>
    </row>
  </sheetData>
  <mergeCells count="1">
    <mergeCell ref="E10:H10"/>
  </mergeCells>
  <conditionalFormatting sqref="H2">
    <cfRule type="expression" dxfId="172" priority="4">
      <formula>$J2&lt;&gt;""</formula>
    </cfRule>
    <cfRule type="expression" dxfId="171" priority="5">
      <formula>$J2=""</formula>
    </cfRule>
  </conditionalFormatting>
  <conditionalFormatting sqref="I2:M2 P2:Q2">
    <cfRule type="expression" dxfId="170" priority="18">
      <formula>AND(OR($J2="Addition",$J2="Omission"), I2="")</formula>
    </cfRule>
    <cfRule type="expression" dxfId="169" priority="19">
      <formula>AND($J2&lt;&gt;"Addition",$J2&lt;&gt;"Omission",$J2&lt;&gt;"Substitution - Word")</formula>
    </cfRule>
  </conditionalFormatting>
  <conditionalFormatting sqref="I2:Q2">
    <cfRule type="expression" dxfId="168" priority="17">
      <formula>AND(OR($J2="Addition",$J2="Omission"), I2&lt;&gt;"")</formula>
    </cfRule>
  </conditionalFormatting>
  <conditionalFormatting sqref="L2">
    <cfRule type="expression" dxfId="167" priority="15">
      <formula>AND($L2&lt;&gt;"",$L2&gt;1)</formula>
    </cfRule>
  </conditionalFormatting>
  <conditionalFormatting sqref="N2:O2">
    <cfRule type="expression" dxfId="166" priority="11">
      <formula>$O2="Absent"</formula>
    </cfRule>
    <cfRule type="expression" dxfId="165" priority="12">
      <formula>$O2="NA"</formula>
    </cfRule>
    <cfRule type="expression" dxfId="164" priority="13">
      <formula>AND(OR($J2="Addition",$J2="Omission"), N2="")</formula>
    </cfRule>
    <cfRule type="expression" dxfId="163" priority="14">
      <formula>AND($J2&lt;&gt;"Addition",$J2&lt;&gt;"Omission")</formula>
    </cfRule>
  </conditionalFormatting>
  <conditionalFormatting sqref="P2">
    <cfRule type="expression" dxfId="162" priority="16">
      <formula>OR($J2="Addition",$J2="Omission",$J2 = "Substitution - Word")</formula>
    </cfRule>
  </conditionalFormatting>
  <conditionalFormatting sqref="R2:T2">
    <cfRule type="expression" dxfId="161" priority="1">
      <formula>AND(AND(LEFT($J2,3)="Sub", RIGHT($J2,4)&lt;&gt;"Form"),$T2&lt;&gt;"")</formula>
    </cfRule>
    <cfRule type="expression" dxfId="160" priority="2">
      <formula>AND(AND(LEFT($J2,3)="Sub", RIGHT($J2,4)&lt;&gt;"Form"),$T2="")</formula>
    </cfRule>
    <cfRule type="expression" dxfId="159" priority="3">
      <formula>"&lt;&gt;AND(LEFT($J2,3)=""Sub"", RIGHT($J2,4)&lt;&gt;""Form"")"</formula>
    </cfRule>
  </conditionalFormatting>
  <conditionalFormatting sqref="U2:V2">
    <cfRule type="expression" dxfId="158" priority="7">
      <formula>AND($X2&lt;&gt;"",OR($AE2="Yes",$AF2&lt;&gt;""))</formula>
    </cfRule>
    <cfRule type="expression" dxfId="157" priority="8">
      <formula>OR($AE2="Yes",$AF2&lt;&gt;"")</formula>
    </cfRule>
    <cfRule type="expression" dxfId="156" priority="22">
      <formula>AND($AE2&lt;&gt;"Yes",$AF2="")</formula>
    </cfRule>
  </conditionalFormatting>
  <conditionalFormatting sqref="U2:AE2">
    <cfRule type="expression" dxfId="155" priority="20">
      <formula>AND($J2&lt;&gt;"",$J2&lt;&gt;"Unclear due to correction")</formula>
    </cfRule>
    <cfRule type="expression" dxfId="154" priority="21">
      <formula>OR($J2="",$J2="Unclear due to correction")</formula>
    </cfRule>
  </conditionalFormatting>
  <conditionalFormatting sqref="W2">
    <cfRule type="expression" dxfId="153" priority="6">
      <formula>AND($J2&lt;&gt;"",$J2&lt;&gt;"Unclear due to correction",$Y2="")</formula>
    </cfRule>
  </conditionalFormatting>
  <conditionalFormatting sqref="X2">
    <cfRule type="expression" dxfId="152" priority="9">
      <formula>AND($Y2="Yes",$Z2="")</formula>
    </cfRule>
    <cfRule type="expression" dxfId="151" priority="10">
      <formula>$Y2=""</formula>
    </cfRule>
  </conditionalFormatting>
  <conditionalFormatting sqref="AC2">
    <cfRule type="expression" dxfId="150" priority="23">
      <formula>AND(OR($AC2&lt;&gt;"",$AD2&lt;&gt;""),$AE2="")</formula>
    </cfRule>
  </conditionalFormatting>
  <dataValidations count="1">
    <dataValidation allowBlank="1" showInputMessage="1" sqref="W2" xr:uid="{9420346E-D036-4A6A-AB11-8368E6A31B8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A2F994F9-C529-42E4-A73E-18ADA3B0DC82}">
          <x14:formula1>
            <xm:f>'Data Regularization'!$Q$2:$Q$4</xm:f>
          </x14:formula1>
          <xm:sqref>AF2 AH2</xm:sqref>
        </x14:dataValidation>
        <x14:dataValidation type="list" allowBlank="1" showInputMessage="1" showErrorMessage="1" xr:uid="{B40440AB-CA78-48F5-B352-BF34D132545E}">
          <x14:formula1>
            <xm:f>'Data Regularization'!$I$2:$I$5</xm:f>
          </x14:formula1>
          <xm:sqref>V2</xm:sqref>
        </x14:dataValidation>
        <x14:dataValidation type="list" allowBlank="1" showInputMessage="1" showErrorMessage="1" xr:uid="{0AC256D2-616F-4FE1-8B14-C5C3CB107CB0}">
          <x14:formula1>
            <xm:f>'Data Regularization'!$D$2:$D$1048576</xm:f>
          </x14:formula1>
          <xm:sqref>H2</xm:sqref>
        </x14:dataValidation>
        <x14:dataValidation type="list" allowBlank="1" showInputMessage="1" showErrorMessage="1" xr:uid="{4524CF3E-3383-4FEB-AE52-31569F8DC943}">
          <x14:formula1>
            <xm:f>'Data Regularization'!$E$2:$E$1048576</xm:f>
          </x14:formula1>
          <xm:sqref>L2</xm:sqref>
        </x14:dataValidation>
        <x14:dataValidation type="list" allowBlank="1" showInputMessage="1" showErrorMessage="1" xr:uid="{FCB866D3-DB9A-4923-9FE8-5F8AE3AECA6C}">
          <x14:formula1>
            <xm:f>'Data Regularization'!$F$2:$F$1048576</xm:f>
          </x14:formula1>
          <xm:sqref>M2</xm:sqref>
        </x14:dataValidation>
        <x14:dataValidation type="list" allowBlank="1" showInputMessage="1" showErrorMessage="1" xr:uid="{5F6DB8AD-6A36-451C-ACCB-28399B676EDA}">
          <x14:formula1>
            <xm:f>'Data Regularization'!$G$2:$G$1048576</xm:f>
          </x14:formula1>
          <xm:sqref>P2</xm:sqref>
        </x14:dataValidation>
        <x14:dataValidation type="list" allowBlank="1" showInputMessage="1" showErrorMessage="1" xr:uid="{78FFF3EE-149F-4F9D-A515-97D34C2CBD7E}">
          <x14:formula1>
            <xm:f>'Data Regularization'!$K$2:$K$1048576</xm:f>
          </x14:formula1>
          <xm:sqref>X2 U2</xm:sqref>
        </x14:dataValidation>
        <x14:dataValidation type="list" allowBlank="1" showInputMessage="1" showErrorMessage="1" xr:uid="{523A2AF6-7AD3-4643-A9A3-C0052A67298C}">
          <x14:formula1>
            <xm:f>'Data Regularization'!$L$2:$L$1048576</xm:f>
          </x14:formula1>
          <xm:sqref>Y2</xm:sqref>
        </x14:dataValidation>
        <x14:dataValidation type="list" allowBlank="1" showInputMessage="1" showErrorMessage="1" xr:uid="{9C5A799C-308D-45F3-A550-F2589D91FC4D}">
          <x14:formula1>
            <xm:f>'Data Regularization'!$M$2:$M$1048576</xm:f>
          </x14:formula1>
          <xm:sqref>Z2</xm:sqref>
        </x14:dataValidation>
        <x14:dataValidation type="list" allowBlank="1" showInputMessage="1" showErrorMessage="1" xr:uid="{9A04F291-A209-4CA9-BD1C-028792C1D583}">
          <x14:formula1>
            <xm:f>'Data Regularization'!$N$2:$N$1048576</xm:f>
          </x14:formula1>
          <xm:sqref>AA2</xm:sqref>
        </x14:dataValidation>
        <x14:dataValidation type="list" allowBlank="1" showInputMessage="1" showErrorMessage="1" xr:uid="{D74E094A-350F-4D3B-ABC7-5ABFDC491BD0}">
          <x14:formula1>
            <xm:f>'Data Regularization'!$O$2:$O$1048576</xm:f>
          </x14:formula1>
          <xm:sqref>AC2</xm:sqref>
        </x14:dataValidation>
        <x14:dataValidation type="list" allowBlank="1" showInputMessage="1" showErrorMessage="1" xr:uid="{EF27BA90-7A55-4F50-B4B8-44E70763CC57}">
          <x14:formula1>
            <xm:f>'Data Regularization'!$P$2:$P$1048576</xm:f>
          </x14:formula1>
          <xm:sqref>AD2</xm:sqref>
        </x14:dataValidation>
        <x14:dataValidation type="list" allowBlank="1" showInputMessage="1" showErrorMessage="1" xr:uid="{C16CE901-FC33-4766-8585-C681470CF1BB}">
          <x14:formula1>
            <xm:f>'Data Regularization'!$Q$2:$Q$1048576</xm:f>
          </x14:formula1>
          <xm:sqref>AE2</xm:sqref>
        </x14:dataValidation>
        <x14:dataValidation type="list" allowBlank="1" showInputMessage="1" showErrorMessage="1" xr:uid="{87D8A66D-0DF7-48F9-B8A6-71E82D912DE2}">
          <x14:formula1>
            <xm:f>'Data Regularization'!$C$2:$C$29</xm:f>
          </x14:formula1>
          <xm:sqref>F2</xm:sqref>
        </x14:dataValidation>
        <x14:dataValidation type="list" allowBlank="1" showInputMessage="1" showErrorMessage="1" xr:uid="{BAE23D90-9E36-4054-A4F6-91C78A05633B}">
          <x14:formula1>
            <xm:f>'Data Regularization'!$A$2:$A$1048576</xm:f>
          </x14:formula1>
          <xm:sqref>D2</xm:sqref>
        </x14:dataValidation>
        <x14:dataValidation type="list" allowBlank="1" showInputMessage="1" showErrorMessage="1" xr:uid="{1DEEB10D-E0C8-414A-B182-40B4CE51F650}">
          <x14:formula1>
            <xm:f>'Data Regularization'!$B$2:$B$1048576</xm:f>
          </x14:formula1>
          <xm:sqref>E2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A4C3-94CF-49ED-A8CE-F069782CF29C}">
  <dimension ref="A1:AG31"/>
  <sheetViews>
    <sheetView workbookViewId="0">
      <pane xSplit="3" ySplit="1" topLeftCell="G2" activePane="bottomRight" state="frozen"/>
      <selection pane="topRight" activeCell="D1" sqref="D1"/>
      <selection pane="bottomLeft" activeCell="A2" sqref="A2"/>
      <selection pane="bottomRight" activeCell="G2" sqref="G2"/>
    </sheetView>
  </sheetViews>
  <sheetFormatPr defaultRowHeight="14.5"/>
  <cols>
    <col min="4" max="6" width="0" hidden="1" customWidth="1"/>
  </cols>
  <sheetData>
    <row r="1" spans="1:33"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364</v>
      </c>
      <c r="R1" s="1" t="s">
        <v>450</v>
      </c>
      <c r="S1" s="1" t="s">
        <v>451</v>
      </c>
      <c r="T1" s="1" t="s">
        <v>367</v>
      </c>
      <c r="U1" s="1" t="s">
        <v>368</v>
      </c>
      <c r="V1" s="1" t="s">
        <v>369</v>
      </c>
      <c r="W1" s="1" t="s">
        <v>321</v>
      </c>
      <c r="X1" s="1" t="s">
        <v>322</v>
      </c>
      <c r="Y1" s="1" t="s">
        <v>323</v>
      </c>
      <c r="Z1" s="1" t="s">
        <v>365</v>
      </c>
      <c r="AA1" s="1" t="s">
        <v>370</v>
      </c>
      <c r="AB1" s="1" t="s">
        <v>324</v>
      </c>
      <c r="AC1" s="1" t="s">
        <v>366</v>
      </c>
      <c r="AD1" s="1" t="s">
        <v>382</v>
      </c>
      <c r="AE1" s="1" t="s">
        <v>380</v>
      </c>
      <c r="AF1" s="1" t="s">
        <v>381</v>
      </c>
    </row>
    <row r="2" spans="1:33" ht="43.5">
      <c r="A2" t="s">
        <v>38</v>
      </c>
      <c r="B2" s="3" t="s">
        <v>160</v>
      </c>
      <c r="C2" s="3" t="s">
        <v>159</v>
      </c>
      <c r="G2" s="7" t="s">
        <v>25</v>
      </c>
      <c r="H2" s="7"/>
      <c r="I2" s="7">
        <v>1</v>
      </c>
      <c r="J2" s="7">
        <v>3</v>
      </c>
      <c r="K2" s="7" t="s">
        <v>331</v>
      </c>
      <c r="L2" s="7" t="s">
        <v>326</v>
      </c>
      <c r="M2" s="7" t="s">
        <v>389</v>
      </c>
      <c r="N2" s="8" t="s">
        <v>388</v>
      </c>
      <c r="O2" s="7"/>
      <c r="P2" s="7">
        <v>2475</v>
      </c>
      <c r="Q2" s="7"/>
      <c r="R2" s="7" t="s">
        <v>452</v>
      </c>
      <c r="S2" s="7" t="s">
        <v>452</v>
      </c>
      <c r="T2" s="7"/>
      <c r="U2" s="7"/>
      <c r="V2" s="7"/>
      <c r="W2" s="7"/>
      <c r="X2" s="7"/>
      <c r="Y2" s="7"/>
      <c r="Z2" s="7"/>
      <c r="AA2" s="7"/>
      <c r="AB2" s="7"/>
      <c r="AC2" s="7"/>
      <c r="AD2" t="s">
        <v>19</v>
      </c>
      <c r="AE2" t="s">
        <v>20</v>
      </c>
      <c r="AG2">
        <v>1</v>
      </c>
    </row>
    <row r="3" spans="1:33" ht="29">
      <c r="A3" t="s">
        <v>39</v>
      </c>
      <c r="B3" s="3" t="s">
        <v>162</v>
      </c>
      <c r="C3" s="3" t="s">
        <v>161</v>
      </c>
      <c r="G3" s="7" t="s">
        <v>25</v>
      </c>
      <c r="H3" s="7"/>
      <c r="I3" s="7">
        <v>1</v>
      </c>
      <c r="J3" s="7">
        <v>2</v>
      </c>
      <c r="K3" s="7" t="s">
        <v>331</v>
      </c>
      <c r="L3" s="7" t="s">
        <v>373</v>
      </c>
      <c r="M3" s="7"/>
      <c r="N3" s="8"/>
      <c r="O3" s="7"/>
      <c r="P3" s="7">
        <v>2475</v>
      </c>
      <c r="Q3" s="7"/>
      <c r="R3" s="7" t="s">
        <v>452</v>
      </c>
      <c r="S3" s="7" t="s">
        <v>452</v>
      </c>
      <c r="T3" s="7"/>
      <c r="U3" s="7"/>
      <c r="V3" s="7"/>
      <c r="W3" s="7"/>
      <c r="X3" s="7"/>
      <c r="Y3" s="7"/>
      <c r="Z3" s="7"/>
      <c r="AA3" s="7"/>
      <c r="AB3" s="7"/>
      <c r="AC3" s="7"/>
      <c r="AD3" t="s">
        <v>19</v>
      </c>
      <c r="AE3" t="s">
        <v>20</v>
      </c>
      <c r="AG3">
        <v>1</v>
      </c>
    </row>
    <row r="4" spans="1:33" ht="43.5">
      <c r="A4" t="s">
        <v>44</v>
      </c>
      <c r="B4" s="3" t="s">
        <v>168</v>
      </c>
      <c r="C4" s="3" t="s">
        <v>167</v>
      </c>
      <c r="G4" s="7" t="s">
        <v>24</v>
      </c>
      <c r="H4" s="7"/>
      <c r="I4" s="7">
        <v>1</v>
      </c>
      <c r="J4" s="7">
        <v>1</v>
      </c>
      <c r="K4" s="7" t="s">
        <v>331</v>
      </c>
      <c r="L4" s="7" t="s">
        <v>373</v>
      </c>
      <c r="M4" s="7"/>
      <c r="N4" s="8"/>
      <c r="O4" s="7"/>
      <c r="P4" s="7">
        <v>2475</v>
      </c>
      <c r="Q4" s="7"/>
      <c r="R4" s="7" t="s">
        <v>452</v>
      </c>
      <c r="S4" s="7" t="s">
        <v>452</v>
      </c>
      <c r="T4" s="7"/>
      <c r="U4" s="7"/>
      <c r="V4" s="7"/>
      <c r="W4" s="7"/>
      <c r="X4" s="7"/>
      <c r="Y4" s="7"/>
      <c r="Z4" s="7"/>
      <c r="AA4" s="7"/>
      <c r="AB4" s="7"/>
      <c r="AC4" s="7"/>
      <c r="AD4" t="s">
        <v>19</v>
      </c>
      <c r="AE4" t="s">
        <v>20</v>
      </c>
      <c r="AG4">
        <v>1</v>
      </c>
    </row>
    <row r="5" spans="1:33" ht="29">
      <c r="A5" t="s">
        <v>48</v>
      </c>
      <c r="B5" s="3" t="s">
        <v>172</v>
      </c>
      <c r="C5" s="3" t="s">
        <v>171</v>
      </c>
      <c r="G5" s="7" t="s">
        <v>372</v>
      </c>
      <c r="H5" s="7"/>
      <c r="I5" s="7"/>
      <c r="J5" s="7"/>
      <c r="K5" s="7"/>
      <c r="L5" s="7"/>
      <c r="M5" s="7"/>
      <c r="N5" s="8"/>
      <c r="O5" s="7"/>
      <c r="P5" s="7"/>
      <c r="Q5" s="7">
        <v>-249</v>
      </c>
      <c r="R5" s="7">
        <v>280</v>
      </c>
      <c r="S5" s="7">
        <v>31</v>
      </c>
      <c r="T5" s="7"/>
      <c r="U5" s="7"/>
      <c r="V5" s="7"/>
      <c r="W5" s="7"/>
      <c r="X5" s="7"/>
      <c r="Y5" s="7"/>
      <c r="Z5" s="7"/>
      <c r="AA5" s="7"/>
      <c r="AB5" s="7"/>
      <c r="AC5" s="7"/>
      <c r="AD5" t="s">
        <v>19</v>
      </c>
      <c r="AE5" t="s">
        <v>20</v>
      </c>
      <c r="AG5">
        <v>1</v>
      </c>
    </row>
    <row r="6" spans="1:33" ht="58">
      <c r="A6" t="s">
        <v>52</v>
      </c>
      <c r="B6" s="3" t="s">
        <v>176</v>
      </c>
      <c r="C6" s="3" t="s">
        <v>175</v>
      </c>
      <c r="G6" s="7" t="s">
        <v>25</v>
      </c>
      <c r="H6" s="7"/>
      <c r="I6" s="7">
        <v>1</v>
      </c>
      <c r="J6" s="7">
        <v>3</v>
      </c>
      <c r="K6" s="7" t="s">
        <v>331</v>
      </c>
      <c r="L6" s="7" t="s">
        <v>326</v>
      </c>
      <c r="M6" s="7" t="s">
        <v>387</v>
      </c>
      <c r="N6" s="8" t="s">
        <v>388</v>
      </c>
      <c r="O6" s="7"/>
      <c r="P6" s="7">
        <v>2475</v>
      </c>
      <c r="Q6" s="7"/>
      <c r="R6" s="7" t="s">
        <v>452</v>
      </c>
      <c r="S6" s="7" t="s">
        <v>452</v>
      </c>
      <c r="T6" s="7"/>
      <c r="U6" s="7"/>
      <c r="V6" s="7"/>
      <c r="W6" s="7"/>
      <c r="X6" s="7"/>
      <c r="Y6" s="7"/>
      <c r="Z6" s="7"/>
      <c r="AA6" s="7"/>
      <c r="AB6" s="7"/>
      <c r="AC6" s="7"/>
      <c r="AD6" t="s">
        <v>19</v>
      </c>
      <c r="AE6" t="s">
        <v>20</v>
      </c>
      <c r="AG6">
        <v>1</v>
      </c>
    </row>
    <row r="7" spans="1:33" ht="43.5">
      <c r="A7" t="s">
        <v>55</v>
      </c>
      <c r="B7" s="3" t="s">
        <v>177</v>
      </c>
      <c r="C7" s="3" t="s">
        <v>178</v>
      </c>
      <c r="F7" t="s">
        <v>19</v>
      </c>
      <c r="G7" s="7" t="s">
        <v>24</v>
      </c>
      <c r="H7" s="7"/>
      <c r="I7" s="7">
        <v>1</v>
      </c>
      <c r="J7" s="7">
        <v>9</v>
      </c>
      <c r="K7" s="7" t="s">
        <v>325</v>
      </c>
      <c r="L7" s="7" t="s">
        <v>326</v>
      </c>
      <c r="M7" s="7" t="s">
        <v>416</v>
      </c>
      <c r="N7" s="8" t="s">
        <v>417</v>
      </c>
      <c r="O7" s="7"/>
      <c r="P7" s="7">
        <v>4</v>
      </c>
      <c r="Q7" s="7"/>
      <c r="R7" s="7" t="s">
        <v>452</v>
      </c>
      <c r="S7" s="7" t="s">
        <v>452</v>
      </c>
      <c r="T7" s="7"/>
      <c r="U7" s="7"/>
      <c r="V7" s="7"/>
      <c r="W7" s="7"/>
      <c r="X7" s="7"/>
      <c r="Y7" s="7"/>
      <c r="Z7" s="7"/>
      <c r="AA7" s="7"/>
      <c r="AB7" s="7"/>
      <c r="AC7" s="7"/>
      <c r="AD7" t="s">
        <v>20</v>
      </c>
      <c r="AE7" t="s">
        <v>20</v>
      </c>
      <c r="AG7">
        <v>0</v>
      </c>
    </row>
    <row r="8" spans="1:33" ht="29">
      <c r="A8" t="s">
        <v>56</v>
      </c>
      <c r="B8" s="3" t="s">
        <v>59</v>
      </c>
      <c r="C8" s="3" t="s">
        <v>60</v>
      </c>
      <c r="G8" s="7" t="s">
        <v>372</v>
      </c>
      <c r="H8" s="7"/>
      <c r="I8" s="7"/>
      <c r="J8" s="7"/>
      <c r="K8" s="7"/>
      <c r="L8" s="7"/>
      <c r="M8" s="7"/>
      <c r="N8" s="8"/>
      <c r="O8" s="7"/>
      <c r="P8" s="7"/>
      <c r="Q8" s="7">
        <v>7</v>
      </c>
      <c r="R8" s="7">
        <v>1</v>
      </c>
      <c r="S8" s="7">
        <v>8</v>
      </c>
      <c r="T8" s="7"/>
      <c r="U8" s="7"/>
      <c r="V8" s="7"/>
      <c r="W8" s="7"/>
      <c r="X8" s="7"/>
      <c r="Y8" s="7"/>
      <c r="Z8" s="7"/>
      <c r="AA8" s="7"/>
      <c r="AB8" s="7"/>
      <c r="AC8" s="7"/>
      <c r="AD8" t="s">
        <v>20</v>
      </c>
      <c r="AE8" t="s">
        <v>20</v>
      </c>
      <c r="AG8">
        <v>0</v>
      </c>
    </row>
    <row r="9" spans="1:33" ht="58">
      <c r="A9" t="s">
        <v>61</v>
      </c>
      <c r="B9" s="3" t="s">
        <v>179</v>
      </c>
      <c r="C9" s="3" t="s">
        <v>181</v>
      </c>
      <c r="G9" s="7" t="s">
        <v>24</v>
      </c>
      <c r="H9" s="7"/>
      <c r="I9" s="7">
        <v>1</v>
      </c>
      <c r="J9" s="7">
        <v>3</v>
      </c>
      <c r="K9" s="7" t="s">
        <v>331</v>
      </c>
      <c r="L9" s="7" t="s">
        <v>332</v>
      </c>
      <c r="M9" s="7"/>
      <c r="N9" s="8"/>
      <c r="O9" s="7"/>
      <c r="P9" s="7">
        <v>2475</v>
      </c>
      <c r="Q9" s="7"/>
      <c r="R9" s="7" t="s">
        <v>452</v>
      </c>
      <c r="S9" s="7" t="s">
        <v>452</v>
      </c>
      <c r="T9" s="7"/>
      <c r="U9" s="7"/>
      <c r="V9" s="7"/>
      <c r="W9" s="7"/>
      <c r="X9" s="7"/>
      <c r="Y9" s="7"/>
      <c r="Z9" s="7"/>
      <c r="AA9" s="7"/>
      <c r="AB9" s="7"/>
      <c r="AC9" s="7"/>
      <c r="AD9" t="s">
        <v>19</v>
      </c>
      <c r="AE9" t="s">
        <v>20</v>
      </c>
      <c r="AG9">
        <v>1</v>
      </c>
    </row>
    <row r="10" spans="1:33">
      <c r="A10" t="s">
        <v>69</v>
      </c>
      <c r="B10" s="3" t="s">
        <v>70</v>
      </c>
      <c r="C10" s="3" t="s">
        <v>71</v>
      </c>
      <c r="G10" s="7" t="s">
        <v>374</v>
      </c>
      <c r="H10" s="7"/>
      <c r="I10" s="7"/>
      <c r="J10" s="7"/>
      <c r="K10" s="7"/>
      <c r="L10" s="7"/>
      <c r="M10" s="7"/>
      <c r="N10" s="8"/>
      <c r="O10" s="7"/>
      <c r="P10" s="7"/>
      <c r="Q10" s="7"/>
      <c r="R10" s="7" t="s">
        <v>452</v>
      </c>
      <c r="S10" s="7" t="s">
        <v>452</v>
      </c>
      <c r="T10" s="7"/>
      <c r="U10" s="7"/>
      <c r="V10" s="7"/>
      <c r="W10" s="7"/>
      <c r="X10" s="7"/>
      <c r="Y10" s="7"/>
      <c r="Z10" s="7"/>
      <c r="AA10" s="7"/>
      <c r="AB10" s="7"/>
      <c r="AC10" s="7"/>
      <c r="AD10" t="s">
        <v>19</v>
      </c>
      <c r="AE10" t="s">
        <v>20</v>
      </c>
      <c r="AG10">
        <v>1</v>
      </c>
    </row>
    <row r="11" spans="1:33" ht="43.5">
      <c r="A11" t="s">
        <v>78</v>
      </c>
      <c r="B11" s="3" t="s">
        <v>195</v>
      </c>
      <c r="C11" s="3" t="s">
        <v>194</v>
      </c>
      <c r="G11" s="7" t="s">
        <v>24</v>
      </c>
      <c r="H11" s="7"/>
      <c r="I11" s="7">
        <v>1</v>
      </c>
      <c r="J11" s="7">
        <v>3</v>
      </c>
      <c r="K11" s="7" t="s">
        <v>341</v>
      </c>
      <c r="L11" s="7" t="s">
        <v>332</v>
      </c>
      <c r="M11" s="7"/>
      <c r="N11" s="8"/>
      <c r="O11" s="7"/>
      <c r="P11" s="7">
        <v>1701</v>
      </c>
      <c r="Q11" s="7"/>
      <c r="R11" s="7" t="s">
        <v>452</v>
      </c>
      <c r="S11" s="7" t="s">
        <v>452</v>
      </c>
      <c r="T11" s="7"/>
      <c r="U11" s="7"/>
      <c r="V11" s="7"/>
      <c r="W11" s="7"/>
      <c r="X11" s="7"/>
      <c r="Y11" s="7"/>
      <c r="Z11" s="7"/>
      <c r="AA11" s="7"/>
      <c r="AB11" s="7"/>
      <c r="AC11" s="7"/>
      <c r="AD11" t="s">
        <v>19</v>
      </c>
      <c r="AE11" t="s">
        <v>20</v>
      </c>
      <c r="AG11">
        <v>1</v>
      </c>
    </row>
    <row r="12" spans="1:33" ht="174">
      <c r="A12" t="s">
        <v>78</v>
      </c>
      <c r="B12" s="3" t="s">
        <v>197</v>
      </c>
      <c r="C12" s="3" t="s">
        <v>198</v>
      </c>
      <c r="F12" t="s">
        <v>19</v>
      </c>
      <c r="G12" s="7" t="s">
        <v>374</v>
      </c>
      <c r="H12" s="7"/>
      <c r="I12" s="7"/>
      <c r="J12" s="7"/>
      <c r="K12" s="7"/>
      <c r="L12" s="7"/>
      <c r="M12" s="7"/>
      <c r="N12" s="8"/>
      <c r="O12" s="7"/>
      <c r="P12" s="7"/>
      <c r="Q12" s="7"/>
      <c r="R12" s="7" t="s">
        <v>452</v>
      </c>
      <c r="S12" s="7" t="s">
        <v>452</v>
      </c>
      <c r="T12" s="7"/>
      <c r="U12" s="7"/>
      <c r="V12" s="7"/>
      <c r="W12" s="7"/>
      <c r="X12" s="7"/>
      <c r="Y12" s="7"/>
      <c r="Z12" s="7"/>
      <c r="AA12" s="7"/>
      <c r="AB12" s="7"/>
      <c r="AC12" s="7"/>
      <c r="AD12" t="s">
        <v>19</v>
      </c>
      <c r="AE12" t="s">
        <v>20</v>
      </c>
      <c r="AG12">
        <v>1</v>
      </c>
    </row>
    <row r="13" spans="1:33" ht="174">
      <c r="A13" t="s">
        <v>81</v>
      </c>
      <c r="B13" s="3" t="s">
        <v>396</v>
      </c>
      <c r="C13" s="3" t="s">
        <v>196</v>
      </c>
      <c r="F13" t="s">
        <v>19</v>
      </c>
      <c r="G13" s="7" t="s">
        <v>25</v>
      </c>
      <c r="H13" s="7"/>
      <c r="I13" s="7">
        <v>8</v>
      </c>
      <c r="J13" s="7">
        <v>46</v>
      </c>
      <c r="K13" s="7"/>
      <c r="L13" s="7" t="s">
        <v>326</v>
      </c>
      <c r="M13" s="7" t="s">
        <v>395</v>
      </c>
      <c r="N13" s="8" t="s">
        <v>397</v>
      </c>
      <c r="O13" s="7"/>
      <c r="P13" s="7">
        <v>1</v>
      </c>
      <c r="Q13" s="7"/>
      <c r="R13" s="7" t="s">
        <v>452</v>
      </c>
      <c r="S13" s="7" t="s">
        <v>452</v>
      </c>
      <c r="T13" s="7"/>
      <c r="U13" s="7"/>
      <c r="V13" s="7"/>
      <c r="W13" s="7"/>
      <c r="X13" s="7"/>
      <c r="Y13" s="7"/>
      <c r="Z13" s="7"/>
      <c r="AA13" s="7"/>
      <c r="AB13" s="7"/>
      <c r="AC13" s="7"/>
      <c r="AD13" t="s">
        <v>20</v>
      </c>
      <c r="AE13" t="s">
        <v>20</v>
      </c>
      <c r="AG13">
        <v>0</v>
      </c>
    </row>
    <row r="14" spans="1:33" ht="43.5">
      <c r="A14" t="s">
        <v>82</v>
      </c>
      <c r="B14" s="3" t="s">
        <v>200</v>
      </c>
      <c r="C14" s="3" t="s">
        <v>199</v>
      </c>
      <c r="G14" s="7" t="s">
        <v>24</v>
      </c>
      <c r="H14" s="7"/>
      <c r="I14" s="7">
        <v>1</v>
      </c>
      <c r="J14" s="7">
        <v>2</v>
      </c>
      <c r="K14" s="7" t="s">
        <v>331</v>
      </c>
      <c r="L14" s="7" t="s">
        <v>373</v>
      </c>
      <c r="M14" s="7"/>
      <c r="N14" s="8"/>
      <c r="O14" s="7"/>
      <c r="P14" s="7">
        <v>2475</v>
      </c>
      <c r="Q14" s="7"/>
      <c r="R14" s="7" t="s">
        <v>452</v>
      </c>
      <c r="S14" s="7" t="s">
        <v>452</v>
      </c>
      <c r="T14" s="7"/>
      <c r="U14" s="7"/>
      <c r="V14" s="7"/>
      <c r="W14" s="7"/>
      <c r="X14" s="7"/>
      <c r="Y14" s="7"/>
      <c r="Z14" s="7"/>
      <c r="AA14" s="7"/>
      <c r="AB14" s="7"/>
      <c r="AC14" s="7"/>
      <c r="AD14" t="s">
        <v>19</v>
      </c>
      <c r="AE14" t="s">
        <v>20</v>
      </c>
      <c r="AG14">
        <v>1</v>
      </c>
    </row>
    <row r="15" spans="1:33" ht="29">
      <c r="A15" t="s">
        <v>82</v>
      </c>
      <c r="B15" s="3" t="s">
        <v>201</v>
      </c>
      <c r="C15" s="3" t="s">
        <v>202</v>
      </c>
      <c r="G15" s="7" t="s">
        <v>25</v>
      </c>
      <c r="H15" s="7"/>
      <c r="I15" s="7">
        <v>1</v>
      </c>
      <c r="J15" s="7">
        <v>2</v>
      </c>
      <c r="K15" s="7" t="s">
        <v>331</v>
      </c>
      <c r="L15" s="7" t="s">
        <v>373</v>
      </c>
      <c r="M15" s="7"/>
      <c r="N15" s="8"/>
      <c r="O15" s="7" t="s">
        <v>327</v>
      </c>
      <c r="P15" s="7">
        <v>2475</v>
      </c>
      <c r="Q15" s="7"/>
      <c r="R15" s="7" t="s">
        <v>452</v>
      </c>
      <c r="S15" s="7" t="s">
        <v>452</v>
      </c>
      <c r="T15" s="7"/>
      <c r="U15" s="7"/>
      <c r="V15" s="7"/>
      <c r="W15" s="7"/>
      <c r="X15" s="7"/>
      <c r="Y15" s="7"/>
      <c r="Z15" s="7"/>
      <c r="AA15" s="7"/>
      <c r="AB15" s="7"/>
      <c r="AC15" s="7"/>
      <c r="AD15" t="s">
        <v>19</v>
      </c>
      <c r="AE15" t="s">
        <v>20</v>
      </c>
      <c r="AG15">
        <v>1</v>
      </c>
    </row>
    <row r="16" spans="1:33" ht="29">
      <c r="A16" t="s">
        <v>85</v>
      </c>
      <c r="B16" s="3" t="s">
        <v>206</v>
      </c>
      <c r="C16" s="3" t="s">
        <v>205</v>
      </c>
      <c r="G16" s="7" t="s">
        <v>25</v>
      </c>
      <c r="H16" s="7"/>
      <c r="I16" s="7">
        <v>1</v>
      </c>
      <c r="J16" s="7">
        <v>2</v>
      </c>
      <c r="K16" s="7" t="s">
        <v>341</v>
      </c>
      <c r="L16" s="7" t="s">
        <v>373</v>
      </c>
      <c r="M16" s="7"/>
      <c r="N16" s="8"/>
      <c r="O16" s="7"/>
      <c r="P16" s="7">
        <v>171</v>
      </c>
      <c r="Q16" s="7"/>
      <c r="R16" s="7" t="s">
        <v>452</v>
      </c>
      <c r="S16" s="7" t="s">
        <v>452</v>
      </c>
      <c r="T16" s="7"/>
      <c r="U16" s="7"/>
      <c r="V16" s="7"/>
      <c r="W16" s="7"/>
      <c r="X16" s="7"/>
      <c r="Y16" s="7"/>
      <c r="Z16" s="7"/>
      <c r="AA16" s="7"/>
      <c r="AB16" s="7"/>
      <c r="AC16" s="7"/>
      <c r="AD16" t="s">
        <v>19</v>
      </c>
      <c r="AE16" t="s">
        <v>20</v>
      </c>
      <c r="AG16">
        <v>1</v>
      </c>
    </row>
    <row r="17" spans="1:33" ht="72.5">
      <c r="A17" t="s">
        <v>89</v>
      </c>
      <c r="B17" s="3" t="s">
        <v>207</v>
      </c>
      <c r="C17" s="3" t="s">
        <v>208</v>
      </c>
      <c r="G17" s="7" t="s">
        <v>24</v>
      </c>
      <c r="H17" s="7"/>
      <c r="I17" s="7">
        <v>1</v>
      </c>
      <c r="J17" s="7">
        <v>3</v>
      </c>
      <c r="K17" s="7" t="s">
        <v>331</v>
      </c>
      <c r="L17" s="7" t="s">
        <v>332</v>
      </c>
      <c r="M17" s="7"/>
      <c r="N17" s="8"/>
      <c r="O17" s="7"/>
      <c r="P17" s="7">
        <v>2475</v>
      </c>
      <c r="Q17" s="7"/>
      <c r="R17" s="7" t="s">
        <v>452</v>
      </c>
      <c r="S17" s="7" t="s">
        <v>452</v>
      </c>
      <c r="T17" s="7"/>
      <c r="U17" s="7"/>
      <c r="V17" s="7"/>
      <c r="W17" s="7"/>
      <c r="X17" s="7"/>
      <c r="Y17" s="7"/>
      <c r="Z17" s="7"/>
      <c r="AA17" s="7"/>
      <c r="AB17" s="7"/>
      <c r="AC17" s="7"/>
      <c r="AD17" t="s">
        <v>19</v>
      </c>
      <c r="AE17" t="s">
        <v>20</v>
      </c>
      <c r="AG17">
        <v>1</v>
      </c>
    </row>
    <row r="18" spans="1:33" ht="43.5">
      <c r="A18" t="s">
        <v>98</v>
      </c>
      <c r="B18" s="3" t="s">
        <v>219</v>
      </c>
      <c r="C18" s="3" t="s">
        <v>218</v>
      </c>
      <c r="G18" s="7" t="s">
        <v>374</v>
      </c>
      <c r="H18" s="7"/>
      <c r="I18" s="7"/>
      <c r="J18" s="7"/>
      <c r="K18" s="7"/>
      <c r="L18" s="7"/>
      <c r="M18" s="7"/>
      <c r="N18" s="8"/>
      <c r="O18" s="7"/>
      <c r="P18" s="7"/>
      <c r="Q18" s="7"/>
      <c r="R18" s="7" t="s">
        <v>452</v>
      </c>
      <c r="S18" s="7" t="s">
        <v>452</v>
      </c>
      <c r="T18" s="7"/>
      <c r="U18" s="7"/>
      <c r="V18" s="7"/>
      <c r="W18" s="7"/>
      <c r="X18" s="7"/>
      <c r="Y18" s="7"/>
      <c r="Z18" s="7"/>
      <c r="AA18" s="7"/>
      <c r="AB18" s="7"/>
      <c r="AC18" s="7"/>
      <c r="AD18" t="s">
        <v>19</v>
      </c>
      <c r="AE18" t="s">
        <v>20</v>
      </c>
      <c r="AG18">
        <v>1</v>
      </c>
    </row>
    <row r="19" spans="1:33" ht="290">
      <c r="A19" t="s">
        <v>99</v>
      </c>
      <c r="B19" s="3" t="s">
        <v>230</v>
      </c>
      <c r="C19" s="3" t="s">
        <v>231</v>
      </c>
      <c r="F19" t="s">
        <v>19</v>
      </c>
      <c r="G19" s="7" t="s">
        <v>25</v>
      </c>
      <c r="H19" s="7"/>
      <c r="I19" s="7">
        <v>15</v>
      </c>
      <c r="J19" s="7">
        <v>67</v>
      </c>
      <c r="K19" s="7"/>
      <c r="L19" s="7" t="s">
        <v>326</v>
      </c>
      <c r="M19" s="7" t="s">
        <v>391</v>
      </c>
      <c r="N19" s="8" t="s">
        <v>394</v>
      </c>
      <c r="O19" s="7"/>
      <c r="P19" s="7">
        <v>2</v>
      </c>
      <c r="Q19" s="7"/>
      <c r="R19" s="7" t="s">
        <v>452</v>
      </c>
      <c r="S19" s="7" t="s">
        <v>452</v>
      </c>
      <c r="T19" s="7"/>
      <c r="U19" s="7"/>
      <c r="V19" s="7"/>
      <c r="W19" s="7"/>
      <c r="X19" s="7"/>
      <c r="Y19" s="7"/>
      <c r="Z19" s="7"/>
      <c r="AA19" s="7"/>
      <c r="AB19" s="7"/>
      <c r="AC19" s="7"/>
      <c r="AD19" t="s">
        <v>20</v>
      </c>
      <c r="AE19" t="s">
        <v>20</v>
      </c>
      <c r="AG19">
        <v>0</v>
      </c>
    </row>
    <row r="20" spans="1:33" ht="29">
      <c r="A20" t="s">
        <v>100</v>
      </c>
      <c r="B20" s="3" t="s">
        <v>101</v>
      </c>
      <c r="C20" s="3" t="s">
        <v>234</v>
      </c>
      <c r="F20" t="s">
        <v>19</v>
      </c>
      <c r="G20" s="7" t="s">
        <v>374</v>
      </c>
      <c r="H20" s="7"/>
      <c r="I20" s="7"/>
      <c r="J20" s="7"/>
      <c r="K20" s="7"/>
      <c r="L20" s="7"/>
      <c r="M20" s="7"/>
      <c r="N20" s="8"/>
      <c r="O20" s="7"/>
      <c r="P20" s="7"/>
      <c r="Q20" s="7"/>
      <c r="R20" s="7" t="s">
        <v>452</v>
      </c>
      <c r="S20" s="7" t="s">
        <v>452</v>
      </c>
      <c r="T20" s="7"/>
      <c r="U20" s="7"/>
      <c r="V20" s="7"/>
      <c r="W20" s="7"/>
      <c r="X20" s="7"/>
      <c r="Y20" s="7"/>
      <c r="Z20" s="7"/>
      <c r="AA20" s="7"/>
      <c r="AB20" s="7"/>
      <c r="AC20" s="7"/>
      <c r="AD20" t="s">
        <v>20</v>
      </c>
      <c r="AE20" t="s">
        <v>20</v>
      </c>
      <c r="AG20">
        <v>0</v>
      </c>
    </row>
    <row r="21" spans="1:33" ht="29">
      <c r="A21" t="s">
        <v>103</v>
      </c>
      <c r="B21" s="3" t="s">
        <v>237</v>
      </c>
      <c r="C21" s="3" t="s">
        <v>238</v>
      </c>
      <c r="G21" s="7" t="s">
        <v>25</v>
      </c>
      <c r="H21" s="7"/>
      <c r="I21" s="7">
        <v>1</v>
      </c>
      <c r="J21" s="7">
        <v>1</v>
      </c>
      <c r="K21" s="7" t="s">
        <v>331</v>
      </c>
      <c r="L21" s="7" t="s">
        <v>373</v>
      </c>
      <c r="M21" s="7"/>
      <c r="N21" s="8"/>
      <c r="O21" s="7"/>
      <c r="P21" s="7">
        <v>2475</v>
      </c>
      <c r="Q21" s="7"/>
      <c r="R21" s="7" t="s">
        <v>452</v>
      </c>
      <c r="S21" s="7" t="s">
        <v>452</v>
      </c>
      <c r="T21" s="7"/>
      <c r="U21" s="7"/>
      <c r="V21" s="7"/>
      <c r="W21" s="7"/>
      <c r="X21" s="7"/>
      <c r="Y21" s="7"/>
      <c r="Z21" s="7"/>
      <c r="AA21" s="7"/>
      <c r="AB21" s="7"/>
      <c r="AC21" s="7"/>
      <c r="AD21" t="s">
        <v>19</v>
      </c>
      <c r="AE21" t="s">
        <v>20</v>
      </c>
      <c r="AG21">
        <v>1</v>
      </c>
    </row>
    <row r="22" spans="1:33" ht="58">
      <c r="A22" t="s">
        <v>109</v>
      </c>
      <c r="B22" s="3" t="s">
        <v>242</v>
      </c>
      <c r="C22" s="3" t="s">
        <v>241</v>
      </c>
      <c r="G22" s="7" t="s">
        <v>25</v>
      </c>
      <c r="H22" s="7"/>
      <c r="I22" s="7">
        <v>1</v>
      </c>
      <c r="J22" s="7">
        <v>3</v>
      </c>
      <c r="K22" s="7" t="s">
        <v>350</v>
      </c>
      <c r="L22" s="7" t="s">
        <v>332</v>
      </c>
      <c r="M22" s="7"/>
      <c r="N22" s="8"/>
      <c r="O22" s="7"/>
      <c r="P22" s="7">
        <v>210</v>
      </c>
      <c r="Q22" s="7"/>
      <c r="R22" s="7" t="s">
        <v>452</v>
      </c>
      <c r="S22" s="7" t="s">
        <v>452</v>
      </c>
      <c r="T22" s="7"/>
      <c r="U22" s="7"/>
      <c r="V22" s="7"/>
      <c r="W22" s="7"/>
      <c r="X22" s="7"/>
      <c r="Y22" s="7"/>
      <c r="Z22" s="7"/>
      <c r="AA22" s="7"/>
      <c r="AB22" s="7"/>
      <c r="AC22" s="7"/>
      <c r="AD22" t="s">
        <v>19</v>
      </c>
      <c r="AE22" t="s">
        <v>20</v>
      </c>
      <c r="AG22">
        <v>1</v>
      </c>
    </row>
    <row r="23" spans="1:33" ht="29">
      <c r="A23" t="s">
        <v>120</v>
      </c>
      <c r="B23" s="3" t="s">
        <v>190</v>
      </c>
      <c r="C23" s="3" t="s">
        <v>189</v>
      </c>
      <c r="G23" s="7" t="s">
        <v>374</v>
      </c>
      <c r="H23" s="7"/>
      <c r="I23" s="7"/>
      <c r="J23" s="7"/>
      <c r="K23" s="7"/>
      <c r="L23" s="7"/>
      <c r="M23" s="7"/>
      <c r="N23" s="8"/>
      <c r="O23" s="7"/>
      <c r="P23" s="7"/>
      <c r="Q23" s="7"/>
      <c r="R23" s="7" t="s">
        <v>452</v>
      </c>
      <c r="S23" s="7" t="s">
        <v>452</v>
      </c>
      <c r="T23" s="7" t="s">
        <v>371</v>
      </c>
      <c r="U23" s="7"/>
      <c r="V23" s="7"/>
      <c r="W23" s="7"/>
      <c r="X23" s="7"/>
      <c r="Y23" s="7"/>
      <c r="Z23" s="7"/>
      <c r="AA23" s="7"/>
      <c r="AB23" s="7"/>
      <c r="AC23" s="7"/>
      <c r="AD23" t="s">
        <v>19</v>
      </c>
      <c r="AE23" t="s">
        <v>20</v>
      </c>
      <c r="AG23">
        <v>1</v>
      </c>
    </row>
    <row r="24" spans="1:33" ht="159.5">
      <c r="A24" t="s">
        <v>125</v>
      </c>
      <c r="B24" s="3" t="s">
        <v>261</v>
      </c>
      <c r="C24" s="3" t="s">
        <v>260</v>
      </c>
      <c r="G24" s="7" t="s">
        <v>25</v>
      </c>
      <c r="H24" s="7"/>
      <c r="I24" s="7">
        <v>7</v>
      </c>
      <c r="J24" s="7">
        <v>32</v>
      </c>
      <c r="K24" s="7"/>
      <c r="L24" s="7" t="s">
        <v>326</v>
      </c>
      <c r="M24" s="7" t="s">
        <v>395</v>
      </c>
      <c r="N24" s="8" t="s">
        <v>402</v>
      </c>
      <c r="O24" s="7"/>
      <c r="P24" s="7"/>
      <c r="Q24" s="7"/>
      <c r="R24" s="7" t="s">
        <v>452</v>
      </c>
      <c r="S24" s="7" t="s">
        <v>452</v>
      </c>
      <c r="T24" s="7"/>
      <c r="U24" s="7"/>
      <c r="V24" s="7"/>
      <c r="W24" s="7"/>
      <c r="X24" s="7"/>
      <c r="Y24" s="7"/>
      <c r="Z24" s="7"/>
      <c r="AA24" s="7"/>
      <c r="AB24" s="7"/>
      <c r="AC24" s="7"/>
      <c r="AD24" t="s">
        <v>20</v>
      </c>
      <c r="AE24" t="s">
        <v>20</v>
      </c>
      <c r="AG24">
        <v>0</v>
      </c>
    </row>
    <row r="25" spans="1:33">
      <c r="A25" t="s">
        <v>125</v>
      </c>
      <c r="B25" s="3" t="s">
        <v>127</v>
      </c>
      <c r="C25" s="3" t="s">
        <v>128</v>
      </c>
      <c r="F25" t="s">
        <v>19</v>
      </c>
      <c r="G25" s="7" t="s">
        <v>372</v>
      </c>
      <c r="H25" s="7"/>
      <c r="I25" s="7"/>
      <c r="J25" s="7"/>
      <c r="K25" s="7"/>
      <c r="L25" s="7"/>
      <c r="M25" s="7"/>
      <c r="N25" s="8"/>
      <c r="O25" s="7"/>
      <c r="P25" s="7"/>
      <c r="Q25" s="7">
        <v>-1</v>
      </c>
      <c r="R25" s="7">
        <v>1</v>
      </c>
      <c r="S25" s="7">
        <v>0</v>
      </c>
      <c r="T25" s="7"/>
      <c r="U25" s="7"/>
      <c r="V25" s="7"/>
      <c r="W25" s="7"/>
      <c r="X25" s="7"/>
      <c r="Y25" s="7"/>
      <c r="Z25" s="7"/>
      <c r="AA25" s="7"/>
      <c r="AB25" s="7"/>
      <c r="AC25" s="7"/>
      <c r="AD25" t="s">
        <v>19</v>
      </c>
      <c r="AE25" t="s">
        <v>20</v>
      </c>
      <c r="AG25">
        <v>1</v>
      </c>
    </row>
    <row r="26" spans="1:33" ht="101.5">
      <c r="A26" t="s">
        <v>129</v>
      </c>
      <c r="B26" s="3" t="s">
        <v>273</v>
      </c>
      <c r="C26" s="3" t="s">
        <v>270</v>
      </c>
      <c r="G26" s="7" t="s">
        <v>25</v>
      </c>
      <c r="H26" s="7"/>
      <c r="I26" s="7">
        <v>1</v>
      </c>
      <c r="J26" s="7">
        <v>9</v>
      </c>
      <c r="K26" s="7" t="s">
        <v>383</v>
      </c>
      <c r="L26" s="7" t="s">
        <v>332</v>
      </c>
      <c r="M26" s="7"/>
      <c r="N26" s="8"/>
      <c r="O26" s="7"/>
      <c r="P26" s="7">
        <v>18</v>
      </c>
      <c r="Q26" s="7"/>
      <c r="R26" s="7" t="s">
        <v>452</v>
      </c>
      <c r="S26" s="7" t="s">
        <v>452</v>
      </c>
      <c r="T26" s="7"/>
      <c r="U26" s="7"/>
      <c r="V26" s="7"/>
      <c r="W26" s="7"/>
      <c r="X26" s="7"/>
      <c r="Y26" s="7"/>
      <c r="Z26" s="7"/>
      <c r="AA26" s="7"/>
      <c r="AB26" s="7"/>
      <c r="AC26" s="7"/>
      <c r="AD26" t="s">
        <v>19</v>
      </c>
      <c r="AE26" t="s">
        <v>20</v>
      </c>
      <c r="AG26">
        <v>1</v>
      </c>
    </row>
    <row r="27" spans="1:33" ht="29">
      <c r="A27" t="s">
        <v>138</v>
      </c>
      <c r="B27" s="3" t="s">
        <v>282</v>
      </c>
      <c r="C27" s="3" t="s">
        <v>281</v>
      </c>
      <c r="G27" s="7" t="s">
        <v>25</v>
      </c>
      <c r="H27" s="7"/>
      <c r="I27" s="7">
        <v>1</v>
      </c>
      <c r="J27" s="7">
        <v>2</v>
      </c>
      <c r="K27" s="7" t="s">
        <v>341</v>
      </c>
      <c r="L27" s="7" t="s">
        <v>373</v>
      </c>
      <c r="M27" s="7"/>
      <c r="N27" s="8"/>
      <c r="O27" s="7"/>
      <c r="P27" s="7">
        <v>171</v>
      </c>
      <c r="Q27" s="7"/>
      <c r="R27" s="7" t="s">
        <v>452</v>
      </c>
      <c r="S27" s="7" t="s">
        <v>452</v>
      </c>
      <c r="T27" s="7"/>
      <c r="U27" s="7"/>
      <c r="V27" s="7"/>
      <c r="W27" s="7"/>
      <c r="X27" s="7"/>
      <c r="Y27" s="7"/>
      <c r="Z27" s="7"/>
      <c r="AA27" s="7"/>
      <c r="AB27" s="7"/>
      <c r="AC27" s="7"/>
      <c r="AD27" t="s">
        <v>19</v>
      </c>
      <c r="AE27" t="s">
        <v>20</v>
      </c>
      <c r="AG27">
        <v>1</v>
      </c>
    </row>
    <row r="28" spans="1:33" ht="29">
      <c r="A28" t="s">
        <v>142</v>
      </c>
      <c r="B28" s="3" t="s">
        <v>294</v>
      </c>
      <c r="C28" s="3" t="s">
        <v>295</v>
      </c>
      <c r="G28" s="7" t="s">
        <v>25</v>
      </c>
      <c r="H28" s="7"/>
      <c r="I28" s="7">
        <v>1</v>
      </c>
      <c r="J28" s="7">
        <v>2</v>
      </c>
      <c r="K28" s="7" t="s">
        <v>377</v>
      </c>
      <c r="L28" s="7" t="s">
        <v>373</v>
      </c>
      <c r="M28" s="7"/>
      <c r="N28" s="8"/>
      <c r="O28" s="7"/>
      <c r="P28" s="7">
        <v>10</v>
      </c>
      <c r="Q28" s="7"/>
      <c r="R28" s="7" t="s">
        <v>452</v>
      </c>
      <c r="S28" s="7" t="s">
        <v>452</v>
      </c>
      <c r="T28" s="7"/>
      <c r="U28" s="7"/>
      <c r="V28" s="7"/>
      <c r="W28" s="7"/>
      <c r="X28" s="7"/>
      <c r="Y28" s="7"/>
      <c r="Z28" s="7"/>
      <c r="AA28" s="7"/>
      <c r="AB28" s="7"/>
      <c r="AC28" s="7"/>
      <c r="AD28" t="s">
        <v>19</v>
      </c>
      <c r="AE28" t="s">
        <v>20</v>
      </c>
      <c r="AG28">
        <v>1</v>
      </c>
    </row>
    <row r="29" spans="1:33" ht="58">
      <c r="A29" t="s">
        <v>143</v>
      </c>
      <c r="B29" s="3" t="s">
        <v>300</v>
      </c>
      <c r="C29" s="3" t="s">
        <v>299</v>
      </c>
      <c r="G29" s="7" t="s">
        <v>374</v>
      </c>
      <c r="H29" s="7"/>
      <c r="I29" s="7"/>
      <c r="J29" s="7"/>
      <c r="K29" s="7"/>
      <c r="L29" s="7"/>
      <c r="M29" s="7"/>
      <c r="N29" s="8"/>
      <c r="O29" s="7"/>
      <c r="P29" s="7"/>
      <c r="Q29" s="7"/>
      <c r="R29" s="7" t="s">
        <v>452</v>
      </c>
      <c r="S29" s="7" t="s">
        <v>452</v>
      </c>
      <c r="T29" s="7"/>
      <c r="U29" s="7"/>
      <c r="V29" s="7"/>
      <c r="W29" s="7"/>
      <c r="X29" s="7"/>
      <c r="Y29" s="7"/>
      <c r="Z29" s="7"/>
      <c r="AA29" s="7"/>
      <c r="AB29" s="7"/>
      <c r="AC29" s="7"/>
      <c r="AD29" t="s">
        <v>19</v>
      </c>
      <c r="AE29" t="s">
        <v>20</v>
      </c>
      <c r="AG29">
        <v>1</v>
      </c>
    </row>
    <row r="30" spans="1:33" ht="72.5">
      <c r="A30" t="s">
        <v>152</v>
      </c>
      <c r="B30" s="3" t="s">
        <v>308</v>
      </c>
      <c r="C30" s="3" t="s">
        <v>309</v>
      </c>
      <c r="F30" t="s">
        <v>19</v>
      </c>
      <c r="G30" s="7" t="s">
        <v>24</v>
      </c>
      <c r="H30" s="7"/>
      <c r="I30" s="7">
        <v>3</v>
      </c>
      <c r="J30" s="7">
        <v>16</v>
      </c>
      <c r="K30" s="7"/>
      <c r="L30" s="7" t="s">
        <v>332</v>
      </c>
      <c r="M30" s="7"/>
      <c r="N30" s="8"/>
      <c r="O30" s="7" t="s">
        <v>333</v>
      </c>
      <c r="P30" s="7">
        <v>9</v>
      </c>
      <c r="Q30" s="7"/>
      <c r="R30" s="7" t="s">
        <v>452</v>
      </c>
      <c r="S30" s="7" t="s">
        <v>452</v>
      </c>
      <c r="T30" s="7"/>
      <c r="U30" s="7"/>
      <c r="V30" s="7"/>
      <c r="W30" s="7"/>
      <c r="X30" s="7"/>
      <c r="Y30" s="7"/>
      <c r="Z30" s="7"/>
      <c r="AA30" s="7"/>
      <c r="AB30" s="7"/>
      <c r="AC30" s="7"/>
      <c r="AD30" t="s">
        <v>20</v>
      </c>
      <c r="AE30" t="s">
        <v>20</v>
      </c>
      <c r="AG30">
        <v>0</v>
      </c>
    </row>
    <row r="31" spans="1:33" ht="87">
      <c r="A31" t="s">
        <v>154</v>
      </c>
      <c r="B31" s="3" t="s">
        <v>313</v>
      </c>
      <c r="C31" s="3" t="s">
        <v>312</v>
      </c>
      <c r="G31" s="7" t="s">
        <v>26</v>
      </c>
      <c r="H31" s="7"/>
      <c r="I31" s="7"/>
      <c r="J31" s="7"/>
      <c r="K31" s="7"/>
      <c r="L31" s="7"/>
      <c r="M31" s="7"/>
      <c r="N31" s="8"/>
      <c r="O31" s="7"/>
      <c r="P31" s="7"/>
      <c r="Q31" s="7"/>
      <c r="R31" s="7" t="s">
        <v>452</v>
      </c>
      <c r="S31" s="7" t="s">
        <v>452</v>
      </c>
      <c r="T31" s="7"/>
      <c r="U31" s="7"/>
      <c r="V31" s="7"/>
      <c r="W31" s="7"/>
      <c r="X31" s="7"/>
      <c r="Y31" s="7"/>
      <c r="Z31" s="7"/>
      <c r="AA31" s="7"/>
      <c r="AB31" s="7"/>
      <c r="AC31" s="7"/>
      <c r="AD31" t="s">
        <v>19</v>
      </c>
      <c r="AE31" t="s">
        <v>20</v>
      </c>
      <c r="AG31">
        <v>1</v>
      </c>
    </row>
  </sheetData>
  <conditionalFormatting sqref="G2:G31">
    <cfRule type="expression" dxfId="149" priority="4">
      <formula>$I2&lt;&gt;""</formula>
    </cfRule>
    <cfRule type="expression" dxfId="148" priority="5">
      <formula>$I2=""</formula>
    </cfRule>
  </conditionalFormatting>
  <conditionalFormatting sqref="H2:L31 O2:P31">
    <cfRule type="expression" dxfId="147" priority="18">
      <formula>AND(OR($I2="Addition",$I2="Omission"), H2="")</formula>
    </cfRule>
    <cfRule type="expression" dxfId="146" priority="19">
      <formula>AND($I2&lt;&gt;"Addition",$I2&lt;&gt;"Omission",$I2&lt;&gt;"Substitution - Word")</formula>
    </cfRule>
  </conditionalFormatting>
  <conditionalFormatting sqref="H2:P31">
    <cfRule type="expression" dxfId="145" priority="17">
      <formula>AND(OR($I2="Addition",$I2="Omission"), H2&lt;&gt;"")</formula>
    </cfRule>
  </conditionalFormatting>
  <conditionalFormatting sqref="K2:K31">
    <cfRule type="expression" dxfId="144" priority="15">
      <formula>AND($K2&lt;&gt;"",$K2&gt;1)</formula>
    </cfRule>
  </conditionalFormatting>
  <conditionalFormatting sqref="M2:N31">
    <cfRule type="expression" dxfId="143" priority="11">
      <formula>$N2="Absent"</formula>
    </cfRule>
    <cfRule type="expression" dxfId="142" priority="12">
      <formula>$N2="NA"</formula>
    </cfRule>
    <cfRule type="expression" dxfId="141" priority="13">
      <formula>AND(OR($I2="Addition",$I2="Omission"), M2="")</formula>
    </cfRule>
    <cfRule type="expression" dxfId="140" priority="14">
      <formula>AND($I2&lt;&gt;"Addition",$I2&lt;&gt;"Omission")</formula>
    </cfRule>
  </conditionalFormatting>
  <conditionalFormatting sqref="O2:O31">
    <cfRule type="expression" dxfId="139" priority="16">
      <formula>OR($I2="Addition",$I2="Omission",$I2 = "Substitution - Word")</formula>
    </cfRule>
  </conditionalFormatting>
  <conditionalFormatting sqref="Q2:S31">
    <cfRule type="expression" dxfId="138" priority="1">
      <formula>AND(AND(LEFT($I2,3)="Sub", RIGHT($I2,4)&lt;&gt;"Form"),$S2&lt;&gt;"")</formula>
    </cfRule>
    <cfRule type="expression" dxfId="137" priority="2">
      <formula>AND(AND(LEFT($I2,3)="Sub", RIGHT($I2,4)&lt;&gt;"Form"),$S2="")</formula>
    </cfRule>
    <cfRule type="expression" dxfId="136" priority="3">
      <formula>"&lt;&gt;AND(LEFT($J2,3)=""Sub"", RIGHT($J2,4)&lt;&gt;""Form"")"</formula>
    </cfRule>
  </conditionalFormatting>
  <conditionalFormatting sqref="T2:T31">
    <cfRule type="expression" dxfId="135" priority="7">
      <formula>AND($V2&lt;&gt;"",OR($AC2="Yes",$AD2&lt;&gt;""))</formula>
    </cfRule>
    <cfRule type="expression" dxfId="134" priority="8">
      <formula>OR($AC2="Yes",$AD2&lt;&gt;"")</formula>
    </cfRule>
    <cfRule type="expression" dxfId="133" priority="22">
      <formula>AND($AC2&lt;&gt;"Yes",$AD2="")</formula>
    </cfRule>
  </conditionalFormatting>
  <conditionalFormatting sqref="T2:AC31">
    <cfRule type="expression" dxfId="132" priority="20">
      <formula>AND($I2&lt;&gt;"",$I2&lt;&gt;"Unclear due to correction")</formula>
    </cfRule>
    <cfRule type="expression" dxfId="131" priority="21">
      <formula>OR($I2="",$I2="Unclear due to correction")</formula>
    </cfRule>
  </conditionalFormatting>
  <conditionalFormatting sqref="U2:U31">
    <cfRule type="expression" dxfId="130" priority="6">
      <formula>AND($I2&lt;&gt;"",$I2&lt;&gt;"Unclear due to correction",$W2="")</formula>
    </cfRule>
  </conditionalFormatting>
  <conditionalFormatting sqref="V2:V31">
    <cfRule type="expression" dxfId="129" priority="9">
      <formula>AND($W2="Yes",$X2="")</formula>
    </cfRule>
    <cfRule type="expression" dxfId="128" priority="10">
      <formula>$W2=""</formula>
    </cfRule>
  </conditionalFormatting>
  <conditionalFormatting sqref="AA2:AA31">
    <cfRule type="expression" dxfId="127" priority="23">
      <formula>AND(OR($AA2&lt;&gt;"",$AB2&lt;&gt;""),$AC2="")</formula>
    </cfRule>
  </conditionalFormatting>
  <dataValidations count="1">
    <dataValidation allowBlank="1" showInputMessage="1" sqref="U2:U31" xr:uid="{31101D25-0A3E-48C3-9C50-85CEE6C211DD}"/>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6F5C8BED-B3A9-411B-BE0E-0F4EA32A3DAB}">
          <x14:formula1>
            <xm:f>'Data Regularization'!$Q$2:$Q$4</xm:f>
          </x14:formula1>
          <xm:sqref>AD2:AD31 AF2:AF31</xm:sqref>
        </x14:dataValidation>
        <x14:dataValidation type="list" allowBlank="1" showInputMessage="1" showErrorMessage="1" xr:uid="{6F473403-5D32-4F8E-AD5A-E401EE21D4FA}">
          <x14:formula1>
            <xm:f>'Data Regularization'!$B$2:$B$1048576</xm:f>
          </x14:formula1>
          <xm:sqref>E2:E31</xm:sqref>
        </x14:dataValidation>
        <x14:dataValidation type="list" allowBlank="1" showInputMessage="1" showErrorMessage="1" xr:uid="{94BBC835-FD02-47E4-9A87-88B9BB8055B3}">
          <x14:formula1>
            <xm:f>'Data Regularization'!$A$2:$A$1048576</xm:f>
          </x14:formula1>
          <xm:sqref>D2:D31</xm:sqref>
        </x14:dataValidation>
        <x14:dataValidation type="list" allowBlank="1" showInputMessage="1" showErrorMessage="1" xr:uid="{39C1CDD8-C493-415A-B44B-F6556B18E11F}">
          <x14:formula1>
            <xm:f>'Data Regularization'!$C$2:$C$29</xm:f>
          </x14:formula1>
          <xm:sqref>F2:F31</xm:sqref>
        </x14:dataValidation>
        <x14:dataValidation type="list" allowBlank="1" showInputMessage="1" showErrorMessage="1" xr:uid="{50F251A5-2E54-4CAB-BC24-D5C1B4833079}">
          <x14:formula1>
            <xm:f>'Data Regularization'!$Q$2:$Q$1048576</xm:f>
          </x14:formula1>
          <xm:sqref>AC2:AC31</xm:sqref>
        </x14:dataValidation>
        <x14:dataValidation type="list" allowBlank="1" showInputMessage="1" showErrorMessage="1" xr:uid="{82C6ED36-3067-4AE1-9F85-E7267E23C1DB}">
          <x14:formula1>
            <xm:f>'Data Regularization'!$P$2:$P$1048576</xm:f>
          </x14:formula1>
          <xm:sqref>AB2:AB31</xm:sqref>
        </x14:dataValidation>
        <x14:dataValidation type="list" allowBlank="1" showInputMessage="1" showErrorMessage="1" xr:uid="{E25A2D63-3B80-4CD5-8163-F93987407460}">
          <x14:formula1>
            <xm:f>'Data Regularization'!$O$2:$O$1048576</xm:f>
          </x14:formula1>
          <xm:sqref>AA2:AA31</xm:sqref>
        </x14:dataValidation>
        <x14:dataValidation type="list" allowBlank="1" showInputMessage="1" showErrorMessage="1" xr:uid="{EB1EA456-5256-49F1-BB59-8817D065A90B}">
          <x14:formula1>
            <xm:f>'Data Regularization'!$N$2:$N$1048576</xm:f>
          </x14:formula1>
          <xm:sqref>Y2:Y31</xm:sqref>
        </x14:dataValidation>
        <x14:dataValidation type="list" allowBlank="1" showInputMessage="1" showErrorMessage="1" xr:uid="{E15E5B01-AE41-461D-B5BE-FD93DAB80EE9}">
          <x14:formula1>
            <xm:f>'Data Regularization'!$M$2:$M$1048576</xm:f>
          </x14:formula1>
          <xm:sqref>X2:X31</xm:sqref>
        </x14:dataValidation>
        <x14:dataValidation type="list" allowBlank="1" showInputMessage="1" showErrorMessage="1" xr:uid="{D9847B75-F7A4-4EAC-B269-CD4E45ECC3B0}">
          <x14:formula1>
            <xm:f>'Data Regularization'!$L$2:$L$1048576</xm:f>
          </x14:formula1>
          <xm:sqref>W2:W31</xm:sqref>
        </x14:dataValidation>
        <x14:dataValidation type="list" allowBlank="1" showInputMessage="1" showErrorMessage="1" xr:uid="{8011CF1D-A52D-42F2-BAE3-811A95C3921C}">
          <x14:formula1>
            <xm:f>'Data Regularization'!$K$2:$K$1048576</xm:f>
          </x14:formula1>
          <xm:sqref>T2:T31 V2:V31</xm:sqref>
        </x14:dataValidation>
        <x14:dataValidation type="list" allowBlank="1" showInputMessage="1" showErrorMessage="1" xr:uid="{DA9ADFCD-02D5-488B-852C-415EB10037B9}">
          <x14:formula1>
            <xm:f>'Data Regularization'!$G$2:$G$1048576</xm:f>
          </x14:formula1>
          <xm:sqref>O2:O31</xm:sqref>
        </x14:dataValidation>
        <x14:dataValidation type="list" allowBlank="1" showInputMessage="1" showErrorMessage="1" xr:uid="{BAC84C94-5721-4644-B41E-5B3B754874DD}">
          <x14:formula1>
            <xm:f>'Data Regularization'!$F$2:$F$1048576</xm:f>
          </x14:formula1>
          <xm:sqref>L2:L31</xm:sqref>
        </x14:dataValidation>
        <x14:dataValidation type="list" allowBlank="1" showInputMessage="1" showErrorMessage="1" xr:uid="{3086E56B-D718-4FFB-AC36-A5DAEE6C7E4D}">
          <x14:formula1>
            <xm:f>'Data Regularization'!$E$2:$E$1048576</xm:f>
          </x14:formula1>
          <xm:sqref>K2:K31</xm:sqref>
        </x14:dataValidation>
        <x14:dataValidation type="list" allowBlank="1" showInputMessage="1" showErrorMessage="1" xr:uid="{4F3F24BF-E2CB-4D43-AF64-639C7B908017}">
          <x14:formula1>
            <xm:f>'Data Regularization'!$D$2:$D$1048576</xm:f>
          </x14:formula1>
          <xm:sqref>G2:G31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7D08-A9C2-40A7-98E5-8451F1657D60}">
  <dimension ref="A1:AH73"/>
  <sheetViews>
    <sheetView workbookViewId="0">
      <pane xSplit="3" ySplit="1" topLeftCell="D21" activePane="bottomRight" state="frozen"/>
      <selection pane="topRight" activeCell="D1" sqref="D1"/>
      <selection pane="bottomLeft" activeCell="A2" sqref="A2"/>
      <selection pane="bottomRight" activeCell="A21" sqref="A21"/>
    </sheetView>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38</v>
      </c>
      <c r="B2" s="3" t="s">
        <v>160</v>
      </c>
      <c r="C2" s="3" t="s">
        <v>159</v>
      </c>
      <c r="G2" s="7" t="s">
        <v>25</v>
      </c>
      <c r="H2" s="7"/>
      <c r="I2" s="7">
        <v>1</v>
      </c>
      <c r="J2" s="7">
        <v>3</v>
      </c>
      <c r="K2" s="7" t="s">
        <v>331</v>
      </c>
      <c r="L2" s="7" t="s">
        <v>326</v>
      </c>
      <c r="M2" s="7" t="s">
        <v>389</v>
      </c>
      <c r="N2" s="8" t="s">
        <v>388</v>
      </c>
      <c r="O2" s="7"/>
      <c r="P2" s="7">
        <v>2475</v>
      </c>
      <c r="Q2" s="7">
        <v>1216.9338184678927</v>
      </c>
      <c r="R2" s="7"/>
      <c r="S2" s="7" t="s">
        <v>452</v>
      </c>
      <c r="T2" s="7" t="s">
        <v>452</v>
      </c>
      <c r="U2" s="7"/>
      <c r="V2" s="7"/>
      <c r="W2" s="7"/>
      <c r="X2" s="7"/>
      <c r="Y2" s="7"/>
      <c r="Z2" s="7"/>
      <c r="AA2" s="7"/>
      <c r="AB2" s="7"/>
      <c r="AC2" s="7"/>
      <c r="AD2" s="7"/>
      <c r="AE2" t="s">
        <v>19</v>
      </c>
      <c r="AF2" t="s">
        <v>20</v>
      </c>
      <c r="AH2">
        <v>1</v>
      </c>
    </row>
    <row r="3" spans="1:34" ht="29">
      <c r="A3" t="s">
        <v>39</v>
      </c>
      <c r="B3" s="3" t="s">
        <v>162</v>
      </c>
      <c r="C3" s="3" t="s">
        <v>161</v>
      </c>
      <c r="G3" s="7" t="s">
        <v>25</v>
      </c>
      <c r="H3" s="7"/>
      <c r="I3" s="7">
        <v>1</v>
      </c>
      <c r="J3" s="7">
        <v>2</v>
      </c>
      <c r="K3" s="7" t="s">
        <v>331</v>
      </c>
      <c r="L3" s="7" t="s">
        <v>373</v>
      </c>
      <c r="M3" s="7"/>
      <c r="N3" s="8"/>
      <c r="O3" s="7"/>
      <c r="P3" s="7">
        <v>2475</v>
      </c>
      <c r="Q3" s="7">
        <v>1216.9338184678927</v>
      </c>
      <c r="R3" s="7"/>
      <c r="S3" s="7" t="s">
        <v>452</v>
      </c>
      <c r="T3" s="7" t="s">
        <v>452</v>
      </c>
      <c r="U3" s="7"/>
      <c r="V3" s="7"/>
      <c r="W3" s="7"/>
      <c r="X3" s="7"/>
      <c r="Y3" s="7"/>
      <c r="Z3" s="7"/>
      <c r="AA3" s="7"/>
      <c r="AB3" s="7"/>
      <c r="AC3" s="7"/>
      <c r="AD3" s="7"/>
      <c r="AE3" t="s">
        <v>19</v>
      </c>
      <c r="AF3" t="s">
        <v>20</v>
      </c>
      <c r="AH3">
        <v>1</v>
      </c>
    </row>
    <row r="4" spans="1:34" ht="43.5">
      <c r="A4" t="s">
        <v>44</v>
      </c>
      <c r="B4" s="3" t="s">
        <v>168</v>
      </c>
      <c r="C4" s="3" t="s">
        <v>167</v>
      </c>
      <c r="G4" s="7" t="s">
        <v>24</v>
      </c>
      <c r="H4" s="7"/>
      <c r="I4" s="7">
        <v>1</v>
      </c>
      <c r="J4" s="7">
        <v>1</v>
      </c>
      <c r="K4" s="7" t="s">
        <v>331</v>
      </c>
      <c r="L4" s="7" t="s">
        <v>373</v>
      </c>
      <c r="M4" s="7"/>
      <c r="N4" s="8"/>
      <c r="O4" s="7"/>
      <c r="P4" s="7">
        <v>2475</v>
      </c>
      <c r="Q4" s="7">
        <v>1216.9338184678927</v>
      </c>
      <c r="R4" s="7"/>
      <c r="S4" s="7" t="s">
        <v>452</v>
      </c>
      <c r="T4" s="7" t="s">
        <v>452</v>
      </c>
      <c r="U4" s="7"/>
      <c r="V4" s="7"/>
      <c r="W4" s="7"/>
      <c r="X4" s="7"/>
      <c r="Y4" s="7"/>
      <c r="Z4" s="7"/>
      <c r="AA4" s="7"/>
      <c r="AB4" s="7"/>
      <c r="AC4" s="7"/>
      <c r="AD4" s="7"/>
      <c r="AE4" t="s">
        <v>19</v>
      </c>
      <c r="AF4" t="s">
        <v>20</v>
      </c>
      <c r="AH4">
        <v>1</v>
      </c>
    </row>
    <row r="5" spans="1:34" ht="58">
      <c r="A5" t="s">
        <v>52</v>
      </c>
      <c r="B5" s="3" t="s">
        <v>176</v>
      </c>
      <c r="C5" s="3" t="s">
        <v>175</v>
      </c>
      <c r="G5" s="7" t="s">
        <v>25</v>
      </c>
      <c r="H5" s="7"/>
      <c r="I5" s="7">
        <v>1</v>
      </c>
      <c r="J5" s="7">
        <v>3</v>
      </c>
      <c r="K5" s="7" t="s">
        <v>331</v>
      </c>
      <c r="L5" s="7" t="s">
        <v>326</v>
      </c>
      <c r="M5" s="7" t="s">
        <v>387</v>
      </c>
      <c r="N5" s="8" t="s">
        <v>388</v>
      </c>
      <c r="O5" s="7"/>
      <c r="P5" s="7">
        <v>2475</v>
      </c>
      <c r="Q5" s="7">
        <v>1216.9338184678927</v>
      </c>
      <c r="R5" s="7"/>
      <c r="S5" s="7" t="s">
        <v>452</v>
      </c>
      <c r="T5" s="7" t="s">
        <v>452</v>
      </c>
      <c r="U5" s="7"/>
      <c r="V5" s="7"/>
      <c r="W5" s="7"/>
      <c r="X5" s="7"/>
      <c r="Y5" s="7"/>
      <c r="Z5" s="7"/>
      <c r="AA5" s="7"/>
      <c r="AB5" s="7"/>
      <c r="AC5" s="7"/>
      <c r="AD5" s="7"/>
      <c r="AE5" t="s">
        <v>19</v>
      </c>
      <c r="AF5" t="s">
        <v>20</v>
      </c>
      <c r="AH5">
        <v>1</v>
      </c>
    </row>
    <row r="6" spans="1:34" ht="43.5">
      <c r="A6" t="s">
        <v>55</v>
      </c>
      <c r="B6" s="3" t="s">
        <v>177</v>
      </c>
      <c r="C6" s="3" t="s">
        <v>178</v>
      </c>
      <c r="F6" t="s">
        <v>19</v>
      </c>
      <c r="G6" s="7" t="s">
        <v>24</v>
      </c>
      <c r="H6" s="7"/>
      <c r="I6" s="7">
        <v>1</v>
      </c>
      <c r="J6" s="7">
        <v>9</v>
      </c>
      <c r="K6" s="7" t="s">
        <v>325</v>
      </c>
      <c r="L6" s="7" t="s">
        <v>326</v>
      </c>
      <c r="M6" s="7" t="s">
        <v>416</v>
      </c>
      <c r="N6" s="8" t="s">
        <v>417</v>
      </c>
      <c r="O6" s="7"/>
      <c r="P6" s="7">
        <v>4</v>
      </c>
      <c r="Q6" s="7">
        <v>1.9667617268167963</v>
      </c>
      <c r="R6" s="7"/>
      <c r="S6" s="7" t="s">
        <v>452</v>
      </c>
      <c r="T6" s="7" t="s">
        <v>452</v>
      </c>
      <c r="U6" s="7"/>
      <c r="V6" s="7"/>
      <c r="W6" s="7"/>
      <c r="X6" s="7"/>
      <c r="Y6" s="7"/>
      <c r="Z6" s="7"/>
      <c r="AA6" s="7"/>
      <c r="AB6" s="7"/>
      <c r="AC6" s="7"/>
      <c r="AD6" s="7"/>
      <c r="AE6" t="s">
        <v>20</v>
      </c>
      <c r="AF6" t="s">
        <v>20</v>
      </c>
      <c r="AH6">
        <v>0</v>
      </c>
    </row>
    <row r="7" spans="1:34" ht="58">
      <c r="A7" t="s">
        <v>61</v>
      </c>
      <c r="B7" s="3" t="s">
        <v>179</v>
      </c>
      <c r="C7" s="3" t="s">
        <v>181</v>
      </c>
      <c r="G7" s="7" t="s">
        <v>24</v>
      </c>
      <c r="H7" s="7"/>
      <c r="I7" s="7">
        <v>1</v>
      </c>
      <c r="J7" s="7">
        <v>3</v>
      </c>
      <c r="K7" s="7" t="s">
        <v>331</v>
      </c>
      <c r="L7" s="7" t="s">
        <v>332</v>
      </c>
      <c r="M7" s="7"/>
      <c r="N7" s="8"/>
      <c r="O7" s="7"/>
      <c r="P7" s="7">
        <v>2475</v>
      </c>
      <c r="Q7" s="7">
        <v>1216.9338184678927</v>
      </c>
      <c r="R7" s="7"/>
      <c r="S7" s="7" t="s">
        <v>452</v>
      </c>
      <c r="T7" s="7" t="s">
        <v>452</v>
      </c>
      <c r="U7" s="7"/>
      <c r="V7" s="7"/>
      <c r="W7" s="7"/>
      <c r="X7" s="7"/>
      <c r="Y7" s="7"/>
      <c r="Z7" s="7"/>
      <c r="AA7" s="7"/>
      <c r="AB7" s="7"/>
      <c r="AC7" s="7"/>
      <c r="AD7" s="7"/>
      <c r="AE7" t="s">
        <v>19</v>
      </c>
      <c r="AF7" t="s">
        <v>20</v>
      </c>
      <c r="AH7">
        <v>1</v>
      </c>
    </row>
    <row r="8" spans="1:34" ht="43.5">
      <c r="A8" t="s">
        <v>78</v>
      </c>
      <c r="B8" s="3" t="s">
        <v>195</v>
      </c>
      <c r="C8" s="3" t="s">
        <v>194</v>
      </c>
      <c r="G8" s="7" t="s">
        <v>24</v>
      </c>
      <c r="H8" s="7"/>
      <c r="I8" s="7">
        <v>1</v>
      </c>
      <c r="J8" s="7">
        <v>3</v>
      </c>
      <c r="K8" s="7" t="s">
        <v>341</v>
      </c>
      <c r="L8" s="7" t="s">
        <v>332</v>
      </c>
      <c r="M8" s="7"/>
      <c r="N8" s="8"/>
      <c r="O8" s="7"/>
      <c r="P8" s="7">
        <v>1701</v>
      </c>
      <c r="Q8" s="7">
        <v>836.36542432884255</v>
      </c>
      <c r="R8" s="7"/>
      <c r="S8" s="7" t="s">
        <v>452</v>
      </c>
      <c r="T8" s="7" t="s">
        <v>452</v>
      </c>
      <c r="U8" s="7"/>
      <c r="V8" s="7"/>
      <c r="W8" s="7"/>
      <c r="X8" s="7"/>
      <c r="Y8" s="7"/>
      <c r="Z8" s="7"/>
      <c r="AA8" s="7"/>
      <c r="AB8" s="7"/>
      <c r="AC8" s="7"/>
      <c r="AD8" s="7"/>
      <c r="AE8" t="s">
        <v>19</v>
      </c>
      <c r="AF8" t="s">
        <v>20</v>
      </c>
      <c r="AH8">
        <v>1</v>
      </c>
    </row>
    <row r="9" spans="1:34" ht="174">
      <c r="A9" t="s">
        <v>81</v>
      </c>
      <c r="B9" s="3" t="s">
        <v>396</v>
      </c>
      <c r="C9" s="3" t="s">
        <v>196</v>
      </c>
      <c r="F9" t="s">
        <v>19</v>
      </c>
      <c r="G9" s="7" t="s">
        <v>25</v>
      </c>
      <c r="H9" s="7"/>
      <c r="I9" s="7">
        <v>8</v>
      </c>
      <c r="J9" s="7">
        <v>46</v>
      </c>
      <c r="K9" s="7"/>
      <c r="L9" s="7" t="s">
        <v>326</v>
      </c>
      <c r="M9" s="7" t="s">
        <v>395</v>
      </c>
      <c r="N9" s="8" t="s">
        <v>397</v>
      </c>
      <c r="O9" s="7"/>
      <c r="P9" s="7">
        <v>1</v>
      </c>
      <c r="Q9" s="7">
        <v>0.49169043170419907</v>
      </c>
      <c r="R9" s="7"/>
      <c r="S9" s="7" t="s">
        <v>452</v>
      </c>
      <c r="T9" s="7" t="s">
        <v>452</v>
      </c>
      <c r="U9" s="7"/>
      <c r="V9" s="7"/>
      <c r="W9" s="7"/>
      <c r="X9" s="7"/>
      <c r="Y9" s="7"/>
      <c r="Z9" s="7"/>
      <c r="AA9" s="7"/>
      <c r="AB9" s="7"/>
      <c r="AC9" s="7"/>
      <c r="AD9" s="7"/>
      <c r="AE9" t="s">
        <v>20</v>
      </c>
      <c r="AF9" t="s">
        <v>20</v>
      </c>
      <c r="AH9">
        <v>0</v>
      </c>
    </row>
    <row r="10" spans="1:34" ht="43.5">
      <c r="A10" t="s">
        <v>82</v>
      </c>
      <c r="B10" s="3" t="s">
        <v>200</v>
      </c>
      <c r="C10" s="3" t="s">
        <v>199</v>
      </c>
      <c r="G10" s="7" t="s">
        <v>24</v>
      </c>
      <c r="H10" s="7"/>
      <c r="I10" s="7">
        <v>1</v>
      </c>
      <c r="J10" s="7">
        <v>2</v>
      </c>
      <c r="K10" s="7" t="s">
        <v>331</v>
      </c>
      <c r="L10" s="7" t="s">
        <v>373</v>
      </c>
      <c r="M10" s="7"/>
      <c r="N10" s="8"/>
      <c r="O10" s="7"/>
      <c r="P10" s="7">
        <v>2475</v>
      </c>
      <c r="Q10" s="7">
        <v>1216.9338184678927</v>
      </c>
      <c r="R10" s="7"/>
      <c r="S10" s="7" t="s">
        <v>452</v>
      </c>
      <c r="T10" s="7" t="s">
        <v>452</v>
      </c>
      <c r="U10" s="7"/>
      <c r="V10" s="7"/>
      <c r="W10" s="7"/>
      <c r="X10" s="7"/>
      <c r="Y10" s="7"/>
      <c r="Z10" s="7"/>
      <c r="AA10" s="7"/>
      <c r="AB10" s="7"/>
      <c r="AC10" s="7"/>
      <c r="AD10" s="7"/>
      <c r="AE10" t="s">
        <v>19</v>
      </c>
      <c r="AF10" t="s">
        <v>20</v>
      </c>
      <c r="AH10">
        <v>1</v>
      </c>
    </row>
    <row r="11" spans="1:34" ht="29">
      <c r="A11" t="s">
        <v>82</v>
      </c>
      <c r="B11" s="3" t="s">
        <v>201</v>
      </c>
      <c r="C11" s="3" t="s">
        <v>202</v>
      </c>
      <c r="G11" s="7" t="s">
        <v>25</v>
      </c>
      <c r="H11" s="7"/>
      <c r="I11" s="7">
        <v>1</v>
      </c>
      <c r="J11" s="7">
        <v>2</v>
      </c>
      <c r="K11" s="7" t="s">
        <v>331</v>
      </c>
      <c r="L11" s="7" t="s">
        <v>373</v>
      </c>
      <c r="M11" s="7"/>
      <c r="N11" s="8"/>
      <c r="O11" s="7" t="s">
        <v>327</v>
      </c>
      <c r="P11" s="7">
        <v>2475</v>
      </c>
      <c r="Q11" s="7">
        <v>1216.9338184678927</v>
      </c>
      <c r="R11" s="7"/>
      <c r="S11" s="7" t="s">
        <v>452</v>
      </c>
      <c r="T11" s="7" t="s">
        <v>452</v>
      </c>
      <c r="U11" s="7"/>
      <c r="V11" s="7"/>
      <c r="W11" s="7"/>
      <c r="X11" s="7"/>
      <c r="Y11" s="7"/>
      <c r="Z11" s="7"/>
      <c r="AA11" s="7"/>
      <c r="AB11" s="7"/>
      <c r="AC11" s="7"/>
      <c r="AD11" s="7"/>
      <c r="AE11" t="s">
        <v>19</v>
      </c>
      <c r="AF11" t="s">
        <v>20</v>
      </c>
      <c r="AH11">
        <v>1</v>
      </c>
    </row>
    <row r="12" spans="1:34" ht="29">
      <c r="A12" t="s">
        <v>85</v>
      </c>
      <c r="B12" s="3" t="s">
        <v>206</v>
      </c>
      <c r="C12" s="3" t="s">
        <v>205</v>
      </c>
      <c r="G12" s="7" t="s">
        <v>25</v>
      </c>
      <c r="H12" s="7"/>
      <c r="I12" s="7">
        <v>1</v>
      </c>
      <c r="J12" s="7">
        <v>2</v>
      </c>
      <c r="K12" s="7" t="s">
        <v>341</v>
      </c>
      <c r="L12" s="7" t="s">
        <v>373</v>
      </c>
      <c r="M12" s="7"/>
      <c r="N12" s="8"/>
      <c r="O12" s="7"/>
      <c r="P12" s="7">
        <v>171</v>
      </c>
      <c r="Q12" s="7">
        <v>84.079063821418046</v>
      </c>
      <c r="R12" s="7"/>
      <c r="S12" s="7" t="s">
        <v>452</v>
      </c>
      <c r="T12" s="7" t="s">
        <v>452</v>
      </c>
      <c r="U12" s="7"/>
      <c r="V12" s="7"/>
      <c r="W12" s="7"/>
      <c r="X12" s="7"/>
      <c r="Y12" s="7"/>
      <c r="Z12" s="7"/>
      <c r="AA12" s="7"/>
      <c r="AB12" s="7"/>
      <c r="AC12" s="7"/>
      <c r="AD12" s="7"/>
      <c r="AE12" t="s">
        <v>19</v>
      </c>
      <c r="AF12" t="s">
        <v>20</v>
      </c>
      <c r="AH12">
        <v>1</v>
      </c>
    </row>
    <row r="13" spans="1:34" ht="72.5">
      <c r="A13" t="s">
        <v>89</v>
      </c>
      <c r="B13" s="3" t="s">
        <v>207</v>
      </c>
      <c r="C13" s="3" t="s">
        <v>208</v>
      </c>
      <c r="G13" s="7" t="s">
        <v>24</v>
      </c>
      <c r="H13" s="7"/>
      <c r="I13" s="7">
        <v>1</v>
      </c>
      <c r="J13" s="7">
        <v>3</v>
      </c>
      <c r="K13" s="7" t="s">
        <v>331</v>
      </c>
      <c r="L13" s="7" t="s">
        <v>332</v>
      </c>
      <c r="M13" s="7"/>
      <c r="N13" s="8"/>
      <c r="O13" s="7"/>
      <c r="P13" s="7">
        <v>2475</v>
      </c>
      <c r="Q13" s="7">
        <v>1216.9338184678927</v>
      </c>
      <c r="R13" s="7"/>
      <c r="S13" s="7" t="s">
        <v>452</v>
      </c>
      <c r="T13" s="7" t="s">
        <v>452</v>
      </c>
      <c r="U13" s="7"/>
      <c r="V13" s="7"/>
      <c r="W13" s="7"/>
      <c r="X13" s="7"/>
      <c r="Y13" s="7"/>
      <c r="Z13" s="7"/>
      <c r="AA13" s="7"/>
      <c r="AB13" s="7"/>
      <c r="AC13" s="7"/>
      <c r="AD13" s="7"/>
      <c r="AE13" t="s">
        <v>19</v>
      </c>
      <c r="AF13" t="s">
        <v>20</v>
      </c>
      <c r="AH13">
        <v>1</v>
      </c>
    </row>
    <row r="14" spans="1:34" ht="290">
      <c r="A14" t="s">
        <v>99</v>
      </c>
      <c r="B14" s="3" t="s">
        <v>230</v>
      </c>
      <c r="C14" s="3" t="s">
        <v>231</v>
      </c>
      <c r="F14" t="s">
        <v>19</v>
      </c>
      <c r="G14" s="7" t="s">
        <v>25</v>
      </c>
      <c r="H14" s="7"/>
      <c r="I14" s="7">
        <v>15</v>
      </c>
      <c r="J14" s="7">
        <v>67</v>
      </c>
      <c r="K14" s="7"/>
      <c r="L14" s="7" t="s">
        <v>326</v>
      </c>
      <c r="M14" s="7" t="s">
        <v>391</v>
      </c>
      <c r="N14" s="8" t="s">
        <v>394</v>
      </c>
      <c r="O14" s="7"/>
      <c r="P14" s="7">
        <v>2</v>
      </c>
      <c r="Q14" s="7">
        <v>0.98338086340839814</v>
      </c>
      <c r="R14" s="7"/>
      <c r="S14" s="7" t="s">
        <v>452</v>
      </c>
      <c r="T14" s="7" t="s">
        <v>452</v>
      </c>
      <c r="U14" s="7"/>
      <c r="V14" s="7"/>
      <c r="W14" s="7"/>
      <c r="X14" s="7"/>
      <c r="Y14" s="7"/>
      <c r="Z14" s="7"/>
      <c r="AA14" s="7"/>
      <c r="AB14" s="7"/>
      <c r="AC14" s="7"/>
      <c r="AD14" s="7"/>
      <c r="AE14" t="s">
        <v>20</v>
      </c>
      <c r="AF14" t="s">
        <v>20</v>
      </c>
      <c r="AH14">
        <v>0</v>
      </c>
    </row>
    <row r="15" spans="1:34" ht="29">
      <c r="A15" t="s">
        <v>103</v>
      </c>
      <c r="B15" s="3" t="s">
        <v>237</v>
      </c>
      <c r="C15" s="3" t="s">
        <v>238</v>
      </c>
      <c r="G15" s="7" t="s">
        <v>25</v>
      </c>
      <c r="H15" s="7"/>
      <c r="I15" s="7">
        <v>1</v>
      </c>
      <c r="J15" s="7">
        <v>1</v>
      </c>
      <c r="K15" s="7" t="s">
        <v>331</v>
      </c>
      <c r="L15" s="7" t="s">
        <v>373</v>
      </c>
      <c r="M15" s="7"/>
      <c r="N15" s="8"/>
      <c r="O15" s="7"/>
      <c r="P15" s="7">
        <v>2475</v>
      </c>
      <c r="Q15" s="7">
        <v>1216.9338184678927</v>
      </c>
      <c r="R15" s="7"/>
      <c r="S15" s="7" t="s">
        <v>452</v>
      </c>
      <c r="T15" s="7" t="s">
        <v>452</v>
      </c>
      <c r="U15" s="7"/>
      <c r="V15" s="7"/>
      <c r="W15" s="7"/>
      <c r="X15" s="7"/>
      <c r="Y15" s="7"/>
      <c r="Z15" s="7"/>
      <c r="AA15" s="7"/>
      <c r="AB15" s="7"/>
      <c r="AC15" s="7"/>
      <c r="AD15" s="7"/>
      <c r="AE15" t="s">
        <v>19</v>
      </c>
      <c r="AF15" t="s">
        <v>20</v>
      </c>
      <c r="AH15">
        <v>1</v>
      </c>
    </row>
    <row r="16" spans="1:34" ht="58">
      <c r="A16" t="s">
        <v>109</v>
      </c>
      <c r="B16" s="3" t="s">
        <v>242</v>
      </c>
      <c r="C16" s="3" t="s">
        <v>241</v>
      </c>
      <c r="G16" s="7" t="s">
        <v>25</v>
      </c>
      <c r="H16" s="7"/>
      <c r="I16" s="7">
        <v>1</v>
      </c>
      <c r="J16" s="7">
        <v>3</v>
      </c>
      <c r="K16" s="7" t="s">
        <v>350</v>
      </c>
      <c r="L16" s="7" t="s">
        <v>332</v>
      </c>
      <c r="M16" s="7"/>
      <c r="N16" s="8"/>
      <c r="O16" s="7"/>
      <c r="P16" s="7">
        <v>210</v>
      </c>
      <c r="Q16" s="7">
        <v>103.25499065788181</v>
      </c>
      <c r="R16" s="7"/>
      <c r="S16" s="7" t="s">
        <v>452</v>
      </c>
      <c r="T16" s="7" t="s">
        <v>452</v>
      </c>
      <c r="U16" s="7"/>
      <c r="V16" s="7"/>
      <c r="W16" s="7"/>
      <c r="X16" s="7"/>
      <c r="Y16" s="7"/>
      <c r="Z16" s="7"/>
      <c r="AA16" s="7"/>
      <c r="AB16" s="7"/>
      <c r="AC16" s="7"/>
      <c r="AD16" s="7"/>
      <c r="AE16" t="s">
        <v>19</v>
      </c>
      <c r="AF16" t="s">
        <v>20</v>
      </c>
      <c r="AH16">
        <v>1</v>
      </c>
    </row>
    <row r="17" spans="1:34" ht="159.5">
      <c r="A17" t="s">
        <v>125</v>
      </c>
      <c r="B17" s="3" t="s">
        <v>261</v>
      </c>
      <c r="C17" s="3" t="s">
        <v>260</v>
      </c>
      <c r="G17" s="7" t="s">
        <v>25</v>
      </c>
      <c r="H17" s="7"/>
      <c r="I17" s="7">
        <v>7</v>
      </c>
      <c r="J17" s="7">
        <v>32</v>
      </c>
      <c r="K17" s="7"/>
      <c r="L17" s="7" t="s">
        <v>326</v>
      </c>
      <c r="M17" s="7" t="s">
        <v>395</v>
      </c>
      <c r="N17" s="8" t="s">
        <v>402</v>
      </c>
      <c r="O17" s="7"/>
      <c r="P17" s="7"/>
      <c r="Q17" s="7" t="s">
        <v>452</v>
      </c>
      <c r="R17" s="7"/>
      <c r="S17" s="7" t="s">
        <v>452</v>
      </c>
      <c r="T17" s="7" t="s">
        <v>452</v>
      </c>
      <c r="U17" s="7"/>
      <c r="V17" s="7"/>
      <c r="W17" s="7"/>
      <c r="X17" s="7"/>
      <c r="Y17" s="7"/>
      <c r="Z17" s="7"/>
      <c r="AA17" s="7"/>
      <c r="AB17" s="7"/>
      <c r="AC17" s="7"/>
      <c r="AD17" s="7"/>
      <c r="AE17" t="s">
        <v>20</v>
      </c>
      <c r="AF17" t="s">
        <v>20</v>
      </c>
      <c r="AH17">
        <v>0</v>
      </c>
    </row>
    <row r="18" spans="1:34" ht="101.5">
      <c r="A18" t="s">
        <v>129</v>
      </c>
      <c r="B18" s="3" t="s">
        <v>273</v>
      </c>
      <c r="C18" s="3" t="s">
        <v>270</v>
      </c>
      <c r="G18" s="7" t="s">
        <v>25</v>
      </c>
      <c r="H18" s="7"/>
      <c r="I18" s="7">
        <v>1</v>
      </c>
      <c r="J18" s="7">
        <v>9</v>
      </c>
      <c r="K18" s="7" t="s">
        <v>383</v>
      </c>
      <c r="L18" s="7" t="s">
        <v>332</v>
      </c>
      <c r="M18" s="7"/>
      <c r="N18" s="8"/>
      <c r="O18" s="7"/>
      <c r="P18" s="7">
        <v>18</v>
      </c>
      <c r="Q18" s="7">
        <v>8.8504277706755818</v>
      </c>
      <c r="R18" s="7"/>
      <c r="S18" s="7" t="s">
        <v>452</v>
      </c>
      <c r="T18" s="7" t="s">
        <v>452</v>
      </c>
      <c r="U18" s="7"/>
      <c r="V18" s="7"/>
      <c r="W18" s="7"/>
      <c r="X18" s="7"/>
      <c r="Y18" s="7"/>
      <c r="Z18" s="7"/>
      <c r="AA18" s="7"/>
      <c r="AB18" s="7"/>
      <c r="AC18" s="7"/>
      <c r="AD18" s="7"/>
      <c r="AE18" t="s">
        <v>19</v>
      </c>
      <c r="AF18" t="s">
        <v>20</v>
      </c>
      <c r="AH18">
        <v>1</v>
      </c>
    </row>
    <row r="19" spans="1:34" ht="29">
      <c r="A19" t="s">
        <v>138</v>
      </c>
      <c r="B19" s="3" t="s">
        <v>282</v>
      </c>
      <c r="C19" s="3" t="s">
        <v>281</v>
      </c>
      <c r="G19" s="7" t="s">
        <v>25</v>
      </c>
      <c r="H19" s="7"/>
      <c r="I19" s="7">
        <v>1</v>
      </c>
      <c r="J19" s="7">
        <v>2</v>
      </c>
      <c r="K19" s="7" t="s">
        <v>341</v>
      </c>
      <c r="L19" s="7" t="s">
        <v>373</v>
      </c>
      <c r="M19" s="7"/>
      <c r="N19" s="8"/>
      <c r="O19" s="7"/>
      <c r="P19" s="7">
        <v>171</v>
      </c>
      <c r="Q19" s="7">
        <v>84.079063821418046</v>
      </c>
      <c r="R19" s="7"/>
      <c r="S19" s="7" t="s">
        <v>452</v>
      </c>
      <c r="T19" s="7" t="s">
        <v>452</v>
      </c>
      <c r="U19" s="7"/>
      <c r="V19" s="7"/>
      <c r="W19" s="7"/>
      <c r="X19" s="7"/>
      <c r="Y19" s="7"/>
      <c r="Z19" s="7"/>
      <c r="AA19" s="7"/>
      <c r="AB19" s="7"/>
      <c r="AC19" s="7"/>
      <c r="AD19" s="7"/>
      <c r="AE19" t="s">
        <v>19</v>
      </c>
      <c r="AF19" t="s">
        <v>20</v>
      </c>
      <c r="AH19">
        <v>1</v>
      </c>
    </row>
    <row r="20" spans="1:34" ht="29">
      <c r="A20" t="s">
        <v>142</v>
      </c>
      <c r="B20" s="3" t="s">
        <v>294</v>
      </c>
      <c r="C20" s="3" t="s">
        <v>295</v>
      </c>
      <c r="G20" s="7" t="s">
        <v>25</v>
      </c>
      <c r="H20" s="7"/>
      <c r="I20" s="7">
        <v>1</v>
      </c>
      <c r="J20" s="7">
        <v>2</v>
      </c>
      <c r="K20" s="7" t="s">
        <v>377</v>
      </c>
      <c r="L20" s="7" t="s">
        <v>373</v>
      </c>
      <c r="M20" s="7"/>
      <c r="N20" s="8"/>
      <c r="O20" s="7"/>
      <c r="P20" s="7">
        <v>10</v>
      </c>
      <c r="Q20" s="7">
        <v>4.9169043170419897</v>
      </c>
      <c r="R20" s="7"/>
      <c r="S20" s="7" t="s">
        <v>452</v>
      </c>
      <c r="T20" s="7" t="s">
        <v>452</v>
      </c>
      <c r="U20" s="7"/>
      <c r="V20" s="7"/>
      <c r="W20" s="7"/>
      <c r="X20" s="7"/>
      <c r="Y20" s="7"/>
      <c r="Z20" s="7"/>
      <c r="AA20" s="7"/>
      <c r="AB20" s="7"/>
      <c r="AC20" s="7"/>
      <c r="AD20" s="7"/>
      <c r="AE20" t="s">
        <v>19</v>
      </c>
      <c r="AF20" t="s">
        <v>20</v>
      </c>
      <c r="AH20">
        <v>1</v>
      </c>
    </row>
    <row r="21" spans="1:34" ht="72.5">
      <c r="A21" t="s">
        <v>152</v>
      </c>
      <c r="B21" s="3" t="s">
        <v>308</v>
      </c>
      <c r="C21" s="3" t="s">
        <v>309</v>
      </c>
      <c r="F21" t="s">
        <v>19</v>
      </c>
      <c r="G21" s="7" t="s">
        <v>24</v>
      </c>
      <c r="H21" s="7"/>
      <c r="I21" s="7">
        <v>3</v>
      </c>
      <c r="J21" s="7">
        <v>16</v>
      </c>
      <c r="K21" s="7"/>
      <c r="L21" s="7" t="s">
        <v>332</v>
      </c>
      <c r="M21" s="7"/>
      <c r="N21" s="8"/>
      <c r="O21" s="7" t="s">
        <v>333</v>
      </c>
      <c r="P21" s="7">
        <v>9</v>
      </c>
      <c r="Q21" s="7">
        <v>4.4252138853377909</v>
      </c>
      <c r="R21" s="7"/>
      <c r="S21" s="7" t="s">
        <v>452</v>
      </c>
      <c r="T21" s="7" t="s">
        <v>452</v>
      </c>
      <c r="U21" s="7"/>
      <c r="V21" s="7"/>
      <c r="W21" s="7"/>
      <c r="X21" s="7"/>
      <c r="Y21" s="7"/>
      <c r="Z21" s="7"/>
      <c r="AA21" s="7"/>
      <c r="AB21" s="7"/>
      <c r="AC21" s="7"/>
      <c r="AD21" s="7"/>
      <c r="AE21" t="s">
        <v>20</v>
      </c>
      <c r="AF21" t="s">
        <v>20</v>
      </c>
      <c r="AH21">
        <v>0</v>
      </c>
    </row>
    <row r="24" spans="1:34">
      <c r="E24" t="s">
        <v>421</v>
      </c>
      <c r="F24">
        <f>COUNTIF(G:G,"Addition")</f>
        <v>7</v>
      </c>
    </row>
    <row r="25" spans="1:34">
      <c r="B25" t="s">
        <v>424</v>
      </c>
      <c r="C25" t="s">
        <v>425</v>
      </c>
      <c r="E25" t="s">
        <v>422</v>
      </c>
      <c r="F25">
        <f>COUNTIF(G:G,"Omission")</f>
        <v>13</v>
      </c>
    </row>
    <row r="26" spans="1:34">
      <c r="B26" t="s">
        <v>331</v>
      </c>
      <c r="C26" t="s">
        <v>325</v>
      </c>
      <c r="E26" t="s">
        <v>423</v>
      </c>
      <c r="F26">
        <f>F24/(F24+F25)</f>
        <v>0.35</v>
      </c>
    </row>
    <row r="27" spans="1:34">
      <c r="B27" t="s">
        <v>341</v>
      </c>
      <c r="C27" t="s">
        <v>337</v>
      </c>
    </row>
    <row r="28" spans="1:34">
      <c r="B28" t="s">
        <v>348</v>
      </c>
      <c r="C28" t="s">
        <v>346</v>
      </c>
    </row>
    <row r="29" spans="1:34">
      <c r="B29" t="s">
        <v>350</v>
      </c>
      <c r="C29" t="s">
        <v>352</v>
      </c>
      <c r="E29" t="s">
        <v>426</v>
      </c>
      <c r="F29">
        <f>COUNTIFS(G:G,"Addition", K:K,"Article")+COUNTIFS(G:G,"Addition", K:K,"Conjunction")+COUNTIFS(G:G,"Addition", K:K,"Pronoun")+COUNTIFS(G:G,"Addition", K:K,"Preposition")+COUNTIFS(G:G,"Addition", K:K,"Particle")+COUNTIFS(G:G,"Addition", K:K,"Vocative")</f>
        <v>5</v>
      </c>
    </row>
    <row r="30" spans="1:34">
      <c r="B30" t="s">
        <v>377</v>
      </c>
      <c r="C30" t="s">
        <v>383</v>
      </c>
      <c r="E30" t="s">
        <v>427</v>
      </c>
      <c r="F30">
        <f>COUNTIFS(G:G,"Omission", K:K,"Article")+COUNTIFS(G:G,"Omission", K:K,"Conjunction")+COUNTIFS(G:G,"Omission", K:K,"Pronoun")+COUNTIFS(G:G,"Omission", K:K,"Preposition")+COUNTIFS(G:G,"Omission", K:K,"Particle")+COUNTIFS(G:G,"Omission", K:K,"Vocative")</f>
        <v>9</v>
      </c>
    </row>
    <row r="31" spans="1:34">
      <c r="B31" t="s">
        <v>353</v>
      </c>
      <c r="E31" t="s">
        <v>428</v>
      </c>
      <c r="F31">
        <f>F29/(F29+F30)</f>
        <v>0.35714285714285715</v>
      </c>
    </row>
    <row r="34" spans="3:6">
      <c r="E34" t="s">
        <v>433</v>
      </c>
      <c r="F34">
        <f>COUNTIFS(G:G,"Addition", K:K,"Adjective")+COUNTIFS(G:G,"Addition", K:K,"Adverb")+COUNTIFS(G:G,"Addition", K:K,"Noun")+COUNTIFS(G:G,"Addition", K:K,"Participle")+COUNTIFS(G:G,"Addition", K:K,"Verb")</f>
        <v>1</v>
      </c>
    </row>
    <row r="35" spans="3:6">
      <c r="E35" t="s">
        <v>434</v>
      </c>
      <c r="F35">
        <f>COUNTIFS(G:G,"Omission", K:K,"Adjective")+COUNTIFS(G:G,"Omission", K:K,"Adverb")+COUNTIFS(G:G,"Omission", K:K,"Noun")+COUNTIFS(G:G,"Omission", K:K,"Participle")+COUNTIFS(G:G,"Omission", K:K,"Verb")</f>
        <v>1</v>
      </c>
    </row>
    <row r="36" spans="3:6">
      <c r="E36" t="s">
        <v>435</v>
      </c>
      <c r="F36">
        <f>F34/(F34+F35)</f>
        <v>0.5</v>
      </c>
    </row>
    <row r="37" spans="3:6">
      <c r="E37" t="s">
        <v>440</v>
      </c>
      <c r="F37">
        <f>F36-F31</f>
        <v>0.14285714285714285</v>
      </c>
    </row>
    <row r="40" spans="3:6">
      <c r="D40" s="11" t="s">
        <v>436</v>
      </c>
      <c r="E40" s="11"/>
      <c r="F40" s="11"/>
    </row>
    <row r="41" spans="3:6">
      <c r="D41" t="s">
        <v>326</v>
      </c>
      <c r="E41" t="s">
        <v>437</v>
      </c>
      <c r="F41" t="s">
        <v>438</v>
      </c>
    </row>
    <row r="42" spans="3:6">
      <c r="C42" t="s">
        <v>430</v>
      </c>
      <c r="D42">
        <f>COUNTIFS(G:G,"Addition", L:L, "Present")</f>
        <v>1</v>
      </c>
      <c r="E42">
        <f>COUNTIFS(G:G,"Addition", L:L, "Absent")</f>
        <v>4</v>
      </c>
      <c r="F42">
        <f>D42/(D42+E42)</f>
        <v>0.2</v>
      </c>
    </row>
    <row r="43" spans="3:6">
      <c r="C43" t="s">
        <v>431</v>
      </c>
      <c r="D43">
        <f>COUNTIFS(G:G,"Omission", L:L, "Present")</f>
        <v>5</v>
      </c>
      <c r="E43">
        <f>COUNTIFS(G:G,"Omission", L:L, "Absent")</f>
        <v>2</v>
      </c>
      <c r="F43">
        <f>D43/(D43+E43)</f>
        <v>0.7142857142857143</v>
      </c>
    </row>
    <row r="44" spans="3:6">
      <c r="C44" t="s">
        <v>439</v>
      </c>
      <c r="D44">
        <f>SUM(D42+D43)</f>
        <v>6</v>
      </c>
      <c r="E44">
        <f>SUM(E42+E43)</f>
        <v>6</v>
      </c>
      <c r="F44">
        <f>D44/(D44+E44)</f>
        <v>0.5</v>
      </c>
    </row>
    <row r="47" spans="3:6">
      <c r="D47" t="s">
        <v>430</v>
      </c>
      <c r="E47" t="s">
        <v>431</v>
      </c>
      <c r="F47" t="s">
        <v>443</v>
      </c>
    </row>
    <row r="48" spans="3:6">
      <c r="C48" t="s">
        <v>442</v>
      </c>
      <c r="D48">
        <f>COUNTIFS(G:G,"Addition", L:L, "Absent")</f>
        <v>4</v>
      </c>
      <c r="E48">
        <f>COUNTIFS(G:G,"Omission", L:L, "Absent")</f>
        <v>2</v>
      </c>
      <c r="F48">
        <f>D48/(D48+E48)</f>
        <v>0.66666666666666663</v>
      </c>
    </row>
    <row r="49" spans="3:6">
      <c r="C49" t="s">
        <v>441</v>
      </c>
      <c r="D49">
        <f>COUNTIFS(G:G,"Addition", L:L, "Present")</f>
        <v>1</v>
      </c>
      <c r="E49">
        <f>COUNTIFS(G:G,"Omission", L:L, "Present")</f>
        <v>5</v>
      </c>
      <c r="F49">
        <f>D49/(D49+E49)</f>
        <v>0.16666666666666666</v>
      </c>
    </row>
    <row r="50" spans="3:6">
      <c r="E50" t="s">
        <v>496</v>
      </c>
      <c r="F50">
        <f>F49-F48</f>
        <v>-0.5</v>
      </c>
    </row>
    <row r="53" spans="3:6">
      <c r="D53" t="s">
        <v>430</v>
      </c>
      <c r="E53" t="s">
        <v>431</v>
      </c>
      <c r="F53" t="s">
        <v>443</v>
      </c>
    </row>
    <row r="54" spans="3:6">
      <c r="C54" t="s">
        <v>444</v>
      </c>
      <c r="D54">
        <f>COUNTIFS(G:G,"Addition", O:O, "")</f>
        <v>6</v>
      </c>
      <c r="E54">
        <f>COUNTIFS(G:G,"Omission", O:O, "")</f>
        <v>12</v>
      </c>
      <c r="F54">
        <f>D54/(D54+E54)</f>
        <v>0.33333333333333331</v>
      </c>
    </row>
    <row r="55" spans="3:6">
      <c r="C55" t="s">
        <v>445</v>
      </c>
      <c r="D55">
        <f>COUNTIFS(G:G,"Addition", O:O, "Dittography")</f>
        <v>0</v>
      </c>
      <c r="E55">
        <f>COUNTIFS(G:G,"Omission", O:O, "Dittography")</f>
        <v>1</v>
      </c>
      <c r="F55">
        <f>D55/(D55+E55)</f>
        <v>0</v>
      </c>
    </row>
    <row r="56" spans="3:6">
      <c r="E56" t="s">
        <v>496</v>
      </c>
      <c r="F56">
        <f>F55-F54</f>
        <v>-0.33333333333333331</v>
      </c>
    </row>
    <row r="59" spans="3:6">
      <c r="C59" t="s">
        <v>429</v>
      </c>
      <c r="D59" t="s">
        <v>430</v>
      </c>
      <c r="E59" t="s">
        <v>431</v>
      </c>
      <c r="F59" t="s">
        <v>443</v>
      </c>
    </row>
    <row r="60" spans="3:6">
      <c r="C60" s="9">
        <v>1</v>
      </c>
      <c r="D60">
        <f>COUNTIFS(G:G,"Addition", I:I, 1)</f>
        <v>6</v>
      </c>
      <c r="E60">
        <f>COUNTIFS(G:G,"Omission", I:I, 1)</f>
        <v>10</v>
      </c>
      <c r="F60">
        <f>D60/(D60+E60)</f>
        <v>0.375</v>
      </c>
    </row>
    <row r="61" spans="3:6">
      <c r="C61" s="9" t="s">
        <v>446</v>
      </c>
      <c r="D61">
        <f>COUNTIFS(G:G,"Addition", I:I, "&gt;=2", I:I, "&lt;=3")</f>
        <v>1</v>
      </c>
      <c r="E61">
        <f>COUNTIFS(G:G,"Omission", I:I, "&gt;=2", I:I, "&lt;=3")</f>
        <v>0</v>
      </c>
      <c r="F61">
        <f t="shared" ref="F61:F62" si="0">D61/(D61+E61)</f>
        <v>1</v>
      </c>
    </row>
    <row r="62" spans="3:6">
      <c r="C62" s="9" t="s">
        <v>447</v>
      </c>
      <c r="D62">
        <f>COUNTIFS(G:G,"Addition", I:I, "&gt;=4")</f>
        <v>0</v>
      </c>
      <c r="E62">
        <f>COUNTIFS(G:G,"Omission", I:I, "&gt;=4")</f>
        <v>3</v>
      </c>
      <c r="F62">
        <f t="shared" si="0"/>
        <v>0</v>
      </c>
    </row>
    <row r="65" spans="3:6">
      <c r="C65" t="s">
        <v>429</v>
      </c>
      <c r="D65" t="s">
        <v>430</v>
      </c>
      <c r="E65" t="s">
        <v>431</v>
      </c>
      <c r="F65" t="s">
        <v>432</v>
      </c>
    </row>
    <row r="66" spans="3:6">
      <c r="C66">
        <v>1</v>
      </c>
      <c r="D66" s="9">
        <f>COUNTIFS(G:G,"Addition", I:I, C66)</f>
        <v>6</v>
      </c>
      <c r="E66">
        <f>COUNTIFS(G:G,"Omission", I:I, C66)</f>
        <v>10</v>
      </c>
      <c r="F66">
        <f>D66/(D66+E66)</f>
        <v>0.375</v>
      </c>
    </row>
    <row r="67" spans="3:6">
      <c r="C67">
        <v>2</v>
      </c>
      <c r="D67" s="9">
        <f>COUNTIFS(G:G,"Addition", I:I, C67)</f>
        <v>0</v>
      </c>
      <c r="E67">
        <f>COUNTIFS(G:G,"Omission", I:I, C67)</f>
        <v>0</v>
      </c>
      <c r="F67" t="e">
        <f t="shared" ref="F67:F70" si="1">D67/(D67+E67)</f>
        <v>#DIV/0!</v>
      </c>
    </row>
    <row r="68" spans="3:6">
      <c r="C68">
        <v>3</v>
      </c>
      <c r="D68" s="9">
        <f>COUNTIFS(G:G,"Addition", I:I, C68)</f>
        <v>1</v>
      </c>
      <c r="E68">
        <f>COUNTIFS(G:G,"Omission", I:I, C68)</f>
        <v>0</v>
      </c>
      <c r="F68">
        <f t="shared" si="1"/>
        <v>1</v>
      </c>
    </row>
    <row r="69" spans="3:6">
      <c r="C69">
        <v>4</v>
      </c>
      <c r="D69" s="9">
        <f>COUNTIFS(G:G,"Addition", I:I, C69)</f>
        <v>0</v>
      </c>
      <c r="E69">
        <f>COUNTIFS(G:G,"Omission", I:I, C69)</f>
        <v>0</v>
      </c>
      <c r="F69" t="e">
        <f t="shared" si="1"/>
        <v>#DIV/0!</v>
      </c>
    </row>
    <row r="70" spans="3:6">
      <c r="C70" t="s">
        <v>448</v>
      </c>
      <c r="D70" s="9">
        <f>COUNTIFS(G:G,"Addition", I:I, C70)</f>
        <v>0</v>
      </c>
      <c r="E70">
        <f>COUNTIFS(G:G,"Omission", I:I, C70)</f>
        <v>3</v>
      </c>
      <c r="F70">
        <f t="shared" si="1"/>
        <v>0</v>
      </c>
    </row>
    <row r="71" spans="3:6">
      <c r="D71" s="9"/>
    </row>
    <row r="73" spans="3:6">
      <c r="E73" t="s">
        <v>449</v>
      </c>
      <c r="F73">
        <v>20338</v>
      </c>
    </row>
  </sheetData>
  <mergeCells count="1">
    <mergeCell ref="D40:F40"/>
  </mergeCells>
  <conditionalFormatting sqref="G2:G21">
    <cfRule type="expression" dxfId="126" priority="7">
      <formula>$I2&lt;&gt;""</formula>
    </cfRule>
    <cfRule type="expression" dxfId="125" priority="8">
      <formula>$I2=""</formula>
    </cfRule>
  </conditionalFormatting>
  <conditionalFormatting sqref="H2:L21 O2:P21">
    <cfRule type="expression" dxfId="124" priority="21">
      <formula>AND(OR($I2="Addition",$I2="Omission"), H2="")</formula>
    </cfRule>
    <cfRule type="expression" dxfId="123" priority="22">
      <formula>AND($I2&lt;&gt;"Addition",$I2&lt;&gt;"Omission",$I2&lt;&gt;"Substitution - Word")</formula>
    </cfRule>
  </conditionalFormatting>
  <conditionalFormatting sqref="H2:P21">
    <cfRule type="expression" dxfId="122" priority="20">
      <formula>AND(OR($I2="Addition",$I2="Omission"), H2&lt;&gt;"")</formula>
    </cfRule>
  </conditionalFormatting>
  <conditionalFormatting sqref="K2:K21">
    <cfRule type="expression" dxfId="121" priority="18">
      <formula>AND($K2&lt;&gt;"",$K2&gt;1)</formula>
    </cfRule>
  </conditionalFormatting>
  <conditionalFormatting sqref="M2:N21">
    <cfRule type="expression" dxfId="120" priority="14">
      <formula>$N2="Absent"</formula>
    </cfRule>
    <cfRule type="expression" dxfId="119" priority="15">
      <formula>$N2="NA"</formula>
    </cfRule>
    <cfRule type="expression" dxfId="118" priority="16">
      <formula>AND(OR($I2="Addition",$I2="Omission"), M2="")</formula>
    </cfRule>
    <cfRule type="expression" dxfId="117" priority="17">
      <formula>AND($I2&lt;&gt;"Addition",$I2&lt;&gt;"Omission")</formula>
    </cfRule>
  </conditionalFormatting>
  <conditionalFormatting sqref="O2:O21">
    <cfRule type="expression" dxfId="116" priority="19">
      <formula>OR($I2="Addition",$I2="Omission",$I2 = "Substitution - Word")</formula>
    </cfRule>
  </conditionalFormatting>
  <conditionalFormatting sqref="Q2:Q21">
    <cfRule type="expression" dxfId="115" priority="1">
      <formula>AND(OR($I2="Addition",$I2="Omission"), Q2&lt;&gt;"")</formula>
    </cfRule>
    <cfRule type="expression" dxfId="114" priority="2">
      <formula>AND(OR($I2="Addition",$I2="Omission"), Q2="")</formula>
    </cfRule>
    <cfRule type="expression" dxfId="113" priority="3">
      <formula>AND($I2&lt;&gt;"Addition",$I2&lt;&gt;"Omission",$I2&lt;&gt;"Substitution - Word")</formula>
    </cfRule>
  </conditionalFormatting>
  <conditionalFormatting sqref="R2:T21">
    <cfRule type="expression" dxfId="112" priority="4">
      <formula>AND(AND(LEFT($I2,3)="Sub", RIGHT($I2,4)&lt;&gt;"Form"),$T2&lt;&gt;"")</formula>
    </cfRule>
    <cfRule type="expression" dxfId="111" priority="5">
      <formula>AND(AND(LEFT($I2,3)="Sub", RIGHT($I2,4)&lt;&gt;"Form"),$T2="")</formula>
    </cfRule>
    <cfRule type="expression" dxfId="110" priority="6">
      <formula>"&lt;&gt;AND(LEFT($J2,3)=""Sub"", RIGHT($J2,4)&lt;&gt;""Form"")"</formula>
    </cfRule>
  </conditionalFormatting>
  <conditionalFormatting sqref="U2:U21">
    <cfRule type="expression" dxfId="109" priority="10">
      <formula>AND($W2&lt;&gt;"",OR($AD2="Yes",$AE2&lt;&gt;""))</formula>
    </cfRule>
    <cfRule type="expression" dxfId="108" priority="11">
      <formula>OR($AD2="Yes",$AE2&lt;&gt;"")</formula>
    </cfRule>
    <cfRule type="expression" dxfId="107" priority="25">
      <formula>AND($AD2&lt;&gt;"Yes",$AE2="")</formula>
    </cfRule>
  </conditionalFormatting>
  <conditionalFormatting sqref="U2:AD21">
    <cfRule type="expression" dxfId="106" priority="23">
      <formula>AND($I2&lt;&gt;"",$I2&lt;&gt;"Unclear due to correction")</formula>
    </cfRule>
    <cfRule type="expression" dxfId="105" priority="24">
      <formula>OR($I2="",$I2="Unclear due to correction")</formula>
    </cfRule>
  </conditionalFormatting>
  <conditionalFormatting sqref="V2:V21">
    <cfRule type="expression" dxfId="104" priority="9">
      <formula>AND($I2&lt;&gt;"",$I2&lt;&gt;"Unclear due to correction",$X2="")</formula>
    </cfRule>
  </conditionalFormatting>
  <conditionalFormatting sqref="W2:W21">
    <cfRule type="expression" dxfId="103" priority="12">
      <formula>AND($X2="Yes",$Y2="")</formula>
    </cfRule>
    <cfRule type="expression" dxfId="102" priority="13">
      <formula>$X2=""</formula>
    </cfRule>
  </conditionalFormatting>
  <conditionalFormatting sqref="AB2:AB21">
    <cfRule type="expression" dxfId="101" priority="26">
      <formula>AND(OR($AB2&lt;&gt;"",$AC2&lt;&gt;""),$AD2="")</formula>
    </cfRule>
  </conditionalFormatting>
  <dataValidations count="1">
    <dataValidation allowBlank="1" showInputMessage="1" sqref="V2:V21" xr:uid="{32F32476-5851-4EE7-95CC-C8CB836E7E93}"/>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F1579A6B-EA05-448B-AB0A-D7BD3EB57CD0}">
          <x14:formula1>
            <xm:f>'Data Regularization'!$Q$2:$Q$4</xm:f>
          </x14:formula1>
          <xm:sqref>AG2:AG21 AE2:AE21</xm:sqref>
        </x14:dataValidation>
        <x14:dataValidation type="list" allowBlank="1" showInputMessage="1" showErrorMessage="1" xr:uid="{C63FC012-801B-4F8D-B157-6D25AC774B11}">
          <x14:formula1>
            <xm:f>'Data Regularization'!$D$2:$D$1048576</xm:f>
          </x14:formula1>
          <xm:sqref>G2:G21</xm:sqref>
        </x14:dataValidation>
        <x14:dataValidation type="list" allowBlank="1" showInputMessage="1" showErrorMessage="1" xr:uid="{B34A26A1-A21F-4ADB-9A55-14EFF0A40912}">
          <x14:formula1>
            <xm:f>'Data Regularization'!$E$2:$E$1048576</xm:f>
          </x14:formula1>
          <xm:sqref>K2:K21</xm:sqref>
        </x14:dataValidation>
        <x14:dataValidation type="list" allowBlank="1" showInputMessage="1" showErrorMessage="1" xr:uid="{C7AB2ACB-083E-409C-94E5-9CB611BFC411}">
          <x14:formula1>
            <xm:f>'Data Regularization'!$F$2:$F$1048576</xm:f>
          </x14:formula1>
          <xm:sqref>L2:L21</xm:sqref>
        </x14:dataValidation>
        <x14:dataValidation type="list" allowBlank="1" showInputMessage="1" showErrorMessage="1" xr:uid="{DBF2AF28-DE8D-43AC-85F1-A157AE74999A}">
          <x14:formula1>
            <xm:f>'Data Regularization'!$G$2:$G$1048576</xm:f>
          </x14:formula1>
          <xm:sqref>O2:O21</xm:sqref>
        </x14:dataValidation>
        <x14:dataValidation type="list" allowBlank="1" showInputMessage="1" showErrorMessage="1" xr:uid="{97C80129-5444-41C6-BE28-E1C738A81594}">
          <x14:formula1>
            <xm:f>'Data Regularization'!$K$2:$K$1048576</xm:f>
          </x14:formula1>
          <xm:sqref>W2:W21 U2:U21</xm:sqref>
        </x14:dataValidation>
        <x14:dataValidation type="list" allowBlank="1" showInputMessage="1" showErrorMessage="1" xr:uid="{4605543F-856B-4F87-925B-99EB3AC04FF2}">
          <x14:formula1>
            <xm:f>'Data Regularization'!$L$2:$L$1048576</xm:f>
          </x14:formula1>
          <xm:sqref>X2:X21</xm:sqref>
        </x14:dataValidation>
        <x14:dataValidation type="list" allowBlank="1" showInputMessage="1" showErrorMessage="1" xr:uid="{745BB9B1-4E49-462E-A7E7-C8C8D8E922F3}">
          <x14:formula1>
            <xm:f>'Data Regularization'!$M$2:$M$1048576</xm:f>
          </x14:formula1>
          <xm:sqref>Y2:Y21</xm:sqref>
        </x14:dataValidation>
        <x14:dataValidation type="list" allowBlank="1" showInputMessage="1" showErrorMessage="1" xr:uid="{26CA32CF-BDFA-468F-8E3C-754403BC1998}">
          <x14:formula1>
            <xm:f>'Data Regularization'!$N$2:$N$1048576</xm:f>
          </x14:formula1>
          <xm:sqref>Z2:Z21</xm:sqref>
        </x14:dataValidation>
        <x14:dataValidation type="list" allowBlank="1" showInputMessage="1" showErrorMessage="1" xr:uid="{9307B292-7CD7-490C-AB4B-9E784730EE78}">
          <x14:formula1>
            <xm:f>'Data Regularization'!$O$2:$O$1048576</xm:f>
          </x14:formula1>
          <xm:sqref>AB2:AB21</xm:sqref>
        </x14:dataValidation>
        <x14:dataValidation type="list" allowBlank="1" showInputMessage="1" showErrorMessage="1" xr:uid="{C373B66C-67AD-4086-BE04-BC17297F39EF}">
          <x14:formula1>
            <xm:f>'Data Regularization'!$P$2:$P$1048576</xm:f>
          </x14:formula1>
          <xm:sqref>AC2:AC21</xm:sqref>
        </x14:dataValidation>
        <x14:dataValidation type="list" allowBlank="1" showInputMessage="1" showErrorMessage="1" xr:uid="{0890046C-E70A-4E85-8AA5-3E3EEBEDCAAF}">
          <x14:formula1>
            <xm:f>'Data Regularization'!$Q$2:$Q$1048576</xm:f>
          </x14:formula1>
          <xm:sqref>AD2:AD21</xm:sqref>
        </x14:dataValidation>
        <x14:dataValidation type="list" allowBlank="1" showInputMessage="1" showErrorMessage="1" xr:uid="{83C975C5-F757-4A8B-9337-C4CBC21FD4B6}">
          <x14:formula1>
            <xm:f>'Data Regularization'!$C$2:$C$29</xm:f>
          </x14:formula1>
          <xm:sqref>F2:F21</xm:sqref>
        </x14:dataValidation>
        <x14:dataValidation type="list" allowBlank="1" showInputMessage="1" showErrorMessage="1" xr:uid="{34CF9A7B-2993-495A-8B5E-FE1C7B73B7ED}">
          <x14:formula1>
            <xm:f>'Data Regularization'!$A$2:$A$1048576</xm:f>
          </x14:formula1>
          <xm:sqref>D2:D21</xm:sqref>
        </x14:dataValidation>
        <x14:dataValidation type="list" allowBlank="1" showInputMessage="1" showErrorMessage="1" xr:uid="{D165D1D0-3AB7-4A8F-AF89-B8A6E60C40CC}">
          <x14:formula1>
            <xm:f>'Data Regularization'!$B$2:$B$1048576</xm:f>
          </x14:formula1>
          <xm:sqref>E2:E21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6E83-C41B-4B4E-B72E-73E012CB5A71}">
  <dimension ref="A1:AH32"/>
  <sheetViews>
    <sheetView workbookViewId="0">
      <pane xSplit="3" ySplit="1" topLeftCell="D2" activePane="bottomRight" state="frozen"/>
      <selection activeCell="R1" sqref="R1"/>
      <selection pane="topRight" activeCell="R1" sqref="R1"/>
      <selection pane="bottomLeft" activeCell="R1" sqref="R1"/>
      <selection pane="bottomRight" activeCell="D2" sqref="D2"/>
    </sheetView>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38</v>
      </c>
      <c r="B2" s="3" t="s">
        <v>160</v>
      </c>
      <c r="C2" s="3" t="s">
        <v>159</v>
      </c>
      <c r="G2" s="7" t="s">
        <v>25</v>
      </c>
      <c r="H2" s="7"/>
      <c r="I2" s="7">
        <v>1</v>
      </c>
      <c r="J2" s="7">
        <v>3</v>
      </c>
      <c r="K2" s="7" t="s">
        <v>331</v>
      </c>
      <c r="L2" s="7" t="s">
        <v>326</v>
      </c>
      <c r="M2" s="7" t="s">
        <v>389</v>
      </c>
      <c r="N2" s="8" t="s">
        <v>388</v>
      </c>
      <c r="O2" s="7"/>
      <c r="P2" s="7">
        <v>2475</v>
      </c>
      <c r="Q2" s="7">
        <v>1216.9338184678927</v>
      </c>
      <c r="R2" s="7"/>
      <c r="S2" s="7" t="s">
        <v>452</v>
      </c>
      <c r="T2" s="7" t="s">
        <v>452</v>
      </c>
      <c r="U2" s="7"/>
      <c r="V2" s="7"/>
      <c r="W2" s="7"/>
      <c r="X2" s="7"/>
      <c r="Y2" s="7"/>
      <c r="Z2" s="7"/>
      <c r="AA2" s="7"/>
      <c r="AB2" s="7"/>
      <c r="AC2" s="7"/>
      <c r="AD2" s="7"/>
      <c r="AE2" t="s">
        <v>19</v>
      </c>
      <c r="AF2" t="s">
        <v>20</v>
      </c>
      <c r="AH2">
        <v>1</v>
      </c>
    </row>
    <row r="3" spans="1:34" ht="29">
      <c r="A3" t="s">
        <v>39</v>
      </c>
      <c r="B3" s="3" t="s">
        <v>162</v>
      </c>
      <c r="C3" s="3" t="s">
        <v>161</v>
      </c>
      <c r="G3" s="7" t="s">
        <v>25</v>
      </c>
      <c r="H3" s="7"/>
      <c r="I3" s="7">
        <v>1</v>
      </c>
      <c r="J3" s="7">
        <v>2</v>
      </c>
      <c r="K3" s="7" t="s">
        <v>331</v>
      </c>
      <c r="L3" s="7" t="s">
        <v>373</v>
      </c>
      <c r="M3" s="7"/>
      <c r="N3" s="8"/>
      <c r="O3" s="7"/>
      <c r="P3" s="7">
        <v>2475</v>
      </c>
      <c r="Q3" s="7">
        <v>1216.9338184678927</v>
      </c>
      <c r="R3" s="7"/>
      <c r="S3" s="7" t="s">
        <v>452</v>
      </c>
      <c r="T3" s="7" t="s">
        <v>452</v>
      </c>
      <c r="U3" s="7"/>
      <c r="V3" s="7"/>
      <c r="W3" s="7"/>
      <c r="X3" s="7"/>
      <c r="Y3" s="7"/>
      <c r="Z3" s="7"/>
      <c r="AA3" s="7"/>
      <c r="AB3" s="7"/>
      <c r="AC3" s="7"/>
      <c r="AD3" s="7"/>
      <c r="AE3" t="s">
        <v>19</v>
      </c>
      <c r="AF3" t="s">
        <v>20</v>
      </c>
      <c r="AH3">
        <v>1</v>
      </c>
    </row>
    <row r="4" spans="1:34" ht="43.5">
      <c r="A4" t="s">
        <v>44</v>
      </c>
      <c r="B4" s="3" t="s">
        <v>168</v>
      </c>
      <c r="C4" s="3" t="s">
        <v>167</v>
      </c>
      <c r="G4" s="7" t="s">
        <v>24</v>
      </c>
      <c r="H4" s="7"/>
      <c r="I4" s="7">
        <v>1</v>
      </c>
      <c r="J4" s="7">
        <v>1</v>
      </c>
      <c r="K4" s="7" t="s">
        <v>331</v>
      </c>
      <c r="L4" s="7" t="s">
        <v>373</v>
      </c>
      <c r="M4" s="7"/>
      <c r="N4" s="8"/>
      <c r="O4" s="7"/>
      <c r="P4" s="7">
        <v>2475</v>
      </c>
      <c r="Q4" s="7">
        <v>1216.9338184678927</v>
      </c>
      <c r="R4" s="7"/>
      <c r="S4" s="7" t="s">
        <v>452</v>
      </c>
      <c r="T4" s="7" t="s">
        <v>452</v>
      </c>
      <c r="U4" s="7"/>
      <c r="V4" s="7"/>
      <c r="W4" s="7"/>
      <c r="X4" s="7"/>
      <c r="Y4" s="7"/>
      <c r="Z4" s="7"/>
      <c r="AA4" s="7"/>
      <c r="AB4" s="7"/>
      <c r="AC4" s="7"/>
      <c r="AD4" s="7"/>
      <c r="AE4" t="s">
        <v>19</v>
      </c>
      <c r="AF4" t="s">
        <v>20</v>
      </c>
      <c r="AH4">
        <v>1</v>
      </c>
    </row>
    <row r="5" spans="1:34" ht="58">
      <c r="A5" t="s">
        <v>52</v>
      </c>
      <c r="B5" s="3" t="s">
        <v>176</v>
      </c>
      <c r="C5" s="3" t="s">
        <v>175</v>
      </c>
      <c r="G5" s="7" t="s">
        <v>25</v>
      </c>
      <c r="H5" s="7"/>
      <c r="I5" s="7">
        <v>1</v>
      </c>
      <c r="J5" s="7">
        <v>3</v>
      </c>
      <c r="K5" s="7" t="s">
        <v>331</v>
      </c>
      <c r="L5" s="7" t="s">
        <v>326</v>
      </c>
      <c r="M5" s="7" t="s">
        <v>387</v>
      </c>
      <c r="N5" s="8" t="s">
        <v>388</v>
      </c>
      <c r="O5" s="7"/>
      <c r="P5" s="7">
        <v>2475</v>
      </c>
      <c r="Q5" s="7">
        <v>1216.9338184678927</v>
      </c>
      <c r="R5" s="7"/>
      <c r="S5" s="7" t="s">
        <v>452</v>
      </c>
      <c r="T5" s="7" t="s">
        <v>452</v>
      </c>
      <c r="U5" s="7"/>
      <c r="V5" s="7"/>
      <c r="W5" s="7"/>
      <c r="X5" s="7"/>
      <c r="Y5" s="7"/>
      <c r="Z5" s="7"/>
      <c r="AA5" s="7"/>
      <c r="AB5" s="7"/>
      <c r="AC5" s="7"/>
      <c r="AD5" s="7"/>
      <c r="AE5" t="s">
        <v>19</v>
      </c>
      <c r="AF5" t="s">
        <v>20</v>
      </c>
      <c r="AH5">
        <v>1</v>
      </c>
    </row>
    <row r="6" spans="1:34" ht="58">
      <c r="A6" t="s">
        <v>61</v>
      </c>
      <c r="B6" s="3" t="s">
        <v>179</v>
      </c>
      <c r="C6" s="3" t="s">
        <v>181</v>
      </c>
      <c r="G6" s="7" t="s">
        <v>24</v>
      </c>
      <c r="H6" s="7"/>
      <c r="I6" s="7">
        <v>1</v>
      </c>
      <c r="J6" s="7">
        <v>3</v>
      </c>
      <c r="K6" s="7" t="s">
        <v>331</v>
      </c>
      <c r="L6" s="7" t="s">
        <v>332</v>
      </c>
      <c r="M6" s="7"/>
      <c r="N6" s="8"/>
      <c r="O6" s="7"/>
      <c r="P6" s="7">
        <v>2475</v>
      </c>
      <c r="Q6" s="7">
        <v>1216.9338184678927</v>
      </c>
      <c r="R6" s="7"/>
      <c r="S6" s="7" t="s">
        <v>452</v>
      </c>
      <c r="T6" s="7" t="s">
        <v>452</v>
      </c>
      <c r="U6" s="7"/>
      <c r="V6" s="7"/>
      <c r="W6" s="7"/>
      <c r="X6" s="7"/>
      <c r="Y6" s="7"/>
      <c r="Z6" s="7"/>
      <c r="AA6" s="7"/>
      <c r="AB6" s="7"/>
      <c r="AC6" s="7"/>
      <c r="AD6" s="7"/>
      <c r="AE6" t="s">
        <v>19</v>
      </c>
      <c r="AF6" t="s">
        <v>20</v>
      </c>
      <c r="AH6">
        <v>1</v>
      </c>
    </row>
    <row r="7" spans="1:34" ht="43.5">
      <c r="A7" t="s">
        <v>78</v>
      </c>
      <c r="B7" s="3" t="s">
        <v>195</v>
      </c>
      <c r="C7" s="3" t="s">
        <v>194</v>
      </c>
      <c r="G7" s="7" t="s">
        <v>24</v>
      </c>
      <c r="H7" s="7"/>
      <c r="I7" s="7">
        <v>1</v>
      </c>
      <c r="J7" s="7">
        <v>3</v>
      </c>
      <c r="K7" s="7" t="s">
        <v>341</v>
      </c>
      <c r="L7" s="7" t="s">
        <v>332</v>
      </c>
      <c r="M7" s="7"/>
      <c r="N7" s="8"/>
      <c r="O7" s="7"/>
      <c r="P7" s="7">
        <v>1701</v>
      </c>
      <c r="Q7" s="7">
        <v>836.36542432884255</v>
      </c>
      <c r="R7" s="7"/>
      <c r="S7" s="7" t="s">
        <v>452</v>
      </c>
      <c r="T7" s="7" t="s">
        <v>452</v>
      </c>
      <c r="U7" s="7"/>
      <c r="V7" s="7"/>
      <c r="W7" s="7"/>
      <c r="X7" s="7"/>
      <c r="Y7" s="7"/>
      <c r="Z7" s="7"/>
      <c r="AA7" s="7"/>
      <c r="AB7" s="7"/>
      <c r="AC7" s="7"/>
      <c r="AD7" s="7"/>
      <c r="AE7" t="s">
        <v>19</v>
      </c>
      <c r="AF7" t="s">
        <v>20</v>
      </c>
      <c r="AH7">
        <v>1</v>
      </c>
    </row>
    <row r="8" spans="1:34" ht="43.5">
      <c r="A8" t="s">
        <v>82</v>
      </c>
      <c r="B8" s="3" t="s">
        <v>200</v>
      </c>
      <c r="C8" s="3" t="s">
        <v>199</v>
      </c>
      <c r="G8" s="7" t="s">
        <v>24</v>
      </c>
      <c r="H8" s="7"/>
      <c r="I8" s="7">
        <v>1</v>
      </c>
      <c r="J8" s="7">
        <v>2</v>
      </c>
      <c r="K8" s="7" t="s">
        <v>331</v>
      </c>
      <c r="L8" s="7" t="s">
        <v>373</v>
      </c>
      <c r="M8" s="7"/>
      <c r="N8" s="8"/>
      <c r="O8" s="7"/>
      <c r="P8" s="7">
        <v>2475</v>
      </c>
      <c r="Q8" s="7">
        <v>1216.9338184678927</v>
      </c>
      <c r="R8" s="7"/>
      <c r="S8" s="7" t="s">
        <v>452</v>
      </c>
      <c r="T8" s="7" t="s">
        <v>452</v>
      </c>
      <c r="U8" s="7"/>
      <c r="V8" s="7"/>
      <c r="W8" s="7"/>
      <c r="X8" s="7"/>
      <c r="Y8" s="7"/>
      <c r="Z8" s="7"/>
      <c r="AA8" s="7"/>
      <c r="AB8" s="7"/>
      <c r="AC8" s="7"/>
      <c r="AD8" s="7"/>
      <c r="AE8" t="s">
        <v>19</v>
      </c>
      <c r="AF8" t="s">
        <v>20</v>
      </c>
      <c r="AH8">
        <v>1</v>
      </c>
    </row>
    <row r="9" spans="1:34" ht="29">
      <c r="A9" t="s">
        <v>82</v>
      </c>
      <c r="B9" s="3" t="s">
        <v>201</v>
      </c>
      <c r="C9" s="3" t="s">
        <v>202</v>
      </c>
      <c r="G9" s="7" t="s">
        <v>25</v>
      </c>
      <c r="H9" s="7"/>
      <c r="I9" s="7">
        <v>1</v>
      </c>
      <c r="J9" s="7">
        <v>2</v>
      </c>
      <c r="K9" s="7" t="s">
        <v>331</v>
      </c>
      <c r="L9" s="7" t="s">
        <v>373</v>
      </c>
      <c r="M9" s="7"/>
      <c r="N9" s="8"/>
      <c r="O9" s="7" t="s">
        <v>327</v>
      </c>
      <c r="P9" s="7">
        <v>2475</v>
      </c>
      <c r="Q9" s="7">
        <v>1216.9338184678927</v>
      </c>
      <c r="R9" s="7"/>
      <c r="S9" s="7" t="s">
        <v>452</v>
      </c>
      <c r="T9" s="7" t="s">
        <v>452</v>
      </c>
      <c r="U9" s="7"/>
      <c r="V9" s="7"/>
      <c r="W9" s="7"/>
      <c r="X9" s="7"/>
      <c r="Y9" s="7"/>
      <c r="Z9" s="7"/>
      <c r="AA9" s="7"/>
      <c r="AB9" s="7"/>
      <c r="AC9" s="7"/>
      <c r="AD9" s="7"/>
      <c r="AE9" t="s">
        <v>19</v>
      </c>
      <c r="AF9" t="s">
        <v>20</v>
      </c>
      <c r="AH9">
        <v>1</v>
      </c>
    </row>
    <row r="10" spans="1:34" ht="29">
      <c r="A10" t="s">
        <v>85</v>
      </c>
      <c r="B10" s="3" t="s">
        <v>206</v>
      </c>
      <c r="C10" s="3" t="s">
        <v>205</v>
      </c>
      <c r="G10" s="7" t="s">
        <v>25</v>
      </c>
      <c r="H10" s="7"/>
      <c r="I10" s="7">
        <v>1</v>
      </c>
      <c r="J10" s="7">
        <v>2</v>
      </c>
      <c r="K10" s="7" t="s">
        <v>341</v>
      </c>
      <c r="L10" s="7" t="s">
        <v>373</v>
      </c>
      <c r="M10" s="7"/>
      <c r="N10" s="8"/>
      <c r="O10" s="7"/>
      <c r="P10" s="7">
        <v>171</v>
      </c>
      <c r="Q10" s="7">
        <v>84.079063821418046</v>
      </c>
      <c r="R10" s="7"/>
      <c r="S10" s="7" t="s">
        <v>452</v>
      </c>
      <c r="T10" s="7" t="s">
        <v>452</v>
      </c>
      <c r="U10" s="7"/>
      <c r="V10" s="7"/>
      <c r="W10" s="7"/>
      <c r="X10" s="7"/>
      <c r="Y10" s="7"/>
      <c r="Z10" s="7"/>
      <c r="AA10" s="7"/>
      <c r="AB10" s="7"/>
      <c r="AC10" s="7"/>
      <c r="AD10" s="7"/>
      <c r="AE10" t="s">
        <v>19</v>
      </c>
      <c r="AF10" t="s">
        <v>20</v>
      </c>
      <c r="AH10">
        <v>1</v>
      </c>
    </row>
    <row r="11" spans="1:34" ht="72.5">
      <c r="A11" t="s">
        <v>89</v>
      </c>
      <c r="B11" s="3" t="s">
        <v>207</v>
      </c>
      <c r="C11" s="3" t="s">
        <v>208</v>
      </c>
      <c r="G11" s="7" t="s">
        <v>24</v>
      </c>
      <c r="H11" s="7"/>
      <c r="I11" s="7">
        <v>1</v>
      </c>
      <c r="J11" s="7">
        <v>3</v>
      </c>
      <c r="K11" s="7" t="s">
        <v>331</v>
      </c>
      <c r="L11" s="7" t="s">
        <v>332</v>
      </c>
      <c r="M11" s="7"/>
      <c r="N11" s="8"/>
      <c r="O11" s="7"/>
      <c r="P11" s="7">
        <v>2475</v>
      </c>
      <c r="Q11" s="7">
        <v>1216.9338184678927</v>
      </c>
      <c r="R11" s="7"/>
      <c r="S11" s="7" t="s">
        <v>452</v>
      </c>
      <c r="T11" s="7" t="s">
        <v>452</v>
      </c>
      <c r="U11" s="7"/>
      <c r="V11" s="7"/>
      <c r="W11" s="7"/>
      <c r="X11" s="7"/>
      <c r="Y11" s="7"/>
      <c r="Z11" s="7"/>
      <c r="AA11" s="7"/>
      <c r="AB11" s="7"/>
      <c r="AC11" s="7"/>
      <c r="AD11" s="7"/>
      <c r="AE11" t="s">
        <v>19</v>
      </c>
      <c r="AF11" t="s">
        <v>20</v>
      </c>
      <c r="AH11">
        <v>1</v>
      </c>
    </row>
    <row r="12" spans="1:34" ht="29">
      <c r="A12" t="s">
        <v>103</v>
      </c>
      <c r="B12" s="3" t="s">
        <v>237</v>
      </c>
      <c r="C12" s="3" t="s">
        <v>238</v>
      </c>
      <c r="G12" s="7" t="s">
        <v>25</v>
      </c>
      <c r="H12" s="7"/>
      <c r="I12" s="7">
        <v>1</v>
      </c>
      <c r="J12" s="7">
        <v>1</v>
      </c>
      <c r="K12" s="7" t="s">
        <v>331</v>
      </c>
      <c r="L12" s="7" t="s">
        <v>373</v>
      </c>
      <c r="M12" s="7"/>
      <c r="N12" s="8"/>
      <c r="O12" s="7"/>
      <c r="P12" s="7">
        <v>2475</v>
      </c>
      <c r="Q12" s="7">
        <v>1216.9338184678927</v>
      </c>
      <c r="R12" s="7"/>
      <c r="S12" s="7" t="s">
        <v>452</v>
      </c>
      <c r="T12" s="7" t="s">
        <v>452</v>
      </c>
      <c r="U12" s="7"/>
      <c r="V12" s="7"/>
      <c r="W12" s="7"/>
      <c r="X12" s="7"/>
      <c r="Y12" s="7"/>
      <c r="Z12" s="7"/>
      <c r="AA12" s="7"/>
      <c r="AB12" s="7"/>
      <c r="AC12" s="7"/>
      <c r="AD12" s="7"/>
      <c r="AE12" t="s">
        <v>19</v>
      </c>
      <c r="AF12" t="s">
        <v>20</v>
      </c>
      <c r="AH12">
        <v>1</v>
      </c>
    </row>
    <row r="13" spans="1:34" ht="58">
      <c r="A13" t="s">
        <v>109</v>
      </c>
      <c r="B13" s="3" t="s">
        <v>242</v>
      </c>
      <c r="C13" s="3" t="s">
        <v>241</v>
      </c>
      <c r="G13" s="7" t="s">
        <v>25</v>
      </c>
      <c r="H13" s="7"/>
      <c r="I13" s="7">
        <v>1</v>
      </c>
      <c r="J13" s="7">
        <v>3</v>
      </c>
      <c r="K13" s="7" t="s">
        <v>350</v>
      </c>
      <c r="L13" s="7" t="s">
        <v>332</v>
      </c>
      <c r="M13" s="7"/>
      <c r="N13" s="8"/>
      <c r="O13" s="7"/>
      <c r="P13" s="7">
        <v>210</v>
      </c>
      <c r="Q13" s="7">
        <v>103.25499065788181</v>
      </c>
      <c r="R13" s="7"/>
      <c r="S13" s="7" t="s">
        <v>452</v>
      </c>
      <c r="T13" s="7" t="s">
        <v>452</v>
      </c>
      <c r="U13" s="7"/>
      <c r="V13" s="7"/>
      <c r="W13" s="7"/>
      <c r="X13" s="7"/>
      <c r="Y13" s="7"/>
      <c r="Z13" s="7"/>
      <c r="AA13" s="7"/>
      <c r="AB13" s="7"/>
      <c r="AC13" s="7"/>
      <c r="AD13" s="7"/>
      <c r="AE13" t="s">
        <v>19</v>
      </c>
      <c r="AF13" t="s">
        <v>20</v>
      </c>
      <c r="AH13">
        <v>1</v>
      </c>
    </row>
    <row r="14" spans="1:34" ht="29">
      <c r="A14" t="s">
        <v>138</v>
      </c>
      <c r="B14" s="3" t="s">
        <v>282</v>
      </c>
      <c r="C14" s="3" t="s">
        <v>281</v>
      </c>
      <c r="G14" s="7" t="s">
        <v>25</v>
      </c>
      <c r="H14" s="7"/>
      <c r="I14" s="7">
        <v>1</v>
      </c>
      <c r="J14" s="7">
        <v>2</v>
      </c>
      <c r="K14" s="7" t="s">
        <v>341</v>
      </c>
      <c r="L14" s="7" t="s">
        <v>373</v>
      </c>
      <c r="M14" s="7"/>
      <c r="N14" s="8"/>
      <c r="O14" s="7"/>
      <c r="P14" s="7">
        <v>171</v>
      </c>
      <c r="Q14" s="7">
        <v>84.079063821418046</v>
      </c>
      <c r="R14" s="7"/>
      <c r="S14" s="7" t="s">
        <v>452</v>
      </c>
      <c r="T14" s="7" t="s">
        <v>452</v>
      </c>
      <c r="U14" s="7"/>
      <c r="V14" s="7"/>
      <c r="W14" s="7"/>
      <c r="X14" s="7"/>
      <c r="Y14" s="7"/>
      <c r="Z14" s="7"/>
      <c r="AA14" s="7"/>
      <c r="AB14" s="7"/>
      <c r="AC14" s="7"/>
      <c r="AD14" s="7"/>
      <c r="AE14" t="s">
        <v>19</v>
      </c>
      <c r="AF14" t="s">
        <v>20</v>
      </c>
      <c r="AH14">
        <v>1</v>
      </c>
    </row>
    <row r="15" spans="1:34" ht="29">
      <c r="A15" t="s">
        <v>142</v>
      </c>
      <c r="B15" s="3" t="s">
        <v>294</v>
      </c>
      <c r="C15" s="3" t="s">
        <v>295</v>
      </c>
      <c r="G15" s="7" t="s">
        <v>25</v>
      </c>
      <c r="H15" s="7"/>
      <c r="I15" s="7">
        <v>1</v>
      </c>
      <c r="J15" s="7">
        <v>2</v>
      </c>
      <c r="K15" s="7" t="s">
        <v>377</v>
      </c>
      <c r="L15" s="7" t="s">
        <v>373</v>
      </c>
      <c r="M15" s="7"/>
      <c r="N15" s="8"/>
      <c r="O15" s="7"/>
      <c r="P15" s="7">
        <v>10</v>
      </c>
      <c r="Q15" s="7">
        <v>4.9169043170419897</v>
      </c>
      <c r="R15" s="7"/>
      <c r="S15" s="7" t="s">
        <v>452</v>
      </c>
      <c r="T15" s="7" t="s">
        <v>452</v>
      </c>
      <c r="U15" s="7"/>
      <c r="V15" s="7"/>
      <c r="W15" s="7"/>
      <c r="X15" s="7"/>
      <c r="Y15" s="7"/>
      <c r="Z15" s="7"/>
      <c r="AA15" s="7"/>
      <c r="AB15" s="7"/>
      <c r="AC15" s="7"/>
      <c r="AD15" s="7"/>
      <c r="AE15" t="s">
        <v>19</v>
      </c>
      <c r="AF15" t="s">
        <v>20</v>
      </c>
      <c r="AH15">
        <v>1</v>
      </c>
    </row>
    <row r="18" spans="4:6">
      <c r="D18" t="s">
        <v>449</v>
      </c>
      <c r="E18">
        <v>20338</v>
      </c>
    </row>
    <row r="19" spans="4:6">
      <c r="D19" t="s">
        <v>454</v>
      </c>
      <c r="E19">
        <f>MEDIAN(Q:Q)</f>
        <v>1216.9338184678927</v>
      </c>
    </row>
    <row r="22" spans="4:6">
      <c r="D22" t="s">
        <v>455</v>
      </c>
      <c r="E22">
        <f>COUNTIFS(G:G, "Addition", Q:Q, "&gt;=" &amp; $E$19)</f>
        <v>4</v>
      </c>
      <c r="F22" t="s">
        <v>465</v>
      </c>
    </row>
    <row r="23" spans="4:6">
      <c r="D23" t="s">
        <v>456</v>
      </c>
      <c r="E23">
        <f>COUNTIFS(G:G, "Omission", Q:Q, "&gt;=" &amp; $E$19)</f>
        <v>5</v>
      </c>
    </row>
    <row r="24" spans="4:6">
      <c r="D24" t="s">
        <v>457</v>
      </c>
      <c r="E24">
        <f>E22/(E22+E23)</f>
        <v>0.44444444444444442</v>
      </c>
    </row>
    <row r="25" spans="4:6">
      <c r="D25" t="s">
        <v>458</v>
      </c>
      <c r="E25">
        <f>COUNTIFS(G:G, "Addition", Q:Q, "&lt;" &amp; $E$19)</f>
        <v>1</v>
      </c>
    </row>
    <row r="26" spans="4:6">
      <c r="D26" t="s">
        <v>459</v>
      </c>
      <c r="E26">
        <f>COUNTIFS(G:G, "Omission", Q:Q, "&lt;" &amp; $E$19)</f>
        <v>4</v>
      </c>
    </row>
    <row r="27" spans="4:6">
      <c r="D27" t="s">
        <v>460</v>
      </c>
      <c r="E27">
        <f>E25/(E25+E26)</f>
        <v>0.2</v>
      </c>
    </row>
    <row r="30" spans="4:6">
      <c r="D30" t="s">
        <v>462</v>
      </c>
      <c r="E30">
        <f>COUNTIFS(G:G, "Addition", K:K, "Article")</f>
        <v>4</v>
      </c>
    </row>
    <row r="31" spans="4:6">
      <c r="D31" t="s">
        <v>463</v>
      </c>
      <c r="E31">
        <f>COUNTIFS(G:G, "Omission", K:K, "Article")</f>
        <v>5</v>
      </c>
    </row>
    <row r="32" spans="4:6">
      <c r="D32" t="s">
        <v>464</v>
      </c>
      <c r="E32">
        <f>COUNTIFS(G:G, "Addition", K:K, "Article")/(COUNTIFS(G:G, "Addition", K:K, "Article") + COUNTIFS(G:G, "Omission", K:K, "Article"))</f>
        <v>0.44444444444444442</v>
      </c>
    </row>
  </sheetData>
  <conditionalFormatting sqref="G2:G15">
    <cfRule type="expression" dxfId="100" priority="7">
      <formula>$I2&lt;&gt;""</formula>
    </cfRule>
    <cfRule type="expression" dxfId="99" priority="8">
      <formula>$I2=""</formula>
    </cfRule>
  </conditionalFormatting>
  <conditionalFormatting sqref="H2:L15 O2:P15">
    <cfRule type="expression" dxfId="98" priority="21">
      <formula>AND(OR($I2="Addition",$I2="Omission"), H2="")</formula>
    </cfRule>
    <cfRule type="expression" dxfId="97" priority="22">
      <formula>AND($I2&lt;&gt;"Addition",$I2&lt;&gt;"Omission",$I2&lt;&gt;"Substitution - Word")</formula>
    </cfRule>
  </conditionalFormatting>
  <conditionalFormatting sqref="H2:P15">
    <cfRule type="expression" dxfId="96" priority="20">
      <formula>AND(OR($I2="Addition",$I2="Omission"), H2&lt;&gt;"")</formula>
    </cfRule>
  </conditionalFormatting>
  <conditionalFormatting sqref="K2:K15">
    <cfRule type="expression" dxfId="95" priority="18">
      <formula>AND($K2&lt;&gt;"",$K2&gt;1)</formula>
    </cfRule>
  </conditionalFormatting>
  <conditionalFormatting sqref="M2:N15">
    <cfRule type="expression" dxfId="94" priority="14">
      <formula>$N2="Absent"</formula>
    </cfRule>
    <cfRule type="expression" dxfId="93" priority="15">
      <formula>$N2="NA"</formula>
    </cfRule>
    <cfRule type="expression" dxfId="92" priority="16">
      <formula>AND(OR($I2="Addition",$I2="Omission"), M2="")</formula>
    </cfRule>
    <cfRule type="expression" dxfId="91" priority="17">
      <formula>AND($I2&lt;&gt;"Addition",$I2&lt;&gt;"Omission")</formula>
    </cfRule>
  </conditionalFormatting>
  <conditionalFormatting sqref="O2:O15">
    <cfRule type="expression" dxfId="90" priority="19">
      <formula>OR($I2="Addition",$I2="Omission",$I2 = "Substitution - Word")</formula>
    </cfRule>
  </conditionalFormatting>
  <conditionalFormatting sqref="Q2:Q15">
    <cfRule type="expression" dxfId="89" priority="1">
      <formula>AND(OR($I2="Addition",$I2="Omission"), Q2&lt;&gt;"")</formula>
    </cfRule>
    <cfRule type="expression" dxfId="88" priority="2">
      <formula>AND(OR($I2="Addition",$I2="Omission"), Q2="")</formula>
    </cfRule>
    <cfRule type="expression" dxfId="87" priority="3">
      <formula>AND($I2&lt;&gt;"Addition",$I2&lt;&gt;"Omission",$I2&lt;&gt;"Substitution - Word")</formula>
    </cfRule>
  </conditionalFormatting>
  <conditionalFormatting sqref="R2:T15">
    <cfRule type="expression" dxfId="86" priority="4">
      <formula>AND(AND(LEFT($I2,3)="Sub", RIGHT($I2,4)&lt;&gt;"Form"),$T2&lt;&gt;"")</formula>
    </cfRule>
    <cfRule type="expression" dxfId="85" priority="5">
      <formula>AND(AND(LEFT($I2,3)="Sub", RIGHT($I2,4)&lt;&gt;"Form"),$T2="")</formula>
    </cfRule>
    <cfRule type="expression" dxfId="84" priority="6">
      <formula>"&lt;&gt;AND(LEFT($J2,3)=""Sub"", RIGHT($J2,4)&lt;&gt;""Form"")"</formula>
    </cfRule>
  </conditionalFormatting>
  <conditionalFormatting sqref="U2:U15">
    <cfRule type="expression" dxfId="83" priority="10">
      <formula>AND($W2&lt;&gt;"",OR($AD2="Yes",$AE2&lt;&gt;""))</formula>
    </cfRule>
    <cfRule type="expression" dxfId="82" priority="11">
      <formula>OR($AD2="Yes",$AE2&lt;&gt;"")</formula>
    </cfRule>
    <cfRule type="expression" dxfId="81" priority="25">
      <formula>AND($AD2&lt;&gt;"Yes",$AE2="")</formula>
    </cfRule>
  </conditionalFormatting>
  <conditionalFormatting sqref="U2:AD15">
    <cfRule type="expression" dxfId="80" priority="23">
      <formula>AND($I2&lt;&gt;"",$I2&lt;&gt;"Unclear due to correction")</formula>
    </cfRule>
    <cfRule type="expression" dxfId="79" priority="24">
      <formula>OR($I2="",$I2="Unclear due to correction")</formula>
    </cfRule>
  </conditionalFormatting>
  <conditionalFormatting sqref="V2:V15">
    <cfRule type="expression" dxfId="78" priority="9">
      <formula>AND($I2&lt;&gt;"",$I2&lt;&gt;"Unclear due to correction",$X2="")</formula>
    </cfRule>
  </conditionalFormatting>
  <conditionalFormatting sqref="W2:W15">
    <cfRule type="expression" dxfId="77" priority="12">
      <formula>AND($X2="Yes",$Y2="")</formula>
    </cfRule>
    <cfRule type="expression" dxfId="76" priority="13">
      <formula>$X2=""</formula>
    </cfRule>
  </conditionalFormatting>
  <conditionalFormatting sqref="AB2:AB15">
    <cfRule type="expression" dxfId="75" priority="26">
      <formula>AND(OR($AB2&lt;&gt;"",$AC2&lt;&gt;""),$AD2="")</formula>
    </cfRule>
  </conditionalFormatting>
  <dataValidations count="1">
    <dataValidation allowBlank="1" showInputMessage="1" sqref="V2:V15" xr:uid="{39EE1C05-D706-4D6A-B18C-52793BAEA6EE}"/>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3EC4AD85-A22F-409B-94F6-D984B50F09A2}">
          <x14:formula1>
            <xm:f>'Data Regularization'!$Q$2:$Q$4</xm:f>
          </x14:formula1>
          <xm:sqref>AG2:AG15 AE2:AE15</xm:sqref>
        </x14:dataValidation>
        <x14:dataValidation type="list" allowBlank="1" showInputMessage="1" showErrorMessage="1" xr:uid="{87FE700C-6471-42B1-99FD-C0335A2C7959}">
          <x14:formula1>
            <xm:f>'Data Regularization'!$D$2:$D$1048576</xm:f>
          </x14:formula1>
          <xm:sqref>G2:G15</xm:sqref>
        </x14:dataValidation>
        <x14:dataValidation type="list" allowBlank="1" showInputMessage="1" showErrorMessage="1" xr:uid="{64AE2B10-CC5A-402B-925F-1FF7D31C2C2D}">
          <x14:formula1>
            <xm:f>'Data Regularization'!$E$2:$E$1048576</xm:f>
          </x14:formula1>
          <xm:sqref>K2:K15</xm:sqref>
        </x14:dataValidation>
        <x14:dataValidation type="list" allowBlank="1" showInputMessage="1" showErrorMessage="1" xr:uid="{F292E6D7-1A5D-4081-8D74-D715B30E8E79}">
          <x14:formula1>
            <xm:f>'Data Regularization'!$F$2:$F$1048576</xm:f>
          </x14:formula1>
          <xm:sqref>L2:L15</xm:sqref>
        </x14:dataValidation>
        <x14:dataValidation type="list" allowBlank="1" showInputMessage="1" showErrorMessage="1" xr:uid="{2AE74DAE-42C4-417E-9048-F8D4CD6B524C}">
          <x14:formula1>
            <xm:f>'Data Regularization'!$G$2:$G$1048576</xm:f>
          </x14:formula1>
          <xm:sqref>O2:O15</xm:sqref>
        </x14:dataValidation>
        <x14:dataValidation type="list" allowBlank="1" showInputMessage="1" showErrorMessage="1" xr:uid="{1D83ACD6-4F78-4440-8A3C-9F40F7DCED1C}">
          <x14:formula1>
            <xm:f>'Data Regularization'!$K$2:$K$1048576</xm:f>
          </x14:formula1>
          <xm:sqref>U2:U15 W2:W15</xm:sqref>
        </x14:dataValidation>
        <x14:dataValidation type="list" allowBlank="1" showInputMessage="1" showErrorMessage="1" xr:uid="{A573537C-D222-4BFE-821A-3DD1318F084A}">
          <x14:formula1>
            <xm:f>'Data Regularization'!$L$2:$L$1048576</xm:f>
          </x14:formula1>
          <xm:sqref>X2:X15</xm:sqref>
        </x14:dataValidation>
        <x14:dataValidation type="list" allowBlank="1" showInputMessage="1" showErrorMessage="1" xr:uid="{01399F67-3716-49DB-A265-52D1CF1A9B5E}">
          <x14:formula1>
            <xm:f>'Data Regularization'!$M$2:$M$1048576</xm:f>
          </x14:formula1>
          <xm:sqref>Y2:Y15</xm:sqref>
        </x14:dataValidation>
        <x14:dataValidation type="list" allowBlank="1" showInputMessage="1" showErrorMessage="1" xr:uid="{E975D31D-077C-48B1-99B4-C372ABA57CCC}">
          <x14:formula1>
            <xm:f>'Data Regularization'!$N$2:$N$1048576</xm:f>
          </x14:formula1>
          <xm:sqref>Z2:Z15</xm:sqref>
        </x14:dataValidation>
        <x14:dataValidation type="list" allowBlank="1" showInputMessage="1" showErrorMessage="1" xr:uid="{1A5820D5-094C-4B45-BA97-05A15FC6F78B}">
          <x14:formula1>
            <xm:f>'Data Regularization'!$O$2:$O$1048576</xm:f>
          </x14:formula1>
          <xm:sqref>AB2:AB15</xm:sqref>
        </x14:dataValidation>
        <x14:dataValidation type="list" allowBlank="1" showInputMessage="1" showErrorMessage="1" xr:uid="{D93E98DF-831D-47D9-9B2F-5F0F2811C3D4}">
          <x14:formula1>
            <xm:f>'Data Regularization'!$P$2:$P$1048576</xm:f>
          </x14:formula1>
          <xm:sqref>AC2:AC15</xm:sqref>
        </x14:dataValidation>
        <x14:dataValidation type="list" allowBlank="1" showInputMessage="1" showErrorMessage="1" xr:uid="{C3F52DAB-E4EF-4148-8631-1A59BEBB2DDB}">
          <x14:formula1>
            <xm:f>'Data Regularization'!$Q$2:$Q$1048576</xm:f>
          </x14:formula1>
          <xm:sqref>AD2:AD15</xm:sqref>
        </x14:dataValidation>
        <x14:dataValidation type="list" allowBlank="1" showInputMessage="1" showErrorMessage="1" xr:uid="{F912E4D4-9ACB-4C47-8B0E-AC827DB2D8AF}">
          <x14:formula1>
            <xm:f>'Data Regularization'!$C$2:$C$29</xm:f>
          </x14:formula1>
          <xm:sqref>F2:F15</xm:sqref>
        </x14:dataValidation>
        <x14:dataValidation type="list" allowBlank="1" showInputMessage="1" showErrorMessage="1" xr:uid="{9B213B59-CFF3-4A3F-9A67-EB8F7D8D73AF}">
          <x14:formula1>
            <xm:f>'Data Regularization'!$A$2:$A$1048576</xm:f>
          </x14:formula1>
          <xm:sqref>D2:D15</xm:sqref>
        </x14:dataValidation>
        <x14:dataValidation type="list" allowBlank="1" showInputMessage="1" showErrorMessage="1" xr:uid="{A8B22940-803E-40F1-96B8-DE0402093C0F}">
          <x14:formula1>
            <xm:f>'Data Regularization'!$B$2:$B$1048576</xm:f>
          </x14:formula1>
          <xm:sqref>E2:E15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1B98-4B09-4AEC-9204-5107EF46065F}">
  <dimension ref="A1:AH16"/>
  <sheetViews>
    <sheetView workbookViewId="0"/>
  </sheetViews>
  <sheetFormatPr defaultRowHeight="14.5"/>
  <sheetData>
    <row r="1" spans="1:34"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453</v>
      </c>
      <c r="R1" s="1" t="s">
        <v>364</v>
      </c>
      <c r="S1" s="1" t="s">
        <v>450</v>
      </c>
      <c r="T1" s="1" t="s">
        <v>451</v>
      </c>
      <c r="U1" s="1" t="s">
        <v>367</v>
      </c>
      <c r="V1" s="1" t="s">
        <v>368</v>
      </c>
      <c r="W1" s="1" t="s">
        <v>369</v>
      </c>
      <c r="X1" s="1" t="s">
        <v>321</v>
      </c>
      <c r="Y1" s="1" t="s">
        <v>322</v>
      </c>
      <c r="Z1" s="1" t="s">
        <v>323</v>
      </c>
      <c r="AA1" s="1" t="s">
        <v>365</v>
      </c>
      <c r="AB1" s="1" t="s">
        <v>370</v>
      </c>
      <c r="AC1" s="1" t="s">
        <v>324</v>
      </c>
      <c r="AD1" s="1" t="s">
        <v>366</v>
      </c>
      <c r="AE1" s="1" t="s">
        <v>382</v>
      </c>
      <c r="AF1" s="1" t="s">
        <v>380</v>
      </c>
      <c r="AG1" s="1" t="s">
        <v>381</v>
      </c>
    </row>
    <row r="2" spans="1:34" ht="43.5">
      <c r="A2" t="s">
        <v>55</v>
      </c>
      <c r="B2" s="3" t="s">
        <v>177</v>
      </c>
      <c r="C2" s="3" t="s">
        <v>178</v>
      </c>
      <c r="F2" t="s">
        <v>19</v>
      </c>
      <c r="G2" s="7" t="s">
        <v>24</v>
      </c>
      <c r="H2" s="7"/>
      <c r="I2" s="7">
        <v>1</v>
      </c>
      <c r="J2" s="7">
        <v>9</v>
      </c>
      <c r="K2" s="7" t="s">
        <v>325</v>
      </c>
      <c r="L2" s="7" t="s">
        <v>326</v>
      </c>
      <c r="M2" s="7" t="s">
        <v>416</v>
      </c>
      <c r="N2" s="8" t="s">
        <v>417</v>
      </c>
      <c r="O2" s="7"/>
      <c r="P2" s="7">
        <v>4</v>
      </c>
      <c r="Q2" s="7">
        <v>1.9667617268167963</v>
      </c>
      <c r="R2" s="7"/>
      <c r="S2" s="7" t="s">
        <v>452</v>
      </c>
      <c r="T2" s="7" t="s">
        <v>452</v>
      </c>
      <c r="U2" s="7"/>
      <c r="V2" s="7"/>
      <c r="W2" s="7"/>
      <c r="X2" s="7"/>
      <c r="Y2" s="7"/>
      <c r="Z2" s="7"/>
      <c r="AA2" s="7"/>
      <c r="AB2" s="7"/>
      <c r="AC2" s="7"/>
      <c r="AD2" s="7"/>
      <c r="AE2" t="s">
        <v>20</v>
      </c>
      <c r="AF2" t="s">
        <v>20</v>
      </c>
      <c r="AH2">
        <v>0</v>
      </c>
    </row>
    <row r="3" spans="1:34" ht="101.5">
      <c r="A3" t="s">
        <v>129</v>
      </c>
      <c r="B3" s="3" t="s">
        <v>273</v>
      </c>
      <c r="C3" s="3" t="s">
        <v>270</v>
      </c>
      <c r="G3" s="7" t="s">
        <v>25</v>
      </c>
      <c r="H3" s="7"/>
      <c r="I3" s="7">
        <v>1</v>
      </c>
      <c r="J3" s="7">
        <v>9</v>
      </c>
      <c r="K3" s="7" t="s">
        <v>383</v>
      </c>
      <c r="L3" s="7" t="s">
        <v>332</v>
      </c>
      <c r="M3" s="7"/>
      <c r="N3" s="8"/>
      <c r="O3" s="7"/>
      <c r="P3" s="7">
        <v>18</v>
      </c>
      <c r="Q3" s="7">
        <v>8.8504277706755818</v>
      </c>
      <c r="R3" s="7"/>
      <c r="S3" s="7" t="s">
        <v>452</v>
      </c>
      <c r="T3" s="7" t="s">
        <v>452</v>
      </c>
      <c r="U3" s="7"/>
      <c r="V3" s="7"/>
      <c r="W3" s="7"/>
      <c r="X3" s="7"/>
      <c r="Y3" s="7"/>
      <c r="Z3" s="7"/>
      <c r="AA3" s="7"/>
      <c r="AB3" s="7"/>
      <c r="AC3" s="7"/>
      <c r="AD3" s="7"/>
      <c r="AE3" t="s">
        <v>19</v>
      </c>
      <c r="AF3" t="s">
        <v>20</v>
      </c>
      <c r="AH3">
        <v>1</v>
      </c>
    </row>
    <row r="6" spans="1:34">
      <c r="D6" t="s">
        <v>449</v>
      </c>
      <c r="E6">
        <v>20338</v>
      </c>
    </row>
    <row r="7" spans="1:34">
      <c r="D7" t="s">
        <v>454</v>
      </c>
      <c r="E7">
        <f>MEDIAN(Q:Q)</f>
        <v>5.4085947487461894</v>
      </c>
    </row>
    <row r="10" spans="1:34">
      <c r="D10" t="s">
        <v>455</v>
      </c>
      <c r="E10">
        <f>COUNTIFS(G:G, "Addition", Q:Q, "&gt;=" &amp; $E$7)</f>
        <v>0</v>
      </c>
      <c r="F10" s="4" t="s">
        <v>461</v>
      </c>
    </row>
    <row r="11" spans="1:34">
      <c r="D11" t="s">
        <v>456</v>
      </c>
      <c r="E11">
        <f>COUNTIFS(G:G, "Omission", Q:Q, "&gt;=" &amp; $E$7)</f>
        <v>1</v>
      </c>
    </row>
    <row r="12" spans="1:34">
      <c r="D12" t="s">
        <v>457</v>
      </c>
      <c r="E12">
        <f>E10/(E10+E11)</f>
        <v>0</v>
      </c>
    </row>
    <row r="13" spans="1:34">
      <c r="D13" t="s">
        <v>458</v>
      </c>
      <c r="E13">
        <f>COUNTIFS(G:G, "Addition", Q:Q, "&lt;" &amp; $E$7)</f>
        <v>1</v>
      </c>
    </row>
    <row r="14" spans="1:34">
      <c r="D14" t="s">
        <v>459</v>
      </c>
      <c r="E14">
        <f>COUNTIFS(G:G, "Omission", Q:Q, "&lt;" &amp; $E$7)</f>
        <v>0</v>
      </c>
    </row>
    <row r="15" spans="1:34">
      <c r="D15" t="s">
        <v>460</v>
      </c>
      <c r="E15">
        <f>E13/(E13+E14)</f>
        <v>1</v>
      </c>
    </row>
    <row r="16" spans="1:34">
      <c r="D16" t="s">
        <v>476</v>
      </c>
      <c r="E16">
        <f>E12-E15</f>
        <v>-1</v>
      </c>
    </row>
  </sheetData>
  <conditionalFormatting sqref="G2:G3">
    <cfRule type="expression" dxfId="74" priority="7">
      <formula>$I2&lt;&gt;""</formula>
    </cfRule>
    <cfRule type="expression" dxfId="73" priority="8">
      <formula>$I2=""</formula>
    </cfRule>
  </conditionalFormatting>
  <conditionalFormatting sqref="H2:L3 O2:P3">
    <cfRule type="expression" dxfId="72" priority="21">
      <formula>AND(OR($I2="Addition",$I2="Omission"), H2="")</formula>
    </cfRule>
    <cfRule type="expression" dxfId="71" priority="22">
      <formula>AND($I2&lt;&gt;"Addition",$I2&lt;&gt;"Omission",$I2&lt;&gt;"Substitution - Word")</formula>
    </cfRule>
  </conditionalFormatting>
  <conditionalFormatting sqref="H2:P3">
    <cfRule type="expression" dxfId="70" priority="20">
      <formula>AND(OR($I2="Addition",$I2="Omission"), H2&lt;&gt;"")</formula>
    </cfRule>
  </conditionalFormatting>
  <conditionalFormatting sqref="K2:K3">
    <cfRule type="expression" dxfId="69" priority="18">
      <formula>AND($K2&lt;&gt;"",$K2&gt;1)</formula>
    </cfRule>
  </conditionalFormatting>
  <conditionalFormatting sqref="M2:N3">
    <cfRule type="expression" dxfId="68" priority="14">
      <formula>$N2="Absent"</formula>
    </cfRule>
    <cfRule type="expression" dxfId="67" priority="15">
      <formula>$N2="NA"</formula>
    </cfRule>
    <cfRule type="expression" dxfId="66" priority="16">
      <formula>AND(OR($I2="Addition",$I2="Omission"), M2="")</formula>
    </cfRule>
    <cfRule type="expression" dxfId="65" priority="17">
      <formula>AND($I2&lt;&gt;"Addition",$I2&lt;&gt;"Omission")</formula>
    </cfRule>
  </conditionalFormatting>
  <conditionalFormatting sqref="O2:O3">
    <cfRule type="expression" dxfId="64" priority="19">
      <formula>OR($I2="Addition",$I2="Omission",$I2 = "Substitution - Word")</formula>
    </cfRule>
  </conditionalFormatting>
  <conditionalFormatting sqref="Q2:Q3">
    <cfRule type="expression" dxfId="63" priority="1">
      <formula>AND(OR($I2="Addition",$I2="Omission"), Q2&lt;&gt;"")</formula>
    </cfRule>
    <cfRule type="expression" dxfId="62" priority="2">
      <formula>AND(OR($I2="Addition",$I2="Omission"), Q2="")</formula>
    </cfRule>
    <cfRule type="expression" dxfId="61" priority="3">
      <formula>AND($I2&lt;&gt;"Addition",$I2&lt;&gt;"Omission",$I2&lt;&gt;"Substitution - Word")</formula>
    </cfRule>
  </conditionalFormatting>
  <conditionalFormatting sqref="R2:T3">
    <cfRule type="expression" dxfId="60" priority="4">
      <formula>AND(AND(LEFT($I2,3)="Sub", RIGHT($I2,4)&lt;&gt;"Form"),$T2&lt;&gt;"")</formula>
    </cfRule>
    <cfRule type="expression" dxfId="59" priority="5">
      <formula>AND(AND(LEFT($I2,3)="Sub", RIGHT($I2,4)&lt;&gt;"Form"),$T2="")</formula>
    </cfRule>
    <cfRule type="expression" dxfId="58" priority="6">
      <formula>"&lt;&gt;AND(LEFT($J2,3)=""Sub"", RIGHT($J2,4)&lt;&gt;""Form"")"</formula>
    </cfRule>
  </conditionalFormatting>
  <conditionalFormatting sqref="U2:U3">
    <cfRule type="expression" dxfId="57" priority="10">
      <formula>AND($W2&lt;&gt;"",OR($AD2="Yes",$AE2&lt;&gt;""))</formula>
    </cfRule>
    <cfRule type="expression" dxfId="56" priority="11">
      <formula>OR($AD2="Yes",$AE2&lt;&gt;"")</formula>
    </cfRule>
    <cfRule type="expression" dxfId="55" priority="25">
      <formula>AND($AD2&lt;&gt;"Yes",$AE2="")</formula>
    </cfRule>
  </conditionalFormatting>
  <conditionalFormatting sqref="U2:AD3">
    <cfRule type="expression" dxfId="54" priority="23">
      <formula>AND($I2&lt;&gt;"",$I2&lt;&gt;"Unclear due to correction")</formula>
    </cfRule>
    <cfRule type="expression" dxfId="53" priority="24">
      <formula>OR($I2="",$I2="Unclear due to correction")</formula>
    </cfRule>
  </conditionalFormatting>
  <conditionalFormatting sqref="V2:V3">
    <cfRule type="expression" dxfId="52" priority="9">
      <formula>AND($I2&lt;&gt;"",$I2&lt;&gt;"Unclear due to correction",$X2="")</formula>
    </cfRule>
  </conditionalFormatting>
  <conditionalFormatting sqref="W2:W3">
    <cfRule type="expression" dxfId="51" priority="12">
      <formula>AND($X2="Yes",$Y2="")</formula>
    </cfRule>
    <cfRule type="expression" dxfId="50" priority="13">
      <formula>$X2=""</formula>
    </cfRule>
  </conditionalFormatting>
  <conditionalFormatting sqref="AB2:AB3">
    <cfRule type="expression" dxfId="49" priority="26">
      <formula>AND(OR($AB2&lt;&gt;"",$AC2&lt;&gt;""),$AD2="")</formula>
    </cfRule>
  </conditionalFormatting>
  <dataValidations count="1">
    <dataValidation allowBlank="1" showInputMessage="1" sqref="V2:V3" xr:uid="{4F62DD01-A89F-4B12-ACD6-110693F343C5}"/>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13E6DA6B-F2A3-414A-9744-CBE61016E137}">
          <x14:formula1>
            <xm:f>'Data Regularization'!$Q$2:$Q$4</xm:f>
          </x14:formula1>
          <xm:sqref>AG2:AG3 AE2:AE3</xm:sqref>
        </x14:dataValidation>
        <x14:dataValidation type="list" allowBlank="1" showInputMessage="1" showErrorMessage="1" xr:uid="{A5BF6DA9-A46A-4225-8087-30EB7C348908}">
          <x14:formula1>
            <xm:f>'Data Regularization'!$D$2:$D$1048576</xm:f>
          </x14:formula1>
          <xm:sqref>G2:G3</xm:sqref>
        </x14:dataValidation>
        <x14:dataValidation type="list" allowBlank="1" showInputMessage="1" showErrorMessage="1" xr:uid="{9478965E-1D88-454D-9B04-BC1586790F7D}">
          <x14:formula1>
            <xm:f>'Data Regularization'!$E$2:$E$1048576</xm:f>
          </x14:formula1>
          <xm:sqref>K2:K3</xm:sqref>
        </x14:dataValidation>
        <x14:dataValidation type="list" allowBlank="1" showInputMessage="1" showErrorMessage="1" xr:uid="{429524E9-9FA8-48A0-97D6-2AB2A40C5E4F}">
          <x14:formula1>
            <xm:f>'Data Regularization'!$F$2:$F$1048576</xm:f>
          </x14:formula1>
          <xm:sqref>L2:L3</xm:sqref>
        </x14:dataValidation>
        <x14:dataValidation type="list" allowBlank="1" showInputMessage="1" showErrorMessage="1" xr:uid="{31D0A389-6273-4A7D-A328-1680D915B020}">
          <x14:formula1>
            <xm:f>'Data Regularization'!$G$2:$G$1048576</xm:f>
          </x14:formula1>
          <xm:sqref>O2:O3</xm:sqref>
        </x14:dataValidation>
        <x14:dataValidation type="list" allowBlank="1" showInputMessage="1" showErrorMessage="1" xr:uid="{241A5A7B-E2C3-450F-8200-B7EF86F06A09}">
          <x14:formula1>
            <xm:f>'Data Regularization'!$K$2:$K$1048576</xm:f>
          </x14:formula1>
          <xm:sqref>W2:W3 U2:U3</xm:sqref>
        </x14:dataValidation>
        <x14:dataValidation type="list" allowBlank="1" showInputMessage="1" showErrorMessage="1" xr:uid="{9E17ECE3-D650-406C-9B9E-794C7351B431}">
          <x14:formula1>
            <xm:f>'Data Regularization'!$L$2:$L$1048576</xm:f>
          </x14:formula1>
          <xm:sqref>X2:X3</xm:sqref>
        </x14:dataValidation>
        <x14:dataValidation type="list" allowBlank="1" showInputMessage="1" showErrorMessage="1" xr:uid="{822460C6-31C8-48FD-B0AC-3263EDC2F6AF}">
          <x14:formula1>
            <xm:f>'Data Regularization'!$M$2:$M$1048576</xm:f>
          </x14:formula1>
          <xm:sqref>Y2:Y3</xm:sqref>
        </x14:dataValidation>
        <x14:dataValidation type="list" allowBlank="1" showInputMessage="1" showErrorMessage="1" xr:uid="{B4E6C077-162C-4431-97A0-B8BD3756FA35}">
          <x14:formula1>
            <xm:f>'Data Regularization'!$N$2:$N$1048576</xm:f>
          </x14:formula1>
          <xm:sqref>Z2:Z3</xm:sqref>
        </x14:dataValidation>
        <x14:dataValidation type="list" allowBlank="1" showInputMessage="1" showErrorMessage="1" xr:uid="{C306323E-28B9-4A5C-B5BC-C668C0233D93}">
          <x14:formula1>
            <xm:f>'Data Regularization'!$O$2:$O$1048576</xm:f>
          </x14:formula1>
          <xm:sqref>AB2:AB3</xm:sqref>
        </x14:dataValidation>
        <x14:dataValidation type="list" allowBlank="1" showInputMessage="1" showErrorMessage="1" xr:uid="{AF82709D-0FF5-4C02-BBD8-70CD10E950EC}">
          <x14:formula1>
            <xm:f>'Data Regularization'!$P$2:$P$1048576</xm:f>
          </x14:formula1>
          <xm:sqref>AC2:AC3</xm:sqref>
        </x14:dataValidation>
        <x14:dataValidation type="list" allowBlank="1" showInputMessage="1" showErrorMessage="1" xr:uid="{ABB119E6-7CE5-45AA-B77D-845038E75282}">
          <x14:formula1>
            <xm:f>'Data Regularization'!$Q$2:$Q$1048576</xm:f>
          </x14:formula1>
          <xm:sqref>AD2:AD3</xm:sqref>
        </x14:dataValidation>
        <x14:dataValidation type="list" allowBlank="1" showInputMessage="1" showErrorMessage="1" xr:uid="{7DE4B289-756E-4F65-981A-68755677DEC5}">
          <x14:formula1>
            <xm:f>'Data Regularization'!$C$2:$C$29</xm:f>
          </x14:formula1>
          <xm:sqref>F2:F3</xm:sqref>
        </x14:dataValidation>
        <x14:dataValidation type="list" allowBlank="1" showInputMessage="1" showErrorMessage="1" xr:uid="{1DA1E671-BE7B-4238-BDA7-7782F08D8C40}">
          <x14:formula1>
            <xm:f>'Data Regularization'!$A$2:$A$1048576</xm:f>
          </x14:formula1>
          <xm:sqref>D2:D3</xm:sqref>
        </x14:dataValidation>
        <x14:dataValidation type="list" allowBlank="1" showInputMessage="1" showErrorMessage="1" xr:uid="{CDF14EB5-0562-4126-97E5-95D6C13EFD4C}">
          <x14:formula1>
            <xm:f>'Data Regularization'!$B$2:$B$1048576</xm:f>
          </x14:formula1>
          <xm:sqref>E2:E3</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4E01-46CF-47A2-B4AE-5709267E593E}">
  <dimension ref="A1:AJ23"/>
  <sheetViews>
    <sheetView workbookViewId="0"/>
  </sheetViews>
  <sheetFormatPr defaultRowHeight="14.5"/>
  <sheetData>
    <row r="1" spans="1:36" s="1" customFormat="1" ht="29">
      <c r="A1" s="1" t="s">
        <v>0</v>
      </c>
      <c r="B1" s="1" t="s">
        <v>5</v>
      </c>
      <c r="C1" s="2" t="s">
        <v>6</v>
      </c>
      <c r="D1" s="1" t="s">
        <v>354</v>
      </c>
      <c r="E1" s="1" t="s">
        <v>355</v>
      </c>
      <c r="F1" s="1" t="s">
        <v>356</v>
      </c>
      <c r="G1" s="1" t="s">
        <v>3</v>
      </c>
      <c r="H1" s="1" t="s">
        <v>357</v>
      </c>
      <c r="I1" s="1" t="s">
        <v>358</v>
      </c>
      <c r="J1" s="1" t="s">
        <v>359</v>
      </c>
      <c r="K1" s="1" t="s">
        <v>360</v>
      </c>
      <c r="L1" s="1" t="s">
        <v>319</v>
      </c>
      <c r="M1" s="1" t="s">
        <v>361</v>
      </c>
      <c r="N1" s="6" t="s">
        <v>362</v>
      </c>
      <c r="O1" s="1" t="s">
        <v>320</v>
      </c>
      <c r="P1" s="1" t="s">
        <v>363</v>
      </c>
      <c r="Q1" s="1" t="s">
        <v>364</v>
      </c>
      <c r="R1" s="1" t="s">
        <v>450</v>
      </c>
      <c r="S1" s="1" t="s">
        <v>451</v>
      </c>
      <c r="T1" s="1" t="s">
        <v>466</v>
      </c>
      <c r="U1" s="1" t="s">
        <v>467</v>
      </c>
      <c r="V1" s="1" t="s">
        <v>468</v>
      </c>
      <c r="W1" s="1" t="s">
        <v>367</v>
      </c>
      <c r="X1" s="1" t="s">
        <v>368</v>
      </c>
      <c r="Y1" s="1" t="s">
        <v>369</v>
      </c>
      <c r="Z1" s="1" t="s">
        <v>321</v>
      </c>
      <c r="AA1" s="1" t="s">
        <v>322</v>
      </c>
      <c r="AB1" s="1" t="s">
        <v>323</v>
      </c>
      <c r="AC1" s="1" t="s">
        <v>365</v>
      </c>
      <c r="AD1" s="1" t="s">
        <v>370</v>
      </c>
      <c r="AE1" s="1" t="s">
        <v>324</v>
      </c>
      <c r="AF1" s="1" t="s">
        <v>366</v>
      </c>
      <c r="AG1" s="1" t="s">
        <v>382</v>
      </c>
      <c r="AH1" s="1" t="s">
        <v>380</v>
      </c>
      <c r="AI1" s="1" t="s">
        <v>381</v>
      </c>
    </row>
    <row r="2" spans="1:36" ht="29">
      <c r="A2" t="s">
        <v>48</v>
      </c>
      <c r="B2" s="3" t="s">
        <v>172</v>
      </c>
      <c r="C2" s="3" t="s">
        <v>171</v>
      </c>
      <c r="G2" s="7" t="s">
        <v>372</v>
      </c>
      <c r="H2" s="7"/>
      <c r="I2" s="7"/>
      <c r="J2" s="7"/>
      <c r="K2" s="7"/>
      <c r="L2" s="7"/>
      <c r="M2" s="7"/>
      <c r="N2" s="8"/>
      <c r="O2" s="7"/>
      <c r="P2" s="7"/>
      <c r="Q2" s="7">
        <v>-249</v>
      </c>
      <c r="R2" s="7">
        <v>280</v>
      </c>
      <c r="S2" s="7">
        <v>31</v>
      </c>
      <c r="T2" s="10">
        <v>137.67332087717574</v>
      </c>
      <c r="U2" s="10">
        <v>15.242403382830171</v>
      </c>
      <c r="V2" s="10">
        <v>-122.43091749434556</v>
      </c>
      <c r="W2" s="7"/>
      <c r="X2" s="7"/>
      <c r="Y2" s="7"/>
      <c r="Z2" s="7"/>
      <c r="AA2" s="7"/>
      <c r="AB2" s="7"/>
      <c r="AC2" s="7"/>
      <c r="AD2" s="7"/>
      <c r="AE2" s="7"/>
      <c r="AF2" s="7"/>
      <c r="AG2" t="s">
        <v>19</v>
      </c>
      <c r="AH2" t="s">
        <v>20</v>
      </c>
      <c r="AJ2">
        <v>1</v>
      </c>
    </row>
    <row r="3" spans="1:36" ht="29">
      <c r="A3" t="s">
        <v>56</v>
      </c>
      <c r="B3" s="3" t="s">
        <v>59</v>
      </c>
      <c r="C3" s="3" t="s">
        <v>60</v>
      </c>
      <c r="G3" s="7" t="s">
        <v>372</v>
      </c>
      <c r="H3" s="7"/>
      <c r="I3" s="7"/>
      <c r="J3" s="7"/>
      <c r="K3" s="7"/>
      <c r="L3" s="7"/>
      <c r="M3" s="7"/>
      <c r="N3" s="8"/>
      <c r="O3" s="7"/>
      <c r="P3" s="7"/>
      <c r="Q3" s="7">
        <v>7</v>
      </c>
      <c r="R3" s="7">
        <v>1</v>
      </c>
      <c r="S3" s="7">
        <v>8</v>
      </c>
      <c r="T3" s="10">
        <v>0.49169043170419907</v>
      </c>
      <c r="U3" s="10">
        <v>3.9335234536335926</v>
      </c>
      <c r="V3" s="10">
        <v>3.4418330219293933</v>
      </c>
      <c r="W3" s="7"/>
      <c r="X3" s="7"/>
      <c r="Y3" s="7"/>
      <c r="Z3" s="7"/>
      <c r="AA3" s="7"/>
      <c r="AB3" s="7"/>
      <c r="AC3" s="7"/>
      <c r="AD3" s="7"/>
      <c r="AE3" s="7"/>
      <c r="AF3" s="7"/>
      <c r="AG3" t="s">
        <v>20</v>
      </c>
      <c r="AH3" t="s">
        <v>20</v>
      </c>
      <c r="AJ3">
        <v>0</v>
      </c>
    </row>
    <row r="4" spans="1:36">
      <c r="A4" t="s">
        <v>125</v>
      </c>
      <c r="B4" s="3" t="s">
        <v>127</v>
      </c>
      <c r="C4" s="3" t="s">
        <v>128</v>
      </c>
      <c r="F4" t="s">
        <v>19</v>
      </c>
      <c r="G4" s="7" t="s">
        <v>372</v>
      </c>
      <c r="H4" s="7"/>
      <c r="I4" s="7"/>
      <c r="J4" s="7"/>
      <c r="K4" s="7"/>
      <c r="L4" s="7"/>
      <c r="M4" s="7"/>
      <c r="N4" s="8"/>
      <c r="O4" s="7"/>
      <c r="P4" s="7"/>
      <c r="Q4" s="7">
        <v>-1</v>
      </c>
      <c r="R4" s="7">
        <v>1</v>
      </c>
      <c r="S4" s="7">
        <v>0</v>
      </c>
      <c r="T4" s="10">
        <v>0.49169043170419907</v>
      </c>
      <c r="U4" s="10">
        <v>0</v>
      </c>
      <c r="V4" s="10">
        <v>-0.49169043170419907</v>
      </c>
      <c r="W4" s="7"/>
      <c r="X4" s="7"/>
      <c r="Y4" s="7"/>
      <c r="Z4" s="7"/>
      <c r="AA4" s="7"/>
      <c r="AB4" s="7"/>
      <c r="AC4" s="7"/>
      <c r="AD4" s="7"/>
      <c r="AE4" s="7"/>
      <c r="AF4" s="7"/>
      <c r="AG4" t="s">
        <v>19</v>
      </c>
      <c r="AH4" t="s">
        <v>20</v>
      </c>
      <c r="AJ4">
        <v>1</v>
      </c>
    </row>
    <row r="7" spans="1:36">
      <c r="D7" t="s">
        <v>449</v>
      </c>
      <c r="E7">
        <v>20338</v>
      </c>
    </row>
    <row r="10" spans="1:36">
      <c r="D10" t="s">
        <v>469</v>
      </c>
      <c r="E10">
        <f>COUNTIF(Q:Q, "&gt;0")</f>
        <v>1</v>
      </c>
    </row>
    <row r="11" spans="1:36">
      <c r="D11" t="s">
        <v>470</v>
      </c>
      <c r="E11">
        <f>COUNTIF(Q:Q, "&lt;0")</f>
        <v>2</v>
      </c>
    </row>
    <row r="12" spans="1:36">
      <c r="D12" t="s">
        <v>471</v>
      </c>
      <c r="E12">
        <f>_xlfn.BINOM.DIST(MIN(E10,E11),(E10+E11),0.5,TRUE)*2</f>
        <v>1</v>
      </c>
    </row>
    <row r="14" spans="1:36">
      <c r="D14" t="s">
        <v>472</v>
      </c>
      <c r="E14">
        <f>AVERAGE(Q:Q)</f>
        <v>-81</v>
      </c>
    </row>
    <row r="15" spans="1:36">
      <c r="D15" t="s">
        <v>473</v>
      </c>
      <c r="E15">
        <f>_xlfn.STDEV.S(Q:Q)</f>
        <v>145.54724318928203</v>
      </c>
    </row>
    <row r="18" spans="4:5">
      <c r="D18" t="s">
        <v>474</v>
      </c>
      <c r="E18">
        <f>AVERAGE(V:V)</f>
        <v>-39.826924968040124</v>
      </c>
    </row>
    <row r="19" spans="4:5">
      <c r="D19" t="s">
        <v>475</v>
      </c>
      <c r="E19">
        <f>_xlfn.STDEV.S(V:V)</f>
        <v>71.564186837094127</v>
      </c>
    </row>
    <row r="22" spans="4:5">
      <c r="D22" t="s">
        <v>477</v>
      </c>
      <c r="E22">
        <f>COUNT(V:V)</f>
        <v>3</v>
      </c>
    </row>
    <row r="23" spans="4:5">
      <c r="D23" t="s">
        <v>478</v>
      </c>
      <c r="E23">
        <f>_xlfn.STDEV.P(V:V)</f>
        <v>58.431913869360322</v>
      </c>
    </row>
  </sheetData>
  <conditionalFormatting sqref="G2:G4">
    <cfRule type="expression" dxfId="48" priority="7">
      <formula>$I2&lt;&gt;""</formula>
    </cfRule>
    <cfRule type="expression" dxfId="47" priority="8">
      <formula>$I2=""</formula>
    </cfRule>
  </conditionalFormatting>
  <conditionalFormatting sqref="H2:L4 O2:P4">
    <cfRule type="expression" dxfId="46" priority="21">
      <formula>AND(OR($I2="Addition",$I2="Omission"), H2="")</formula>
    </cfRule>
    <cfRule type="expression" dxfId="45" priority="22">
      <formula>AND($I2&lt;&gt;"Addition",$I2&lt;&gt;"Omission",$I2&lt;&gt;"Substitution - Word")</formula>
    </cfRule>
  </conditionalFormatting>
  <conditionalFormatting sqref="H2:P4">
    <cfRule type="expression" dxfId="44" priority="20">
      <formula>AND(OR($I2="Addition",$I2="Omission"), H2&lt;&gt;"")</formula>
    </cfRule>
  </conditionalFormatting>
  <conditionalFormatting sqref="K2:K4">
    <cfRule type="expression" dxfId="43" priority="18">
      <formula>AND($K2&lt;&gt;"",$K2&gt;1)</formula>
    </cfRule>
  </conditionalFormatting>
  <conditionalFormatting sqref="M2:N4">
    <cfRule type="expression" dxfId="42" priority="14">
      <formula>$N2="Absent"</formula>
    </cfRule>
    <cfRule type="expression" dxfId="41" priority="15">
      <formula>$N2="NA"</formula>
    </cfRule>
    <cfRule type="expression" dxfId="40" priority="16">
      <formula>AND(OR($I2="Addition",$I2="Omission"), M2="")</formula>
    </cfRule>
    <cfRule type="expression" dxfId="39" priority="17">
      <formula>AND($I2&lt;&gt;"Addition",$I2&lt;&gt;"Omission")</formula>
    </cfRule>
  </conditionalFormatting>
  <conditionalFormatting sqref="O2:O4">
    <cfRule type="expression" dxfId="38" priority="19">
      <formula>OR($I2="Addition",$I2="Omission",$I2 = "Substitution - Word")</formula>
    </cfRule>
  </conditionalFormatting>
  <conditionalFormatting sqref="Q2:V4">
    <cfRule type="expression" dxfId="37" priority="1">
      <formula>AND(AND(LEFT($I2,3)="Sub", RIGHT($I2,4)&lt;&gt;"Form"),$S2&lt;&gt;"")</formula>
    </cfRule>
    <cfRule type="expression" dxfId="36" priority="2">
      <formula>AND(AND(LEFT($I2,3)="Sub", RIGHT($I2,4)&lt;&gt;"Form"),$S2="")</formula>
    </cfRule>
    <cfRule type="expression" dxfId="35" priority="3">
      <formula>"&lt;&gt;AND(LEFT($J2,3)=""Sub"", RIGHT($J2,4)&lt;&gt;""Form"")"</formula>
    </cfRule>
  </conditionalFormatting>
  <conditionalFormatting sqref="W2:W4">
    <cfRule type="expression" dxfId="34" priority="10">
      <formula>AND($Y2&lt;&gt;"",OR($AF2="Yes",$AG2&lt;&gt;""))</formula>
    </cfRule>
    <cfRule type="expression" dxfId="33" priority="11">
      <formula>OR($AF2="Yes",$AG2&lt;&gt;"")</formula>
    </cfRule>
    <cfRule type="expression" dxfId="32" priority="25">
      <formula>AND($AF2&lt;&gt;"Yes",$AG2="")</formula>
    </cfRule>
  </conditionalFormatting>
  <conditionalFormatting sqref="W2:AF4">
    <cfRule type="expression" dxfId="31" priority="23">
      <formula>AND($I2&lt;&gt;"",$I2&lt;&gt;"Unclear due to correction")</formula>
    </cfRule>
    <cfRule type="expression" dxfId="30" priority="24">
      <formula>OR($I2="",$I2="Unclear due to correction")</formula>
    </cfRule>
  </conditionalFormatting>
  <conditionalFormatting sqref="X2:X4">
    <cfRule type="expression" dxfId="29" priority="9">
      <formula>AND($I2&lt;&gt;"",$I2&lt;&gt;"Unclear due to correction",$Z2="")</formula>
    </cfRule>
  </conditionalFormatting>
  <conditionalFormatting sqref="Y2:Y4">
    <cfRule type="expression" dxfId="28" priority="12">
      <formula>AND($Z2="Yes",$AA2="")</formula>
    </cfRule>
    <cfRule type="expression" dxfId="27" priority="13">
      <formula>$Z2=""</formula>
    </cfRule>
  </conditionalFormatting>
  <conditionalFormatting sqref="AD2:AD4">
    <cfRule type="expression" dxfId="26" priority="26">
      <formula>AND(OR($AD2&lt;&gt;"",$AE2&lt;&gt;""),$AF2="")</formula>
    </cfRule>
  </conditionalFormatting>
  <dataValidations count="1">
    <dataValidation allowBlank="1" showInputMessage="1" sqref="X2:X4" xr:uid="{DCAB4DCE-0510-488E-BBBC-7EFFDF2B635A}"/>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071A6C03-AB9E-4CF5-A533-29B0B053102B}">
          <x14:formula1>
            <xm:f>'Data Regularization'!$Q$2:$Q$4</xm:f>
          </x14:formula1>
          <xm:sqref>AI2:AI4 AG2:AG4</xm:sqref>
        </x14:dataValidation>
        <x14:dataValidation type="list" allowBlank="1" showInputMessage="1" showErrorMessage="1" xr:uid="{1BE4DC1D-AEFE-4E1F-9876-B22F6E4A7D4F}">
          <x14:formula1>
            <xm:f>'Data Regularization'!$D$2:$D$1048576</xm:f>
          </x14:formula1>
          <xm:sqref>G2:G4</xm:sqref>
        </x14:dataValidation>
        <x14:dataValidation type="list" allowBlank="1" showInputMessage="1" showErrorMessage="1" xr:uid="{E923AA5D-2DCC-4811-BE39-0807589FF3FD}">
          <x14:formula1>
            <xm:f>'Data Regularization'!$E$2:$E$1048576</xm:f>
          </x14:formula1>
          <xm:sqref>K2:K4</xm:sqref>
        </x14:dataValidation>
        <x14:dataValidation type="list" allowBlank="1" showInputMessage="1" showErrorMessage="1" xr:uid="{53C5785A-3A2F-4BAB-B0D7-A8B08F9D0AD9}">
          <x14:formula1>
            <xm:f>'Data Regularization'!$F$2:$F$1048576</xm:f>
          </x14:formula1>
          <xm:sqref>L2:L4</xm:sqref>
        </x14:dataValidation>
        <x14:dataValidation type="list" allowBlank="1" showInputMessage="1" showErrorMessage="1" xr:uid="{94FDA2BA-9B50-4504-AECF-7517CEB98B99}">
          <x14:formula1>
            <xm:f>'Data Regularization'!$G$2:$G$1048576</xm:f>
          </x14:formula1>
          <xm:sqref>O2:O4</xm:sqref>
        </x14:dataValidation>
        <x14:dataValidation type="list" allowBlank="1" showInputMessage="1" showErrorMessage="1" xr:uid="{36ED0C3E-32A4-4A5E-9BE6-15D00D8BAEB4}">
          <x14:formula1>
            <xm:f>'Data Regularization'!$K$2:$K$1048576</xm:f>
          </x14:formula1>
          <xm:sqref>Y2:Y4 W2:W4</xm:sqref>
        </x14:dataValidation>
        <x14:dataValidation type="list" allowBlank="1" showInputMessage="1" showErrorMessage="1" xr:uid="{B5063263-6EA6-4173-8D3E-AF23FA1CA10B}">
          <x14:formula1>
            <xm:f>'Data Regularization'!$L$2:$L$1048576</xm:f>
          </x14:formula1>
          <xm:sqref>Z2:Z4</xm:sqref>
        </x14:dataValidation>
        <x14:dataValidation type="list" allowBlank="1" showInputMessage="1" showErrorMessage="1" xr:uid="{73450556-44A8-46B8-8168-20F0EC4CF16D}">
          <x14:formula1>
            <xm:f>'Data Regularization'!$M$2:$M$1048576</xm:f>
          </x14:formula1>
          <xm:sqref>AA2:AA4</xm:sqref>
        </x14:dataValidation>
        <x14:dataValidation type="list" allowBlank="1" showInputMessage="1" showErrorMessage="1" xr:uid="{62FE57C8-0422-410A-A482-F3E9E7EA0C63}">
          <x14:formula1>
            <xm:f>'Data Regularization'!$N$2:$N$1048576</xm:f>
          </x14:formula1>
          <xm:sqref>AB2:AB4</xm:sqref>
        </x14:dataValidation>
        <x14:dataValidation type="list" allowBlank="1" showInputMessage="1" showErrorMessage="1" xr:uid="{C2985FC6-BE34-43CB-B749-8B1761A9E3ED}">
          <x14:formula1>
            <xm:f>'Data Regularization'!$O$2:$O$1048576</xm:f>
          </x14:formula1>
          <xm:sqref>AD2:AD4</xm:sqref>
        </x14:dataValidation>
        <x14:dataValidation type="list" allowBlank="1" showInputMessage="1" showErrorMessage="1" xr:uid="{4AE05664-F17D-4845-B595-448F445BFF39}">
          <x14:formula1>
            <xm:f>'Data Regularization'!$P$2:$P$1048576</xm:f>
          </x14:formula1>
          <xm:sqref>AE2:AE4</xm:sqref>
        </x14:dataValidation>
        <x14:dataValidation type="list" allowBlank="1" showInputMessage="1" showErrorMessage="1" xr:uid="{6F52AB43-E615-476C-804E-684478651CE4}">
          <x14:formula1>
            <xm:f>'Data Regularization'!$Q$2:$Q$1048576</xm:f>
          </x14:formula1>
          <xm:sqref>AF2:AF4</xm:sqref>
        </x14:dataValidation>
        <x14:dataValidation type="list" allowBlank="1" showInputMessage="1" showErrorMessage="1" xr:uid="{EB325734-5977-4830-BCBD-DBF5E9239624}">
          <x14:formula1>
            <xm:f>'Data Regularization'!$C$2:$C$29</xm:f>
          </x14:formula1>
          <xm:sqref>F2:F4</xm:sqref>
        </x14:dataValidation>
        <x14:dataValidation type="list" allowBlank="1" showInputMessage="1" showErrorMessage="1" xr:uid="{F97A383E-5EE3-4B6A-98F8-172027FDABEE}">
          <x14:formula1>
            <xm:f>'Data Regularization'!$A$2:$A$1048576</xm:f>
          </x14:formula1>
          <xm:sqref>D2:D4</xm:sqref>
        </x14:dataValidation>
        <x14:dataValidation type="list" allowBlank="1" showInputMessage="1" showErrorMessage="1" xr:uid="{CDA9E54E-CB60-4639-B389-DA6AA65015DA}">
          <x14:formula1>
            <xm:f>'Data Regularization'!$B$2:$B$1048576</xm:f>
          </x14:formula1>
          <xm:sqref>E2:E4</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25D12-6B7D-4385-A278-3A874E564833}">
  <dimension ref="A1:AI14"/>
  <sheetViews>
    <sheetView workbookViewId="0"/>
  </sheetViews>
  <sheetFormatPr defaultRowHeight="14.5"/>
  <sheetData>
    <row r="1" spans="1:35" s="1" customFormat="1" ht="29">
      <c r="A1" s="1" t="s">
        <v>0</v>
      </c>
      <c r="B1" s="1" t="s">
        <v>5</v>
      </c>
      <c r="C1" s="2" t="s">
        <v>6</v>
      </c>
      <c r="D1" s="1" t="s">
        <v>354</v>
      </c>
      <c r="E1" s="1" t="s">
        <v>355</v>
      </c>
      <c r="F1" s="1" t="s">
        <v>356</v>
      </c>
      <c r="G1" s="1" t="s">
        <v>7</v>
      </c>
      <c r="H1" s="1" t="s">
        <v>3</v>
      </c>
      <c r="I1" s="1" t="s">
        <v>357</v>
      </c>
      <c r="J1" s="1" t="s">
        <v>358</v>
      </c>
      <c r="K1" s="1" t="s">
        <v>359</v>
      </c>
      <c r="L1" s="1" t="s">
        <v>360</v>
      </c>
      <c r="M1" s="1" t="s">
        <v>319</v>
      </c>
      <c r="N1" s="1" t="s">
        <v>361</v>
      </c>
      <c r="O1" s="6" t="s">
        <v>362</v>
      </c>
      <c r="P1" s="1" t="s">
        <v>320</v>
      </c>
      <c r="Q1" s="1" t="s">
        <v>363</v>
      </c>
      <c r="R1" s="1" t="s">
        <v>364</v>
      </c>
      <c r="S1" s="1" t="s">
        <v>450</v>
      </c>
      <c r="T1" s="1" t="s">
        <v>451</v>
      </c>
      <c r="U1" s="1" t="s">
        <v>367</v>
      </c>
      <c r="V1" s="1" t="s">
        <v>499</v>
      </c>
      <c r="W1" s="1" t="s">
        <v>368</v>
      </c>
      <c r="X1" s="1" t="s">
        <v>369</v>
      </c>
      <c r="Y1" s="1" t="s">
        <v>321</v>
      </c>
      <c r="Z1" s="1" t="s">
        <v>322</v>
      </c>
      <c r="AA1" s="1" t="s">
        <v>323</v>
      </c>
      <c r="AB1" s="1" t="s">
        <v>365</v>
      </c>
      <c r="AC1" s="1" t="s">
        <v>370</v>
      </c>
      <c r="AD1" s="1" t="s">
        <v>324</v>
      </c>
      <c r="AE1" s="1" t="s">
        <v>366</v>
      </c>
      <c r="AF1" s="1" t="s">
        <v>382</v>
      </c>
      <c r="AG1" s="1" t="s">
        <v>380</v>
      </c>
      <c r="AH1" s="1" t="s">
        <v>381</v>
      </c>
    </row>
    <row r="2" spans="1:35" ht="29">
      <c r="A2" t="s">
        <v>120</v>
      </c>
      <c r="B2" s="3" t="s">
        <v>190</v>
      </c>
      <c r="C2" s="3" t="s">
        <v>189</v>
      </c>
      <c r="G2" t="s">
        <v>503</v>
      </c>
      <c r="H2" s="7" t="s">
        <v>374</v>
      </c>
      <c r="I2" s="7"/>
      <c r="J2" s="7"/>
      <c r="K2" s="7"/>
      <c r="L2" s="7"/>
      <c r="M2" s="7"/>
      <c r="N2" s="7"/>
      <c r="O2" s="8"/>
      <c r="P2" s="7"/>
      <c r="Q2" s="7"/>
      <c r="R2" s="7"/>
      <c r="S2" s="7" t="s">
        <v>452</v>
      </c>
      <c r="T2" s="7" t="s">
        <v>452</v>
      </c>
      <c r="U2" s="7" t="s">
        <v>371</v>
      </c>
      <c r="V2" s="7" t="s">
        <v>502</v>
      </c>
      <c r="W2" s="7"/>
      <c r="X2" s="7"/>
      <c r="Y2" s="7"/>
      <c r="Z2" s="7"/>
      <c r="AA2" s="7"/>
      <c r="AB2" s="7"/>
      <c r="AC2" s="7"/>
      <c r="AD2" s="7"/>
      <c r="AE2" s="7"/>
      <c r="AF2" t="s">
        <v>19</v>
      </c>
      <c r="AG2" t="s">
        <v>20</v>
      </c>
      <c r="AI2">
        <v>1</v>
      </c>
    </row>
    <row r="5" spans="1:35">
      <c r="D5" t="s">
        <v>479</v>
      </c>
      <c r="E5">
        <f>COUNTIF(U:U, "Harmonizing")</f>
        <v>0</v>
      </c>
    </row>
    <row r="6" spans="1:35">
      <c r="D6" t="s">
        <v>480</v>
      </c>
      <c r="E6">
        <f>COUNTIF(U:U, "Disharmonizing")</f>
        <v>1</v>
      </c>
    </row>
    <row r="7" spans="1:35">
      <c r="D7" t="s">
        <v>481</v>
      </c>
      <c r="E7">
        <f>E5/(E5+E6)</f>
        <v>0</v>
      </c>
    </row>
    <row r="10" spans="1:35">
      <c r="E10" s="11" t="s">
        <v>504</v>
      </c>
      <c r="F10" s="11"/>
      <c r="G10" s="11"/>
      <c r="H10" s="11"/>
    </row>
    <row r="11" spans="1:35">
      <c r="E11" t="s">
        <v>500</v>
      </c>
      <c r="F11" t="s">
        <v>501</v>
      </c>
      <c r="G11" t="s">
        <v>502</v>
      </c>
      <c r="H11" t="s">
        <v>439</v>
      </c>
    </row>
    <row r="12" spans="1:35">
      <c r="D12" t="s">
        <v>479</v>
      </c>
      <c r="E12">
        <f>COUNTIFS($U$2:$U$2,"Harmonizing",$V$2:$V$2,"forward") + COUNTIFS($U$2:$U$2,"Harmonizing",$V$2:$V$2,"both")</f>
        <v>0</v>
      </c>
      <c r="F12">
        <f>COUNTIFS($U$2:$U$2,"Harmonizing",$V$2:$V$2,"backward") + COUNTIFS($U$2:$U$2,"Harmonizing",$V$2:$V$2,"both")</f>
        <v>0</v>
      </c>
      <c r="G12">
        <f>COUNTIFS($U$2:$U$2,"Harmonizing",$V$2:$V$2,"both")</f>
        <v>0</v>
      </c>
      <c r="H12">
        <f>COUNTIFS($U$2:$U$2,"Harmonizing",$V$2:$V$2,"both") + COUNTIFS($U$2:$U$2,"Harmonizing",$V$2:$V$2,"forward") + COUNTIFS($U$2:$U$2,"Harmonizing",$V$2:$V$2,"backward")</f>
        <v>0</v>
      </c>
    </row>
    <row r="13" spans="1:35">
      <c r="D13" t="s">
        <v>480</v>
      </c>
      <c r="E13">
        <f>COUNTIFS($U$2:$U$2,"Disharmonizing",$V$2:$V$2,"forward") + COUNTIFS($U$2:$U$2,"Disharmonizing",$V$2:$V$2,"both")</f>
        <v>1</v>
      </c>
      <c r="F13">
        <f>COUNTIFS($U$2:$U$2,"Disharmonizing",$V$2:$V$2,"backward") + COUNTIFS($U$2:$U$2,"Disharmonizing",$V$2:$V$2,"both")</f>
        <v>1</v>
      </c>
      <c r="G13">
        <f>COUNTIFS($U$2:$U$2,"Disharmonizing",$V$2:$V$2,"both")</f>
        <v>1</v>
      </c>
      <c r="H13">
        <f>COUNTIFS($U$2:$U$2,"Disharmonizing",$V$2:$V$2,"both") + COUNTIFS($U$2:$U$2,"Disharmonizing",$V$2:$V$2,"forward") + COUNTIFS($U$2:$U$2,"Disharmonizing",$V$2:$V$2,"backward")</f>
        <v>1</v>
      </c>
    </row>
    <row r="14" spans="1:35">
      <c r="D14" t="s">
        <v>481</v>
      </c>
      <c r="E14">
        <f>E12/(E12+E13)</f>
        <v>0</v>
      </c>
      <c r="F14">
        <f t="shared" ref="F14:H14" si="0">F12/(F12+F13)</f>
        <v>0</v>
      </c>
      <c r="G14">
        <f t="shared" si="0"/>
        <v>0</v>
      </c>
      <c r="H14">
        <f t="shared" si="0"/>
        <v>0</v>
      </c>
    </row>
  </sheetData>
  <mergeCells count="1">
    <mergeCell ref="E10:H10"/>
  </mergeCells>
  <conditionalFormatting sqref="H2">
    <cfRule type="expression" dxfId="25" priority="4">
      <formula>$J2&lt;&gt;""</formula>
    </cfRule>
    <cfRule type="expression" dxfId="24" priority="5">
      <formula>$J2=""</formula>
    </cfRule>
  </conditionalFormatting>
  <conditionalFormatting sqref="I2:M2 P2:Q2">
    <cfRule type="expression" dxfId="23" priority="21">
      <formula>AND(OR($J2="Addition",$J2="Omission"), I2="")</formula>
    </cfRule>
    <cfRule type="expression" dxfId="22" priority="22">
      <formula>AND($J2&lt;&gt;"Addition",$J2&lt;&gt;"Omission",$J2&lt;&gt;"Substitution - Word")</formula>
    </cfRule>
  </conditionalFormatting>
  <conditionalFormatting sqref="I2:Q2">
    <cfRule type="expression" dxfId="21" priority="20">
      <formula>AND(OR($J2="Addition",$J2="Omission"), I2&lt;&gt;"")</formula>
    </cfRule>
  </conditionalFormatting>
  <conditionalFormatting sqref="L2">
    <cfRule type="expression" dxfId="20" priority="15">
      <formula>AND($L2&lt;&gt;"",$L2&gt;1)</formula>
    </cfRule>
  </conditionalFormatting>
  <conditionalFormatting sqref="N2:O2">
    <cfRule type="expression" dxfId="19" priority="11">
      <formula>$O2="Absent"</formula>
    </cfRule>
    <cfRule type="expression" dxfId="18" priority="12">
      <formula>$O2="NA"</formula>
    </cfRule>
    <cfRule type="expression" dxfId="17" priority="13">
      <formula>AND(OR($J2="Addition",$J2="Omission"), N2="")</formula>
    </cfRule>
    <cfRule type="expression" dxfId="16" priority="14">
      <formula>AND($J2&lt;&gt;"Addition",$J2&lt;&gt;"Omission")</formula>
    </cfRule>
  </conditionalFormatting>
  <conditionalFormatting sqref="P2">
    <cfRule type="expression" dxfId="15" priority="16">
      <formula>OR($J2="Addition",$J2="Omission",$J2 = "Substitution - Word")</formula>
    </cfRule>
  </conditionalFormatting>
  <conditionalFormatting sqref="R2">
    <cfRule type="expression" dxfId="14" priority="17">
      <formula>AND(AND(LEFT($J2,3)="Sub", RIGHT($J2,4)&lt;&gt;"Form"),$W2&lt;&gt;"")</formula>
    </cfRule>
    <cfRule type="expression" dxfId="13" priority="18">
      <formula>AND(AND(LEFT($J2,3)="Sub", RIGHT($J2,4)&lt;&gt;"Form"),$W2="")</formula>
    </cfRule>
    <cfRule type="expression" dxfId="12" priority="19">
      <formula>"&lt;&gt;AND(LEFT($J2,3)=""Sub"", RIGHT($J2,4)&lt;&gt;""Form"")"</formula>
    </cfRule>
  </conditionalFormatting>
  <conditionalFormatting sqref="S2:T2">
    <cfRule type="expression" dxfId="11" priority="1">
      <formula>AND(AND(LEFT($J2,3)="Sub", RIGHT($J2,4)&lt;&gt;"Form"),$T2&lt;&gt;"")</formula>
    </cfRule>
    <cfRule type="expression" dxfId="10" priority="2">
      <formula>AND(AND(LEFT($J2,3)="Sub", RIGHT($J2,4)&lt;&gt;"Form"),$T2="")</formula>
    </cfRule>
    <cfRule type="expression" dxfId="9" priority="3">
      <formula>"&lt;&gt;AND(LEFT($J2,3)=""Sub"", RIGHT($J2,4)&lt;&gt;""Form"")"</formula>
    </cfRule>
  </conditionalFormatting>
  <conditionalFormatting sqref="U2:V2">
    <cfRule type="expression" dxfId="8" priority="7">
      <formula>AND($X2&lt;&gt;"",OR($AE2="Yes",$AF2&lt;&gt;""))</formula>
    </cfRule>
    <cfRule type="expression" dxfId="7" priority="8">
      <formula>OR($AE2="Yes",$AF2&lt;&gt;"")</formula>
    </cfRule>
    <cfRule type="expression" dxfId="6" priority="25">
      <formula>AND($AE2&lt;&gt;"Yes",$AF2="")</formula>
    </cfRule>
  </conditionalFormatting>
  <conditionalFormatting sqref="U2:AE2">
    <cfRule type="expression" dxfId="5" priority="23">
      <formula>AND($J2&lt;&gt;"",$J2&lt;&gt;"Unclear due to correction")</formula>
    </cfRule>
    <cfRule type="expression" dxfId="4" priority="24">
      <formula>OR($J2="",$J2="Unclear due to correction")</formula>
    </cfRule>
  </conditionalFormatting>
  <conditionalFormatting sqref="W2">
    <cfRule type="expression" dxfId="3" priority="6">
      <formula>AND($J2&lt;&gt;"",$J2&lt;&gt;"Unclear due to correction",$Y2="")</formula>
    </cfRule>
  </conditionalFormatting>
  <conditionalFormatting sqref="X2">
    <cfRule type="expression" dxfId="2" priority="9">
      <formula>AND($Y2="Yes",$Z2="")</formula>
    </cfRule>
    <cfRule type="expression" dxfId="1" priority="10">
      <formula>$Y2=""</formula>
    </cfRule>
  </conditionalFormatting>
  <conditionalFormatting sqref="AC2">
    <cfRule type="expression" dxfId="0" priority="26">
      <formula>AND(OR($AC2&lt;&gt;"",$AD2&lt;&gt;""),$AE2="")</formula>
    </cfRule>
  </conditionalFormatting>
  <dataValidations count="1">
    <dataValidation allowBlank="1" showInputMessage="1" sqref="W2" xr:uid="{2B41D06C-E6B1-4F2C-9DA9-795A254EC929}"/>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509D3B6E-6353-41F9-B447-D15DCB8A4563}">
          <x14:formula1>
            <xm:f>'Data Regularization'!$Q$2:$Q$4</xm:f>
          </x14:formula1>
          <xm:sqref>AF2:AH2</xm:sqref>
        </x14:dataValidation>
        <x14:dataValidation type="list" allowBlank="1" showInputMessage="1" showErrorMessage="1" xr:uid="{92FAB266-3E26-42A5-99B0-DEA974FB9DE8}">
          <x14:formula1>
            <xm:f>'Data Regularization'!$I$2:$I$5</xm:f>
          </x14:formula1>
          <xm:sqref>V2</xm:sqref>
        </x14:dataValidation>
        <x14:dataValidation type="list" allowBlank="1" showInputMessage="1" showErrorMessage="1" xr:uid="{6150797D-4F67-42EE-8B1C-836002A9BEB0}">
          <x14:formula1>
            <xm:f>'Data Regularization'!$D$2:$D$1048576</xm:f>
          </x14:formula1>
          <xm:sqref>H2</xm:sqref>
        </x14:dataValidation>
        <x14:dataValidation type="list" allowBlank="1" showInputMessage="1" showErrorMessage="1" xr:uid="{9525B1D3-244C-4C08-893A-8D0F216F9743}">
          <x14:formula1>
            <xm:f>'Data Regularization'!$E$2:$E$1048576</xm:f>
          </x14:formula1>
          <xm:sqref>L2</xm:sqref>
        </x14:dataValidation>
        <x14:dataValidation type="list" allowBlank="1" showInputMessage="1" showErrorMessage="1" xr:uid="{F17A275E-FE3D-40D7-856E-FEA911121DD6}">
          <x14:formula1>
            <xm:f>'Data Regularization'!$F$2:$F$1048576</xm:f>
          </x14:formula1>
          <xm:sqref>M2</xm:sqref>
        </x14:dataValidation>
        <x14:dataValidation type="list" allowBlank="1" showInputMessage="1" showErrorMessage="1" xr:uid="{2B5DA62E-B0C8-453D-ADFA-A84B1518A574}">
          <x14:formula1>
            <xm:f>'Data Regularization'!$G$2:$G$1048576</xm:f>
          </x14:formula1>
          <xm:sqref>P2</xm:sqref>
        </x14:dataValidation>
        <x14:dataValidation type="list" allowBlank="1" showInputMessage="1" showErrorMessage="1" xr:uid="{17DC3ABB-4EFB-4220-8A21-B970FBD87280}">
          <x14:formula1>
            <xm:f>'Data Regularization'!$K$2:$K$1048576</xm:f>
          </x14:formula1>
          <xm:sqref>X2 U2</xm:sqref>
        </x14:dataValidation>
        <x14:dataValidation type="list" allowBlank="1" showInputMessage="1" showErrorMessage="1" xr:uid="{0611C09F-51D8-4D9E-8D71-098D8F432781}">
          <x14:formula1>
            <xm:f>'Data Regularization'!$L$2:$L$1048576</xm:f>
          </x14:formula1>
          <xm:sqref>Y2</xm:sqref>
        </x14:dataValidation>
        <x14:dataValidation type="list" allowBlank="1" showInputMessage="1" showErrorMessage="1" xr:uid="{D57CE7F7-2DE1-4D31-9D7A-32A88B3015C5}">
          <x14:formula1>
            <xm:f>'Data Regularization'!$M$2:$M$1048576</xm:f>
          </x14:formula1>
          <xm:sqref>Z2</xm:sqref>
        </x14:dataValidation>
        <x14:dataValidation type="list" allowBlank="1" showInputMessage="1" showErrorMessage="1" xr:uid="{4A0966E9-3A11-4CB1-B860-8B8063FCB08C}">
          <x14:formula1>
            <xm:f>'Data Regularization'!$N$2:$N$1048576</xm:f>
          </x14:formula1>
          <xm:sqref>AA2</xm:sqref>
        </x14:dataValidation>
        <x14:dataValidation type="list" allowBlank="1" showInputMessage="1" showErrorMessage="1" xr:uid="{B3CDB78D-7485-42A1-B6FF-D0490DE9D03D}">
          <x14:formula1>
            <xm:f>'Data Regularization'!$O$2:$O$1048576</xm:f>
          </x14:formula1>
          <xm:sqref>AC2</xm:sqref>
        </x14:dataValidation>
        <x14:dataValidation type="list" allowBlank="1" showInputMessage="1" showErrorMessage="1" xr:uid="{25C423CA-C589-4E20-B43F-B63AB8FF1171}">
          <x14:formula1>
            <xm:f>'Data Regularization'!$P$2:$P$1048576</xm:f>
          </x14:formula1>
          <xm:sqref>AD2</xm:sqref>
        </x14:dataValidation>
        <x14:dataValidation type="list" allowBlank="1" showInputMessage="1" showErrorMessage="1" xr:uid="{83345875-A76E-4F1F-B44F-D11F7DEB2147}">
          <x14:formula1>
            <xm:f>'Data Regularization'!$Q$2:$Q$1048576</xm:f>
          </x14:formula1>
          <xm:sqref>AE2</xm:sqref>
        </x14:dataValidation>
        <x14:dataValidation type="list" allowBlank="1" showInputMessage="1" showErrorMessage="1" xr:uid="{6950A105-9CA1-4662-BD7D-A93261DEF709}">
          <x14:formula1>
            <xm:f>'Data Regularization'!$C$2:$C$29</xm:f>
          </x14:formula1>
          <xm:sqref>F2</xm:sqref>
        </x14:dataValidation>
        <x14:dataValidation type="list" allowBlank="1" showInputMessage="1" showErrorMessage="1" xr:uid="{058CFC46-C3C2-431A-9E6C-C70A50CFE961}">
          <x14:formula1>
            <xm:f>'Data Regularization'!$A$2:$A$1048576</xm:f>
          </x14:formula1>
          <xm:sqref>D2</xm:sqref>
        </x14:dataValidation>
        <x14:dataValidation type="list" allowBlank="1" showInputMessage="1" showErrorMessage="1" xr:uid="{525CE397-FB82-470F-9CB1-1B4152C8B6CD}">
          <x14:formula1>
            <xm:f>'Data Regularization'!$B$2:$B$1048576</xm:f>
          </x14:formula1>
          <xm:sqref>E2</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3B06-787C-4B31-A63D-6EE4499E2F95}">
  <dimension ref="A1:B6"/>
  <sheetViews>
    <sheetView workbookViewId="0"/>
  </sheetViews>
  <sheetFormatPr defaultRowHeight="14.5"/>
  <cols>
    <col min="1" max="1" width="24.54296875" bestFit="1" customWidth="1"/>
  </cols>
  <sheetData>
    <row r="1" spans="1:2">
      <c r="A1" t="s">
        <v>482</v>
      </c>
      <c r="B1">
        <v>1711</v>
      </c>
    </row>
    <row r="2" spans="1:2">
      <c r="A2" t="s">
        <v>483</v>
      </c>
      <c r="B2">
        <f>COUNTA('Unfiltered Data'!A:A) - 1</f>
        <v>113</v>
      </c>
    </row>
    <row r="3" spans="1:2">
      <c r="A3" t="s">
        <v>484</v>
      </c>
      <c r="B3">
        <f>COUNTA('Gen-filters'!A:A) - 1</f>
        <v>68</v>
      </c>
    </row>
    <row r="5" spans="1:2">
      <c r="A5" t="s">
        <v>485</v>
      </c>
      <c r="B5">
        <f>(B2/B1)*1000</f>
        <v>66.043249561659849</v>
      </c>
    </row>
    <row r="6" spans="1:2">
      <c r="A6" t="s">
        <v>486</v>
      </c>
      <c r="B6">
        <f>(B3/B1)*1000</f>
        <v>39.742840444184694</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7C49-01DA-48C5-8025-6B0AFC714D69}">
  <dimension ref="A2:D12"/>
  <sheetViews>
    <sheetView workbookViewId="0"/>
  </sheetViews>
  <sheetFormatPr defaultRowHeight="14.5"/>
  <sheetData>
    <row r="2" spans="1:4">
      <c r="A2" t="s">
        <v>488</v>
      </c>
    </row>
    <row r="3" spans="1:4">
      <c r="A3" t="s">
        <v>19</v>
      </c>
      <c r="B3">
        <f>COUNTIF('Unfiltered Data'!G:G, "Yes")</f>
        <v>1</v>
      </c>
    </row>
    <row r="4" spans="1:4">
      <c r="A4" t="s">
        <v>20</v>
      </c>
      <c r="B4">
        <f>COUNTIF('Unfiltered Data'!G:G, "No")</f>
        <v>0</v>
      </c>
    </row>
    <row r="5" spans="1:4">
      <c r="A5" t="s">
        <v>489</v>
      </c>
      <c r="B5">
        <f>B3/SUM(B3:B4)</f>
        <v>1</v>
      </c>
    </row>
    <row r="8" spans="1:4">
      <c r="A8" t="s">
        <v>490</v>
      </c>
    </row>
    <row r="9" spans="1:4">
      <c r="B9" t="s">
        <v>491</v>
      </c>
      <c r="C9" t="s">
        <v>495</v>
      </c>
      <c r="D9" t="s">
        <v>492</v>
      </c>
    </row>
    <row r="10" spans="1:4">
      <c r="A10" t="s">
        <v>19</v>
      </c>
      <c r="B10">
        <f>COUNTIF('Unfiltered Data'!H:H, "Yes")</f>
        <v>28</v>
      </c>
      <c r="C10">
        <f>B10/'Gen-Error-Rates'!$B$2</f>
        <v>0.24778761061946902</v>
      </c>
      <c r="D10">
        <f>B10/SUM($B$10:$B$12)</f>
        <v>0.90322580645161288</v>
      </c>
    </row>
    <row r="11" spans="1:4">
      <c r="A11" t="s">
        <v>493</v>
      </c>
      <c r="B11">
        <f>COUNTIF('Unfiltered Data'!H:H, "Yes, partially")</f>
        <v>2</v>
      </c>
      <c r="C11">
        <f>B11/'Gen-Error-Rates'!$B$2</f>
        <v>1.7699115044247787E-2</v>
      </c>
      <c r="D11">
        <f t="shared" ref="D11:D12" si="0">B11/SUM($B$10:$B$12)</f>
        <v>6.4516129032258063E-2</v>
      </c>
    </row>
    <row r="12" spans="1:4">
      <c r="A12" t="s">
        <v>494</v>
      </c>
      <c r="B12">
        <f>COUNTIF('Unfiltered Data'!H:H, "Yes, to another error")</f>
        <v>1</v>
      </c>
      <c r="C12">
        <f>B12/'Gen-Error-Rates'!$B$2</f>
        <v>8.8495575221238937E-3</v>
      </c>
      <c r="D12">
        <f t="shared" si="0"/>
        <v>3.2258064516129031E-2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Q21"/>
  <sheetViews>
    <sheetView workbookViewId="0">
      <pane ySplit="1" topLeftCell="A2" activePane="bottomLeft" state="frozen"/>
      <selection pane="bottomLeft" activeCell="A2" sqref="A2"/>
    </sheetView>
  </sheetViews>
  <sheetFormatPr defaultRowHeight="14.5"/>
  <sheetData>
    <row r="1" spans="1:17">
      <c r="A1" s="1" t="s">
        <v>8</v>
      </c>
      <c r="B1" s="1" t="s">
        <v>9</v>
      </c>
      <c r="C1" s="1" t="s">
        <v>10</v>
      </c>
      <c r="D1" s="1" t="s">
        <v>3</v>
      </c>
      <c r="E1" s="1" t="s">
        <v>318</v>
      </c>
      <c r="F1" s="1" t="s">
        <v>319</v>
      </c>
      <c r="G1" s="1" t="s">
        <v>320</v>
      </c>
      <c r="H1" s="1" t="s">
        <v>367</v>
      </c>
      <c r="I1" s="1" t="s">
        <v>499</v>
      </c>
      <c r="J1" s="1" t="s">
        <v>368</v>
      </c>
      <c r="K1" s="1" t="s">
        <v>369</v>
      </c>
      <c r="L1" s="1" t="s">
        <v>321</v>
      </c>
      <c r="M1" s="1" t="s">
        <v>322</v>
      </c>
      <c r="N1" s="1" t="s">
        <v>323</v>
      </c>
      <c r="O1" s="1" t="s">
        <v>370</v>
      </c>
      <c r="P1" s="1" t="s">
        <v>324</v>
      </c>
      <c r="Q1" s="1" t="s">
        <v>366</v>
      </c>
    </row>
    <row r="2" spans="1:17">
      <c r="A2" s="1"/>
    </row>
    <row r="3" spans="1:17">
      <c r="A3" t="s">
        <v>11</v>
      </c>
      <c r="B3" t="s">
        <v>19</v>
      </c>
      <c r="C3" t="s">
        <v>19</v>
      </c>
      <c r="D3" t="s">
        <v>24</v>
      </c>
      <c r="E3" t="s">
        <v>325</v>
      </c>
      <c r="F3" t="s">
        <v>326</v>
      </c>
      <c r="G3" t="s">
        <v>327</v>
      </c>
      <c r="H3" t="s">
        <v>4</v>
      </c>
      <c r="I3" t="s">
        <v>500</v>
      </c>
      <c r="J3" t="s">
        <v>19</v>
      </c>
      <c r="K3" t="s">
        <v>4</v>
      </c>
      <c r="L3" t="s">
        <v>328</v>
      </c>
      <c r="M3" t="s">
        <v>19</v>
      </c>
      <c r="N3" t="s">
        <v>329</v>
      </c>
      <c r="O3" t="s">
        <v>19</v>
      </c>
      <c r="P3" t="s">
        <v>330</v>
      </c>
      <c r="Q3" t="s">
        <v>19</v>
      </c>
    </row>
    <row r="4" spans="1:17">
      <c r="A4" t="s">
        <v>12</v>
      </c>
      <c r="B4" t="s">
        <v>21</v>
      </c>
      <c r="C4" t="s">
        <v>22</v>
      </c>
      <c r="D4" t="s">
        <v>25</v>
      </c>
      <c r="E4" t="s">
        <v>331</v>
      </c>
      <c r="F4" t="s">
        <v>332</v>
      </c>
      <c r="G4" t="s">
        <v>333</v>
      </c>
      <c r="H4" t="s">
        <v>371</v>
      </c>
      <c r="I4" t="s">
        <v>501</v>
      </c>
      <c r="J4" t="s">
        <v>20</v>
      </c>
      <c r="K4" t="s">
        <v>371</v>
      </c>
      <c r="L4" t="s">
        <v>487</v>
      </c>
      <c r="M4" t="s">
        <v>20</v>
      </c>
      <c r="N4" t="s">
        <v>335</v>
      </c>
      <c r="O4" t="s">
        <v>20</v>
      </c>
      <c r="P4" t="s">
        <v>336</v>
      </c>
      <c r="Q4" t="s">
        <v>20</v>
      </c>
    </row>
    <row r="5" spans="1:17">
      <c r="A5" t="s">
        <v>13</v>
      </c>
      <c r="B5" t="s">
        <v>20</v>
      </c>
      <c r="C5" t="s">
        <v>23</v>
      </c>
      <c r="D5" t="s">
        <v>372</v>
      </c>
      <c r="E5" t="s">
        <v>337</v>
      </c>
      <c r="F5" t="s">
        <v>373</v>
      </c>
      <c r="I5" t="s">
        <v>502</v>
      </c>
      <c r="L5" t="s">
        <v>334</v>
      </c>
      <c r="N5" t="s">
        <v>339</v>
      </c>
      <c r="P5" t="s">
        <v>340</v>
      </c>
    </row>
    <row r="6" spans="1:17">
      <c r="A6" t="s">
        <v>17</v>
      </c>
      <c r="C6" t="s">
        <v>20</v>
      </c>
      <c r="D6" t="s">
        <v>374</v>
      </c>
      <c r="E6" t="s">
        <v>341</v>
      </c>
      <c r="N6" t="s">
        <v>342</v>
      </c>
      <c r="P6" t="s">
        <v>343</v>
      </c>
    </row>
    <row r="7" spans="1:17">
      <c r="A7" t="s">
        <v>28</v>
      </c>
      <c r="D7" t="s">
        <v>375</v>
      </c>
      <c r="E7" t="s">
        <v>344</v>
      </c>
      <c r="N7" t="s">
        <v>390</v>
      </c>
    </row>
    <row r="8" spans="1:17">
      <c r="A8" t="s">
        <v>29</v>
      </c>
      <c r="D8" t="s">
        <v>26</v>
      </c>
      <c r="E8" t="s">
        <v>346</v>
      </c>
      <c r="N8" t="s">
        <v>345</v>
      </c>
    </row>
    <row r="9" spans="1:17">
      <c r="A9" t="s">
        <v>10</v>
      </c>
      <c r="D9" t="s">
        <v>27</v>
      </c>
      <c r="E9" t="s">
        <v>348</v>
      </c>
      <c r="N9" t="s">
        <v>347</v>
      </c>
    </row>
    <row r="10" spans="1:17">
      <c r="A10" t="s">
        <v>14</v>
      </c>
      <c r="D10" t="s">
        <v>30</v>
      </c>
      <c r="E10" t="s">
        <v>350</v>
      </c>
      <c r="N10" t="s">
        <v>349</v>
      </c>
    </row>
    <row r="11" spans="1:17">
      <c r="A11" t="s">
        <v>18</v>
      </c>
      <c r="E11" t="s">
        <v>352</v>
      </c>
      <c r="N11" t="s">
        <v>351</v>
      </c>
    </row>
    <row r="12" spans="1:17">
      <c r="A12" t="s">
        <v>376</v>
      </c>
      <c r="E12" t="s">
        <v>377</v>
      </c>
      <c r="N12" t="s">
        <v>419</v>
      </c>
    </row>
    <row r="13" spans="1:17">
      <c r="A13" t="s">
        <v>31</v>
      </c>
      <c r="E13" t="s">
        <v>383</v>
      </c>
      <c r="N13" t="s">
        <v>418</v>
      </c>
    </row>
    <row r="14" spans="1:17">
      <c r="A14" t="s">
        <v>32</v>
      </c>
      <c r="E14" t="s">
        <v>353</v>
      </c>
    </row>
    <row r="15" spans="1:17">
      <c r="A15" t="s">
        <v>33</v>
      </c>
    </row>
    <row r="16" spans="1:17">
      <c r="A16" t="s">
        <v>15</v>
      </c>
    </row>
    <row r="17" spans="1:1">
      <c r="A17" t="s">
        <v>16</v>
      </c>
    </row>
    <row r="18" spans="1:1">
      <c r="A18" t="s">
        <v>34</v>
      </c>
    </row>
    <row r="19" spans="1:1">
      <c r="A19" t="s">
        <v>35</v>
      </c>
    </row>
    <row r="20" spans="1:1">
      <c r="A20" t="s">
        <v>420</v>
      </c>
    </row>
    <row r="21" spans="1:1">
      <c r="A2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Unfiltered Data</vt:lpstr>
      <vt:lpstr>Gen-filters</vt:lpstr>
      <vt:lpstr>AddOmits</vt:lpstr>
      <vt:lpstr>WF_AO_LM</vt:lpstr>
      <vt:lpstr>WF_AO_HM</vt:lpstr>
      <vt:lpstr>WF_SUB</vt:lpstr>
      <vt:lpstr>Harmonization</vt:lpstr>
      <vt:lpstr>Gen-filters_2</vt:lpstr>
      <vt:lpstr>AddOmits_2</vt:lpstr>
      <vt:lpstr>WF_AO_LM_2</vt:lpstr>
      <vt:lpstr>WF_AO_HM_2</vt:lpstr>
      <vt:lpstr>WF_SUB_2</vt:lpstr>
      <vt:lpstr>Harmonization_2</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2026-05-01T22:27:37Z</dcterms:modified>
</cp:coreProperties>
</file>